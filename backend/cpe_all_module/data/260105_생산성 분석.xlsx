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pengejeen\p6ix-CPE\backend\cpe_all_module\data\"/>
    </mc:Choice>
  </mc:AlternateContent>
  <xr:revisionPtr revIDLastSave="0" documentId="13_ncr:1_{0EBC9D3B-1210-4A6C-8B4E-DEB19655FA86}" xr6:coauthVersionLast="47" xr6:coauthVersionMax="47" xr10:uidLastSave="{00000000-0000-0000-0000-000000000000}"/>
  <bookViews>
    <workbookView xWindow="-120" yWindow="-120" windowWidth="29040" windowHeight="15720" xr2:uid="{E3F10366-F937-4E6C-86BF-603D78C91BC1}"/>
  </bookViews>
  <sheets>
    <sheet name="국토교통부표준+표준품셈" sheetId="2" r:id="rId1"/>
    <sheet name="CIP 생산성 근거" sheetId="7" r:id="rId2"/>
    <sheet name="기성말뚝 기초 생산성 근거" sheetId="8" r:id="rId3"/>
    <sheet name="현장타설말뚝 생산성 근거" sheetId="9" r:id="rId4"/>
    <sheet name="P6 실적 기반 생산성" sheetId="1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" hidden="1">[1]CTEMCOST!#REF!</definedName>
    <definedName name="__EE1" localSheetId="0" hidden="1">{#N/A,#N/A,FALSE,"단가표지"}</definedName>
    <definedName name="__EE1" hidden="1">{#N/A,#N/A,FALSE,"단가표지"}</definedName>
    <definedName name="__IntlFixup" hidden="1">TRUE</definedName>
    <definedName name="__QQ1" localSheetId="0" hidden="1">{#N/A,#N/A,FALSE,"단가표지"}</definedName>
    <definedName name="__QQ1" hidden="1">{#N/A,#N/A,FALSE,"단가표지"}</definedName>
    <definedName name="__QW1" localSheetId="0" hidden="1">{#N/A,#N/A,FALSE,"단가표지"}</definedName>
    <definedName name="__QW1" hidden="1">{#N/A,#N/A,FALSE,"단가표지"}</definedName>
    <definedName name="__SS1" localSheetId="0" hidden="1">{#N/A,#N/A,FALSE,"운반시간"}</definedName>
    <definedName name="__SS1" hidden="1">{#N/A,#N/A,FALSE,"운반시간"}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[2]대비!#REF!</definedName>
    <definedName name="_Fill" hidden="1">[2]대비!#REF!</definedName>
    <definedName name="_xlnm._FilterDatabase" localSheetId="0" hidden="1">'국토교통부표준+표준품셈'!$B$2:$W$371</definedName>
    <definedName name="_xlnm._FilterDatabase" hidden="1">#REF!</definedName>
    <definedName name="_Key1" localSheetId="0" hidden="1">'[2]#REF'!#REF!</definedName>
    <definedName name="_Key1" hidden="1">'[2]#REF'!#REF!</definedName>
    <definedName name="_Key2" localSheetId="0" hidden="1">[3]프랜트면허!#REF!</definedName>
    <definedName name="_Key2" hidden="1">[3]프랜트면허!#REF!</definedName>
    <definedName name="_Order1" hidden="1">255</definedName>
    <definedName name="_Order2" hidden="1">255</definedName>
    <definedName name="_Parse_Out" localSheetId="0" hidden="1">'[4]갑지(추정)'!#REF!</definedName>
    <definedName name="_Parse_Out" hidden="1">'[4]갑지(추정)'!#REF!</definedName>
    <definedName name="_Regression_Int" hidden="1">1</definedName>
    <definedName name="_Sort" hidden="1">[5]시가지우회도로공내역서!$S$34:$S$134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AAA" localSheetId="0" hidden="1">[6]입찰안!#REF!</definedName>
    <definedName name="AAAA" hidden="1">[6]입찰안!#REF!</definedName>
    <definedName name="anscount" hidden="1">1</definedName>
    <definedName name="_xlnm.Database" localSheetId="0">#REF!</definedName>
    <definedName name="_xlnm.Database">#REF!</definedName>
    <definedName name="DE" localSheetId="0" hidden="1">'[4]갑지(추정)'!#REF!</definedName>
    <definedName name="DE" hidden="1">'[4]갑지(추정)'!#REF!</definedName>
    <definedName name="dn" localSheetId="0" hidden="1">{#N/A,#N/A,FALSE,"혼합골재"}</definedName>
    <definedName name="dn" hidden="1">{#N/A,#N/A,FALSE,"혼합골재"}</definedName>
    <definedName name="ee" localSheetId="0" hidden="1">{#N/A,#N/A,FALSE,"단가표지"}</definedName>
    <definedName name="ee" hidden="1">{#N/A,#N/A,FALSE,"단가표지"}</definedName>
    <definedName name="ff" localSheetId="0" hidden="1">{#N/A,#N/A,FALSE,"운반시간"}</definedName>
    <definedName name="ff" hidden="1">{#N/A,#N/A,FALSE,"운반시간"}</definedName>
    <definedName name="gfgdfg" hidden="1">[7]차액보증!#REF!</definedName>
    <definedName name="gg" localSheetId="0" hidden="1">{#N/A,#N/A,FALSE,"운반시간"}</definedName>
    <definedName name="gg" hidden="1">{#N/A,#N/A,FALSE,"운반시간"}</definedName>
    <definedName name="grew" localSheetId="0" hidden="1">#REF!</definedName>
    <definedName name="grew" hidden="1">#REF!</definedName>
    <definedName name="han" localSheetId="0" hidden="1">#REF!</definedName>
    <definedName name="han" hidden="1">#REF!</definedName>
    <definedName name="HH" localSheetId="0" hidden="1">'[8]갑지(추정)'!#REF!</definedName>
    <definedName name="HH" hidden="1">'[8]갑지(추정)'!#REF!</definedName>
    <definedName name="MAINTABLE">[9]적정심사!$D$5:$AS$34</definedName>
    <definedName name="n" hidden="1">[10]실행철강하도!$A$1:$A$4</definedName>
    <definedName name="_xlnm.Print_Area">#REF!</definedName>
    <definedName name="_xlnm.Print_Titles">#REF!</definedName>
    <definedName name="q" localSheetId="0" hidden="1">#REF!</definedName>
    <definedName name="q" hidden="1">#REF!</definedName>
    <definedName name="qor" hidden="1">[11]실행철강하도!$A$1:$A$4</definedName>
    <definedName name="qq" localSheetId="0" hidden="1">{#N/A,#N/A,FALSE,"단가표지"}</definedName>
    <definedName name="qq" hidden="1">{#N/A,#N/A,FALSE,"단가표지"}</definedName>
    <definedName name="qw" localSheetId="0" hidden="1">{#N/A,#N/A,FALSE,"단가표지"}</definedName>
    <definedName name="qw" hidden="1">{#N/A,#N/A,FALSE,"단가표지"}</definedName>
    <definedName name="RRR" localSheetId="0" hidden="1">{#N/A,#N/A,FALSE,"포장2"}</definedName>
    <definedName name="RRR" hidden="1">{#N/A,#N/A,FALSE,"포장2"}</definedName>
    <definedName name="SDCFG\" localSheetId="0" hidden="1">{#N/A,#N/A,FALSE,"운반시간"}</definedName>
    <definedName name="SDCFG\" hidden="1">{#N/A,#N/A,FALSE,"운반시간"}</definedName>
    <definedName name="SDF" localSheetId="0" hidden="1">{#N/A,#N/A,FALSE,"혼합골재"}</definedName>
    <definedName name="SDF" hidden="1">{#N/A,#N/A,FALSE,"혼합골재"}</definedName>
    <definedName name="sdg" localSheetId="0" hidden="1">#REF!</definedName>
    <definedName name="sdg" hidden="1">#REF!</definedName>
    <definedName name="sss" localSheetId="0" hidden="1">{#N/A,#N/A,FALSE,"전력간선"}</definedName>
    <definedName name="sss" hidden="1">{#N/A,#N/A,FALSE,"전력간선"}</definedName>
    <definedName name="tr" localSheetId="0" hidden="1">#REF!</definedName>
    <definedName name="tr" hidden="1">#REF!</definedName>
    <definedName name="tt" localSheetId="0" hidden="1">{#N/A,#N/A,FALSE,"단가표지"}</definedName>
    <definedName name="tt" hidden="1">{#N/A,#N/A,FALSE,"단가표지"}</definedName>
    <definedName name="wm.조골재1" localSheetId="0" hidden="1">{#N/A,#N/A,FALSE,"조골재"}</definedName>
    <definedName name="wm.조골재1" hidden="1">{#N/A,#N/A,FALSE,"조골재"}</definedName>
    <definedName name="wrn.2번." localSheetId="0" hidden="1">{#N/A,#N/A,FALSE,"2~8번"}</definedName>
    <definedName name="wrn.2번.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지수1." localSheetId="0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xx" localSheetId="0" hidden="1">#REF!</definedName>
    <definedName name="xx" hidden="1">#REF!</definedName>
    <definedName name="xxx" localSheetId="0" hidden="1">#REF!</definedName>
    <definedName name="xxx" hidden="1">#REF!</definedName>
    <definedName name="Y" localSheetId="0" hidden="1">'[4]갑지(추정)'!#REF!</definedName>
    <definedName name="Y" hidden="1">'[4]갑지(추정)'!#REF!</definedName>
    <definedName name="za" hidden="1">[10]실행철강하도!$A$1:$A$4</definedName>
    <definedName name="ㄱㅈㅎ" localSheetId="0" hidden="1">#REF!</definedName>
    <definedName name="ㄱㅈㅎ" hidden="1">#REF!</definedName>
    <definedName name="가나다라마" localSheetId="0" hidden="1">{#N/A,#N/A,FALSE,"배수2"}</definedName>
    <definedName name="가나다라마" hidden="1">{#N/A,#N/A,FALSE,"배수2"}</definedName>
    <definedName name="구산갑지" localSheetId="0" hidden="1">#REF!</definedName>
    <definedName name="구산갑지" hidden="1">#REF!</definedName>
    <definedName name="국토교통부가이드라인_수정본">#REF!</definedName>
    <definedName name="ㄴㄱㄹ" localSheetId="0" hidden="1">#REF!</definedName>
    <definedName name="ㄴㄱㄹ" hidden="1">#REF!</definedName>
    <definedName name="ㄴㅁ" localSheetId="0" hidden="1">#REF!</definedName>
    <definedName name="ㄴㅁ" hidden="1">#REF!</definedName>
    <definedName name="단ㄱ" localSheetId="0" hidden="1">{#N/A,#N/A,FALSE,"전력간선"}</definedName>
    <definedName name="단ㄱ" hidden="1">{#N/A,#N/A,FALSE,"전력간선"}</definedName>
    <definedName name="단가내부코드">[9]단가!$D$15:$D$2646</definedName>
    <definedName name="단가코드">[9]단가!$A$15:$A$2646</definedName>
    <definedName name="동구연숩" localSheetId="0" hidden="1">{#N/A,#N/A,FALSE,"전력간선"}</definedName>
    <definedName name="동구연숩" hidden="1">{#N/A,#N/A,FALSE,"전력간선"}</definedName>
    <definedName name="ㄹ호" localSheetId="0" hidden="1">#REF!</definedName>
    <definedName name="ㄹ호" hidden="1">#REF!</definedName>
    <definedName name="ㅁㄴ" localSheetId="0" hidden="1">#REF!</definedName>
    <definedName name="ㅁㄴ" hidden="1">#REF!</definedName>
    <definedName name="ㅁㄴㅇ" localSheetId="0" hidden="1">{#N/A,#N/A,FALSE,"배수1"}</definedName>
    <definedName name="ㅁㄴㅇ" hidden="1">{#N/A,#N/A,FALSE,"배수1"}</definedName>
    <definedName name="ㅁㅁㅁㅁㅁㅁ" localSheetId="0" hidden="1">#REF!</definedName>
    <definedName name="ㅁㅁㅁㅁㅁㅁ" hidden="1">#REF!</definedName>
    <definedName name="ㅂㅂ" localSheetId="0" hidden="1">{#N/A,#N/A,FALSE,"표지"}</definedName>
    <definedName name="ㅂㅂ" hidden="1">{#N/A,#N/A,FALSE,"표지"}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바붕" localSheetId="0" hidden="1">{#N/A,#N/A,FALSE,"전력간선"}</definedName>
    <definedName name="바붕" hidden="1">{#N/A,#N/A,FALSE,"전력간선"}</definedName>
    <definedName name="방음벽" localSheetId="0" hidden="1">{#N/A,#N/A,FALSE,"배수2"}</definedName>
    <definedName name="방음벽" hidden="1">{#N/A,#N/A,FALSE,"배수2"}</definedName>
    <definedName name="부대입찰서류작성" hidden="1">'[8]갑지(추정)'!#REF!</definedName>
    <definedName name="사" localSheetId="0" hidden="1">#REF!</definedName>
    <definedName name="사" hidden="1">#REF!</definedName>
    <definedName name="ㅇㄴㅁ" hidden="1">[12]실행철강하도!$A$1:$A$4</definedName>
    <definedName name="ㅇㄹ" localSheetId="0" hidden="1">#REF!</definedName>
    <definedName name="ㅇㄹ" hidden="1">#REF!</definedName>
    <definedName name="억이상" localSheetId="0" hidden="1">{#N/A,#N/A,FALSE,"2~8번"}</definedName>
    <definedName name="억이상" hidden="1">{#N/A,#N/A,FALSE,"2~8번"}</definedName>
    <definedName name="업체" localSheetId="0" hidden="1">#REF!</definedName>
    <definedName name="업체" hidden="1">#REF!</definedName>
    <definedName name="오" hidden="1">[11]실행철강하도!$A$1:$A$4</definedName>
    <definedName name="원가" localSheetId="0" hidden="1">{#N/A,#N/A,FALSE,"운반시간"}</definedName>
    <definedName name="원가" hidden="1">{#N/A,#N/A,FALSE,"운반시간"}</definedName>
    <definedName name="원남내역" hidden="1">[13]실행철강하도!$A$1:$A$4</definedName>
    <definedName name="을지1" localSheetId="0" hidden="1">{#N/A,#N/A,TRUE,"1";#N/A,#N/A,TRUE,"2";#N/A,#N/A,TRUE,"3";#N/A,#N/A,TRUE,"4";#N/A,#N/A,TRUE,"5";#N/A,#N/A,TRUE,"6";#N/A,#N/A,TRUE,"7"}</definedName>
    <definedName name="을지1" hidden="1">{#N/A,#N/A,TRUE,"1";#N/A,#N/A,TRUE,"2";#N/A,#N/A,TRUE,"3";#N/A,#N/A,TRUE,"4";#N/A,#N/A,TRUE,"5";#N/A,#N/A,TRUE,"6";#N/A,#N/A,TRUE,"7"}</definedName>
    <definedName name="의" localSheetId="0" hidden="1">{#N/A,#N/A,FALSE,"운반시간"}</definedName>
    <definedName name="의" hidden="1">{#N/A,#N/A,FALSE,"운반시간"}</definedName>
    <definedName name="이정" localSheetId="0" hidden="1">{#N/A,#N/A,FALSE,"2~8번"}</definedName>
    <definedName name="이정" hidden="1">{#N/A,#N/A,FALSE,"2~8번"}</definedName>
    <definedName name="일" hidden="1">[11]실행철강하도!$A$1:$A$4</definedName>
    <definedName name="입찰금액안" localSheetId="0" hidden="1">[14]집계표!#REF!</definedName>
    <definedName name="입찰금액안" hidden="1">[14]집계표!#REF!</definedName>
    <definedName name="ㅈㅈ" localSheetId="0" hidden="1">{#N/A,#N/A,FALSE,"표지목차"}</definedName>
    <definedName name="ㅈㅈ" hidden="1">{#N/A,#N/A,FALSE,"표지목차"}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조사가" hidden="1">[15]입찰안!#REF!</definedName>
    <definedName name="철콘공사" localSheetId="0" hidden="1">{#N/A,#N/A,FALSE,"운반시간"}</definedName>
    <definedName name="철콘공사" hidden="1">{#N/A,#N/A,FALSE,"운반시간"}</definedName>
    <definedName name="토" localSheetId="0" hidden="1">#REF!</definedName>
    <definedName name="토" hidden="1">#REF!</definedName>
    <definedName name="토목견적" localSheetId="0" hidden="1">{#N/A,#N/A,FALSE,"골재소요량";#N/A,#N/A,FALSE,"골재소요량"}</definedName>
    <definedName name="토목견적" hidden="1">{#N/A,#N/A,FALSE,"골재소요량";#N/A,#N/A,FALSE,"골재소요량"}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행" localSheetId="0" hidden="1">{#N/A,#N/A,FALSE,"골재소요량";#N/A,#N/A,FALSE,"골재소요량"}</definedName>
    <definedName name="토목실행" hidden="1">{#N/A,#N/A,FALSE,"골재소요량";#N/A,#N/A,FALSE,"골재소요량"}</definedName>
    <definedName name="팔" localSheetId="0" hidden="1">#REF!</definedName>
    <definedName name="팔" hidden="1">#REF!</definedName>
    <definedName name="풍2" localSheetId="0" hidden="1">{#N/A,#N/A,FALSE,"골재소요량";#N/A,#N/A,FALSE,"골재소요량"}</definedName>
    <definedName name="풍2" hidden="1">{#N/A,#N/A,FALSE,"골재소요량";#N/A,#N/A,FALSE,"골재소요량"}</definedName>
    <definedName name="한" localSheetId="0" hidden="1">#REF!</definedName>
    <definedName name="한" hidden="1">#REF!</definedName>
    <definedName name="현조" localSheetId="0" hidden="1">#REF!</definedName>
    <definedName name="현조" hidden="1">#REF!</definedName>
    <definedName name="호ㅓㅕㅏ6ㅅ서ㅛㅓ" localSheetId="0" hidden="1">[16]입찰안!#REF!</definedName>
    <definedName name="호ㅓㅕㅏ6ㅅ서ㅛㅓ" hidden="1">[16]입찰안!#REF!</definedName>
    <definedName name="ㅓㄴㄱ" hidden="1">[12]실행철강하도!$A$1:$A$4</definedName>
    <definedName name="ㅔㅔ" localSheetId="0" hidden="1">[17]집계표!#REF!</definedName>
    <definedName name="ㅔㅔ" hidden="1">[17]집계표!#REF!</definedName>
    <definedName name="ㅕㅕㅕ" localSheetId="0" hidden="1">{#N/A,#N/A,FALSE,"표지"}</definedName>
    <definedName name="ㅕㅕㅕ" hidden="1">{#N/A,#N/A,FALSE,"표지"}</definedName>
    <definedName name="ㅣㅑㅑ" localSheetId="0" hidden="1">{#N/A,#N/A,FALSE,"단가표지"}</definedName>
    <definedName name="ㅣㅑ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9" i="2" l="1"/>
  <c r="U67" i="2"/>
  <c r="U66" i="2"/>
  <c r="U65" i="2"/>
  <c r="V26" i="7" l="1"/>
  <c r="S33" i="9" a="1"/>
  <c r="S33" i="9" s="1"/>
  <c r="Q33" i="9" a="1"/>
  <c r="Q33" i="9" s="1"/>
  <c r="P33" i="9" a="1"/>
  <c r="P33" i="9" s="1"/>
  <c r="O33" i="9" a="1"/>
  <c r="O33" i="9" s="1"/>
  <c r="N33" i="9" a="1"/>
  <c r="N33" i="9" s="1"/>
  <c r="R33" i="9" a="1"/>
  <c r="R33" i="9" s="1"/>
  <c r="U19" i="9"/>
  <c r="U17" i="9"/>
  <c r="U15" i="9"/>
  <c r="U13" i="9"/>
  <c r="U11" i="9"/>
  <c r="T11" i="9"/>
  <c r="U9" i="9"/>
  <c r="U27" i="8" a="1"/>
  <c r="U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N27" i="8" a="1"/>
  <c r="N27" i="8" s="1"/>
  <c r="T31" i="9"/>
  <c r="T25" i="8"/>
  <c r="N27" i="7" a="1"/>
  <c r="N27" i="7" s="1"/>
  <c r="Q27" i="7" a="1"/>
  <c r="Q27" i="7" s="1"/>
  <c r="P27" i="7" a="1"/>
  <c r="P27" i="7" s="1"/>
  <c r="O27" i="7" a="1"/>
  <c r="O27" i="7" s="1"/>
  <c r="R27" i="7" a="1"/>
  <c r="R27" i="7" s="1"/>
  <c r="S27" i="7" a="1"/>
  <c r="S27" i="7" s="1"/>
  <c r="T25" i="7"/>
  <c r="T206" i="2"/>
  <c r="T204" i="2"/>
  <c r="T202" i="2"/>
  <c r="T200" i="2"/>
  <c r="T198" i="2"/>
  <c r="T196" i="2"/>
  <c r="T194" i="2"/>
  <c r="T192" i="2"/>
  <c r="T190" i="2"/>
  <c r="K19" i="9"/>
  <c r="K21" i="9"/>
  <c r="L22" i="9" s="1"/>
  <c r="K23" i="9"/>
  <c r="L24" i="9" s="1"/>
  <c r="K25" i="9"/>
  <c r="L26" i="9" s="1"/>
  <c r="L20" i="9"/>
  <c r="W25" i="9"/>
  <c r="W23" i="9"/>
  <c r="T25" i="9"/>
  <c r="U25" i="9" s="1"/>
  <c r="T23" i="9"/>
  <c r="U23" i="9" s="1"/>
  <c r="T21" i="9"/>
  <c r="U21" i="9" s="1"/>
  <c r="W21" i="9" s="1"/>
  <c r="T19" i="9"/>
  <c r="W19" i="9" s="1"/>
  <c r="T17" i="9"/>
  <c r="W17" i="9" s="1"/>
  <c r="T15" i="9"/>
  <c r="T13" i="9"/>
  <c r="W11" i="9"/>
  <c r="T9" i="9"/>
  <c r="W9" i="9" s="1"/>
  <c r="T178" i="2"/>
  <c r="Y19" i="8" a="1"/>
  <c r="Y19" i="8" s="1"/>
  <c r="Y17" i="8" a="1"/>
  <c r="Y17" i="8" s="1"/>
  <c r="Y15" i="8" a="1"/>
  <c r="Y15" i="8" s="1"/>
  <c r="Y13" i="8" a="1"/>
  <c r="Y13" i="8" s="1"/>
  <c r="Y11" i="8" a="1"/>
  <c r="Y11" i="8" s="1"/>
  <c r="Y9" i="8" a="1"/>
  <c r="Y9" i="8" s="1"/>
  <c r="T188" i="2"/>
  <c r="T186" i="2"/>
  <c r="T184" i="2"/>
  <c r="T182" i="2"/>
  <c r="T180" i="2"/>
  <c r="T19" i="8"/>
  <c r="W19" i="8" s="1"/>
  <c r="X19" i="8" s="1" a="1"/>
  <c r="X19" i="8" s="1"/>
  <c r="T17" i="8"/>
  <c r="W17" i="8" s="1"/>
  <c r="X17" i="8" s="1" a="1"/>
  <c r="X17" i="8" s="1"/>
  <c r="T15" i="8"/>
  <c r="W15" i="8" s="1"/>
  <c r="X15" i="8" s="1" a="1"/>
  <c r="X15" i="8" s="1"/>
  <c r="T13" i="8"/>
  <c r="W13" i="8" s="1"/>
  <c r="X13" i="8" s="1" a="1"/>
  <c r="X13" i="8" s="1"/>
  <c r="T11" i="8"/>
  <c r="U11" i="8" s="1"/>
  <c r="T9" i="8"/>
  <c r="U9" i="8" s="1"/>
  <c r="T19" i="7"/>
  <c r="W19" i="7" s="1"/>
  <c r="X19" i="7" s="1" a="1"/>
  <c r="X19" i="7" s="1"/>
  <c r="T17" i="7"/>
  <c r="U17" i="7" s="1"/>
  <c r="T15" i="7"/>
  <c r="U15" i="7" s="1"/>
  <c r="T13" i="7"/>
  <c r="W13" i="7" s="1"/>
  <c r="X13" i="7" s="1" a="1"/>
  <c r="X13" i="7" s="1"/>
  <c r="T11" i="7"/>
  <c r="W11" i="7" s="1"/>
  <c r="X11" i="7" s="1" a="1"/>
  <c r="X11" i="7" s="1"/>
  <c r="T9" i="7"/>
  <c r="U9" i="7" s="1"/>
  <c r="T33" i="9" l="1"/>
  <c r="T27" i="8"/>
  <c r="V25" i="8" s="1" a="1"/>
  <c r="V25" i="8" s="1"/>
  <c r="T27" i="7"/>
  <c r="U25" i="7" s="1" a="1"/>
  <c r="U25" i="7" s="1"/>
  <c r="V25" i="7" s="1"/>
  <c r="K9" i="9"/>
  <c r="L10" i="9" s="1"/>
  <c r="N10" i="9" s="1"/>
  <c r="K17" i="9"/>
  <c r="L18" i="9" s="1"/>
  <c r="K11" i="9"/>
  <c r="L12" i="9" s="1"/>
  <c r="W13" i="9"/>
  <c r="K13" i="9"/>
  <c r="L14" i="9" s="1"/>
  <c r="N14" i="9" s="1"/>
  <c r="W15" i="9"/>
  <c r="K15" i="9"/>
  <c r="L16" i="9" s="1"/>
  <c r="U13" i="8"/>
  <c r="U15" i="8"/>
  <c r="U17" i="8"/>
  <c r="U19" i="8"/>
  <c r="W9" i="8"/>
  <c r="W11" i="8"/>
  <c r="X11" i="8" s="1" a="1"/>
  <c r="X11" i="8" s="1"/>
  <c r="U13" i="7"/>
  <c r="W15" i="7"/>
  <c r="X15" i="7" s="1" a="1"/>
  <c r="X15" i="7" s="1"/>
  <c r="K15" i="7" s="1"/>
  <c r="L16" i="7" s="1"/>
  <c r="N16" i="7" s="1"/>
  <c r="W17" i="7"/>
  <c r="X17" i="7" s="1" a="1"/>
  <c r="X17" i="7" s="1"/>
  <c r="Z17" i="7" s="1"/>
  <c r="W9" i="7"/>
  <c r="X9" i="7" s="1" a="1"/>
  <c r="X9" i="7" s="1"/>
  <c r="Z9" i="7" s="1"/>
  <c r="U11" i="7"/>
  <c r="U19" i="7"/>
  <c r="U31" i="9" l="1"/>
  <c r="V31" i="9" s="1"/>
  <c r="V32" i="9" s="1"/>
  <c r="W25" i="8"/>
  <c r="W26" i="8" s="1"/>
  <c r="AA17" i="8" a="1"/>
  <c r="AA17" i="8" s="1"/>
  <c r="K17" i="8"/>
  <c r="L18" i="8" s="1"/>
  <c r="N18" i="8" s="1"/>
  <c r="AA11" i="8" a="1"/>
  <c r="AA11" i="8" s="1"/>
  <c r="K11" i="8"/>
  <c r="X9" i="8" a="1"/>
  <c r="X9" i="8" s="1"/>
  <c r="K9" i="8" s="1"/>
  <c r="L10" i="8" s="1"/>
  <c r="N10" i="8" s="1"/>
  <c r="AA19" i="8" a="1"/>
  <c r="AA19" i="8" s="1"/>
  <c r="K19" i="8"/>
  <c r="L20" i="8" s="1"/>
  <c r="N20" i="8" s="1"/>
  <c r="AA13" i="8" a="1"/>
  <c r="AA13" i="8" s="1"/>
  <c r="K13" i="8"/>
  <c r="L14" i="8" s="1"/>
  <c r="N14" i="8" s="1"/>
  <c r="AA15" i="8" a="1"/>
  <c r="AA15" i="8" s="1"/>
  <c r="K15" i="8"/>
  <c r="L16" i="8" s="1"/>
  <c r="N16" i="8" s="1"/>
  <c r="N24" i="9"/>
  <c r="N22" i="9"/>
  <c r="N26" i="9"/>
  <c r="N12" i="9"/>
  <c r="N18" i="9"/>
  <c r="N16" i="9"/>
  <c r="N20" i="9"/>
  <c r="AA9" i="8" a="1"/>
  <c r="AA9" i="8" s="1"/>
  <c r="L12" i="8"/>
  <c r="N12" i="8" s="1"/>
  <c r="Z15" i="7"/>
  <c r="K9" i="7"/>
  <c r="L10" i="7" s="1"/>
  <c r="N10" i="7" s="1"/>
  <c r="K17" i="7"/>
  <c r="L18" i="7" s="1"/>
  <c r="N18" i="7" s="1"/>
  <c r="Z11" i="7"/>
  <c r="K11" i="7"/>
  <c r="L12" i="7" s="1"/>
  <c r="N12" i="7" s="1"/>
  <c r="Z19" i="7"/>
  <c r="K19" i="7"/>
  <c r="L20" i="7" s="1"/>
  <c r="N20" i="7" s="1"/>
  <c r="Z13" i="7"/>
  <c r="K13" i="7"/>
  <c r="L14" i="7" s="1"/>
  <c r="N14" i="7" s="1"/>
  <c r="U206" i="2" l="1"/>
  <c r="U207" i="2" s="1"/>
  <c r="U204" i="2"/>
  <c r="U205" i="2" s="1"/>
  <c r="U202" i="2"/>
  <c r="U203" i="2" s="1"/>
  <c r="U200" i="2"/>
  <c r="U201" i="2" s="1"/>
  <c r="U198" i="2"/>
  <c r="U199" i="2" s="1"/>
  <c r="U196" i="2"/>
  <c r="U197" i="2" s="1"/>
  <c r="U194" i="2"/>
  <c r="U195" i="2" s="1"/>
  <c r="U192" i="2"/>
  <c r="U193" i="2" s="1"/>
  <c r="U190" i="2"/>
  <c r="U191" i="2" s="1"/>
  <c r="U188" i="2"/>
  <c r="W188" i="2" s="1"/>
  <c r="T94" i="2"/>
  <c r="T92" i="2"/>
  <c r="T90" i="2"/>
  <c r="T88" i="2"/>
  <c r="T86" i="2"/>
  <c r="T84" i="2"/>
  <c r="U84" i="2" s="1"/>
  <c r="Y84" i="2" s="1"/>
  <c r="W190" i="2" l="1"/>
  <c r="X190" i="2"/>
  <c r="W196" i="2"/>
  <c r="W200" i="2"/>
  <c r="W204" i="2"/>
  <c r="U85" i="2"/>
  <c r="W85" i="2" s="1"/>
  <c r="U189" i="2"/>
  <c r="W39" i="2"/>
  <c r="U186" i="2"/>
  <c r="U187" i="2" s="1"/>
  <c r="U184" i="2"/>
  <c r="U185" i="2" s="1"/>
  <c r="U182" i="2"/>
  <c r="U183" i="2" s="1"/>
  <c r="U180" i="2"/>
  <c r="U181" i="2" s="1"/>
  <c r="U94" i="2"/>
  <c r="U95" i="2" s="1"/>
  <c r="U92" i="2"/>
  <c r="U93" i="2" s="1"/>
  <c r="U90" i="2"/>
  <c r="U91" i="2" s="1"/>
  <c r="U88" i="2"/>
  <c r="U89" i="2" s="1"/>
  <c r="U86" i="2"/>
  <c r="U87" i="2" s="1"/>
  <c r="W83" i="2" l="1"/>
  <c r="W82" i="2"/>
  <c r="W97" i="2"/>
  <c r="W96" i="2"/>
  <c r="W77" i="2"/>
  <c r="X76" i="2"/>
  <c r="W75" i="2"/>
  <c r="W74" i="2"/>
  <c r="X74" i="2"/>
  <c r="U43" i="2" a="1"/>
  <c r="U43" i="2" s="1"/>
  <c r="U42" i="2" a="1"/>
  <c r="U42" i="2" s="1"/>
  <c r="W46" i="2"/>
  <c r="W45" i="2"/>
  <c r="W62" i="2"/>
  <c r="W60" i="2"/>
  <c r="X58" i="2"/>
  <c r="W58" i="2"/>
  <c r="X56" i="2"/>
  <c r="W56" i="2"/>
  <c r="W30" i="2"/>
  <c r="W29" i="2"/>
  <c r="W28" i="2"/>
  <c r="W27" i="2"/>
  <c r="W26" i="2"/>
  <c r="W25" i="2"/>
  <c r="W34" i="2"/>
  <c r="W33" i="2"/>
  <c r="X11" i="2"/>
  <c r="W11" i="2"/>
  <c r="X80" i="2"/>
  <c r="X78" i="2"/>
  <c r="U64" i="2"/>
  <c r="X64" i="2" s="1"/>
  <c r="U9" i="2"/>
  <c r="U10" i="2"/>
  <c r="U8" i="2"/>
  <c r="X8" i="2" s="1"/>
  <c r="U345" i="2" a="1"/>
  <c r="U345" i="2" s="1"/>
  <c r="U321" i="2" a="1"/>
  <c r="U321" i="2" s="1"/>
  <c r="U320" i="2" a="1"/>
  <c r="U320" i="2" s="1"/>
  <c r="U292" i="2" a="1"/>
  <c r="U292" i="2" s="1"/>
  <c r="U291" i="2" a="1"/>
  <c r="U291" i="2" s="1"/>
  <c r="U290" i="2" a="1"/>
  <c r="U290" i="2" s="1"/>
  <c r="X290" i="2" s="1"/>
  <c r="U289" i="2" a="1"/>
  <c r="U289" i="2" s="1"/>
  <c r="X289" i="2" s="1"/>
  <c r="U283" i="2" a="1"/>
  <c r="U283" i="2" s="1"/>
  <c r="U282" i="2" a="1"/>
  <c r="U282" i="2" s="1"/>
  <c r="U281" i="2" a="1"/>
  <c r="U281" i="2" s="1"/>
  <c r="U280" i="2" a="1"/>
  <c r="U280" i="2" s="1"/>
  <c r="U267" i="2" a="1"/>
  <c r="U267" i="2" s="1"/>
  <c r="U266" i="2" a="1"/>
  <c r="U266" i="2" s="1"/>
  <c r="U265" i="2" a="1"/>
  <c r="U265" i="2" s="1"/>
  <c r="U263" i="2" a="1"/>
  <c r="U263" i="2" s="1"/>
  <c r="X263" i="2" s="1"/>
  <c r="U262" i="2" a="1"/>
  <c r="U262" i="2" s="1"/>
  <c r="X262" i="2" s="1"/>
  <c r="U261" i="2" a="1"/>
  <c r="U261" i="2" s="1"/>
  <c r="U260" i="2" a="1"/>
  <c r="U260" i="2" s="1"/>
  <c r="X260" i="2" s="1"/>
  <c r="U259" i="2" a="1"/>
  <c r="U259" i="2" s="1"/>
  <c r="X259" i="2" s="1"/>
  <c r="U258" i="2" a="1"/>
  <c r="U258" i="2" s="1"/>
  <c r="X258" i="2" s="1"/>
  <c r="U137" i="2" a="1"/>
  <c r="U137" i="2" s="1"/>
  <c r="U138" i="2" a="1"/>
  <c r="U138" i="2" s="1"/>
  <c r="X208" i="2"/>
  <c r="X209" i="2"/>
  <c r="U241" i="2" a="1"/>
  <c r="U241" i="2" s="1"/>
  <c r="X298" i="2"/>
  <c r="X139" i="2"/>
  <c r="X140" i="2"/>
  <c r="X142" i="2"/>
  <c r="X143" i="2"/>
  <c r="X145" i="2"/>
  <c r="X146" i="2"/>
  <c r="X161" i="2"/>
  <c r="X162" i="2"/>
  <c r="X163" i="2"/>
  <c r="X164" i="2"/>
  <c r="X176" i="2"/>
  <c r="X177" i="2"/>
  <c r="X213" i="2"/>
  <c r="X214" i="2"/>
  <c r="X215" i="2"/>
  <c r="X216" i="2"/>
  <c r="X217" i="2"/>
  <c r="X218" i="2"/>
  <c r="X219" i="2"/>
  <c r="X225" i="2"/>
  <c r="X226" i="2"/>
  <c r="X227" i="2"/>
  <c r="X229" i="2"/>
  <c r="X230" i="2"/>
  <c r="X231" i="2"/>
  <c r="X232" i="2"/>
  <c r="X233" i="2"/>
  <c r="X234" i="2"/>
  <c r="X239" i="2"/>
  <c r="X240" i="2"/>
  <c r="X243" i="2"/>
  <c r="X244" i="2"/>
  <c r="X246" i="2"/>
  <c r="X253" i="2"/>
  <c r="X254" i="2"/>
  <c r="X255" i="2"/>
  <c r="X256" i="2"/>
  <c r="X257" i="2"/>
  <c r="X276" i="2"/>
  <c r="X277" i="2"/>
  <c r="X278" i="2"/>
  <c r="X279" i="2"/>
  <c r="X284" i="2"/>
  <c r="X285" i="2"/>
  <c r="X286" i="2"/>
  <c r="X287" i="2"/>
  <c r="X288" i="2"/>
  <c r="X296" i="2"/>
  <c r="X301" i="2"/>
  <c r="X304" i="2"/>
  <c r="X305" i="2"/>
  <c r="X307" i="2"/>
  <c r="X308" i="2"/>
  <c r="X309" i="2"/>
  <c r="X311" i="2"/>
  <c r="X324" i="2"/>
  <c r="X325" i="2"/>
  <c r="X328" i="2"/>
  <c r="X329" i="2"/>
  <c r="X330" i="2"/>
  <c r="X331" i="2"/>
  <c r="X332" i="2"/>
  <c r="X333" i="2"/>
  <c r="X334" i="2"/>
  <c r="X336" i="2"/>
  <c r="W76" i="2" l="1"/>
  <c r="X44" i="2"/>
  <c r="W44" i="2"/>
  <c r="X57" i="2"/>
  <c r="W57" i="2"/>
  <c r="W7" i="2" l="1"/>
  <c r="W8" i="2"/>
  <c r="W9" i="2"/>
  <c r="W10" i="2"/>
  <c r="X15" i="2"/>
  <c r="W15" i="2"/>
  <c r="X21" i="2"/>
  <c r="W22" i="2"/>
  <c r="W23" i="2"/>
  <c r="W24" i="2"/>
  <c r="W31" i="2"/>
  <c r="W32" i="2"/>
  <c r="W35" i="2"/>
  <c r="W36" i="2"/>
  <c r="U37" i="2"/>
  <c r="W37" i="2"/>
  <c r="U38" i="2"/>
  <c r="W38" i="2" s="1"/>
  <c r="W40" i="2"/>
  <c r="W41" i="2"/>
  <c r="W42" i="2"/>
  <c r="W43" i="2"/>
  <c r="X47" i="2"/>
  <c r="X55" i="2"/>
  <c r="W59" i="2"/>
  <c r="W61" i="2"/>
  <c r="W64" i="2"/>
  <c r="W65" i="2"/>
  <c r="W66" i="2"/>
  <c r="V67" i="2"/>
  <c r="V68" i="2"/>
  <c r="W68" i="2" s="1"/>
  <c r="W69" i="2"/>
  <c r="V70" i="2"/>
  <c r="W70" i="2" s="1"/>
  <c r="W71" i="2"/>
  <c r="W72" i="2"/>
  <c r="W73" i="2"/>
  <c r="W78" i="2"/>
  <c r="W79" i="2"/>
  <c r="W80" i="2"/>
  <c r="W81" i="2"/>
  <c r="W84" i="2"/>
  <c r="W94" i="2"/>
  <c r="W98" i="2"/>
  <c r="W99" i="2"/>
  <c r="T100" i="2"/>
  <c r="U100" i="2" s="1"/>
  <c r="W100" i="2" s="1"/>
  <c r="T101" i="2"/>
  <c r="U101" i="2" s="1"/>
  <c r="W101" i="2" s="1"/>
  <c r="T102" i="2"/>
  <c r="U102" i="2" s="1"/>
  <c r="W102" i="2" s="1"/>
  <c r="T103" i="2"/>
  <c r="U103" i="2" s="1"/>
  <c r="W103" i="2" s="1"/>
  <c r="T104" i="2"/>
  <c r="U104" i="2" s="1"/>
  <c r="W104" i="2" s="1"/>
  <c r="T105" i="2"/>
  <c r="U105" i="2" s="1"/>
  <c r="W105" i="2" s="1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X155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U178" i="2"/>
  <c r="W182" i="2"/>
  <c r="W184" i="2"/>
  <c r="W186" i="2"/>
  <c r="W208" i="2"/>
  <c r="W209" i="2"/>
  <c r="U210" i="2"/>
  <c r="W210" i="2" s="1"/>
  <c r="W211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U236" i="2"/>
  <c r="X236" i="2" s="1"/>
  <c r="U237" i="2"/>
  <c r="X237" i="2" s="1"/>
  <c r="U238" i="2"/>
  <c r="X238" i="2" s="1"/>
  <c r="W239" i="2"/>
  <c r="W240" i="2"/>
  <c r="V241" i="2"/>
  <c r="X241" i="2" s="1"/>
  <c r="U242" i="2"/>
  <c r="W242" i="2" s="1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U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X178" i="2" l="1"/>
  <c r="U179" i="2"/>
  <c r="X67" i="2"/>
  <c r="W237" i="2"/>
  <c r="W236" i="2"/>
  <c r="W178" i="2"/>
  <c r="W67" i="2"/>
  <c r="W51" i="2"/>
  <c r="W238" i="2"/>
  <c r="W55" i="2"/>
  <c r="W21" i="2"/>
  <c r="X51" i="2"/>
  <c r="W241" i="2"/>
  <c r="W306" i="2"/>
  <c r="X306" i="2"/>
  <c r="W53" i="2"/>
  <c r="X53" i="2"/>
  <c r="X39" i="2"/>
  <c r="W54" i="2"/>
  <c r="W52" i="2"/>
  <c r="W50" i="2"/>
  <c r="W49" i="2"/>
  <c r="W48" i="2"/>
  <c r="W47" i="2"/>
  <c r="W1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<sst xmlns="http://schemas.openxmlformats.org/spreadsheetml/2006/main" count="1829" uniqueCount="855">
  <si>
    <t>형틀목공 4인, 보통인부 1인 기준</t>
  </si>
  <si>
    <t>본</t>
  </si>
  <si>
    <t>㎡</t>
  </si>
  <si>
    <t>홈파기, 뗏밥주기, 물주기 및 마무리 작업 포함</t>
    <phoneticPr fontId="8" type="noConversion"/>
  </si>
  <si>
    <t>평떼</t>
    <phoneticPr fontId="8" type="noConversion"/>
  </si>
  <si>
    <t>줄떼</t>
    <phoneticPr fontId="8" type="noConversion"/>
  </si>
  <si>
    <t>인력 생산성</t>
  </si>
  <si>
    <t>조경공 3인, 보통인부 1인, 굴삭기(0.6㎥) 1대</t>
    <phoneticPr fontId="8" type="noConversion"/>
  </si>
  <si>
    <t>주</t>
    <phoneticPr fontId="8" type="noConversion"/>
  </si>
  <si>
    <t>흉고직경25~34(근원30~41)</t>
  </si>
  <si>
    <t>조경공 3인, 보통인부 1인, 굴삭기(0.4㎥) 1대</t>
    <phoneticPr fontId="8" type="noConversion"/>
  </si>
  <si>
    <t>흉고직경18~24(근원21~29)</t>
    <phoneticPr fontId="8" type="noConversion"/>
  </si>
  <si>
    <t>흉고직경10~17(근원12~20)</t>
  </si>
  <si>
    <t>흉고직경8~9(근원9~11)</t>
  </si>
  <si>
    <t>4-3-5 식재(흉고직경)('19, '24년 보완)</t>
  </si>
  <si>
    <t>조경 및 식재</t>
    <phoneticPr fontId="8" type="noConversion"/>
  </si>
  <si>
    <t>조경공사</t>
    <phoneticPr fontId="8" type="noConversion"/>
  </si>
  <si>
    <t>일/km</t>
  </si>
  <si>
    <t>부대공사</t>
  </si>
  <si>
    <t>일</t>
  </si>
  <si>
    <t>포장절단 및 줄눈</t>
  </si>
  <si>
    <t>㎥</t>
  </si>
  <si>
    <t>콘크리트표층</t>
    <phoneticPr fontId="8" type="noConversion"/>
  </si>
  <si>
    <t>린콘크리트</t>
    <phoneticPr fontId="8" type="noConversion"/>
  </si>
  <si>
    <t>동상방지층(선택)</t>
    <phoneticPr fontId="8" type="noConversion"/>
  </si>
  <si>
    <t>콘크리트포장</t>
    <phoneticPr fontId="8" type="noConversion"/>
  </si>
  <si>
    <t>프라임코팅</t>
  </si>
  <si>
    <t>택코팅</t>
  </si>
  <si>
    <t>보조기층</t>
  </si>
  <si>
    <t>장비 생산성</t>
  </si>
  <si>
    <t>포장공 4인, 보통인부 1인, 머캐덤롤러 1대 기준</t>
    <phoneticPr fontId="8" type="noConversion"/>
  </si>
  <si>
    <t>㎡</t>
    <phoneticPr fontId="8" type="noConversion"/>
  </si>
  <si>
    <t>기층(3m≤폭/8~10cm)</t>
    <phoneticPr fontId="8" type="noConversion"/>
  </si>
  <si>
    <t>기층(3m≤폭/5~7cm)</t>
    <phoneticPr fontId="8" type="noConversion"/>
  </si>
  <si>
    <t>1-5-4 아스팔트 기층 기계포설(대형장비)('24년 보완)</t>
  </si>
  <si>
    <t xml:space="preserve">아스팔트포장
(기계시공/본선포장)
</t>
    <phoneticPr fontId="8" type="noConversion"/>
  </si>
  <si>
    <t>포장공사</t>
    <phoneticPr fontId="8" type="noConversion"/>
  </si>
  <si>
    <t>일/1span</t>
    <phoneticPr fontId="8" type="noConversion"/>
  </si>
  <si>
    <t>산마루 측구(B=1.34m, H=1.15m, L=20m)</t>
  </si>
  <si>
    <t>일/1span</t>
  </si>
  <si>
    <t>V형측구(B=1.46m, H=0.8m, L=20m)</t>
  </si>
  <si>
    <t>U형측구(B=1.08m, H=1.0m, L=20m)</t>
  </si>
  <si>
    <t>L형측구(B=0.9m, H=2.3m, L=20m)</t>
  </si>
  <si>
    <t>포장공 3인, 보통인부 2인, 굴착기(0.6㎥) 1대 기준</t>
    <phoneticPr fontId="8" type="noConversion"/>
  </si>
  <si>
    <t>m</t>
    <phoneticPr fontId="8" type="noConversion"/>
  </si>
  <si>
    <t>L형측구(H=1.2m, 2회 포설)</t>
    <phoneticPr fontId="8" type="noConversion"/>
  </si>
  <si>
    <t>1-8-15 L형측구 설치(포설식)('21년 신설, '24년 보완)</t>
  </si>
  <si>
    <t>측구공</t>
    <phoneticPr fontId="8" type="noConversion"/>
  </si>
  <si>
    <t>특별인부 1인, 보통인부 1인, 크레인(10ton) 기준</t>
  </si>
  <si>
    <t>보강토 옹벽(블록식, 뒤채움 제외)</t>
  </si>
  <si>
    <t>콘크리트 옹벽(B=4m, H=5m, L=15m)</t>
  </si>
  <si>
    <t>3-8-2 블록 설치('07년 신설, '08, '15, '20년 보완)</t>
  </si>
  <si>
    <t>옹벽</t>
    <phoneticPr fontId="8" type="noConversion"/>
  </si>
  <si>
    <t>m</t>
  </si>
  <si>
    <t>강관압입추진(직경 800mm, 접합제외)</t>
  </si>
  <si>
    <t>강관(직경 800mm, 접합제외)</t>
  </si>
  <si>
    <t>흄관,V.R관(직경 600mm, 고무링접합)</t>
  </si>
  <si>
    <t>배수관</t>
    <phoneticPr fontId="8" type="noConversion"/>
  </si>
  <si>
    <t>날개벽(B=2.5m, H=2.4m, L=5m)</t>
  </si>
  <si>
    <t>철근콘크리트(B=3m, H=1.8m, L=15m)</t>
  </si>
  <si>
    <t>지중강판(B=5m, L=15m)</t>
  </si>
  <si>
    <t>암거공</t>
    <phoneticPr fontId="8" type="noConversion"/>
  </si>
  <si>
    <t>부대토목공사</t>
    <phoneticPr fontId="8" type="noConversion"/>
  </si>
  <si>
    <t>6. 부대토목, 조경</t>
    <phoneticPr fontId="8" type="noConversion"/>
  </si>
  <si>
    <t>배관공 3인, 보통인부 1인 기준</t>
  </si>
  <si>
    <t>아연도금 강판덕트(0.6mm) -각형</t>
    <phoneticPr fontId="8" type="noConversion"/>
  </si>
  <si>
    <t>2-1-1 아연도금강판덕트(각형덕트) 설치('15, '16, '21, '24년 보완)</t>
  </si>
  <si>
    <t>덕트공사(각형덕트 )</t>
  </si>
  <si>
    <t>옥내난방배관(20mm 이하)</t>
  </si>
  <si>
    <t>난방배관</t>
    <phoneticPr fontId="8" type="noConversion"/>
  </si>
  <si>
    <t>일반용 경질 폴리염화 비닐관(100mm) -접착제</t>
    <phoneticPr fontId="8" type="noConversion"/>
  </si>
  <si>
    <t>일반용 경질 폴리염화 비닐관(50mm) -접착제</t>
    <phoneticPr fontId="8" type="noConversion"/>
  </si>
  <si>
    <t>1-5-1 접착제 접합 및 배관('13, '19, '25년 보완)</t>
  </si>
  <si>
    <t xml:space="preserve">경질관 </t>
  </si>
  <si>
    <t>접합개소</t>
    <phoneticPr fontId="8" type="noConversion"/>
  </si>
  <si>
    <t>배수용 주철관(200mm) -기계식접합</t>
    <phoneticPr fontId="8" type="noConversion"/>
  </si>
  <si>
    <t>배수용 주철관(100mm) -기계식 접합</t>
    <phoneticPr fontId="8" type="noConversion"/>
  </si>
  <si>
    <t>1-4-1 기계식접합 및 배관('96, '01, '13, '19, '25년 보완)</t>
  </si>
  <si>
    <t xml:space="preserve">주철관 </t>
  </si>
  <si>
    <t>일반 배관용 스테인리스 강관(100mm) -용접배관</t>
  </si>
  <si>
    <t>일반 배관용 스테인리스 강관(50mm) -용접배관</t>
  </si>
  <si>
    <t>일반 배관용 스테인리스 강관(25mm) -용접배관</t>
  </si>
  <si>
    <t>1-3-2 용접배관('92, '13, '19, '25년 보완)</t>
  </si>
  <si>
    <t xml:space="preserve">스테인레스 강관 </t>
  </si>
  <si>
    <t>배관용 탄소 강관 및 스테인리스 강관(200mm)</t>
    <phoneticPr fontId="8" type="noConversion"/>
  </si>
  <si>
    <t>배관용 탄소 강관 및 스테인리스 강관(100mm)</t>
    <phoneticPr fontId="8" type="noConversion"/>
  </si>
  <si>
    <t>배관용 탄소 강관(100mm) -용접배관</t>
  </si>
  <si>
    <t>배관용 탄소 강관(50mm) -용접배관</t>
  </si>
  <si>
    <t>배관공 3인, 보통인부 1인 기준</t>
    <phoneticPr fontId="8" type="noConversion"/>
  </si>
  <si>
    <t>배관용 탄소 강관(32mm) -용접배관</t>
    <phoneticPr fontId="8" type="noConversion"/>
  </si>
  <si>
    <t>1-1-2 용접배관('93, '13, '15, '19, '25년 보완)</t>
  </si>
  <si>
    <t>강관</t>
    <phoneticPr fontId="8" type="noConversion"/>
  </si>
  <si>
    <t>기계설비공사</t>
    <phoneticPr fontId="8" type="noConversion"/>
  </si>
  <si>
    <t>5. 기계설비</t>
    <phoneticPr fontId="8" type="noConversion"/>
  </si>
  <si>
    <t>도장공 1인, 보통인부 1인 기준</t>
  </si>
  <si>
    <t>바탕만들기+수성페인트 롤러칠</t>
  </si>
  <si>
    <t>11-2-1 수성페인트 붓칠('15년 보완)</t>
  </si>
  <si>
    <t>벽 및 천장</t>
    <phoneticPr fontId="8" type="noConversion"/>
  </si>
  <si>
    <t>수성페인트</t>
    <phoneticPr fontId="8" type="noConversion"/>
  </si>
  <si>
    <t>도장공 1인, 보통인부 1인 기준</t>
    <phoneticPr fontId="8" type="noConversion"/>
  </si>
  <si>
    <t>바닥,0.3mm</t>
  </si>
  <si>
    <t>11-2-8 에폭시 페인트칠('01년 신설, '15년 보완)</t>
  </si>
  <si>
    <t>에폭시코팅</t>
  </si>
  <si>
    <t>도장공사</t>
  </si>
  <si>
    <t>내장공 2인, 보통인부 1인 기준</t>
    <phoneticPr fontId="8" type="noConversion"/>
  </si>
  <si>
    <t>내진시스템, M-BAR (간건 300mm)</t>
    <phoneticPr fontId="8" type="noConversion"/>
  </si>
  <si>
    <t>8-2-4 경량천장철골틀 설치('02, '07, '16, '22, '24년 보완)</t>
  </si>
  <si>
    <t>경량천장철골틀</t>
  </si>
  <si>
    <t>10㎡</t>
    <phoneticPr fontId="8" type="noConversion"/>
  </si>
  <si>
    <t>천장 ,지붕</t>
    <phoneticPr fontId="8" type="noConversion"/>
  </si>
  <si>
    <t>벽</t>
    <phoneticPr fontId="8" type="noConversion"/>
  </si>
  <si>
    <t>천장, 지붕</t>
    <phoneticPr fontId="8" type="noConversion"/>
  </si>
  <si>
    <t xml:space="preserve">외벽 패널 </t>
  </si>
  <si>
    <t>철공 2인, 보통인부 1인 기준</t>
    <phoneticPr fontId="8" type="noConversion"/>
  </si>
  <si>
    <t>공장제작 난간</t>
    <phoneticPr fontId="8" type="noConversion"/>
  </si>
  <si>
    <t>8-2-2 앵커고정식난간 설치('97년 신설, '07, '16, '24년 보완)</t>
  </si>
  <si>
    <t>앵커고정식 난간</t>
    <phoneticPr fontId="8" type="noConversion"/>
  </si>
  <si>
    <t>용접공 2인, 철공 1인, 보통인부 1인 기준</t>
    <phoneticPr fontId="8" type="noConversion"/>
  </si>
  <si>
    <t>ton</t>
    <phoneticPr fontId="8" type="noConversion"/>
  </si>
  <si>
    <t>규격철물 설치</t>
    <phoneticPr fontId="8" type="noConversion"/>
  </si>
  <si>
    <t>용접공 2인, 철공 2인, 보통인부 1인 기준</t>
    <phoneticPr fontId="8" type="noConversion"/>
  </si>
  <si>
    <t>현장제장 설치</t>
    <phoneticPr fontId="8" type="noConversion"/>
  </si>
  <si>
    <t>8-2-1 용접식난간 설치('17, '24년 보완)</t>
  </si>
  <si>
    <t>용접식 난간</t>
    <phoneticPr fontId="8" type="noConversion"/>
  </si>
  <si>
    <t>난간</t>
    <phoneticPr fontId="8" type="noConversion"/>
  </si>
  <si>
    <t>내장공 2인, 보통인부 1인</t>
  </si>
  <si>
    <t>경량철골(스터드), 폭 150mm 이하</t>
  </si>
  <si>
    <t>8-2-5 경량벽체철골틀 설치('22년 신설, '24년 보완)</t>
  </si>
  <si>
    <t xml:space="preserve">경량벽체틀 </t>
  </si>
  <si>
    <t>금속공사</t>
  </si>
  <si>
    <t>천장, 9.5*300*600㎜</t>
    <phoneticPr fontId="8" type="noConversion"/>
  </si>
  <si>
    <t>5-2-1 흡음텍스 설치('24년 보완)</t>
  </si>
  <si>
    <t>천장 흠음텍스붙임</t>
    <phoneticPr fontId="8" type="noConversion"/>
  </si>
  <si>
    <t xml:space="preserve">플로어링 마루 </t>
  </si>
  <si>
    <t>5-1-3 플로어링 마루 설치('06년 신설, '15, '24년 보완)</t>
    <phoneticPr fontId="8" type="noConversion"/>
  </si>
  <si>
    <t>PVC계 바닥재(시트형-전면접착)</t>
    <phoneticPr fontId="8" type="noConversion"/>
  </si>
  <si>
    <t>PVC계 바닥재(타일형)</t>
    <phoneticPr fontId="8" type="noConversion"/>
  </si>
  <si>
    <t>5-1-1 PVC계 바닥재 설치('15, '24년 보완)</t>
  </si>
  <si>
    <t>바닥재 깔기</t>
  </si>
  <si>
    <t>도배공 2인, 보통인부 1인 기준</t>
    <phoneticPr fontId="8" type="noConversion"/>
  </si>
  <si>
    <r>
      <t>합판</t>
    </r>
    <r>
      <rPr>
        <sz val="9"/>
        <color theme="1"/>
        <rFont val="맑은 고딕"/>
        <family val="3"/>
        <charset val="128"/>
        <scheme val="minor"/>
      </rPr>
      <t>･</t>
    </r>
    <r>
      <rPr>
        <sz val="9"/>
        <color theme="1"/>
        <rFont val="맑은 고딕"/>
        <family val="3"/>
        <charset val="129"/>
        <scheme val="minor"/>
      </rPr>
      <t>석고보드면, 천장지</t>
    </r>
  </si>
  <si>
    <r>
      <t>합판</t>
    </r>
    <r>
      <rPr>
        <sz val="9"/>
        <color theme="1"/>
        <rFont val="MS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석고보드면, 벽지</t>
    </r>
    <phoneticPr fontId="8" type="noConversion"/>
  </si>
  <si>
    <t>5-3-7 도배바름('15, '24년 보완)</t>
  </si>
  <si>
    <t>도배 바름</t>
  </si>
  <si>
    <t>석고판 (나사고정), 천장(1겹)</t>
    <phoneticPr fontId="8" type="noConversion"/>
  </si>
  <si>
    <t>석고판 (나사고정), 천장(2겹)</t>
    <phoneticPr fontId="8" type="noConversion"/>
  </si>
  <si>
    <t>5-2-3 석고판 설치(나사고정)('22년 신설, '24년 보완)</t>
  </si>
  <si>
    <t>천장</t>
    <phoneticPr fontId="8" type="noConversion"/>
  </si>
  <si>
    <t>석고판 (나사고정), 바탕용(1겹)</t>
    <phoneticPr fontId="8" type="noConversion"/>
  </si>
  <si>
    <t>석고판 (나사고정), 바탕용(2겹)</t>
  </si>
  <si>
    <t>5-3-1 석고판 설치(나사고정)('15, '24년 보완)</t>
  </si>
  <si>
    <t>석고판</t>
    <phoneticPr fontId="8" type="noConversion"/>
  </si>
  <si>
    <t>천장, 200㎜ 이하</t>
  </si>
  <si>
    <t>벽, 100㎜ 이하</t>
  </si>
  <si>
    <t>5-4-5 단열재 타정 부착('22년 신설, '24년 보완)</t>
  </si>
  <si>
    <t>타정부착</t>
  </si>
  <si>
    <t>50㎜ 이하, 발포폴리스티렌 1겹 붙임</t>
    <phoneticPr fontId="8" type="noConversion"/>
  </si>
  <si>
    <t>5-4-7 단열재 슬래브위 깔기('22, '24년 보완)</t>
  </si>
  <si>
    <t>바닥깔기</t>
  </si>
  <si>
    <t>100㎜ 이하</t>
  </si>
  <si>
    <t>5-4-6 단열재 콘크리트타설 부착('22, '24년 보완)</t>
  </si>
  <si>
    <t>타설부착</t>
  </si>
  <si>
    <t>1겹 붙임, 100㎜ 이하, 접착제 붙임</t>
    <phoneticPr fontId="8" type="noConversion"/>
  </si>
  <si>
    <t>5-4-2 단열재 접착제 붙이기('22, '24년 보완)</t>
  </si>
  <si>
    <t>벽체붙임</t>
  </si>
  <si>
    <t>5-4-1 단열재 공간넣기('22, '24년 보완)</t>
  </si>
  <si>
    <t>공간넣기</t>
    <phoneticPr fontId="8" type="noConversion"/>
  </si>
  <si>
    <t>단열재</t>
    <phoneticPr fontId="8" type="noConversion"/>
  </si>
  <si>
    <t>수장공사</t>
    <phoneticPr fontId="8" type="noConversion"/>
  </si>
  <si>
    <t>창호공 1인, 보통인부 1인</t>
    <phoneticPr fontId="8" type="noConversion"/>
  </si>
  <si>
    <t>스틱월방식 커튼월, 공장가공</t>
    <phoneticPr fontId="8" type="noConversion"/>
  </si>
  <si>
    <t xml:space="preserve">알루미늄 커튼월 </t>
  </si>
  <si>
    <t>유리공 1인, 보통인부 1인</t>
    <phoneticPr fontId="8" type="noConversion"/>
  </si>
  <si>
    <t>복층유리 : 24㎜ 이하</t>
    <phoneticPr fontId="8" type="noConversion"/>
  </si>
  <si>
    <t>10-3-2 커튼월유리 설치('14, '20년 보완)</t>
  </si>
  <si>
    <t xml:space="preserve">커튼월 유리 </t>
  </si>
  <si>
    <t>복층유리 : 18㎜ 이하</t>
    <phoneticPr fontId="8" type="noConversion"/>
  </si>
  <si>
    <t>10-3-1 창호유리 설치('14, '20년 보완)</t>
  </si>
  <si>
    <t xml:space="preserve">창호유리 </t>
  </si>
  <si>
    <t>개소</t>
  </si>
  <si>
    <t>창호규격 : 6.0∼9.0㎡ 이하 (이중창)</t>
    <phoneticPr fontId="8" type="noConversion"/>
  </si>
  <si>
    <t>10-1-4 합성수지창호 설치('14년 신설, '20년 보완)</t>
  </si>
  <si>
    <t xml:space="preserve">합성수지 창호 </t>
  </si>
  <si>
    <t>창호 및 유리</t>
  </si>
  <si>
    <t>건축목공 2인, 보통인부 1인 기준</t>
  </si>
  <si>
    <t xml:space="preserve">바탕합판 위 수장합판 </t>
  </si>
  <si>
    <t>4-2-4 수장합판 설치('24년 보완)</t>
  </si>
  <si>
    <t>수장합판</t>
    <phoneticPr fontId="8" type="noConversion"/>
  </si>
  <si>
    <t>건축목공 2인, 보통인부 1인 기준</t>
    <phoneticPr fontId="8" type="noConversion"/>
  </si>
  <si>
    <t>벽체 바탕 위 목재합판</t>
    <phoneticPr fontId="8" type="noConversion"/>
  </si>
  <si>
    <t>4-2-3 벽체합판 설치('24년 보완)</t>
    <phoneticPr fontId="8" type="noConversion"/>
  </si>
  <si>
    <t>벽체합판</t>
    <phoneticPr fontId="8" type="noConversion"/>
  </si>
  <si>
    <t>틀간격 450∼600㎜</t>
    <phoneticPr fontId="8" type="noConversion"/>
  </si>
  <si>
    <t>4-2-2 칸막이벽틀 설치('24년 보완)</t>
  </si>
  <si>
    <t>칸막이벽틀</t>
    <phoneticPr fontId="8" type="noConversion"/>
  </si>
  <si>
    <t>건축목공 3인, 보통인부 1인 기준</t>
    <phoneticPr fontId="8" type="noConversion"/>
  </si>
  <si>
    <t>볼트고정</t>
    <phoneticPr fontId="8" type="noConversion"/>
  </si>
  <si>
    <t>4-3-3 목재데크 설치('24년 보완)</t>
  </si>
  <si>
    <t xml:space="preserve">목재데크 </t>
  </si>
  <si>
    <t>철공 3인, 용접공 1인, 보통인부 1인 기준</t>
    <phoneticPr fontId="8" type="noConversion"/>
  </si>
  <si>
    <t>구조유형 : 평구조</t>
    <phoneticPr fontId="8" type="noConversion"/>
  </si>
  <si>
    <t>4-3-2 목재데크틀 설치('24년 보완)</t>
  </si>
  <si>
    <t xml:space="preserve">목재데크틀 </t>
    <phoneticPr fontId="8" type="noConversion"/>
  </si>
  <si>
    <t>목공사</t>
    <phoneticPr fontId="8" type="noConversion"/>
  </si>
  <si>
    <t>배관공 1인, 보통인부 1인 기준</t>
  </si>
  <si>
    <t>ø100㎜∼150㎜</t>
    <phoneticPr fontId="8" type="noConversion"/>
  </si>
  <si>
    <t>7-3-1 루프드레인 설치('16년 보완)</t>
  </si>
  <si>
    <t xml:space="preserve">루프드레인 </t>
  </si>
  <si>
    <t>개소</t>
    <phoneticPr fontId="8" type="noConversion"/>
  </si>
  <si>
    <t>실리콘 마감 작업 포함</t>
    <phoneticPr fontId="8" type="noConversion"/>
  </si>
  <si>
    <t>7-2-5 물받이홈통 설치('16년 보완)</t>
  </si>
  <si>
    <t xml:space="preserve">물받이홈통 </t>
  </si>
  <si>
    <t>ø150㎜, T2.0㎜ 이하</t>
    <phoneticPr fontId="8" type="noConversion"/>
  </si>
  <si>
    <t>7-2-3 금속 선홈통 설치('18년 보완)</t>
  </si>
  <si>
    <t xml:space="preserve">금속 선홈통 </t>
  </si>
  <si>
    <t>배관공 1인, 보통인부 1인 기준</t>
    <phoneticPr fontId="8" type="noConversion"/>
  </si>
  <si>
    <t>폭 150㎜ 이하</t>
    <phoneticPr fontId="8" type="noConversion"/>
  </si>
  <si>
    <t>7-2-1 금속 처마홈통 설치('16년 보완)</t>
    <phoneticPr fontId="8" type="noConversion"/>
  </si>
  <si>
    <t xml:space="preserve">금속 처마홈통 </t>
  </si>
  <si>
    <t>지붕 및 홈통</t>
    <phoneticPr fontId="8" type="noConversion"/>
  </si>
  <si>
    <t>미장공 2인, 보통인부 1인 기준</t>
  </si>
  <si>
    <t>자재규격 : 0.11~0.20㎡ 이하 (벽)</t>
    <phoneticPr fontId="8" type="noConversion"/>
  </si>
  <si>
    <t>3-2-3 접착 붙이기('98년 신설, '13, '16, '20, '25년 보완)</t>
    <phoneticPr fontId="8" type="noConversion"/>
  </si>
  <si>
    <t>접착붙이기</t>
    <phoneticPr fontId="8" type="noConversion"/>
  </si>
  <si>
    <t>미장공 2인, 보통인부 1인 기준</t>
    <phoneticPr fontId="8" type="noConversion"/>
  </si>
  <si>
    <t>자재규격 : 0.11~0.20㎡ 이하 (바닥)</t>
    <phoneticPr fontId="8" type="noConversion"/>
  </si>
  <si>
    <t>3-2-2 압착 붙이기('13, '20, '25년 보완)</t>
  </si>
  <si>
    <t>압착붙이기</t>
    <phoneticPr fontId="8" type="noConversion"/>
  </si>
  <si>
    <t>3-2-1 떠붙이기('07, '13, '16, '20, '25년 보완)</t>
  </si>
  <si>
    <t>떠붙이기</t>
    <phoneticPr fontId="8" type="noConversion"/>
  </si>
  <si>
    <t>시공규격 :두께 24mm이하(2회) 벽체 모르타르 바름</t>
    <phoneticPr fontId="8" type="noConversion"/>
  </si>
  <si>
    <t>3-1-1 바탕 고르기('13, '14, '20, '25년 보완)</t>
  </si>
  <si>
    <t>바탕고르기</t>
    <phoneticPr fontId="8" type="noConversion"/>
  </si>
  <si>
    <t>타일공사</t>
    <phoneticPr fontId="8" type="noConversion"/>
  </si>
  <si>
    <t>바닥, 400*400*25㎜</t>
  </si>
  <si>
    <t>테라죠판붙임</t>
  </si>
  <si>
    <t>바닥, 30㎜, 모르타르 30㎜</t>
  </si>
  <si>
    <t>7-4-1 습식공법('12, '19년 보완)</t>
  </si>
  <si>
    <t>화강석붙임</t>
    <phoneticPr fontId="8" type="noConversion"/>
  </si>
  <si>
    <t>석공사</t>
  </si>
  <si>
    <t>미장공 1인, 보통인부 1인 기준</t>
    <phoneticPr fontId="8" type="noConversion"/>
  </si>
  <si>
    <t>10m</t>
    <phoneticPr fontId="8" type="noConversion"/>
  </si>
  <si>
    <t>모르타르</t>
  </si>
  <si>
    <t>9-3-1 창호주위 모르타르 충전('14, '20년 보완)</t>
  </si>
  <si>
    <t>창호주위 충전</t>
    <phoneticPr fontId="8" type="noConversion"/>
  </si>
  <si>
    <t>방수공 1인, 보통인부 1인 기준</t>
    <phoneticPr fontId="8" type="noConversion"/>
  </si>
  <si>
    <t>옥상, SAW CUT+코킹</t>
  </si>
  <si>
    <t>6-6-3 줄눈 설치('18년 신설)</t>
  </si>
  <si>
    <t>신축줄눈</t>
  </si>
  <si>
    <t>코킹공 1인 기준</t>
    <phoneticPr fontId="8" type="noConversion"/>
  </si>
  <si>
    <t>실리콘. 10㎜, 창호주위</t>
  </si>
  <si>
    <t>6-6-1 수밀코킹('18년 보완)</t>
  </si>
  <si>
    <t>수밀코킹</t>
  </si>
  <si>
    <t>지하용수, 500*500*45㎜</t>
  </si>
  <si>
    <t>배수판</t>
  </si>
  <si>
    <t>시공방법 : 접착식 시트 1겹 붙임 (바닥)</t>
    <phoneticPr fontId="8" type="noConversion"/>
  </si>
  <si>
    <t>6-3-2 접착식시트 붙임('18, '23년 보완)</t>
  </si>
  <si>
    <t>시트방수</t>
    <phoneticPr fontId="8" type="noConversion"/>
  </si>
  <si>
    <t>시공방법 : 시멘트 페이스트 1차, 2차 (바닥)</t>
    <phoneticPr fontId="8" type="noConversion"/>
  </si>
  <si>
    <t>6-4-1 시멘트 액체방수 바름('09, '18, '23년 보완)</t>
  </si>
  <si>
    <t>시멘트 액체방수</t>
    <phoneticPr fontId="8" type="noConversion"/>
  </si>
  <si>
    <t>무절점복합방수, 벽, 비노출</t>
  </si>
  <si>
    <t>6-2-1 도막바름('23년 보완)</t>
  </si>
  <si>
    <t>도막 1층, 바닥</t>
    <phoneticPr fontId="8" type="noConversion"/>
  </si>
  <si>
    <t>도막방수</t>
    <phoneticPr fontId="8" type="noConversion"/>
  </si>
  <si>
    <t>방수공 1인, 보통인부 1인 기준</t>
  </si>
  <si>
    <t>시공방법 : 롤러 1층(회) 바닥 바름</t>
    <phoneticPr fontId="8" type="noConversion"/>
  </si>
  <si>
    <t>6-1-2 방수프라이머 바름('18년 보완)</t>
  </si>
  <si>
    <t>방수 프라이머 바름</t>
  </si>
  <si>
    <t>콘크리트 바닥 바탕처리, 현장유형: 보통</t>
    <phoneticPr fontId="8" type="noConversion"/>
  </si>
  <si>
    <t>6-1-1 바탕처리('18, '23년 보완)</t>
  </si>
  <si>
    <t>바탕처리</t>
  </si>
  <si>
    <t>방수공사</t>
  </si>
  <si>
    <t>미장공 2인, 기계설비공 1인, 보통인부 2인 기준</t>
  </si>
  <si>
    <t>모르타르 타설(스티로폴 입자/기포액)</t>
    <phoneticPr fontId="8" type="noConversion"/>
  </si>
  <si>
    <t>9-1-3 모르타르 타설('14, '15, '19, '22, '25년 보완)</t>
  </si>
  <si>
    <t>경량기포 콘크리트 타설</t>
    <phoneticPr fontId="8" type="noConversion"/>
  </si>
  <si>
    <t>일</t>
    <phoneticPr fontId="8" type="noConversion"/>
  </si>
  <si>
    <t>시멘트페이스트 전면마감, 시공높이 3.6m 이하</t>
    <phoneticPr fontId="8" type="noConversion"/>
  </si>
  <si>
    <t>9-2-1 콘크리트면 정리('14, '19, '25년 보완)</t>
  </si>
  <si>
    <t>견출공 1인 기준</t>
    <phoneticPr fontId="8" type="noConversion"/>
  </si>
  <si>
    <t>콘크리트면 연마, 시공높이 3.6m 이하</t>
    <phoneticPr fontId="8" type="noConversion"/>
  </si>
  <si>
    <t>콘크리트면 마무리</t>
    <phoneticPr fontId="8" type="noConversion"/>
  </si>
  <si>
    <t>미장공 2인, 기계설비공 1인, 보통인부 2인 기준</t>
    <phoneticPr fontId="8" type="noConversion"/>
  </si>
  <si>
    <t>㎥</t>
    <phoneticPr fontId="8" type="noConversion"/>
  </si>
  <si>
    <t>모르타르 타설</t>
  </si>
  <si>
    <t>타설</t>
    <phoneticPr fontId="8" type="noConversion"/>
  </si>
  <si>
    <t>바름두께/횟수 : 24mm이하/2회</t>
  </si>
  <si>
    <t>9-1-2 모르타르 바름('14, '15, '19, '25년 보완)</t>
  </si>
  <si>
    <t>바름</t>
    <phoneticPr fontId="8" type="noConversion"/>
  </si>
  <si>
    <t>모르타르</t>
    <phoneticPr fontId="8" type="noConversion"/>
  </si>
  <si>
    <t>미장공사</t>
  </si>
  <si>
    <t>조적공 3인, 보통인부 2인 기준</t>
  </si>
  <si>
    <t>1.0B 벽돌쌓기, 3.6m 초과</t>
  </si>
  <si>
    <t>0.5B 벽돌쌓기, 3.6m 초과</t>
  </si>
  <si>
    <t>2-3-1 ALC블록 쌓기('13, '19, '25년 보완)</t>
    <phoneticPr fontId="8" type="noConversion"/>
  </si>
  <si>
    <t>시멘트벽돌</t>
    <phoneticPr fontId="8" type="noConversion"/>
  </si>
  <si>
    <t>390*190*190, 3.6m초과, 한면마감</t>
  </si>
  <si>
    <t>390*190*100, 3.6m초과, 양면마감</t>
  </si>
  <si>
    <t>조적공 3인, 보통인부 1인 기준</t>
  </si>
  <si>
    <t>90×190×150, 3.6m 이하, 한면마감</t>
    <phoneticPr fontId="8" type="noConversion"/>
  </si>
  <si>
    <t>90×190×150, 3.6m 이하, 양면마감</t>
    <phoneticPr fontId="8" type="noConversion"/>
  </si>
  <si>
    <t>90×190×190, 3.6m 이하, 한면마감</t>
    <phoneticPr fontId="8" type="noConversion"/>
  </si>
  <si>
    <t>90×190×190, 3.6m 이하, 양면마감</t>
    <phoneticPr fontId="8" type="noConversion"/>
  </si>
  <si>
    <t>2-2-1 블록쌓기('13, '19, '25년 보완)</t>
  </si>
  <si>
    <t>블록</t>
    <phoneticPr fontId="8" type="noConversion"/>
  </si>
  <si>
    <t>조적공 3인, 보통인부 1인 기준</t>
    <phoneticPr fontId="8" type="noConversion"/>
  </si>
  <si>
    <t>0.5B 벽돌쌓기, 3.6m 이하</t>
  </si>
  <si>
    <t>2-1-1 벽돌 쌓기('13, '19, '25년 보완)</t>
  </si>
  <si>
    <t>벽돌쌓기</t>
    <phoneticPr fontId="8" type="noConversion"/>
  </si>
  <si>
    <t>조적공사</t>
  </si>
  <si>
    <t>4. 마감공사</t>
    <phoneticPr fontId="8" type="noConversion"/>
  </si>
  <si>
    <t>도장공 1인, 특별인부 1인, 보통인부 1인 기준</t>
    <phoneticPr fontId="8" type="noConversion"/>
  </si>
  <si>
    <t>100㎡</t>
    <phoneticPr fontId="8" type="noConversion"/>
  </si>
  <si>
    <t>질석계  / 철골보(2시간)-20mm 기준  /  mm/100m2 당</t>
    <phoneticPr fontId="8" type="noConversion"/>
  </si>
  <si>
    <t>1-4-3 철골 내화 피복뿜칠('18년 보완)</t>
  </si>
  <si>
    <t>철골 내화 피복뿜칠</t>
    <phoneticPr fontId="8" type="noConversion"/>
  </si>
  <si>
    <t>철골공 1인, 용접공 1인, 특별인부 1인 기준</t>
    <phoneticPr fontId="8" type="noConversion"/>
  </si>
  <si>
    <t>데크플레이트 설치, 플라즈마 절단 포함</t>
    <phoneticPr fontId="8" type="noConversion"/>
  </si>
  <si>
    <t>1-3-3 데크플레이트 설치('08, '18, '23년 보완)</t>
  </si>
  <si>
    <t>D.P</t>
  </si>
  <si>
    <t>굴착기 1대 기준</t>
    <phoneticPr fontId="8" type="noConversion"/>
  </si>
  <si>
    <t>ton</t>
  </si>
  <si>
    <t>지하7층 미만 / 지하거더류</t>
    <phoneticPr fontId="8" type="noConversion"/>
  </si>
  <si>
    <t>1-2-2 탑다운공법 지하 현장 세우기('23년 신설)</t>
  </si>
  <si>
    <t>지하(탑다운공법)</t>
    <phoneticPr fontId="8" type="noConversion"/>
  </si>
  <si>
    <t>크레인(무한궤도/타이어) 1대 기준</t>
    <phoneticPr fontId="8" type="noConversion"/>
  </si>
  <si>
    <t>20층 미만 / 크레인  / 기둥, 거더</t>
    <phoneticPr fontId="8" type="noConversion"/>
  </si>
  <si>
    <t>1-2-1 현장 세우기('08, '18년 보완)</t>
    <phoneticPr fontId="8" type="noConversion"/>
  </si>
  <si>
    <t>지상</t>
    <phoneticPr fontId="8" type="noConversion"/>
  </si>
  <si>
    <t>철골 현장세우기</t>
    <phoneticPr fontId="8" type="noConversion"/>
  </si>
  <si>
    <t>철골공사</t>
    <phoneticPr fontId="8" type="noConversion"/>
  </si>
  <si>
    <t>콘크리트 펌프카 1대 기준</t>
    <phoneticPr fontId="8" type="noConversion"/>
  </si>
  <si>
    <t>슬럼프: 15cm, 시설유형 TYPE-Ⅱ, 현장조건(f2) TYPE-Ⅱ (철근구조물)</t>
    <phoneticPr fontId="8" type="noConversion"/>
  </si>
  <si>
    <t>슬럼프: 15cm, 시설유형 Type-Ⅱ, 현장조건 Type-Ⅰ기준 (철근구조물)</t>
    <phoneticPr fontId="8" type="noConversion"/>
  </si>
  <si>
    <t>슬럼프: 15cm, 시설유형 TYPE-Ⅰ, 현장조건(f2) TYPE-Ⅱ (무근구조물)</t>
    <phoneticPr fontId="8" type="noConversion"/>
  </si>
  <si>
    <t>6-1-4 콘크리트 펌프차 타설('08, '09, '17, '22, '24년 보완)</t>
  </si>
  <si>
    <t>콘크리트 펌프카</t>
    <phoneticPr fontId="8" type="noConversion"/>
  </si>
  <si>
    <t>종이거푸집(원형)</t>
    <phoneticPr fontId="8" type="noConversion"/>
  </si>
  <si>
    <t>형틀목공 5인, 보통인부 1인 기준</t>
    <phoneticPr fontId="8" type="noConversion"/>
  </si>
  <si>
    <t>일반층  및 해체, 벽식기준</t>
  </si>
  <si>
    <t>마감층  및 해체, 벽식기준</t>
  </si>
  <si>
    <t>셋팅층  및 해체, 벽식기준</t>
  </si>
  <si>
    <t>6-3-8 갱폼 설치 및 해체('08, '09, '17, '24년 보완)</t>
  </si>
  <si>
    <t>갱폼</t>
    <phoneticPr fontId="8" type="noConversion"/>
  </si>
  <si>
    <t>6-3-7 알루미늄폼 설치 및 해체('08년 신설, '17, '24년 보완)</t>
  </si>
  <si>
    <t>알루미늄폼</t>
    <phoneticPr fontId="8" type="noConversion"/>
  </si>
  <si>
    <t>복잡</t>
    <phoneticPr fontId="8" type="noConversion"/>
  </si>
  <si>
    <t>보통(해체)</t>
    <phoneticPr fontId="8" type="noConversion"/>
  </si>
  <si>
    <t>보통</t>
    <phoneticPr fontId="8" type="noConversion"/>
  </si>
  <si>
    <t>간단</t>
    <phoneticPr fontId="8" type="noConversion"/>
  </si>
  <si>
    <t>6-3-3 유로폼 설치 및 해체('08, '09, '17, '22년 보완)</t>
  </si>
  <si>
    <t>유로폼
수직고 7m 이하</t>
    <phoneticPr fontId="8" type="noConversion"/>
  </si>
  <si>
    <t>복잡(6회)</t>
    <phoneticPr fontId="8" type="noConversion"/>
  </si>
  <si>
    <t>보통(4회)</t>
    <phoneticPr fontId="8" type="noConversion"/>
  </si>
  <si>
    <t>간단(3회)</t>
    <phoneticPr fontId="8" type="noConversion"/>
  </si>
  <si>
    <t>곡면</t>
    <phoneticPr fontId="8" type="noConversion"/>
  </si>
  <si>
    <t>복잡(해체)</t>
    <phoneticPr fontId="8" type="noConversion"/>
  </si>
  <si>
    <t>형틀목공 5인, 보통인부 2인 기준</t>
    <phoneticPr fontId="8" type="noConversion"/>
  </si>
  <si>
    <t>6-3-1 합판거푸집 설치 및 해체('01, '08, '09, '17, '18, '22, '24년 보완)</t>
  </si>
  <si>
    <t>합판거푸집</t>
    <phoneticPr fontId="8" type="noConversion"/>
  </si>
  <si>
    <t>거푸집</t>
    <phoneticPr fontId="8" type="noConversion"/>
  </si>
  <si>
    <t>철근공 6인, 보통인부 2인 기준</t>
    <phoneticPr fontId="8" type="noConversion"/>
  </si>
  <si>
    <t>건축 TYPE-Ⅱ 기준</t>
  </si>
  <si>
    <t>건축 TYPE-Ⅰ 기준</t>
  </si>
  <si>
    <t>조립(건축)</t>
    <phoneticPr fontId="8" type="noConversion"/>
  </si>
  <si>
    <t>철근공 5인, 보통인부 2인 기준</t>
    <phoneticPr fontId="8" type="noConversion"/>
  </si>
  <si>
    <t>토목 Type-Ⅱ-1 기준</t>
  </si>
  <si>
    <t>6-2-3 현장조립('08, '14, '22, '24년 보완)</t>
  </si>
  <si>
    <t>조립(토목)</t>
    <phoneticPr fontId="8" type="noConversion"/>
  </si>
  <si>
    <t>철근공 3인, 보통인부 1인 기준</t>
    <phoneticPr fontId="8" type="noConversion"/>
  </si>
  <si>
    <t>Type-Ⅱ 기준</t>
    <phoneticPr fontId="8" type="noConversion"/>
  </si>
  <si>
    <t>6-2-2 현장가공('08, '14, '22, '24년 보완)</t>
  </si>
  <si>
    <t>가공</t>
    <phoneticPr fontId="8" type="noConversion"/>
  </si>
  <si>
    <t>철근 현장</t>
    <phoneticPr fontId="8" type="noConversion"/>
  </si>
  <si>
    <t>RC공사</t>
    <phoneticPr fontId="8" type="noConversion"/>
  </si>
  <si>
    <t>3. 골조공사</t>
    <phoneticPr fontId="8" type="noConversion"/>
  </si>
  <si>
    <t>굴삭기 0.2㎥ 1대, 진동롤러 0.7ton 1대 기준</t>
    <phoneticPr fontId="8" type="noConversion"/>
  </si>
  <si>
    <t>3-4-8 기초지정('20, '25년 보완)</t>
  </si>
  <si>
    <t>잡석깔기 지정</t>
  </si>
  <si>
    <t>내장공 1인, 보통인부 1인</t>
    <phoneticPr fontId="8" type="noConversion"/>
  </si>
  <si>
    <t>바닥, 절단 및 설치</t>
    <phoneticPr fontId="8" type="noConversion"/>
  </si>
  <si>
    <t>5-4-8 방습필름설치('15년 보완)</t>
  </si>
  <si>
    <t>방습필름</t>
    <phoneticPr fontId="8" type="noConversion"/>
  </si>
  <si>
    <t>본</t>
    <phoneticPr fontId="8" type="noConversion"/>
  </si>
  <si>
    <t>말뚝구경 ø500, 콘크리트말뚝, 그라인더 절단 기준</t>
    <phoneticPr fontId="8" type="noConversion"/>
  </si>
  <si>
    <t>5-3-4 말뚝두부정리(콘크리트)('20년 보완)</t>
  </si>
  <si>
    <t>콘크리트말뚝</t>
    <phoneticPr fontId="8" type="noConversion"/>
  </si>
  <si>
    <t>말뚝구경 ø500, 강관말뚝, 자동절단(산소+LPG) 기준</t>
    <phoneticPr fontId="8" type="noConversion"/>
  </si>
  <si>
    <t>5-3-3 말뚝두부정리(강관)('08, '09, '15, '20년 보완)</t>
  </si>
  <si>
    <t>강관말뚝</t>
    <phoneticPr fontId="8" type="noConversion"/>
  </si>
  <si>
    <t>두부정리</t>
    <phoneticPr fontId="8" type="noConversion"/>
  </si>
  <si>
    <t xml:space="preserve">해머비트, 말뚝직경 500mm, 케이싱 사용, 굴착연장 12m </t>
  </si>
  <si>
    <t>경암</t>
    <phoneticPr fontId="8" type="noConversion"/>
  </si>
  <si>
    <t>연암</t>
    <phoneticPr fontId="8" type="noConversion"/>
  </si>
  <si>
    <t>풍화암</t>
    <phoneticPr fontId="8" type="noConversion"/>
  </si>
  <si>
    <t xml:space="preserve">개량형비트, 말뚝직경 500mm, 케이싱 사용, 굴착연장 12m </t>
  </si>
  <si>
    <t>혼합층</t>
    <phoneticPr fontId="8" type="noConversion"/>
  </si>
  <si>
    <t>5-3-1 기성말뚝 기초('99년 신설, '15, '16, '20년 보완)</t>
    <phoneticPr fontId="8" type="noConversion"/>
  </si>
  <si>
    <t>기성말뚝 기초</t>
    <phoneticPr fontId="8" type="noConversion"/>
  </si>
  <si>
    <t>말뚝구경 500mm미만,길이 12.0m, 점질토</t>
    <phoneticPr fontId="8" type="noConversion"/>
  </si>
  <si>
    <t>점질토</t>
    <phoneticPr fontId="8" type="noConversion"/>
  </si>
  <si>
    <t>H-Pile 기초</t>
    <phoneticPr fontId="8" type="noConversion"/>
  </si>
  <si>
    <t>굴삭기+플레이트 콤팩터(1.5ton)에 의한 지정</t>
    <phoneticPr fontId="8" type="noConversion"/>
  </si>
  <si>
    <t>모래지정</t>
    <phoneticPr fontId="8" type="noConversion"/>
  </si>
  <si>
    <t>지내력 기초</t>
    <phoneticPr fontId="8" type="noConversion"/>
  </si>
  <si>
    <t>지정공사</t>
    <phoneticPr fontId="8" type="noConversion"/>
  </si>
  <si>
    <t>L=10.0km</t>
  </si>
  <si>
    <t>L=50.0km</t>
  </si>
  <si>
    <t>토사</t>
    <phoneticPr fontId="8" type="noConversion"/>
  </si>
  <si>
    <t>잔토처리</t>
    <phoneticPr fontId="8" type="noConversion"/>
  </si>
  <si>
    <t>(L=40.00km)24ton</t>
  </si>
  <si>
    <t>덤프운반:토사</t>
  </si>
  <si>
    <t>크롤러드릴(공기식,17㎥/min) 1대, 크레인 1대 기준</t>
    <phoneticPr fontId="8" type="noConversion"/>
  </si>
  <si>
    <t>비탈면 보강공(크레인작업-경암)</t>
    <phoneticPr fontId="8" type="noConversion"/>
  </si>
  <si>
    <t>비탈면 보강공(크레인작업-보통암)</t>
    <phoneticPr fontId="8" type="noConversion"/>
  </si>
  <si>
    <t>비탈면 보강공(크레인작업-연암)</t>
    <phoneticPr fontId="8" type="noConversion"/>
  </si>
  <si>
    <t>비탈면 보강공(크레인작업-풍화암)</t>
    <phoneticPr fontId="8" type="noConversion"/>
  </si>
  <si>
    <t>비탈면 보강공(크레인작업-혼합층)</t>
    <phoneticPr fontId="8" type="noConversion"/>
  </si>
  <si>
    <t>비탈면 보강공(크레인작업-토사)</t>
    <phoneticPr fontId="8" type="noConversion"/>
  </si>
  <si>
    <t>3-7-5 비탈면 보강공('08년 신설, '14, '20, '25년 보완)</t>
  </si>
  <si>
    <t>비탈면 보강공(천공/보강재:연암)</t>
    <phoneticPr fontId="8" type="noConversion"/>
  </si>
  <si>
    <t>비탈면 보호공(평떼)</t>
    <phoneticPr fontId="8" type="noConversion"/>
  </si>
  <si>
    <t>비탈면 보호</t>
    <phoneticPr fontId="8" type="noConversion"/>
  </si>
  <si>
    <t>고압분사주입공법(직경800mm, L=25m)</t>
    <phoneticPr fontId="8" type="noConversion"/>
  </si>
  <si>
    <t>불도저-습지(13톤)</t>
    <phoneticPr fontId="8" type="noConversion"/>
  </si>
  <si>
    <t>샌드매트 포설</t>
  </si>
  <si>
    <t>5-2-1 매트부설('08, '16, '18, '21년 보완)</t>
  </si>
  <si>
    <t>연약지반 처리</t>
  </si>
  <si>
    <t>굴착기(0.6㎥) 1대, 진동롤러(10ton) 1대 기준</t>
    <phoneticPr fontId="8" type="noConversion"/>
  </si>
  <si>
    <t>대형장비</t>
    <phoneticPr fontId="8" type="noConversion"/>
  </si>
  <si>
    <t>3-4-7 되메우기 및 다짐(대형장비)('25년 신설)</t>
  </si>
  <si>
    <t>굴착기(0.2㎥) 1대, 진동롤러(0.7ton) 1대 기준</t>
    <phoneticPr fontId="8" type="noConversion"/>
  </si>
  <si>
    <t>소형장비</t>
    <phoneticPr fontId="8" type="noConversion"/>
  </si>
  <si>
    <t>3-4-6 되메우기 및 다짐(소형장비)('25년 신설)</t>
  </si>
  <si>
    <t>되메우기 및 다짐</t>
    <phoneticPr fontId="8" type="noConversion"/>
  </si>
  <si>
    <t>3-4-5 뒤채움 및 다짐(대형장비)('20, '25년 보완)</t>
  </si>
  <si>
    <t>3-4-4 뒤채움 및 다짐(소형장비)('20, '25년 보완)</t>
  </si>
  <si>
    <t>뒤채움 및 다짐</t>
    <phoneticPr fontId="8" type="noConversion"/>
  </si>
  <si>
    <t>래머(80kg) 1대 기준</t>
    <phoneticPr fontId="8" type="noConversion"/>
  </si>
  <si>
    <t>토사 두께 30cm(래머)</t>
  </si>
  <si>
    <t>토사 두께 15cm(래머)</t>
  </si>
  <si>
    <t>플레이트콤팩터(1.5ton) 1대 기준</t>
    <phoneticPr fontId="8" type="noConversion"/>
  </si>
  <si>
    <t>토사 두께 30cm(플레이트콤팩터)</t>
    <phoneticPr fontId="8" type="noConversion"/>
  </si>
  <si>
    <t>토사 두께 15cm(플레이트콤팩터)</t>
    <phoneticPr fontId="8" type="noConversion"/>
  </si>
  <si>
    <t>3-4-3 흙 다지기('25년 신설)</t>
  </si>
  <si>
    <t>흙 다지기</t>
    <phoneticPr fontId="8" type="noConversion"/>
  </si>
  <si>
    <t>램머(80kg) 다짐</t>
    <phoneticPr fontId="8" type="noConversion"/>
  </si>
  <si>
    <t>되메우기</t>
    <phoneticPr fontId="8" type="noConversion"/>
  </si>
  <si>
    <t>불도저(32ton) 1대 기준</t>
    <phoneticPr fontId="8" type="noConversion"/>
  </si>
  <si>
    <t>녹지대</t>
    <phoneticPr fontId="8" type="noConversion"/>
  </si>
  <si>
    <t>양족식 롤러(32ton)1대, 진동롤러(10ton) 1대, 
불도저(32ton) 1대 기준</t>
    <phoneticPr fontId="8" type="noConversion"/>
  </si>
  <si>
    <t>3-4-2 암쌓기('03년 신설, '08, '20, '25년 보완)</t>
  </si>
  <si>
    <t>암쌓기</t>
    <phoneticPr fontId="8" type="noConversion"/>
  </si>
  <si>
    <t>특별인부 1인, 모터그레이더(3.6m) 1대, 굴착기(0.6㎥) 1대,
진동롤러(10ton) 1대 기준</t>
    <phoneticPr fontId="8" type="noConversion"/>
  </si>
  <si>
    <t>두께 20cm</t>
    <phoneticPr fontId="8" type="noConversion"/>
  </si>
  <si>
    <t>두께 30cm</t>
    <phoneticPr fontId="8" type="noConversion"/>
  </si>
  <si>
    <t>3-4-1 흙쌓기('25년 신설)</t>
    <phoneticPr fontId="8" type="noConversion"/>
  </si>
  <si>
    <t>모터그레이더(3.6㎥) 1대 기준</t>
    <phoneticPr fontId="8" type="noConversion"/>
  </si>
  <si>
    <t>노체</t>
    <phoneticPr fontId="8" type="noConversion"/>
  </si>
  <si>
    <t>노상</t>
    <phoneticPr fontId="8" type="noConversion"/>
  </si>
  <si>
    <t>쌓기</t>
    <phoneticPr fontId="8" type="noConversion"/>
  </si>
  <si>
    <t>흙쌓기</t>
    <phoneticPr fontId="8" type="noConversion"/>
  </si>
  <si>
    <r>
      <rPr>
        <sz val="10"/>
        <color rgb="FF000000"/>
        <rFont val="맑은 고딕"/>
        <family val="3"/>
        <charset val="129"/>
      </rPr>
      <t>유압식크롤러드릴</t>
    </r>
    <r>
      <rPr>
        <sz val="11"/>
        <color rgb="FF000000"/>
        <rFont val="맑은 고딕"/>
        <family val="3"/>
        <charset val="129"/>
      </rPr>
      <t>(110kW) 1</t>
    </r>
    <r>
      <rPr>
        <sz val="10"/>
        <color rgb="FF000000"/>
        <rFont val="맑은 고딕"/>
        <family val="3"/>
        <charset val="129"/>
      </rPr>
      <t>대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</rPr>
      <t>유압식할암기</t>
    </r>
    <r>
      <rPr>
        <sz val="11"/>
        <color rgb="FF000000"/>
        <rFont val="맑은 고딕"/>
        <family val="3"/>
        <charset val="129"/>
      </rPr>
      <t>(∅80mm) 1</t>
    </r>
    <r>
      <rPr>
        <sz val="10"/>
        <color rgb="FF000000"/>
        <rFont val="맑은 고딕"/>
        <family val="3"/>
        <charset val="129"/>
      </rPr>
      <t>대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</rPr>
      <t>굴착기</t>
    </r>
    <r>
      <rPr>
        <sz val="11"/>
        <color rgb="FF000000"/>
        <rFont val="맑은 고딕"/>
        <family val="3"/>
        <charset val="129"/>
      </rPr>
      <t>+</t>
    </r>
    <r>
      <rPr>
        <sz val="10"/>
        <color rgb="FF000000"/>
        <rFont val="맑은 고딕"/>
        <family val="3"/>
        <charset val="129"/>
      </rPr>
      <t>대형브레이커</t>
    </r>
    <r>
      <rPr>
        <sz val="11"/>
        <color rgb="FF000000"/>
        <rFont val="맑은 고딕"/>
        <family val="3"/>
        <charset val="129"/>
      </rPr>
      <t>(1.0</t>
    </r>
    <r>
      <rPr>
        <sz val="10"/>
        <color rgb="FF000000"/>
        <rFont val="Segoe UI Symbol"/>
        <family val="3"/>
      </rPr>
      <t>㎥</t>
    </r>
    <r>
      <rPr>
        <sz val="11"/>
        <color rgb="FF000000"/>
        <rFont val="맑은 고딕"/>
        <family val="3"/>
        <charset val="129"/>
      </rPr>
      <t>) 1</t>
    </r>
    <r>
      <rPr>
        <sz val="10"/>
        <color rgb="FF000000"/>
        <rFont val="맑은 고딕"/>
        <family val="3"/>
        <charset val="129"/>
      </rPr>
      <t>대</t>
    </r>
    <r>
      <rPr>
        <sz val="11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기준</t>
    </r>
    <phoneticPr fontId="8" type="noConversion"/>
  </si>
  <si>
    <t>암파쇄(유압식 할암공법)</t>
  </si>
  <si>
    <t>소형브레이커(2.7㎥/min) 1대, 공기압축기(10.3㎥/min) 1대 기준</t>
    <phoneticPr fontId="8" type="noConversion"/>
  </si>
  <si>
    <t>암발파(소형브레이커)</t>
    <phoneticPr fontId="8" type="noConversion"/>
  </si>
  <si>
    <t>3-3-7 암발파(소형브레이커)('20년 보완)</t>
  </si>
  <si>
    <t>암발파 및 파쇄</t>
    <phoneticPr fontId="8" type="noConversion"/>
  </si>
  <si>
    <t>굴착기(1.0㎥) 1대, 대형브레이커(1.0㎥) 1대 기준</t>
    <phoneticPr fontId="8" type="noConversion"/>
  </si>
  <si>
    <t>TypeⅠ 기준</t>
    <phoneticPr fontId="8" type="noConversion"/>
  </si>
  <si>
    <t>브레이커 0.7㎥</t>
    <phoneticPr fontId="8" type="noConversion"/>
  </si>
  <si>
    <t>발파암, 자연터파기</t>
    <phoneticPr fontId="8" type="noConversion"/>
  </si>
  <si>
    <t>리핑암, 자연터파기</t>
    <phoneticPr fontId="8" type="noConversion"/>
  </si>
  <si>
    <t>암</t>
    <phoneticPr fontId="8" type="noConversion"/>
  </si>
  <si>
    <t>굴착기(0.6㎥) 1대 기준</t>
    <phoneticPr fontId="8" type="noConversion"/>
  </si>
  <si>
    <t>TypeⅢ 기준</t>
    <phoneticPr fontId="8" type="noConversion"/>
  </si>
  <si>
    <t>굴착기(1.0㎥) 1대 기준</t>
    <phoneticPr fontId="8" type="noConversion"/>
  </si>
  <si>
    <t>TypeⅡ 기준</t>
    <phoneticPr fontId="8" type="noConversion"/>
  </si>
  <si>
    <t>혼합토사</t>
    <phoneticPr fontId="8" type="noConversion"/>
  </si>
  <si>
    <t>3-2-4 터파기(기계)('25년 신설)</t>
  </si>
  <si>
    <t>보통토사</t>
    <phoneticPr fontId="8" type="noConversion"/>
  </si>
  <si>
    <t>굴삭기 (1.0㎥) 1대 기준</t>
  </si>
  <si>
    <t>사질토: 작업난이도 불량(지장물 발생)</t>
    <phoneticPr fontId="8" type="noConversion"/>
  </si>
  <si>
    <t>굴삭기 (1.0㎥) 1대 기준</t>
    <phoneticPr fontId="8" type="noConversion"/>
  </si>
  <si>
    <t>사질토: 작업난이도 보통</t>
    <phoneticPr fontId="8" type="noConversion"/>
  </si>
  <si>
    <t>사질토: 각도 90도</t>
    <phoneticPr fontId="8" type="noConversion"/>
  </si>
  <si>
    <t xml:space="preserve">굴삭기 (0.6㎥) 1대 기준 </t>
    <phoneticPr fontId="8" type="noConversion"/>
  </si>
  <si>
    <t>굴삭기 (0.7㎥) 1대 기준</t>
    <phoneticPr fontId="8" type="noConversion"/>
  </si>
  <si>
    <t>자연터파기</t>
    <phoneticPr fontId="8" type="noConversion"/>
  </si>
  <si>
    <t>터파기(기계)</t>
    <phoneticPr fontId="8" type="noConversion"/>
  </si>
  <si>
    <t>보통암</t>
    <phoneticPr fontId="8" type="noConversion"/>
  </si>
  <si>
    <t>소규모 진동제어발파</t>
    <phoneticPr fontId="8" type="noConversion"/>
  </si>
  <si>
    <t>발파암-발파</t>
    <phoneticPr fontId="8" type="noConversion"/>
  </si>
  <si>
    <t>브레이커</t>
    <phoneticPr fontId="8" type="noConversion"/>
  </si>
  <si>
    <t>발파암-연암, 보통암, 경암 평균</t>
    <phoneticPr fontId="8" type="noConversion"/>
  </si>
  <si>
    <t>리퍼2본+불도저32톤</t>
  </si>
  <si>
    <t>리핑암</t>
    <phoneticPr fontId="8" type="noConversion"/>
  </si>
  <si>
    <t>불도저(32ton) 1대 기준</t>
  </si>
  <si>
    <t>대규모</t>
  </si>
  <si>
    <t>불도저(19ton) 1대 기준</t>
  </si>
  <si>
    <t>중규모</t>
  </si>
  <si>
    <t>굴착기(1.0㎥) 1대 기준</t>
  </si>
  <si>
    <t>소규모</t>
  </si>
  <si>
    <t>대규모</t>
    <phoneticPr fontId="8" type="noConversion"/>
  </si>
  <si>
    <t>불도저(19ton) 1대 기준</t>
    <phoneticPr fontId="8" type="noConversion"/>
  </si>
  <si>
    <t>중규모</t>
    <phoneticPr fontId="8" type="noConversion"/>
  </si>
  <si>
    <t>소규모</t>
    <phoneticPr fontId="8" type="noConversion"/>
  </si>
  <si>
    <t>3-2-3 흙깎기(기계)('25년 신설)</t>
  </si>
  <si>
    <t>흙깎기(기계)</t>
    <phoneticPr fontId="8" type="noConversion"/>
  </si>
  <si>
    <t>토공사</t>
    <phoneticPr fontId="8" type="noConversion"/>
  </si>
  <si>
    <t>크롤러드릴(타격식 17㎥/min)</t>
    <phoneticPr fontId="8" type="noConversion"/>
  </si>
  <si>
    <r>
      <t xml:space="preserve">경암 </t>
    </r>
    <r>
      <rPr>
        <sz val="9"/>
        <color theme="1"/>
        <rFont val="Calibri"/>
        <family val="3"/>
        <charset val="161"/>
      </rPr>
      <t>Φ</t>
    </r>
    <r>
      <rPr>
        <sz val="9"/>
        <color theme="1"/>
        <rFont val="맑은 고딕"/>
        <family val="3"/>
        <charset val="129"/>
        <scheme val="minor"/>
      </rPr>
      <t>105m/m</t>
    </r>
    <phoneticPr fontId="8" type="noConversion"/>
  </si>
  <si>
    <r>
      <t xml:space="preserve">보통암 </t>
    </r>
    <r>
      <rPr>
        <sz val="9"/>
        <color theme="1"/>
        <rFont val="Calibri"/>
        <family val="3"/>
        <charset val="161"/>
      </rPr>
      <t>Φ</t>
    </r>
    <r>
      <rPr>
        <sz val="9"/>
        <color theme="1"/>
        <rFont val="맑은 고딕"/>
        <family val="3"/>
        <charset val="129"/>
        <scheme val="minor"/>
      </rPr>
      <t>105m/m</t>
    </r>
    <phoneticPr fontId="8" type="noConversion"/>
  </si>
  <si>
    <t>크롤러드릴(타격식 17㎥/min)</t>
  </si>
  <si>
    <r>
      <t xml:space="preserve">연암 </t>
    </r>
    <r>
      <rPr>
        <sz val="9"/>
        <color theme="1"/>
        <rFont val="Calibri"/>
        <family val="3"/>
        <charset val="161"/>
      </rPr>
      <t>Φ</t>
    </r>
    <r>
      <rPr>
        <sz val="9"/>
        <color theme="1"/>
        <rFont val="맑은 고딕"/>
        <family val="3"/>
        <charset val="129"/>
        <scheme val="minor"/>
      </rPr>
      <t>105m/m</t>
    </r>
    <phoneticPr fontId="8" type="noConversion"/>
  </si>
  <si>
    <t>풍화암 Φ105m/m</t>
  </si>
  <si>
    <r>
      <t xml:space="preserve">혼합층 </t>
    </r>
    <r>
      <rPr>
        <sz val="9"/>
        <color theme="1"/>
        <rFont val="Calibri"/>
        <family val="3"/>
        <charset val="161"/>
      </rPr>
      <t>Φ</t>
    </r>
    <r>
      <rPr>
        <sz val="9"/>
        <color theme="1"/>
        <rFont val="맑은 고딕"/>
        <family val="3"/>
        <charset val="129"/>
        <scheme val="minor"/>
      </rPr>
      <t>105m/m</t>
    </r>
    <phoneticPr fontId="8" type="noConversion"/>
  </si>
  <si>
    <t>토 사 Φ105m/m</t>
  </si>
  <si>
    <t>5-1-5 어스앵커 공법('20년 보완)</t>
  </si>
  <si>
    <t>어스앵커 천공 및 강선삽입</t>
  </si>
  <si>
    <t>철거: 각재 및 강재, 높이 200mm이하</t>
    <phoneticPr fontId="8" type="noConversion"/>
  </si>
  <si>
    <t>설치: 각재 및 강재, 높이 200mm이하</t>
    <phoneticPr fontId="8" type="noConversion"/>
  </si>
  <si>
    <r>
      <t>5-1-4 흙막이판 설치</t>
    </r>
    <r>
      <rPr>
        <sz val="9"/>
        <color theme="1"/>
        <rFont val="맑은 고딕"/>
        <family val="3"/>
        <charset val="128"/>
        <scheme val="minor"/>
      </rPr>
      <t>･</t>
    </r>
    <r>
      <rPr>
        <sz val="9"/>
        <color theme="1"/>
        <rFont val="맑은 고딕"/>
        <family val="3"/>
        <charset val="129"/>
        <scheme val="minor"/>
      </rPr>
      <t>철거('09, '14, '21년 보완)</t>
    </r>
  </si>
  <si>
    <t>토류판</t>
  </si>
  <si>
    <t>크레인(25ton) 1대 기준</t>
    <phoneticPr fontId="8" type="noConversion"/>
  </si>
  <si>
    <t>회</t>
    <phoneticPr fontId="8" type="noConversion"/>
  </si>
  <si>
    <t>장비해체</t>
    <phoneticPr fontId="8" type="noConversion"/>
  </si>
  <si>
    <t>회</t>
    <phoneticPr fontId="3" type="noConversion"/>
  </si>
  <si>
    <t>장비조립</t>
    <phoneticPr fontId="8" type="noConversion"/>
  </si>
  <si>
    <t>5-3-5 현장타설말뚝('15, '21년 보완)</t>
  </si>
  <si>
    <t>H=600~800, 길이 9~11m</t>
    <phoneticPr fontId="8" type="noConversion"/>
  </si>
  <si>
    <t>H=500이하, 길이 9~11m</t>
    <phoneticPr fontId="8" type="noConversion"/>
  </si>
  <si>
    <t>말뚝박기용 천공/근입 (파일근입장 20m)</t>
    <phoneticPr fontId="8" type="noConversion"/>
  </si>
  <si>
    <t>진동파일해머-강널말뚝 (파일근입장 20m)</t>
    <phoneticPr fontId="8" type="noConversion"/>
  </si>
  <si>
    <t>진동파일해머-H파일 (파일근입장 20m)</t>
    <phoneticPr fontId="8" type="noConversion"/>
  </si>
  <si>
    <t>가설흙막이</t>
    <phoneticPr fontId="8" type="noConversion"/>
  </si>
  <si>
    <t xml:space="preserve">수평지보공(H-Beam) </t>
  </si>
  <si>
    <t>흙막이 가시설</t>
    <phoneticPr fontId="8" type="noConversion"/>
  </si>
  <si>
    <t>1000㎡</t>
  </si>
  <si>
    <t>답구간</t>
    <phoneticPr fontId="8" type="noConversion"/>
  </si>
  <si>
    <t>표토제거</t>
    <phoneticPr fontId="8" type="noConversion"/>
  </si>
  <si>
    <t>보통인부 1인, 굴착기(0.2㎥) 1대 기준</t>
    <phoneticPr fontId="8" type="noConversion"/>
  </si>
  <si>
    <t>입목본수도 50∼60%, 수경 10∼20㎝이하</t>
    <phoneticPr fontId="8" type="noConversion"/>
  </si>
  <si>
    <t>3-9-2 뿌리뽑기('20년 보완)</t>
  </si>
  <si>
    <t>뿌리뽑기</t>
    <phoneticPr fontId="8" type="noConversion"/>
  </si>
  <si>
    <t>벌개제근</t>
    <phoneticPr fontId="8" type="noConversion"/>
  </si>
  <si>
    <t>벌목공 1인, 보통인부 1인, 굴착기(0.2㎥) 1대 기준</t>
    <phoneticPr fontId="8" type="noConversion"/>
  </si>
  <si>
    <t>8m 이상</t>
    <phoneticPr fontId="8" type="noConversion"/>
  </si>
  <si>
    <t>5m 이상 8m 미만</t>
    <phoneticPr fontId="8" type="noConversion"/>
  </si>
  <si>
    <t>5m 미만</t>
    <phoneticPr fontId="8" type="noConversion"/>
  </si>
  <si>
    <t>3-9-1 벌목('08, '18, '20년 보완)</t>
  </si>
  <si>
    <t>벌목</t>
    <phoneticPr fontId="8" type="noConversion"/>
  </si>
  <si>
    <t>대형 브레이커 1대 기준</t>
    <phoneticPr fontId="8" type="noConversion"/>
  </si>
  <si>
    <t>아스콘 t=30㎝ 이상</t>
    <phoneticPr fontId="8" type="noConversion"/>
  </si>
  <si>
    <t>8-2-13 대형브레이커('14, '17, '25년 보완)</t>
  </si>
  <si>
    <t>기존시설물 깨기</t>
  </si>
  <si>
    <t>부지정지</t>
    <phoneticPr fontId="8" type="noConversion"/>
  </si>
  <si>
    <t>2. 토공사</t>
    <phoneticPr fontId="8" type="noConversion"/>
  </si>
  <si>
    <t>2-6-3 시스템 동바리 설치 및 해체('01년 신설, '09, '16년 보완)</t>
  </si>
  <si>
    <t>시스템 동바리</t>
    <phoneticPr fontId="8" type="noConversion"/>
  </si>
  <si>
    <t>3.5m 초과 ~ 4.2m 이하, 간격 0.6m~0.9m</t>
    <phoneticPr fontId="8" type="noConversion"/>
  </si>
  <si>
    <t>3.5m이하, 간격 0.6m~0.9m</t>
    <phoneticPr fontId="8" type="noConversion"/>
  </si>
  <si>
    <t>건축,기계설비</t>
    <phoneticPr fontId="8" type="noConversion"/>
  </si>
  <si>
    <t>3.5m 초과 ~ 4.2m 이하</t>
  </si>
  <si>
    <t>2.5m 초과 ~ 3.5m 이하, 간격 0.6m~0.8m</t>
    <phoneticPr fontId="8" type="noConversion"/>
  </si>
  <si>
    <t>2.5m 이하</t>
    <phoneticPr fontId="8" type="noConversion"/>
  </si>
  <si>
    <t>2-6-1 강관 동바리 설치 및 해체(토목)('09, '16년 보완)</t>
  </si>
  <si>
    <t>토목</t>
    <phoneticPr fontId="8" type="noConversion"/>
  </si>
  <si>
    <t>동바리</t>
    <phoneticPr fontId="8" type="noConversion"/>
  </si>
  <si>
    <t>비계공 1인, 보통인부 1인 기준</t>
    <phoneticPr fontId="8" type="noConversion"/>
  </si>
  <si>
    <t>시스템비계</t>
    <phoneticPr fontId="8" type="noConversion"/>
  </si>
  <si>
    <t>10m 초과 ~ 20m 이하</t>
    <phoneticPr fontId="8" type="noConversion"/>
  </si>
  <si>
    <t>비계공 1인, 보통인부 1인 기준</t>
  </si>
  <si>
    <t>10m 이하</t>
    <phoneticPr fontId="8" type="noConversion"/>
  </si>
  <si>
    <t>2-7-3 강관틀 비계 설치 및 해체('16년 보완)</t>
  </si>
  <si>
    <t>강관틀비계</t>
    <phoneticPr fontId="8" type="noConversion"/>
  </si>
  <si>
    <t>20m 초과 ~ 30m 이하 (쌍줄비계)</t>
  </si>
  <si>
    <t>10m 초과 ~ 20m 이하 (쌍줄비계)</t>
  </si>
  <si>
    <t>10m 이하 (쌍줄비계)</t>
    <phoneticPr fontId="8" type="noConversion"/>
  </si>
  <si>
    <t>2-7-1 강관비계 설치 및 해체('09, '16년 보완)</t>
  </si>
  <si>
    <t>강관비계</t>
    <phoneticPr fontId="8" type="noConversion"/>
  </si>
  <si>
    <t>비계</t>
    <phoneticPr fontId="8" type="noConversion"/>
  </si>
  <si>
    <t>장비 생산성</t>
    <phoneticPr fontId="8" type="noConversion"/>
  </si>
  <si>
    <t>크레인(10ton) 1대 기준</t>
    <phoneticPr fontId="8" type="noConversion"/>
  </si>
  <si>
    <t>해체: 8롤(2200*5150*1000), 구체포함</t>
    <phoneticPr fontId="8" type="noConversion"/>
  </si>
  <si>
    <t>크레인(10ton) 1대 기준</t>
  </si>
  <si>
    <t>설치: 8롤(2200*5150*1000), 구체포함</t>
    <phoneticPr fontId="8" type="noConversion"/>
  </si>
  <si>
    <t>2-11-6 자동세륜기 설치 및 해체('09, '12, '19년 보완)</t>
  </si>
  <si>
    <t>자동세륜기</t>
  </si>
  <si>
    <t>인력 생산성</t>
    <phoneticPr fontId="8" type="noConversion"/>
  </si>
  <si>
    <t>2-4-4 세로형 가설방음판 설치 및 해체</t>
  </si>
  <si>
    <t>2-4-3 가설울타리판 설치 및 해체</t>
    <phoneticPr fontId="8" type="noConversion"/>
  </si>
  <si>
    <t>가설울타리판(EGI)</t>
    <phoneticPr fontId="8" type="noConversion"/>
  </si>
  <si>
    <t>가설울타리</t>
    <phoneticPr fontId="8" type="noConversion"/>
  </si>
  <si>
    <t>건축목공 1인, 보통인부 1인, 크레인(10ton) 1대 기준</t>
    <phoneticPr fontId="8" type="noConversion"/>
  </si>
  <si>
    <t>창고 80m2 (목공-1인, 보통-1인)</t>
    <phoneticPr fontId="8" type="noConversion"/>
  </si>
  <si>
    <t>사무소 350m2 (목공-1인, 보통-1인)</t>
    <phoneticPr fontId="8" type="noConversion"/>
  </si>
  <si>
    <t>2-3-1 철제조립식 가설건축물 설치 및 해체('92년 신설, '09, '22년 보완)</t>
  </si>
  <si>
    <t>철제조립식</t>
    <phoneticPr fontId="8" type="noConversion"/>
  </si>
  <si>
    <t>비계공 1인, 특별인부 1인, 크레인(10ton) 1대 기준</t>
    <phoneticPr fontId="8" type="noConversion"/>
  </si>
  <si>
    <t>3*9 기준(27m2)</t>
    <phoneticPr fontId="8" type="noConversion"/>
  </si>
  <si>
    <t>2-3-2 콘테이너형 가설건축물 설치 및 해체('09, '22년 보완)</t>
  </si>
  <si>
    <t>컨테이너형</t>
    <phoneticPr fontId="8" type="noConversion"/>
  </si>
  <si>
    <t>토목공사 기준</t>
    <phoneticPr fontId="8" type="noConversion"/>
  </si>
  <si>
    <t>가설사무실</t>
    <phoneticPr fontId="8" type="noConversion"/>
  </si>
  <si>
    <t xml:space="preserve">가설건축물 </t>
    <phoneticPr fontId="8" type="noConversion"/>
  </si>
  <si>
    <t>공통가설</t>
  </si>
  <si>
    <t>국토부고시 제7조(준비기간 산정)</t>
  </si>
  <si>
    <t>공사준비기간</t>
    <phoneticPr fontId="8" type="noConversion"/>
  </si>
  <si>
    <t>준비기간</t>
    <phoneticPr fontId="8" type="noConversion"/>
  </si>
  <si>
    <t>1. 가설공사</t>
    <phoneticPr fontId="8" type="noConversion"/>
  </si>
  <si>
    <t>평균</t>
  </si>
  <si>
    <t>국토부
가이드라인</t>
    <phoneticPr fontId="8" type="noConversion"/>
  </si>
  <si>
    <t>표준품셈</t>
    <phoneticPr fontId="8" type="noConversion"/>
  </si>
  <si>
    <t>투입 품</t>
  </si>
  <si>
    <t>장비</t>
  </si>
  <si>
    <t>보통인부</t>
  </si>
  <si>
    <t>특별인부</t>
  </si>
  <si>
    <t>기능공2</t>
    <phoneticPr fontId="8" type="noConversion"/>
  </si>
  <si>
    <t>기능공1</t>
    <phoneticPr fontId="8" type="noConversion"/>
  </si>
  <si>
    <t>산출근거 (작업조 1팀당 인원 및 장비구성)</t>
  </si>
  <si>
    <t>1일 작업량</t>
    <phoneticPr fontId="3" type="noConversion"/>
  </si>
  <si>
    <t>단위
(표준품셈 기준)</t>
    <phoneticPr fontId="3" type="noConversion"/>
  </si>
  <si>
    <t>규격</t>
    <phoneticPr fontId="3" type="noConversion"/>
  </si>
  <si>
    <t>목차</t>
    <phoneticPr fontId="8" type="noConversion"/>
  </si>
  <si>
    <t>공종</t>
    <phoneticPr fontId="3" type="noConversion"/>
  </si>
  <si>
    <t>구분</t>
    <phoneticPr fontId="3" type="noConversion"/>
  </si>
  <si>
    <r>
      <t xml:space="preserve">검정 : 건설공사 표준품셈
</t>
    </r>
    <r>
      <rPr>
        <b/>
        <sz val="10"/>
        <color rgb="FFFF0000"/>
        <rFont val="맑은 고딕"/>
        <family val="3"/>
        <charset val="129"/>
        <scheme val="minor"/>
      </rPr>
      <t>빨강 : 국토교통부 가이드라인</t>
    </r>
    <phoneticPr fontId="8" type="noConversion"/>
  </si>
  <si>
    <t>* 전기, 통신, 소방은 미적용</t>
    <phoneticPr fontId="8" type="noConversion"/>
  </si>
  <si>
    <t>공종별 생산성 - 직접노무비 90~150억 이상 기준</t>
    <phoneticPr fontId="3" type="noConversion"/>
  </si>
  <si>
    <t>2-6-2 강관 동바리 설치 및 해체(건축, 기계설비)('16년 보완)</t>
    <phoneticPr fontId="2" type="noConversion"/>
  </si>
  <si>
    <t>3-3-8 암파쇄(유압식 할암공법)('20년 보완)</t>
    <phoneticPr fontId="2" type="noConversion"/>
  </si>
  <si>
    <t>장비 생산성</t>
    <phoneticPr fontId="2" type="noConversion"/>
  </si>
  <si>
    <t>설치: H형강지주 4m 이하(지주간격 2m)</t>
  </si>
  <si>
    <t>해체: H형강지주 4m 이하(지주간격 2m)</t>
  </si>
  <si>
    <t>설치: H형강지주 7m 이하(지주간격 2m)</t>
  </si>
  <si>
    <t>해체: H형강지주 7m 이하(지주간격 2m)</t>
  </si>
  <si>
    <t>m</t>
    <phoneticPr fontId="2" type="noConversion"/>
  </si>
  <si>
    <t>비계공 3인, 보통인부 1인, 굴착기(0.2㎥) 0.5대 기준</t>
    <phoneticPr fontId="8" type="noConversion"/>
  </si>
  <si>
    <t>설치: H형강지주 11m 이하(지주간격 2m)</t>
    <phoneticPr fontId="2" type="noConversion"/>
  </si>
  <si>
    <t>해체: H형강지주 11m 이하(지주간격 2m)</t>
    <phoneticPr fontId="2" type="noConversion"/>
  </si>
  <si>
    <t>비계공 3인, 보통인부 1인, 굴착기(0.2㎥) 0.5대, 크레인 1대 기준</t>
    <phoneticPr fontId="8" type="noConversion"/>
  </si>
  <si>
    <t>2-4-2 H형강 지주 설치 및 해체</t>
    <phoneticPr fontId="8" type="noConversion"/>
  </si>
  <si>
    <t>해체: 울타리판 높이 6.0m이하</t>
  </si>
  <si>
    <t>해체: 울타리판 높이 6.0m이하</t>
    <phoneticPr fontId="8" type="noConversion"/>
  </si>
  <si>
    <t>설치: 울타리판 높이 3.0m이하</t>
  </si>
  <si>
    <t>해체: 울타리판 높이 3.0m이하</t>
  </si>
  <si>
    <t>설치: 울타리판 높이 6.0m이하</t>
  </si>
  <si>
    <t>H형강지주</t>
    <phoneticPr fontId="2" type="noConversion"/>
  </si>
  <si>
    <t>강관지주</t>
    <phoneticPr fontId="2" type="noConversion"/>
  </si>
  <si>
    <t>2-4-1 강관 지주 설치 및 해체</t>
    <phoneticPr fontId="2" type="noConversion"/>
  </si>
  <si>
    <t>설치: 강관지주 4m 이하(지주간격 2m)</t>
  </si>
  <si>
    <t>해체: 강관지주 4m 이하(지주간격 2m)</t>
  </si>
  <si>
    <t>설치: 강관지주 7m 이하(지주간격 2m)</t>
  </si>
  <si>
    <t>해체: 강관지주 7m 이하(지주간격 2m)</t>
  </si>
  <si>
    <t>비계공 3인, 보통인부 1인 기준</t>
  </si>
  <si>
    <t>2-4-5 가로형 가설방음판 설치 및 해체</t>
    <phoneticPr fontId="2" type="noConversion"/>
  </si>
  <si>
    <t>가설방음판</t>
    <phoneticPr fontId="2" type="noConversion"/>
  </si>
  <si>
    <t>설치: 울타리판 높이 10.0m이하</t>
  </si>
  <si>
    <t>해체: 울타리판 높이 10.0m이하</t>
  </si>
  <si>
    <t>공㎡</t>
  </si>
  <si>
    <t>형틀목공 3인, 보통인부 1인 기준</t>
  </si>
  <si>
    <t>가설공사</t>
    <phoneticPr fontId="2" type="noConversion"/>
  </si>
  <si>
    <t>설치: 5m 이하, 간격 0.6m~1.2m</t>
    <phoneticPr fontId="8" type="noConversion"/>
  </si>
  <si>
    <t>해체: 5m 이하, 간격 0.6m~1.2m</t>
    <phoneticPr fontId="8" type="noConversion"/>
  </si>
  <si>
    <t>설치: 5m 초과 ~ 10m이하, 간격 0.6m~1.2m</t>
  </si>
  <si>
    <t>해체: 5m 초과 ~ 10m이하, 간격 0.6m~1.2m</t>
    <phoneticPr fontId="8" type="noConversion"/>
  </si>
  <si>
    <t>설치: 10m 초과 ∼ 20m 이하</t>
    <phoneticPr fontId="8" type="noConversion"/>
  </si>
  <si>
    <t>해체: 10m 초과 ∼ 20m 이하</t>
    <phoneticPr fontId="8" type="noConversion"/>
  </si>
  <si>
    <t>설치: 20m 초과 ~ 30m 이하</t>
    <phoneticPr fontId="8" type="noConversion"/>
  </si>
  <si>
    <t>해체: 20m 초과 ~ 30m 이하</t>
    <phoneticPr fontId="8" type="noConversion"/>
  </si>
  <si>
    <t>형틀목공 4인, 보통인부 1인 기준</t>
    <phoneticPr fontId="2" type="noConversion"/>
  </si>
  <si>
    <t>형틀목공 4인, 보통인부 1인 기준 크레인(15ton) 0.5대 기준</t>
  </si>
  <si>
    <t>형틀목공 4인, 보통인부 1인 기준 크레인(20ton) 0.5대 기준</t>
  </si>
  <si>
    <t>2-7-2 시스템비계 설치 및 해체(인력)</t>
    <phoneticPr fontId="2" type="noConversion"/>
  </si>
  <si>
    <t>비계공 4인, 보통인부 1인 기준</t>
  </si>
  <si>
    <t>비계공 2인, 보통인부 2인 기준</t>
  </si>
  <si>
    <t>설치: 10m이하</t>
    <phoneticPr fontId="2" type="noConversion"/>
  </si>
  <si>
    <t>해체: 10m이하</t>
    <phoneticPr fontId="2" type="noConversion"/>
  </si>
  <si>
    <t>설치: 10m 초과~20m 이하</t>
    <phoneticPr fontId="2" type="noConversion"/>
  </si>
  <si>
    <t>해체: 10m 초과~20m 이하</t>
    <phoneticPr fontId="2" type="noConversion"/>
  </si>
  <si>
    <t>띠장 설치 및 철거</t>
    <phoneticPr fontId="8" type="noConversion"/>
  </si>
  <si>
    <t>버팀보 설치 및 철거</t>
    <phoneticPr fontId="8" type="noConversion"/>
  </si>
  <si>
    <t>5-1-2 H-Beam 설치(띠장)</t>
    <phoneticPr fontId="2" type="noConversion"/>
  </si>
  <si>
    <t>5-1-4 H-Beam 해체(띠장)</t>
    <phoneticPr fontId="2" type="noConversion"/>
  </si>
  <si>
    <t>5-1-5 H-Beam 해체(버팀보)</t>
    <phoneticPr fontId="2" type="noConversion"/>
  </si>
  <si>
    <t>5-1-3 H-Beam 설치(버팀보)</t>
    <phoneticPr fontId="2" type="noConversion"/>
  </si>
  <si>
    <t>철골공 2인, 용접공 1인, 보통인부 1인, 크레인(25ton) 1대 기준</t>
  </si>
  <si>
    <t>철골공 2인, 용접공 3인, 보통인부 1인, 크레인(25ton) 1대 기준</t>
  </si>
  <si>
    <t>철골공 1인, 용접공 2인, 보통인부 1인, 크레인(25ton) 1대 기준</t>
  </si>
  <si>
    <t>철골공 3인, 용접공 2인, 보통인부 1인, 크레인(25ton) 1대 기준</t>
  </si>
  <si>
    <t>형틀목공 2인, 보통인부 1인, 굴삭기(0.2㎥) 1대 기준</t>
  </si>
  <si>
    <t>특별인부 3인, 보통인부 1인, 굴착기(0.4㎥) 1대 기준</t>
    <phoneticPr fontId="8" type="noConversion"/>
  </si>
  <si>
    <t>육상: 사면</t>
    <phoneticPr fontId="8" type="noConversion"/>
  </si>
  <si>
    <t>육상: 연약지반(도로/철도)</t>
    <phoneticPr fontId="2" type="noConversion"/>
  </si>
  <si>
    <t>육상: 연약지반(매립지)</t>
    <phoneticPr fontId="2" type="noConversion"/>
  </si>
  <si>
    <t>수중: 사면</t>
  </si>
  <si>
    <t>수중: 연약지반(도로/철도)</t>
  </si>
  <si>
    <t>수중: 연약지반(매립지)</t>
  </si>
  <si>
    <t>특별인부 2인, 보통인부 1인, 잠수조 1조 기준</t>
  </si>
  <si>
    <t>복공판</t>
    <phoneticPr fontId="2" type="noConversion"/>
  </si>
  <si>
    <t>설치</t>
    <phoneticPr fontId="8" type="noConversion"/>
  </si>
  <si>
    <t>제거</t>
    <phoneticPr fontId="8" type="noConversion"/>
  </si>
  <si>
    <t>5-1-8 복공판 설치·철거('25년 신설)</t>
    <phoneticPr fontId="2" type="noConversion"/>
  </si>
  <si>
    <t>철골공 2인, 용접공 2인, 보통인부 1인, 크레인(25ton) 1대 기준</t>
    <phoneticPr fontId="2" type="noConversion"/>
  </si>
  <si>
    <t>현장타설 말뚝</t>
    <phoneticPr fontId="2" type="noConversion"/>
  </si>
  <si>
    <t>CIP</t>
    <phoneticPr fontId="2" type="noConversion"/>
  </si>
  <si>
    <t>5-1-9 주열식 현장벽체공법(CIP,Cast In Placed Pile)('26년 신설)</t>
    <phoneticPr fontId="2" type="noConversion"/>
  </si>
  <si>
    <t>용접공 1인, 보통인부 1인, 굴착기(0.2㎥) 0.5대 기준</t>
    <phoneticPr fontId="8" type="noConversion"/>
  </si>
  <si>
    <t>할석공 1인, 보통인부 1인, 굴착기(0.2㎥) 1대 기준</t>
    <phoneticPr fontId="2" type="noConversion"/>
  </si>
  <si>
    <t>앵커 긴결공법</t>
    <phoneticPr fontId="2" type="noConversion"/>
  </si>
  <si>
    <t>7-4-2 앵커 긴결공법</t>
    <phoneticPr fontId="2" type="noConversion"/>
  </si>
  <si>
    <t>강재트러스</t>
    <phoneticPr fontId="2" type="noConversion"/>
  </si>
  <si>
    <t>7-4-3 강제트러스 지지공법</t>
    <phoneticPr fontId="2" type="noConversion"/>
  </si>
  <si>
    <t>하지철물</t>
    <phoneticPr fontId="2" type="noConversion"/>
  </si>
  <si>
    <t>석재판</t>
    <phoneticPr fontId="2" type="noConversion"/>
  </si>
  <si>
    <t>0.3㎡ 이하</t>
    <phoneticPr fontId="2" type="noConversion"/>
  </si>
  <si>
    <t>0.3㎡ 초과 ~ 0.8㎡ 이하</t>
  </si>
  <si>
    <t>0.3㎡ 초과 ~ 0.8㎡ 이하</t>
    <phoneticPr fontId="2" type="noConversion"/>
  </si>
  <si>
    <t>석공 3인, 줄눈공 1인, 보통인부 2인 기준</t>
  </si>
  <si>
    <t>석공 3인, 줄눈공 1인, 보통인부 2인 기준</t>
    <phoneticPr fontId="2" type="noConversion"/>
  </si>
  <si>
    <t>용접공 2인, 철공 1인 기준</t>
  </si>
  <si>
    <t>용접공 2인, 철공 1인 기준</t>
    <phoneticPr fontId="2" type="noConversion"/>
  </si>
  <si>
    <t>10-1-8 커튼월 프레임 설치</t>
    <phoneticPr fontId="2" type="noConversion"/>
  </si>
  <si>
    <t>창호공 3인, 보통인부 1인</t>
  </si>
  <si>
    <t>창호공 3인, 보통인부 1인</t>
    <phoneticPr fontId="8" type="noConversion"/>
  </si>
  <si>
    <t>kg</t>
  </si>
  <si>
    <t>kg</t>
    <phoneticPr fontId="8" type="noConversion"/>
  </si>
  <si>
    <t>스틱월방식 커튼월, 현장가공</t>
    <phoneticPr fontId="2" type="noConversion"/>
  </si>
  <si>
    <t>패널설치</t>
    <phoneticPr fontId="8" type="noConversion"/>
  </si>
  <si>
    <t>8-2-6 금속패널 설치</t>
    <phoneticPr fontId="2" type="noConversion"/>
  </si>
  <si>
    <t>용접공 2인, 철공 3인</t>
  </si>
  <si>
    <t>용접공 2인, 철공 3인</t>
    <phoneticPr fontId="2" type="noConversion"/>
  </si>
  <si>
    <t>철공 3인, 보통인부 1인 기준</t>
  </si>
  <si>
    <t>철공 3인, 보통인부 1인 기준</t>
    <phoneticPr fontId="2" type="noConversion"/>
  </si>
  <si>
    <t>점질토 : 말뚝직경 500mm, 길이 12m</t>
    <phoneticPr fontId="2" type="noConversion"/>
  </si>
  <si>
    <t>사질토 : 말뚝직경 500mm, 길이 12m</t>
    <phoneticPr fontId="2" type="noConversion"/>
  </si>
  <si>
    <t>풍화암 : 말뚝직경 500mm, 길이 12m</t>
    <phoneticPr fontId="2" type="noConversion"/>
  </si>
  <si>
    <t>연암 : 말뚝직경 500mm, 길이 12m</t>
    <phoneticPr fontId="2" type="noConversion"/>
  </si>
  <si>
    <t>경암 : 말뚝직경 500mm, 길이 12m</t>
    <phoneticPr fontId="2" type="noConversion"/>
  </si>
  <si>
    <t>혼합층 : 말뚝직경 500mm, 길이 12m</t>
    <phoneticPr fontId="8" type="noConversion"/>
  </si>
  <si>
    <t>오거비트 및 개량형비트</t>
    <phoneticPr fontId="2" type="noConversion"/>
  </si>
  <si>
    <t>개량형비트</t>
    <phoneticPr fontId="2" type="noConversion"/>
  </si>
  <si>
    <t>해머비트</t>
    <phoneticPr fontId="2" type="noConversion"/>
  </si>
  <si>
    <t>천공 및 타설</t>
    <phoneticPr fontId="2" type="noConversion"/>
  </si>
  <si>
    <t>사질토</t>
    <phoneticPr fontId="8" type="noConversion"/>
  </si>
  <si>
    <t>5-3-5 현장타설말뚝('15, '21, '26년 보완)</t>
    <phoneticPr fontId="8" type="noConversion"/>
  </si>
  <si>
    <t>본</t>
    <phoneticPr fontId="2" type="noConversion"/>
  </si>
  <si>
    <t>자갈</t>
    <phoneticPr fontId="8" type="noConversion"/>
  </si>
  <si>
    <t>현장타설 말뚝</t>
    <phoneticPr fontId="8" type="noConversion"/>
  </si>
  <si>
    <t>T</t>
    <phoneticPr fontId="2" type="noConversion"/>
  </si>
  <si>
    <t>t1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</si>
  <si>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</si>
  <si>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</si>
  <si>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</si>
  <si>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f</t>
    <phoneticPr fontId="2" type="noConversion"/>
  </si>
  <si>
    <t>본당 소요시간(분)</t>
    <phoneticPr fontId="2" type="noConversion"/>
  </si>
  <si>
    <t>준비시간</t>
    <phoneticPr fontId="2" type="noConversion"/>
  </si>
  <si>
    <t>천공시간</t>
    <phoneticPr fontId="2" type="noConversion"/>
  </si>
  <si>
    <t>철근망 및 H형강 근입</t>
    <phoneticPr fontId="2" type="noConversion"/>
  </si>
  <si>
    <t>콘크리트 타설 시간</t>
    <phoneticPr fontId="2" type="noConversion"/>
  </si>
  <si>
    <t>작업계수</t>
    <phoneticPr fontId="2" type="noConversion"/>
  </si>
  <si>
    <t>점질토</t>
    <phoneticPr fontId="2" type="noConversion"/>
  </si>
  <si>
    <t>사질토</t>
    <phoneticPr fontId="2" type="noConversion"/>
  </si>
  <si>
    <t>풍화암</t>
    <phoneticPr fontId="2" type="noConversion"/>
  </si>
  <si>
    <t>연암</t>
    <phoneticPr fontId="2" type="noConversion"/>
  </si>
  <si>
    <t>경암</t>
    <phoneticPr fontId="2" type="noConversion"/>
  </si>
  <si>
    <t>혼합층</t>
    <phoneticPr fontId="2" type="noConversion"/>
  </si>
  <si>
    <t>T=(t1+t2+t3+t4)/f</t>
    <phoneticPr fontId="2" type="noConversion"/>
  </si>
  <si>
    <t>합계</t>
    <phoneticPr fontId="2" type="noConversion"/>
  </si>
  <si>
    <t>직경</t>
    <phoneticPr fontId="2" type="noConversion"/>
  </si>
  <si>
    <t>길이</t>
    <phoneticPr fontId="2" type="noConversion"/>
  </si>
  <si>
    <t>소요시간</t>
    <phoneticPr fontId="2" type="noConversion"/>
  </si>
  <si>
    <t>시간</t>
    <phoneticPr fontId="2" type="noConversion"/>
  </si>
  <si>
    <t>500미만</t>
    <phoneticPr fontId="2" type="noConversion"/>
  </si>
  <si>
    <t>500이상</t>
    <phoneticPr fontId="2" type="noConversion"/>
  </si>
  <si>
    <t>500~600</t>
    <phoneticPr fontId="2" type="noConversion"/>
  </si>
  <si>
    <t>구분</t>
    <phoneticPr fontId="2" type="noConversion"/>
  </si>
  <si>
    <t>말뚝직경
(mm)</t>
    <phoneticPr fontId="2" type="noConversion"/>
  </si>
  <si>
    <t>비고</t>
    <phoneticPr fontId="2" type="noConversion"/>
  </si>
  <si>
    <t>점질토 : 말뚝직경 500mm, 길이 12m
오거비트 및 개량형비트</t>
    <phoneticPr fontId="2" type="noConversion"/>
  </si>
  <si>
    <t>사질토 : 말뚝직경 500mm, 길이 12m
오거비트 및 개량형비트</t>
    <phoneticPr fontId="2" type="noConversion"/>
  </si>
  <si>
    <t>풍화암 : 말뚝직경 500mm, 길이 12m
개량형비트</t>
    <phoneticPr fontId="2" type="noConversion"/>
  </si>
  <si>
    <t>경암 : 말뚝직경 500mm, 길이 12m
해머비트</t>
    <phoneticPr fontId="2" type="noConversion"/>
  </si>
  <si>
    <t>연암 : 말뚝직경 500mm, 길이 12m
해머비트</t>
    <phoneticPr fontId="2" type="noConversion"/>
  </si>
  <si>
    <t>혼합층 : 말뚝직경 500mm, 길이 12m
개량형비트</t>
    <phoneticPr fontId="8" type="noConversion"/>
  </si>
  <si>
    <t>계산식</t>
    <phoneticPr fontId="2" type="noConversion"/>
  </si>
  <si>
    <t>ㄴ역산 후 하루 8시간 작업량 산정</t>
    <phoneticPr fontId="2" type="noConversion"/>
  </si>
  <si>
    <t>700~800</t>
    <phoneticPr fontId="2" type="noConversion"/>
  </si>
  <si>
    <t>점질토 : 말뚝직경 500mm, 길이 12m, 케이싱 사용, 오거비트 및 개량형비트</t>
  </si>
  <si>
    <t>사질토 : 말뚝직경 500mm, 길이 12m, 케이싱 사용, 오거비트 및 개량형비트</t>
  </si>
  <si>
    <t>풍화암 : 말뚝직경 500mm, 길이 12m, 케이싱 사용, 개량형비트</t>
  </si>
  <si>
    <t>연암 : 말뚝직경 500mm, 길이 12m, 케이싱 사용, 해머비트</t>
  </si>
  <si>
    <t>경암 : 말뚝직경 500mm, 길이 12m, 케이싱 사용, 해머비트</t>
  </si>
  <si>
    <t>혼합층 : 말뚝직경 500mm, 길이 12m, 케이싱 사용, 개량형비트</t>
  </si>
  <si>
    <t>말뚝 근입/ 항타</t>
    <phoneticPr fontId="2" type="noConversion"/>
  </si>
  <si>
    <t>그라우팅</t>
    <phoneticPr fontId="2" type="noConversion"/>
  </si>
  <si>
    <t>5-3-1 기성말뚝 기초('99년 신설, '15, '16, '20년 보완)</t>
  </si>
  <si>
    <t>5-1-9 주열식 현장벽체공법(CIP,Cast In Placed Pile)('26년 신설)</t>
  </si>
  <si>
    <t>T=(t1+t2+t3+t4+t5)/f</t>
    <phoneticPr fontId="2" type="noConversion"/>
  </si>
  <si>
    <t>t5</t>
    <phoneticPr fontId="2" type="noConversion"/>
  </si>
  <si>
    <t>용접 기준</t>
    <phoneticPr fontId="2" type="noConversion"/>
  </si>
  <si>
    <t>천공시간(L1:지층별 굴착연장 * a1:지층별굴착시간)         ※좌측하단 표 참고</t>
    <phoneticPr fontId="2" type="noConversion"/>
  </si>
  <si>
    <t>R.C.D</t>
  </si>
  <si>
    <t>R.C.D</t>
    <phoneticPr fontId="2" type="noConversion"/>
  </si>
  <si>
    <t>요동식</t>
  </si>
  <si>
    <t>요동식</t>
    <phoneticPr fontId="2" type="noConversion"/>
  </si>
  <si>
    <t>전회전식</t>
  </si>
  <si>
    <t>전회전식</t>
    <phoneticPr fontId="2" type="noConversion"/>
  </si>
  <si>
    <t>자갈</t>
    <phoneticPr fontId="2" type="noConversion"/>
  </si>
  <si>
    <t xml:space="preserve">요동식, 말뚝직경 1000mm, 굴착연장 20m </t>
  </si>
  <si>
    <t xml:space="preserve">R.C.D, 말뚝직경 1000mm, 굴착연장 20m </t>
  </si>
  <si>
    <t xml:space="preserve">전회전식, 말뚝직경 1000mm, 굴착연장 20m </t>
  </si>
  <si>
    <t>점질토 : 말뚝직경 1000mm, 길이 20m, 요동식</t>
  </si>
  <si>
    <t>사질토 : 말뚝직경 1000mm, 길이 20m, 요동식</t>
  </si>
  <si>
    <t>자갈 : 말뚝직경 1000mm, 길이 20m, 요동식</t>
  </si>
  <si>
    <t>풍화암 : 말뚝직경 1000mm, 길이 20m, R.C.D</t>
  </si>
  <si>
    <t>풍화암 : 말뚝직경 1000mm, 길이 20m, 전회전식</t>
  </si>
  <si>
    <t>연암 : 말뚝직경 1000mm, 길이 20m, R.C.D</t>
  </si>
  <si>
    <t>연암 : 말뚝직경 1000mm, 길이 20m, 전회전식</t>
  </si>
  <si>
    <t>경암 : 말뚝직경 1000mm, 길이 20m, R.C.D</t>
  </si>
  <si>
    <t>경암 : 말뚝직경 1000mm, 길이 20m, 전회전식</t>
  </si>
  <si>
    <t>굴착 길이 및 장비</t>
    <phoneticPr fontId="2" type="noConversion"/>
  </si>
  <si>
    <t>오거비트</t>
  </si>
  <si>
    <t>개량형비트</t>
  </si>
  <si>
    <t>해머비트</t>
  </si>
  <si>
    <t>작업시간
(본당)</t>
    <phoneticPr fontId="2" type="noConversion"/>
  </si>
  <si>
    <t>일일 생산성</t>
    <phoneticPr fontId="2" type="noConversion"/>
  </si>
  <si>
    <t>오거비트</t>
    <phoneticPr fontId="2" type="noConversion"/>
  </si>
  <si>
    <t>상세조건</t>
    <phoneticPr fontId="2" type="noConversion"/>
  </si>
  <si>
    <t>500~600</t>
  </si>
  <si>
    <t>용접</t>
    <phoneticPr fontId="2" type="noConversion"/>
  </si>
  <si>
    <t>직경(mm)</t>
    <phoneticPr fontId="2" type="noConversion"/>
  </si>
  <si>
    <t>DBS 공법</t>
    <phoneticPr fontId="2" type="noConversion"/>
  </si>
  <si>
    <t>S.G.R 그라우팅(Φ40.5mm)</t>
  </si>
  <si>
    <t>POST - PILE 공사</t>
  </si>
  <si>
    <t>흙막이</t>
    <phoneticPr fontId="2" type="noConversion"/>
  </si>
  <si>
    <t>터파기</t>
    <phoneticPr fontId="2" type="noConversion"/>
  </si>
  <si>
    <t>PRD(41공)</t>
  </si>
  <si>
    <t>RCD(31공)</t>
  </si>
  <si>
    <t>ESD 공법</t>
    <phoneticPr fontId="2" type="noConversion"/>
  </si>
  <si>
    <t>지정공사</t>
    <phoneticPr fontId="2" type="noConversion"/>
  </si>
  <si>
    <t>고강도콘크리트말뚝</t>
  </si>
  <si>
    <t>팽이기초</t>
  </si>
  <si>
    <t>토사</t>
    <phoneticPr fontId="2" type="noConversion"/>
  </si>
  <si>
    <t>기반암</t>
    <phoneticPr fontId="2" type="noConversion"/>
  </si>
  <si>
    <t>ASML_P1_수정_공정계획 산정기준_P1_1108</t>
  </si>
  <si>
    <t>ASML_P2_수정_공정계획 산정기준_P2_1110</t>
  </si>
  <si>
    <t>CJ오리온진천공장_공사기간산정_250227(공기준수)</t>
  </si>
  <si>
    <t>공기산정근거_250801_삼성메디슨 홍천공장 증축공사</t>
  </si>
  <si>
    <t>과천G-Town_공정계획 산정기준 240318</t>
  </si>
  <si>
    <t>대한항공_T2_IOC_공사기간산정_공정표작성_240906(공기단축)</t>
  </si>
  <si>
    <t>JSP 천공</t>
  </si>
  <si>
    <t>크람쉘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</si>
</sst>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,##0_);[Red]\(#,##0\)"/>
    <numFmt numFmtId="177" formatCode="#,##0.00_);[Red]\(#,##0.00\)"/>
    <numFmt numFmtId="178" formatCode="#,##0.000_);[Red]\(#,##0.000\)"/>
    <numFmt numFmtId="179" formatCode="#,##0.0000_);[Red]\(#,##0.0000\)"/>
    <numFmt numFmtId="180" formatCode="#,##0.0_);[Red]\(#,##0.0\)"/>
    <numFmt numFmtId="181" formatCode="0.00_ "/>
    <numFmt numFmtId="182" formatCode="0.00&quot;m&quot;"/>
    <numFmt numFmtId="183" formatCode="0.00&quot;분&quot;"/>
    <numFmt numFmtId="184" formatCode="0&quot;분&quot;"/>
    <numFmt numFmtId="185" formatCode="0&quot;m&quot;"/>
    <numFmt numFmtId="186" formatCode="0&quot;mm&quot;"/>
    <numFmt numFmtId="187" formatCode="0.00&quot;본/일&quot;"/>
    <numFmt numFmtId="188" formatCode="0.00&quot;m/일&quot;"/>
    <numFmt numFmtId="189" formatCode="0.00&quot;시간&quot;"/>
    <numFmt numFmtId="190" formatCode="0&quot;시간&quot;"/>
    <numFmt numFmtId="191" formatCode="0.00&quot;본&quot;"/>
  </numFmts>
  <fonts count="31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Times New Roman"/>
      <family val="1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Times New Roman"/>
      <family val="1"/>
    </font>
    <font>
      <sz val="8"/>
      <name val="바탕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8"/>
      <scheme val="minor"/>
    </font>
    <font>
      <sz val="9"/>
      <color theme="1"/>
      <name val="MS Gothic"/>
      <family val="3"/>
      <charset val="128"/>
    </font>
    <font>
      <sz val="10"/>
      <color theme="1"/>
      <name val="Times New Roman"/>
      <family val="1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Segoe UI Symbol"/>
      <family val="3"/>
    </font>
    <font>
      <sz val="9"/>
      <color theme="1"/>
      <name val="Calibri"/>
      <family val="3"/>
      <charset val="161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Times New Roman"/>
      <family val="1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249977111117893"/>
        <bgColor indexed="64"/>
      </patternFill>
    </fill>
  </fills>
  <borders count="16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808080"/>
      </top>
      <bottom style="thin">
        <color rgb="FF808080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hair">
        <color rgb="FF80808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rgb="FF808080"/>
      </top>
      <bottom/>
      <diagonal/>
    </border>
    <border>
      <left style="hair">
        <color rgb="FF808080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rgb="FF80808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808080"/>
      </top>
      <bottom style="hair">
        <color auto="1"/>
      </bottom>
      <diagonal/>
    </border>
    <border>
      <left style="hair">
        <color rgb="FF808080"/>
      </left>
      <right style="thin">
        <color indexed="64"/>
      </right>
      <top/>
      <bottom style="hair">
        <color indexed="64"/>
      </bottom>
      <diagonal/>
    </border>
    <border>
      <left style="hair">
        <color rgb="FF808080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rgb="FF808080"/>
      </top>
      <bottom/>
      <diagonal/>
    </border>
    <border>
      <left/>
      <right style="thin">
        <color indexed="64"/>
      </right>
      <top style="hair">
        <color rgb="FF80808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rgb="FF808080"/>
      </top>
      <bottom style="hair">
        <color rgb="FF808080"/>
      </bottom>
      <diagonal/>
    </border>
    <border>
      <left/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/>
      <diagonal/>
    </border>
    <border>
      <left/>
      <right style="thin">
        <color indexed="64"/>
      </right>
      <top/>
      <bottom style="hair">
        <color rgb="FF808080"/>
      </bottom>
      <diagonal/>
    </border>
    <border>
      <left style="thin">
        <color indexed="64"/>
      </left>
      <right/>
      <top/>
      <bottom style="hair">
        <color rgb="FF80808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rgb="FF808080"/>
      </top>
      <bottom style="thin">
        <color rgb="FF808080"/>
      </bottom>
      <diagonal/>
    </border>
    <border>
      <left/>
      <right style="thin">
        <color indexed="64"/>
      </right>
      <top style="hair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indexed="64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80808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80808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rgb="FF808080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rgb="FF808080"/>
      </top>
      <bottom/>
      <diagonal/>
    </border>
    <border>
      <left/>
      <right style="thin">
        <color indexed="64"/>
      </right>
      <top style="thin">
        <color rgb="FF808080"/>
      </top>
      <bottom style="hair">
        <color rgb="FF808080"/>
      </bottom>
      <diagonal/>
    </border>
    <border>
      <left style="thin">
        <color indexed="64"/>
      </left>
      <right/>
      <top style="thin">
        <color rgb="FF808080"/>
      </top>
      <bottom style="hair">
        <color rgb="FF808080"/>
      </bottom>
      <diagonal/>
    </border>
    <border>
      <left style="medium">
        <color indexed="64"/>
      </left>
      <right style="thin">
        <color indexed="64"/>
      </right>
      <top style="thin">
        <color rgb="FF808080"/>
      </top>
      <bottom style="hair">
        <color rgb="FF808080"/>
      </bottom>
      <diagonal/>
    </border>
    <border>
      <left style="medium">
        <color indexed="64"/>
      </left>
      <right/>
      <top style="hair">
        <color rgb="FF808080"/>
      </top>
      <bottom style="thin">
        <color rgb="FF808080"/>
      </bottom>
      <diagonal/>
    </border>
    <border>
      <left style="hair">
        <color rgb="FF808080"/>
      </left>
      <right style="thin">
        <color indexed="64"/>
      </right>
      <top/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medium">
        <color indexed="64"/>
      </left>
      <right/>
      <top style="thin">
        <color rgb="FF808080"/>
      </top>
      <bottom style="hair">
        <color rgb="FF808080"/>
      </bottom>
      <diagonal/>
    </border>
    <border>
      <left style="hair">
        <color indexed="64"/>
      </left>
      <right style="thin">
        <color indexed="64"/>
      </right>
      <top/>
      <bottom style="hair">
        <color rgb="FF808080"/>
      </bottom>
      <diagonal/>
    </border>
    <border>
      <left style="hair">
        <color indexed="64"/>
      </left>
      <right style="thin">
        <color indexed="64"/>
      </right>
      <top style="hair">
        <color rgb="FF808080"/>
      </top>
      <bottom/>
      <diagonal/>
    </border>
    <border>
      <left style="hair">
        <color indexed="64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thin">
        <color rgb="FF808080"/>
      </top>
      <bottom style="hair">
        <color rgb="FF808080"/>
      </bottom>
      <diagonal/>
    </border>
    <border>
      <left style="medium">
        <color indexed="64"/>
      </left>
      <right style="thin">
        <color indexed="64"/>
      </right>
      <top style="thin">
        <color rgb="FF808080"/>
      </top>
      <bottom/>
      <diagonal/>
    </border>
    <border>
      <left/>
      <right style="thin">
        <color indexed="64"/>
      </right>
      <top style="thin">
        <color rgb="FF808080"/>
      </top>
      <bottom/>
      <diagonal/>
    </border>
    <border>
      <left style="medium">
        <color indexed="64"/>
      </left>
      <right/>
      <top style="hair">
        <color rgb="FF808080"/>
      </top>
      <bottom style="hair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rgb="FF80808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rgb="FF808080"/>
      </bottom>
      <diagonal/>
    </border>
    <border>
      <left style="thin">
        <color indexed="64"/>
      </left>
      <right style="hair">
        <color indexed="64"/>
      </right>
      <top/>
      <bottom style="hair">
        <color rgb="FF808080"/>
      </bottom>
      <diagonal/>
    </border>
    <border>
      <left style="hair">
        <color indexed="64"/>
      </left>
      <right style="thin">
        <color indexed="64"/>
      </right>
      <top style="thin">
        <color rgb="FF808080"/>
      </top>
      <bottom/>
      <diagonal/>
    </border>
    <border>
      <left style="thin">
        <color indexed="64"/>
      </left>
      <right style="hair">
        <color indexed="64"/>
      </right>
      <top style="thin">
        <color rgb="FF808080"/>
      </top>
      <bottom/>
      <diagonal/>
    </border>
    <border>
      <left/>
      <right style="thin">
        <color indexed="64"/>
      </right>
      <top/>
      <bottom style="thin">
        <color rgb="FF808080"/>
      </bottom>
      <diagonal/>
    </border>
    <border>
      <left style="thin">
        <color indexed="64"/>
      </left>
      <right/>
      <top/>
      <bottom style="thin">
        <color rgb="FF808080"/>
      </bottom>
      <diagonal/>
    </border>
    <border>
      <left style="medium">
        <color indexed="64"/>
      </left>
      <right/>
      <top/>
      <bottom style="thin">
        <color rgb="FF808080"/>
      </bottom>
      <diagonal/>
    </border>
    <border>
      <left style="medium">
        <color indexed="64"/>
      </left>
      <right/>
      <top style="thin">
        <color rgb="FF808080"/>
      </top>
      <bottom/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rgb="FF808080"/>
      </top>
      <bottom/>
      <diagonal/>
    </border>
    <border>
      <left style="hair">
        <color indexed="64"/>
      </left>
      <right style="thin">
        <color indexed="64"/>
      </right>
      <top style="thin">
        <color rgb="FF808080"/>
      </top>
      <bottom style="hair">
        <color rgb="FF808080"/>
      </bottom>
      <diagonal/>
    </border>
    <border>
      <left style="hair">
        <color indexed="64"/>
      </left>
      <right style="thin">
        <color indexed="64"/>
      </right>
      <top style="hair">
        <color rgb="FF80808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rgb="FF80808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rgb="FF80808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rgb="FF808080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rgb="FF808080"/>
      </bottom>
      <diagonal/>
    </border>
    <border>
      <left style="thin">
        <color indexed="64"/>
      </left>
      <right/>
      <top style="thin">
        <color indexed="64"/>
      </top>
      <bottom style="hair">
        <color rgb="FF80808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808080"/>
      </top>
      <bottom style="thin">
        <color indexed="64"/>
      </bottom>
      <diagonal/>
    </border>
    <border>
      <left/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medium">
        <color indexed="64"/>
      </left>
      <right/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rgb="FF808080"/>
      </bottom>
      <diagonal/>
    </border>
    <border>
      <left/>
      <right style="thin">
        <color indexed="64"/>
      </right>
      <top style="double">
        <color indexed="64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medium">
        <color indexed="64"/>
      </left>
      <right/>
      <top/>
      <bottom style="hair">
        <color rgb="FF808080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80808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1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774">
    <xf numFmtId="0" fontId="0" fillId="0" borderId="0" xfId="0">
      <alignment vertical="center"/>
    </xf>
    <xf numFmtId="0" fontId="4" fillId="0" borderId="0" xfId="1"/>
    <xf numFmtId="0" fontId="4" fillId="0" borderId="0" xfId="1" applyAlignment="1">
      <alignment horizontal="right"/>
    </xf>
    <xf numFmtId="176" fontId="4" fillId="0" borderId="0" xfId="1" applyNumberFormat="1"/>
    <xf numFmtId="0" fontId="4" fillId="0" borderId="0" xfId="1" applyAlignment="1">
      <alignment horizontal="center"/>
    </xf>
    <xf numFmtId="0" fontId="4" fillId="0" borderId="0" xfId="1" applyAlignment="1">
      <alignment horizontal="left"/>
    </xf>
    <xf numFmtId="0" fontId="4" fillId="0" borderId="6" xfId="1" applyBorder="1"/>
    <xf numFmtId="177" fontId="5" fillId="2" borderId="7" xfId="1" applyNumberFormat="1" applyFont="1" applyFill="1" applyBorder="1" applyAlignment="1">
      <alignment horizontal="right" vertical="center"/>
    </xf>
    <xf numFmtId="2" fontId="6" fillId="3" borderId="8" xfId="1" applyNumberFormat="1" applyFont="1" applyFill="1" applyBorder="1" applyAlignment="1">
      <alignment horizontal="right" vertical="center"/>
    </xf>
    <xf numFmtId="0" fontId="7" fillId="0" borderId="8" xfId="1" applyFont="1" applyBorder="1"/>
    <xf numFmtId="176" fontId="7" fillId="0" borderId="8" xfId="1" applyNumberFormat="1" applyFont="1" applyBorder="1"/>
    <xf numFmtId="0" fontId="7" fillId="0" borderId="8" xfId="1" applyFont="1" applyBorder="1" applyAlignment="1">
      <alignment horizontal="center"/>
    </xf>
    <xf numFmtId="0" fontId="6" fillId="0" borderId="8" xfId="1" applyFont="1" applyBorder="1" applyAlignment="1">
      <alignment horizontal="center" vertical="center"/>
    </xf>
    <xf numFmtId="41" fontId="6" fillId="0" borderId="9" xfId="1" applyNumberFormat="1" applyFont="1" applyBorder="1" applyAlignment="1">
      <alignment vertical="center"/>
    </xf>
    <xf numFmtId="177" fontId="5" fillId="2" borderId="12" xfId="1" applyNumberFormat="1" applyFont="1" applyFill="1" applyBorder="1" applyAlignment="1">
      <alignment horizontal="right" vertical="center"/>
    </xf>
    <xf numFmtId="2" fontId="6" fillId="3" borderId="5" xfId="1" applyNumberFormat="1" applyFont="1" applyFill="1" applyBorder="1" applyAlignment="1">
      <alignment horizontal="right" vertical="center"/>
    </xf>
    <xf numFmtId="0" fontId="7" fillId="0" borderId="5" xfId="1" applyFont="1" applyBorder="1"/>
    <xf numFmtId="176" fontId="7" fillId="0" borderId="5" xfId="1" applyNumberFormat="1" applyFont="1" applyBorder="1"/>
    <xf numFmtId="0" fontId="7" fillId="0" borderId="5" xfId="1" applyFont="1" applyBorder="1" applyAlignment="1">
      <alignment horizontal="center"/>
    </xf>
    <xf numFmtId="0" fontId="6" fillId="0" borderId="5" xfId="1" applyFont="1" applyBorder="1" applyAlignment="1">
      <alignment horizontal="center" vertical="center"/>
    </xf>
    <xf numFmtId="41" fontId="6" fillId="0" borderId="13" xfId="1" applyNumberFormat="1" applyFont="1" applyBorder="1" applyAlignment="1">
      <alignment vertical="center"/>
    </xf>
    <xf numFmtId="2" fontId="6" fillId="0" borderId="5" xfId="1" applyNumberFormat="1" applyFont="1" applyBorder="1" applyAlignment="1">
      <alignment horizontal="right" vertical="center"/>
    </xf>
    <xf numFmtId="177" fontId="5" fillId="3" borderId="5" xfId="1" applyNumberFormat="1" applyFont="1" applyFill="1" applyBorder="1" applyAlignment="1">
      <alignment vertical="center"/>
    </xf>
    <xf numFmtId="177" fontId="5" fillId="3" borderId="5" xfId="1" applyNumberFormat="1" applyFont="1" applyFill="1" applyBorder="1" applyAlignment="1">
      <alignment horizontal="right" vertical="center"/>
    </xf>
    <xf numFmtId="176" fontId="5" fillId="3" borderId="5" xfId="1" applyNumberFormat="1" applyFont="1" applyFill="1" applyBorder="1" applyAlignment="1">
      <alignment horizontal="right" vertical="center"/>
    </xf>
    <xf numFmtId="178" fontId="5" fillId="3" borderId="5" xfId="1" applyNumberFormat="1" applyFont="1" applyFill="1" applyBorder="1" applyAlignment="1">
      <alignment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41" fontId="5" fillId="0" borderId="5" xfId="1" applyNumberFormat="1" applyFont="1" applyBorder="1" applyAlignment="1">
      <alignment vertical="center"/>
    </xf>
    <xf numFmtId="177" fontId="6" fillId="3" borderId="5" xfId="1" applyNumberFormat="1" applyFont="1" applyFill="1" applyBorder="1" applyAlignment="1">
      <alignment vertical="center"/>
    </xf>
    <xf numFmtId="177" fontId="6" fillId="3" borderId="5" xfId="1" applyNumberFormat="1" applyFont="1" applyFill="1" applyBorder="1" applyAlignment="1">
      <alignment horizontal="right" vertical="center"/>
    </xf>
    <xf numFmtId="176" fontId="6" fillId="3" borderId="5" xfId="1" applyNumberFormat="1" applyFont="1" applyFill="1" applyBorder="1" applyAlignment="1">
      <alignment horizontal="right" vertical="center"/>
    </xf>
    <xf numFmtId="178" fontId="6" fillId="3" borderId="5" xfId="1" applyNumberFormat="1" applyFont="1" applyFill="1" applyBorder="1" applyAlignment="1">
      <alignment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left" vertical="center"/>
    </xf>
    <xf numFmtId="41" fontId="6" fillId="0" borderId="17" xfId="1" applyNumberFormat="1" applyFont="1" applyBorder="1" applyAlignment="1">
      <alignment vertical="center"/>
    </xf>
    <xf numFmtId="177" fontId="5" fillId="2" borderId="18" xfId="1" applyNumberFormat="1" applyFont="1" applyFill="1" applyBorder="1" applyAlignment="1">
      <alignment horizontal="right" vertical="center"/>
    </xf>
    <xf numFmtId="2" fontId="6" fillId="3" borderId="19" xfId="1" applyNumberFormat="1" applyFont="1" applyFill="1" applyBorder="1" applyAlignment="1">
      <alignment horizontal="right" vertical="center"/>
    </xf>
    <xf numFmtId="177" fontId="6" fillId="3" borderId="19" xfId="1" applyNumberFormat="1" applyFont="1" applyFill="1" applyBorder="1" applyAlignment="1">
      <alignment vertical="center"/>
    </xf>
    <xf numFmtId="177" fontId="6" fillId="3" borderId="19" xfId="1" applyNumberFormat="1" applyFont="1" applyFill="1" applyBorder="1" applyAlignment="1">
      <alignment horizontal="right" vertical="center"/>
    </xf>
    <xf numFmtId="176" fontId="6" fillId="3" borderId="19" xfId="1" applyNumberFormat="1" applyFont="1" applyFill="1" applyBorder="1" applyAlignment="1">
      <alignment horizontal="right" vertical="center"/>
    </xf>
    <xf numFmtId="178" fontId="6" fillId="3" borderId="19" xfId="1" applyNumberFormat="1" applyFont="1" applyFill="1" applyBorder="1" applyAlignment="1">
      <alignment vertical="center"/>
    </xf>
    <xf numFmtId="177" fontId="6" fillId="3" borderId="19" xfId="1" applyNumberFormat="1" applyFont="1" applyFill="1" applyBorder="1" applyAlignment="1">
      <alignment horizontal="center" vertical="center"/>
    </xf>
    <xf numFmtId="177" fontId="6" fillId="3" borderId="19" xfId="1" applyNumberFormat="1" applyFont="1" applyFill="1" applyBorder="1" applyAlignment="1">
      <alignment horizontal="left" vertical="center"/>
    </xf>
    <xf numFmtId="0" fontId="6" fillId="3" borderId="19" xfId="1" applyFont="1" applyFill="1" applyBorder="1" applyAlignment="1">
      <alignment horizontal="center" vertical="center"/>
    </xf>
    <xf numFmtId="41" fontId="6" fillId="0" borderId="20" xfId="1" applyNumberFormat="1" applyFont="1" applyBorder="1" applyAlignment="1">
      <alignment vertical="center"/>
    </xf>
    <xf numFmtId="177" fontId="6" fillId="3" borderId="5" xfId="1" applyNumberFormat="1" applyFont="1" applyFill="1" applyBorder="1" applyAlignment="1">
      <alignment horizontal="center" vertical="center"/>
    </xf>
    <xf numFmtId="177" fontId="6" fillId="3" borderId="5" xfId="1" applyNumberFormat="1" applyFont="1" applyFill="1" applyBorder="1" applyAlignment="1">
      <alignment horizontal="left" vertical="center"/>
    </xf>
    <xf numFmtId="41" fontId="6" fillId="0" borderId="16" xfId="1" applyNumberFormat="1" applyFont="1" applyBorder="1" applyAlignment="1">
      <alignment vertical="center"/>
    </xf>
    <xf numFmtId="41" fontId="6" fillId="0" borderId="24" xfId="1" applyNumberFormat="1" applyFont="1" applyBorder="1" applyAlignment="1">
      <alignment vertical="center"/>
    </xf>
    <xf numFmtId="177" fontId="5" fillId="2" borderId="27" xfId="1" applyNumberFormat="1" applyFont="1" applyFill="1" applyBorder="1" applyAlignment="1">
      <alignment horizontal="right" vertical="center"/>
    </xf>
    <xf numFmtId="2" fontId="6" fillId="0" borderId="20" xfId="1" applyNumberFormat="1" applyFont="1" applyBorder="1" applyAlignment="1">
      <alignment horizontal="right" vertical="center"/>
    </xf>
    <xf numFmtId="177" fontId="5" fillId="3" borderId="20" xfId="1" applyNumberFormat="1" applyFont="1" applyFill="1" applyBorder="1" applyAlignment="1">
      <alignment vertical="center"/>
    </xf>
    <xf numFmtId="177" fontId="5" fillId="3" borderId="20" xfId="1" applyNumberFormat="1" applyFont="1" applyFill="1" applyBorder="1" applyAlignment="1">
      <alignment horizontal="right" vertical="center"/>
    </xf>
    <xf numFmtId="176" fontId="5" fillId="3" borderId="20" xfId="1" applyNumberFormat="1" applyFont="1" applyFill="1" applyBorder="1" applyAlignment="1">
      <alignment horizontal="right" vertical="center"/>
    </xf>
    <xf numFmtId="179" fontId="5" fillId="3" borderId="20" xfId="1" applyNumberFormat="1" applyFont="1" applyFill="1" applyBorder="1" applyAlignment="1">
      <alignment vertical="center"/>
    </xf>
    <xf numFmtId="178" fontId="5" fillId="3" borderId="20" xfId="1" applyNumberFormat="1" applyFont="1" applyFill="1" applyBorder="1" applyAlignment="1">
      <alignment vertical="center"/>
    </xf>
    <xf numFmtId="179" fontId="5" fillId="3" borderId="28" xfId="1" applyNumberFormat="1" applyFont="1" applyFill="1" applyBorder="1" applyAlignment="1">
      <alignment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left" vertical="center"/>
    </xf>
    <xf numFmtId="0" fontId="5" fillId="0" borderId="20" xfId="1" applyFont="1" applyBorder="1" applyAlignment="1">
      <alignment horizontal="center" vertical="center"/>
    </xf>
    <xf numFmtId="41" fontId="5" fillId="0" borderId="20" xfId="1" applyNumberFormat="1" applyFont="1" applyBorder="1" applyAlignment="1">
      <alignment vertical="center"/>
    </xf>
    <xf numFmtId="177" fontId="5" fillId="2" borderId="30" xfId="1" applyNumberFormat="1" applyFont="1" applyFill="1" applyBorder="1" applyAlignment="1">
      <alignment horizontal="right" vertical="center"/>
    </xf>
    <xf numFmtId="2" fontId="6" fillId="0" borderId="13" xfId="1" applyNumberFormat="1" applyFont="1" applyBorder="1" applyAlignment="1">
      <alignment horizontal="right" vertical="center"/>
    </xf>
    <xf numFmtId="177" fontId="5" fillId="3" borderId="13" xfId="1" applyNumberFormat="1" applyFont="1" applyFill="1" applyBorder="1" applyAlignment="1">
      <alignment vertical="center"/>
    </xf>
    <xf numFmtId="177" fontId="5" fillId="3" borderId="13" xfId="1" applyNumberFormat="1" applyFont="1" applyFill="1" applyBorder="1" applyAlignment="1">
      <alignment horizontal="right" vertical="center"/>
    </xf>
    <xf numFmtId="176" fontId="5" fillId="3" borderId="13" xfId="1" applyNumberFormat="1" applyFont="1" applyFill="1" applyBorder="1" applyAlignment="1">
      <alignment horizontal="right" vertical="center"/>
    </xf>
    <xf numFmtId="179" fontId="5" fillId="3" borderId="13" xfId="1" applyNumberFormat="1" applyFont="1" applyFill="1" applyBorder="1" applyAlignment="1">
      <alignment vertical="center"/>
    </xf>
    <xf numFmtId="178" fontId="5" fillId="3" borderId="13" xfId="1" applyNumberFormat="1" applyFont="1" applyFill="1" applyBorder="1" applyAlignment="1">
      <alignment vertical="center"/>
    </xf>
    <xf numFmtId="179" fontId="5" fillId="3" borderId="31" xfId="1" applyNumberFormat="1" applyFont="1" applyFill="1" applyBorder="1" applyAlignment="1">
      <alignment vertical="center"/>
    </xf>
    <xf numFmtId="0" fontId="5" fillId="3" borderId="30" xfId="1" applyFont="1" applyFill="1" applyBorder="1" applyAlignment="1">
      <alignment horizontal="left" vertical="center"/>
    </xf>
    <xf numFmtId="0" fontId="5" fillId="0" borderId="13" xfId="1" applyFont="1" applyBorder="1" applyAlignment="1">
      <alignment horizontal="center" vertical="center"/>
    </xf>
    <xf numFmtId="41" fontId="5" fillId="0" borderId="13" xfId="1" applyNumberFormat="1" applyFont="1" applyBorder="1" applyAlignment="1">
      <alignment vertical="center"/>
    </xf>
    <xf numFmtId="177" fontId="6" fillId="3" borderId="13" xfId="1" applyNumberFormat="1" applyFont="1" applyFill="1" applyBorder="1" applyAlignment="1">
      <alignment horizontal="right" vertical="center"/>
    </xf>
    <xf numFmtId="176" fontId="6" fillId="3" borderId="13" xfId="1" applyNumberFormat="1" applyFont="1" applyFill="1" applyBorder="1" applyAlignment="1">
      <alignment horizontal="right" vertical="center"/>
    </xf>
    <xf numFmtId="178" fontId="6" fillId="3" borderId="13" xfId="1" applyNumberFormat="1" applyFont="1" applyFill="1" applyBorder="1" applyAlignment="1">
      <alignment vertical="center"/>
    </xf>
    <xf numFmtId="178" fontId="6" fillId="3" borderId="31" xfId="1" applyNumberFormat="1" applyFont="1" applyFill="1" applyBorder="1" applyAlignment="1">
      <alignment vertical="center"/>
    </xf>
    <xf numFmtId="0" fontId="6" fillId="3" borderId="30" xfId="1" applyFont="1" applyFill="1" applyBorder="1" applyAlignment="1">
      <alignment horizontal="left" vertical="center"/>
    </xf>
    <xf numFmtId="0" fontId="6" fillId="0" borderId="20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4" fillId="0" borderId="5" xfId="1" applyBorder="1" applyAlignment="1">
      <alignment horizontal="center"/>
    </xf>
    <xf numFmtId="178" fontId="5" fillId="3" borderId="31" xfId="1" applyNumberFormat="1" applyFont="1" applyFill="1" applyBorder="1" applyAlignment="1">
      <alignment vertical="center"/>
    </xf>
    <xf numFmtId="177" fontId="5" fillId="2" borderId="34" xfId="1" applyNumberFormat="1" applyFont="1" applyFill="1" applyBorder="1" applyAlignment="1">
      <alignment horizontal="right" vertical="center"/>
    </xf>
    <xf numFmtId="2" fontId="6" fillId="0" borderId="16" xfId="1" applyNumberFormat="1" applyFont="1" applyBorder="1" applyAlignment="1">
      <alignment horizontal="right" vertical="center"/>
    </xf>
    <xf numFmtId="177" fontId="5" fillId="3" borderId="16" xfId="1" applyNumberFormat="1" applyFont="1" applyFill="1" applyBorder="1" applyAlignment="1">
      <alignment horizontal="right" vertical="center"/>
    </xf>
    <xf numFmtId="176" fontId="5" fillId="3" borderId="16" xfId="1" applyNumberFormat="1" applyFont="1" applyFill="1" applyBorder="1" applyAlignment="1">
      <alignment horizontal="right" vertical="center"/>
    </xf>
    <xf numFmtId="178" fontId="5" fillId="3" borderId="16" xfId="1" applyNumberFormat="1" applyFont="1" applyFill="1" applyBorder="1" applyAlignment="1">
      <alignment vertical="center"/>
    </xf>
    <xf numFmtId="0" fontId="5" fillId="3" borderId="16" xfId="1" applyFont="1" applyFill="1" applyBorder="1" applyAlignment="1">
      <alignment horizontal="left" vertical="center"/>
    </xf>
    <xf numFmtId="0" fontId="5" fillId="0" borderId="16" xfId="1" applyFont="1" applyBorder="1" applyAlignment="1">
      <alignment horizontal="center" vertical="center"/>
    </xf>
    <xf numFmtId="41" fontId="5" fillId="0" borderId="16" xfId="1" applyNumberFormat="1" applyFont="1" applyBorder="1" applyAlignment="1">
      <alignment vertical="center"/>
    </xf>
    <xf numFmtId="177" fontId="5" fillId="4" borderId="12" xfId="1" applyNumberFormat="1" applyFont="1" applyFill="1" applyBorder="1" applyAlignment="1">
      <alignment horizontal="right" vertical="center"/>
    </xf>
    <xf numFmtId="41" fontId="6" fillId="3" borderId="5" xfId="1" applyNumberFormat="1" applyFont="1" applyFill="1" applyBorder="1" applyAlignment="1">
      <alignment vertical="center"/>
    </xf>
    <xf numFmtId="177" fontId="5" fillId="2" borderId="39" xfId="1" applyNumberFormat="1" applyFont="1" applyFill="1" applyBorder="1" applyAlignment="1">
      <alignment horizontal="right" vertical="center"/>
    </xf>
    <xf numFmtId="2" fontId="6" fillId="3" borderId="3" xfId="1" applyNumberFormat="1" applyFont="1" applyFill="1" applyBorder="1" applyAlignment="1">
      <alignment horizontal="right" vertical="center"/>
    </xf>
    <xf numFmtId="177" fontId="6" fillId="3" borderId="3" xfId="1" applyNumberFormat="1" applyFont="1" applyFill="1" applyBorder="1" applyAlignment="1">
      <alignment vertical="center"/>
    </xf>
    <xf numFmtId="177" fontId="6" fillId="3" borderId="3" xfId="1" applyNumberFormat="1" applyFont="1" applyFill="1" applyBorder="1" applyAlignment="1">
      <alignment horizontal="right" vertical="center"/>
    </xf>
    <xf numFmtId="176" fontId="6" fillId="3" borderId="3" xfId="1" applyNumberFormat="1" applyFont="1" applyFill="1" applyBorder="1" applyAlignment="1">
      <alignment horizontal="right" vertical="center"/>
    </xf>
    <xf numFmtId="178" fontId="6" fillId="3" borderId="3" xfId="1" applyNumberFormat="1" applyFont="1" applyFill="1" applyBorder="1" applyAlignment="1">
      <alignment vertical="center"/>
    </xf>
    <xf numFmtId="177" fontId="6" fillId="3" borderId="3" xfId="1" applyNumberFormat="1" applyFont="1" applyFill="1" applyBorder="1" applyAlignment="1">
      <alignment horizontal="center" vertical="center"/>
    </xf>
    <xf numFmtId="177" fontId="6" fillId="3" borderId="3" xfId="1" applyNumberFormat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center" vertical="center"/>
    </xf>
    <xf numFmtId="41" fontId="6" fillId="3" borderId="3" xfId="1" applyNumberFormat="1" applyFont="1" applyFill="1" applyBorder="1" applyAlignment="1">
      <alignment vertical="center"/>
    </xf>
    <xf numFmtId="2" fontId="6" fillId="5" borderId="43" xfId="1" applyNumberFormat="1" applyFont="1" applyFill="1" applyBorder="1" applyAlignment="1">
      <alignment horizontal="right" vertical="center"/>
    </xf>
    <xf numFmtId="177" fontId="5" fillId="5" borderId="44" xfId="1" applyNumberFormat="1" applyFont="1" applyFill="1" applyBorder="1" applyAlignment="1">
      <alignment vertical="center"/>
    </xf>
    <xf numFmtId="177" fontId="5" fillId="5" borderId="44" xfId="1" applyNumberFormat="1" applyFont="1" applyFill="1" applyBorder="1" applyAlignment="1">
      <alignment horizontal="right" vertical="center"/>
    </xf>
    <xf numFmtId="176" fontId="5" fillId="5" borderId="43" xfId="1" applyNumberFormat="1" applyFont="1" applyFill="1" applyBorder="1" applyAlignment="1">
      <alignment horizontal="right" vertical="center"/>
    </xf>
    <xf numFmtId="178" fontId="5" fillId="5" borderId="43" xfId="1" applyNumberFormat="1" applyFont="1" applyFill="1" applyBorder="1" applyAlignment="1">
      <alignment vertical="center"/>
    </xf>
    <xf numFmtId="177" fontId="5" fillId="5" borderId="43" xfId="1" applyNumberFormat="1" applyFont="1" applyFill="1" applyBorder="1" applyAlignment="1">
      <alignment horizontal="center" vertical="center"/>
    </xf>
    <xf numFmtId="177" fontId="5" fillId="5" borderId="43" xfId="1" applyNumberFormat="1" applyFont="1" applyFill="1" applyBorder="1" applyAlignment="1">
      <alignment horizontal="left" vertical="center"/>
    </xf>
    <xf numFmtId="0" fontId="5" fillId="5" borderId="43" xfId="1" applyFont="1" applyFill="1" applyBorder="1" applyAlignment="1">
      <alignment horizontal="center" vertical="center"/>
    </xf>
    <xf numFmtId="41" fontId="5" fillId="5" borderId="43" xfId="1" applyNumberFormat="1" applyFont="1" applyFill="1" applyBorder="1" applyAlignment="1">
      <alignment vertical="center"/>
    </xf>
    <xf numFmtId="0" fontId="5" fillId="5" borderId="46" xfId="1" applyFont="1" applyFill="1" applyBorder="1" applyAlignment="1">
      <alignment horizontal="center" vertical="center"/>
    </xf>
    <xf numFmtId="0" fontId="5" fillId="5" borderId="47" xfId="1" applyFont="1" applyFill="1" applyBorder="1" applyAlignment="1">
      <alignment horizontal="center" vertical="center"/>
    </xf>
    <xf numFmtId="0" fontId="9" fillId="5" borderId="48" xfId="1" applyFont="1" applyFill="1" applyBorder="1" applyAlignment="1">
      <alignment horizontal="left" vertical="center"/>
    </xf>
    <xf numFmtId="177" fontId="5" fillId="2" borderId="49" xfId="1" applyNumberFormat="1" applyFont="1" applyFill="1" applyBorder="1" applyAlignment="1">
      <alignment horizontal="right" vertical="center"/>
    </xf>
    <xf numFmtId="2" fontId="6" fillId="0" borderId="9" xfId="1" applyNumberFormat="1" applyFont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178" fontId="5" fillId="3" borderId="9" xfId="1" applyNumberFormat="1" applyFont="1" applyFill="1" applyBorder="1" applyAlignment="1">
      <alignment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41" fontId="5" fillId="0" borderId="9" xfId="1" applyNumberFormat="1" applyFont="1" applyBorder="1" applyAlignment="1">
      <alignment vertical="center"/>
    </xf>
    <xf numFmtId="177" fontId="6" fillId="0" borderId="13" xfId="1" applyNumberFormat="1" applyFont="1" applyBorder="1" applyAlignment="1">
      <alignment vertical="center"/>
    </xf>
    <xf numFmtId="177" fontId="6" fillId="3" borderId="20" xfId="1" applyNumberFormat="1" applyFont="1" applyFill="1" applyBorder="1" applyAlignment="1">
      <alignment vertical="center"/>
    </xf>
    <xf numFmtId="177" fontId="6" fillId="3" borderId="20" xfId="1" applyNumberFormat="1" applyFont="1" applyFill="1" applyBorder="1" applyAlignment="1">
      <alignment horizontal="right" vertical="center"/>
    </xf>
    <xf numFmtId="176" fontId="6" fillId="3" borderId="20" xfId="1" applyNumberFormat="1" applyFont="1" applyFill="1" applyBorder="1" applyAlignment="1">
      <alignment horizontal="right" vertical="center"/>
    </xf>
    <xf numFmtId="178" fontId="6" fillId="3" borderId="20" xfId="1" applyNumberFormat="1" applyFont="1" applyFill="1" applyBorder="1" applyAlignment="1">
      <alignment vertical="center"/>
    </xf>
    <xf numFmtId="0" fontId="6" fillId="3" borderId="29" xfId="1" applyFont="1" applyFill="1" applyBorder="1" applyAlignment="1">
      <alignment horizontal="center" vertical="center"/>
    </xf>
    <xf numFmtId="0" fontId="6" fillId="3" borderId="29" xfId="1" applyFont="1" applyFill="1" applyBorder="1" applyAlignment="1">
      <alignment horizontal="left" vertical="center"/>
    </xf>
    <xf numFmtId="177" fontId="6" fillId="0" borderId="52" xfId="1" applyNumberFormat="1" applyFont="1" applyBorder="1" applyAlignment="1">
      <alignment vertical="center"/>
    </xf>
    <xf numFmtId="177" fontId="6" fillId="3" borderId="52" xfId="1" applyNumberFormat="1" applyFont="1" applyFill="1" applyBorder="1" applyAlignment="1">
      <alignment vertical="center"/>
    </xf>
    <xf numFmtId="177" fontId="6" fillId="3" borderId="52" xfId="1" applyNumberFormat="1" applyFont="1" applyFill="1" applyBorder="1" applyAlignment="1">
      <alignment horizontal="right" vertical="center"/>
    </xf>
    <xf numFmtId="176" fontId="6" fillId="3" borderId="52" xfId="1" applyNumberFormat="1" applyFont="1" applyFill="1" applyBorder="1" applyAlignment="1">
      <alignment horizontal="right" vertical="center"/>
    </xf>
    <xf numFmtId="178" fontId="6" fillId="3" borderId="52" xfId="1" applyNumberFormat="1" applyFont="1" applyFill="1" applyBorder="1" applyAlignment="1">
      <alignment vertical="center"/>
    </xf>
    <xf numFmtId="0" fontId="6" fillId="3" borderId="52" xfId="1" applyFont="1" applyFill="1" applyBorder="1" applyAlignment="1">
      <alignment horizontal="center" vertical="center"/>
    </xf>
    <xf numFmtId="0" fontId="6" fillId="3" borderId="52" xfId="1" applyFont="1" applyFill="1" applyBorder="1" applyAlignment="1">
      <alignment horizontal="left" vertical="center"/>
    </xf>
    <xf numFmtId="0" fontId="6" fillId="0" borderId="52" xfId="1" applyFont="1" applyBorder="1" applyAlignment="1">
      <alignment horizontal="center" vertical="center"/>
    </xf>
    <xf numFmtId="41" fontId="6" fillId="0" borderId="52" xfId="1" applyNumberFormat="1" applyFont="1" applyBorder="1" applyAlignment="1">
      <alignment vertical="center"/>
    </xf>
    <xf numFmtId="177" fontId="6" fillId="0" borderId="5" xfId="1" applyNumberFormat="1" applyFont="1" applyBorder="1" applyAlignment="1">
      <alignment vertical="center"/>
    </xf>
    <xf numFmtId="41" fontId="6" fillId="0" borderId="5" xfId="1" applyNumberFormat="1" applyFont="1" applyBorder="1" applyAlignment="1">
      <alignment vertical="center"/>
    </xf>
    <xf numFmtId="177" fontId="5" fillId="3" borderId="19" xfId="1" applyNumberFormat="1" applyFont="1" applyFill="1" applyBorder="1" applyAlignment="1">
      <alignment horizontal="right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left" vertical="center"/>
    </xf>
    <xf numFmtId="177" fontId="5" fillId="3" borderId="16" xfId="1" applyNumberFormat="1" applyFont="1" applyFill="1" applyBorder="1" applyAlignment="1">
      <alignment vertical="center"/>
    </xf>
    <xf numFmtId="2" fontId="6" fillId="0" borderId="3" xfId="1" applyNumberFormat="1" applyFont="1" applyBorder="1" applyAlignment="1">
      <alignment horizontal="right" vertical="center"/>
    </xf>
    <xf numFmtId="177" fontId="5" fillId="3" borderId="3" xfId="1" applyNumberFormat="1" applyFont="1" applyFill="1" applyBorder="1" applyAlignment="1">
      <alignment vertical="center"/>
    </xf>
    <xf numFmtId="177" fontId="5" fillId="3" borderId="3" xfId="1" applyNumberFormat="1" applyFont="1" applyFill="1" applyBorder="1" applyAlignment="1">
      <alignment horizontal="right" vertical="center"/>
    </xf>
    <xf numFmtId="176" fontId="5" fillId="3" borderId="3" xfId="1" applyNumberFormat="1" applyFont="1" applyFill="1" applyBorder="1" applyAlignment="1">
      <alignment horizontal="right" vertical="center"/>
    </xf>
    <xf numFmtId="178" fontId="5" fillId="3" borderId="3" xfId="1" applyNumberFormat="1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41" fontId="5" fillId="0" borderId="3" xfId="1" applyNumberFormat="1" applyFont="1" applyBorder="1" applyAlignment="1">
      <alignment vertical="center"/>
    </xf>
    <xf numFmtId="177" fontId="5" fillId="2" borderId="6" xfId="1" applyNumberFormat="1" applyFont="1" applyFill="1" applyBorder="1" applyAlignment="1">
      <alignment horizontal="right" vertical="center"/>
    </xf>
    <xf numFmtId="2" fontId="6" fillId="5" borderId="29" xfId="1" applyNumberFormat="1" applyFont="1" applyFill="1" applyBorder="1" applyAlignment="1">
      <alignment horizontal="right" vertical="center"/>
    </xf>
    <xf numFmtId="177" fontId="5" fillId="5" borderId="29" xfId="1" applyNumberFormat="1" applyFont="1" applyFill="1" applyBorder="1" applyAlignment="1">
      <alignment vertical="center"/>
    </xf>
    <xf numFmtId="177" fontId="5" fillId="5" borderId="29" xfId="1" applyNumberFormat="1" applyFont="1" applyFill="1" applyBorder="1" applyAlignment="1">
      <alignment horizontal="right" vertical="center"/>
    </xf>
    <xf numFmtId="176" fontId="5" fillId="5" borderId="29" xfId="1" applyNumberFormat="1" applyFont="1" applyFill="1" applyBorder="1" applyAlignment="1">
      <alignment horizontal="right" vertical="center"/>
    </xf>
    <xf numFmtId="178" fontId="5" fillId="5" borderId="29" xfId="1" applyNumberFormat="1" applyFont="1" applyFill="1" applyBorder="1" applyAlignment="1">
      <alignment vertical="center"/>
    </xf>
    <xf numFmtId="177" fontId="5" fillId="5" borderId="29" xfId="1" applyNumberFormat="1" applyFont="1" applyFill="1" applyBorder="1" applyAlignment="1">
      <alignment horizontal="center" vertical="center"/>
    </xf>
    <xf numFmtId="177" fontId="5" fillId="5" borderId="29" xfId="1" applyNumberFormat="1" applyFont="1" applyFill="1" applyBorder="1" applyAlignment="1">
      <alignment horizontal="left" vertical="center"/>
    </xf>
    <xf numFmtId="0" fontId="5" fillId="5" borderId="29" xfId="1" applyFont="1" applyFill="1" applyBorder="1" applyAlignment="1">
      <alignment horizontal="center" vertical="center"/>
    </xf>
    <xf numFmtId="41" fontId="5" fillId="5" borderId="29" xfId="1" applyNumberFormat="1" applyFont="1" applyFill="1" applyBorder="1" applyAlignment="1">
      <alignment vertical="center"/>
    </xf>
    <xf numFmtId="0" fontId="5" fillId="5" borderId="3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177" fontId="5" fillId="2" borderId="54" xfId="1" applyNumberFormat="1" applyFont="1" applyFill="1" applyBorder="1" applyAlignment="1">
      <alignment horizontal="right" vertical="center"/>
    </xf>
    <xf numFmtId="2" fontId="6" fillId="3" borderId="55" xfId="1" applyNumberFormat="1" applyFont="1" applyFill="1" applyBorder="1" applyAlignment="1">
      <alignment horizontal="right" vertical="center"/>
    </xf>
    <xf numFmtId="177" fontId="5" fillId="3" borderId="55" xfId="1" applyNumberFormat="1" applyFont="1" applyFill="1" applyBorder="1" applyAlignment="1">
      <alignment vertical="center"/>
    </xf>
    <xf numFmtId="177" fontId="5" fillId="3" borderId="55" xfId="1" applyNumberFormat="1" applyFont="1" applyFill="1" applyBorder="1" applyAlignment="1">
      <alignment horizontal="right" vertical="center"/>
    </xf>
    <xf numFmtId="176" fontId="5" fillId="3" borderId="55" xfId="1" applyNumberFormat="1" applyFont="1" applyFill="1" applyBorder="1" applyAlignment="1">
      <alignment horizontal="right" vertical="center"/>
    </xf>
    <xf numFmtId="178" fontId="5" fillId="3" borderId="55" xfId="1" applyNumberFormat="1" applyFont="1" applyFill="1" applyBorder="1" applyAlignment="1">
      <alignment vertical="center"/>
    </xf>
    <xf numFmtId="177" fontId="5" fillId="3" borderId="55" xfId="1" applyNumberFormat="1" applyFont="1" applyFill="1" applyBorder="1" applyAlignment="1">
      <alignment horizontal="center" vertical="center"/>
    </xf>
    <xf numFmtId="177" fontId="5" fillId="3" borderId="55" xfId="1" applyNumberFormat="1" applyFont="1" applyFill="1" applyBorder="1" applyAlignment="1">
      <alignment horizontal="left" vertical="center"/>
    </xf>
    <xf numFmtId="0" fontId="5" fillId="3" borderId="55" xfId="1" applyFont="1" applyFill="1" applyBorder="1" applyAlignment="1">
      <alignment horizontal="center" vertical="center"/>
    </xf>
    <xf numFmtId="41" fontId="5" fillId="0" borderId="55" xfId="1" applyNumberFormat="1" applyFont="1" applyBorder="1" applyAlignment="1">
      <alignment vertical="center"/>
    </xf>
    <xf numFmtId="0" fontId="5" fillId="0" borderId="57" xfId="1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177" fontId="5" fillId="2" borderId="60" xfId="1" applyNumberFormat="1" applyFont="1" applyFill="1" applyBorder="1" applyAlignment="1">
      <alignment horizontal="right" vertical="center"/>
    </xf>
    <xf numFmtId="2" fontId="6" fillId="3" borderId="61" xfId="1" applyNumberFormat="1" applyFont="1" applyFill="1" applyBorder="1" applyAlignment="1">
      <alignment horizontal="right" vertical="center"/>
    </xf>
    <xf numFmtId="177" fontId="5" fillId="3" borderId="17" xfId="1" applyNumberFormat="1" applyFont="1" applyFill="1" applyBorder="1" applyAlignment="1">
      <alignment horizontal="right" vertical="center"/>
    </xf>
    <xf numFmtId="176" fontId="5" fillId="3" borderId="17" xfId="1" applyNumberFormat="1" applyFont="1" applyFill="1" applyBorder="1" applyAlignment="1">
      <alignment horizontal="right" vertical="center"/>
    </xf>
    <xf numFmtId="178" fontId="5" fillId="3" borderId="17" xfId="1" applyNumberFormat="1" applyFont="1" applyFill="1" applyBorder="1" applyAlignment="1">
      <alignment vertical="center"/>
    </xf>
    <xf numFmtId="177" fontId="5" fillId="3" borderId="17" xfId="1" applyNumberFormat="1" applyFont="1" applyFill="1" applyBorder="1" applyAlignment="1">
      <alignment horizontal="center" vertical="center"/>
    </xf>
    <xf numFmtId="177" fontId="5" fillId="3" borderId="17" xfId="1" applyNumberFormat="1" applyFont="1" applyFill="1" applyBorder="1" applyAlignment="1">
      <alignment horizontal="left" vertical="center"/>
    </xf>
    <xf numFmtId="0" fontId="5" fillId="3" borderId="61" xfId="1" applyFont="1" applyFill="1" applyBorder="1" applyAlignment="1">
      <alignment horizontal="center" vertical="center"/>
    </xf>
    <xf numFmtId="41" fontId="5" fillId="0" borderId="17" xfId="1" applyNumberFormat="1" applyFont="1" applyBorder="1" applyAlignment="1">
      <alignment vertical="center"/>
    </xf>
    <xf numFmtId="2" fontId="6" fillId="3" borderId="9" xfId="1" applyNumberFormat="1" applyFont="1" applyFill="1" applyBorder="1" applyAlignment="1">
      <alignment horizontal="right" vertical="center"/>
    </xf>
    <xf numFmtId="177" fontId="5" fillId="3" borderId="9" xfId="1" applyNumberFormat="1" applyFont="1" applyFill="1" applyBorder="1" applyAlignment="1">
      <alignment vertical="center"/>
    </xf>
    <xf numFmtId="177" fontId="5" fillId="3" borderId="9" xfId="1" applyNumberFormat="1" applyFont="1" applyFill="1" applyBorder="1" applyAlignment="1">
      <alignment horizontal="right" vertical="center"/>
    </xf>
    <xf numFmtId="177" fontId="5" fillId="3" borderId="9" xfId="1" applyNumberFormat="1" applyFont="1" applyFill="1" applyBorder="1" applyAlignment="1">
      <alignment horizontal="center" vertical="center"/>
    </xf>
    <xf numFmtId="177" fontId="5" fillId="3" borderId="9" xfId="1" applyNumberFormat="1" applyFont="1" applyFill="1" applyBorder="1" applyAlignment="1">
      <alignment horizontal="left" vertical="center"/>
    </xf>
    <xf numFmtId="2" fontId="6" fillId="3" borderId="13" xfId="1" applyNumberFormat="1" applyFont="1" applyFill="1" applyBorder="1" applyAlignment="1">
      <alignment horizontal="right" vertical="center"/>
    </xf>
    <xf numFmtId="177" fontId="5" fillId="3" borderId="20" xfId="1" applyNumberFormat="1" applyFont="1" applyFill="1" applyBorder="1" applyAlignment="1">
      <alignment horizontal="center" vertical="center"/>
    </xf>
    <xf numFmtId="177" fontId="5" fillId="3" borderId="13" xfId="1" applyNumberFormat="1" applyFont="1" applyFill="1" applyBorder="1" applyAlignment="1">
      <alignment horizontal="left" vertical="center"/>
    </xf>
    <xf numFmtId="177" fontId="5" fillId="3" borderId="13" xfId="1" applyNumberFormat="1" applyFont="1" applyFill="1" applyBorder="1" applyAlignment="1">
      <alignment horizontal="center" vertical="center"/>
    </xf>
    <xf numFmtId="0" fontId="5" fillId="0" borderId="67" xfId="1" applyFont="1" applyBorder="1" applyAlignment="1">
      <alignment horizontal="center" vertical="center"/>
    </xf>
    <xf numFmtId="177" fontId="5" fillId="2" borderId="63" xfId="1" applyNumberFormat="1" applyFont="1" applyFill="1" applyBorder="1" applyAlignment="1">
      <alignment horizontal="right" vertical="center"/>
    </xf>
    <xf numFmtId="2" fontId="6" fillId="0" borderId="17" xfId="1" applyNumberFormat="1" applyFont="1" applyBorder="1" applyAlignment="1">
      <alignment horizontal="right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left" vertical="center"/>
    </xf>
    <xf numFmtId="0" fontId="5" fillId="0" borderId="17" xfId="1" applyFont="1" applyBorder="1" applyAlignment="1">
      <alignment horizontal="center" vertical="center"/>
    </xf>
    <xf numFmtId="177" fontId="5" fillId="3" borderId="52" xfId="1" applyNumberFormat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left" vertical="center"/>
    </xf>
    <xf numFmtId="0" fontId="5" fillId="0" borderId="71" xfId="1" applyFont="1" applyBorder="1" applyAlignment="1">
      <alignment horizontal="center" vertical="center"/>
    </xf>
    <xf numFmtId="177" fontId="5" fillId="3" borderId="29" xfId="1" applyNumberFormat="1" applyFont="1" applyFill="1" applyBorder="1" applyAlignment="1">
      <alignment vertical="center"/>
    </xf>
    <xf numFmtId="177" fontId="5" fillId="3" borderId="29" xfId="1" applyNumberFormat="1" applyFont="1" applyFill="1" applyBorder="1" applyAlignment="1">
      <alignment horizontal="righ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left" vertical="center"/>
    </xf>
    <xf numFmtId="0" fontId="5" fillId="0" borderId="72" xfId="1" applyFont="1" applyBorder="1" applyAlignment="1">
      <alignment horizontal="center" vertical="center"/>
    </xf>
    <xf numFmtId="177" fontId="5" fillId="3" borderId="17" xfId="1" applyNumberFormat="1" applyFont="1" applyFill="1" applyBorder="1" applyAlignment="1">
      <alignment vertical="center"/>
    </xf>
    <xf numFmtId="177" fontId="5" fillId="3" borderId="61" xfId="1" applyNumberFormat="1" applyFont="1" applyFill="1" applyBorder="1" applyAlignment="1">
      <alignment horizontal="right" vertical="center"/>
    </xf>
    <xf numFmtId="177" fontId="5" fillId="3" borderId="77" xfId="1" applyNumberFormat="1" applyFont="1" applyFill="1" applyBorder="1" applyAlignment="1">
      <alignment vertical="center"/>
    </xf>
    <xf numFmtId="177" fontId="5" fillId="3" borderId="77" xfId="1" applyNumberFormat="1" applyFont="1" applyFill="1" applyBorder="1" applyAlignment="1">
      <alignment horizontal="right" vertical="center"/>
    </xf>
    <xf numFmtId="177" fontId="5" fillId="3" borderId="52" xfId="1" applyNumberFormat="1" applyFont="1" applyFill="1" applyBorder="1" applyAlignment="1">
      <alignment horizontal="center" vertical="center"/>
    </xf>
    <xf numFmtId="177" fontId="5" fillId="3" borderId="30" xfId="1" applyNumberFormat="1" applyFont="1" applyFill="1" applyBorder="1" applyAlignment="1">
      <alignment horizontal="left" vertical="center"/>
    </xf>
    <xf numFmtId="178" fontId="5" fillId="3" borderId="0" xfId="1" applyNumberFormat="1" applyFont="1" applyFill="1" applyAlignment="1">
      <alignment vertical="center"/>
    </xf>
    <xf numFmtId="177" fontId="5" fillId="3" borderId="5" xfId="1" applyNumberFormat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178" fontId="5" fillId="3" borderId="62" xfId="1" applyNumberFormat="1" applyFont="1" applyFill="1" applyBorder="1" applyAlignment="1">
      <alignment vertical="center"/>
    </xf>
    <xf numFmtId="0" fontId="5" fillId="3" borderId="78" xfId="1" applyFont="1" applyFill="1" applyBorder="1" applyAlignment="1">
      <alignment horizontal="center" vertical="center"/>
    </xf>
    <xf numFmtId="0" fontId="5" fillId="3" borderId="63" xfId="1" applyFont="1" applyFill="1" applyBorder="1" applyAlignment="1">
      <alignment horizontal="left" vertical="center"/>
    </xf>
    <xf numFmtId="0" fontId="5" fillId="3" borderId="52" xfId="1" applyFont="1" applyFill="1" applyBorder="1" applyAlignment="1">
      <alignment horizontal="center" vertical="center"/>
    </xf>
    <xf numFmtId="177" fontId="5" fillId="6" borderId="13" xfId="1" applyNumberFormat="1" applyFont="1" applyFill="1" applyBorder="1" applyAlignment="1">
      <alignment vertical="center"/>
    </xf>
    <xf numFmtId="178" fontId="5" fillId="3" borderId="33" xfId="1" applyNumberFormat="1" applyFont="1" applyFill="1" applyBorder="1" applyAlignment="1">
      <alignment vertical="center"/>
    </xf>
    <xf numFmtId="0" fontId="5" fillId="3" borderId="79" xfId="1" applyFont="1" applyFill="1" applyBorder="1" applyAlignment="1">
      <alignment horizontal="left" vertical="center"/>
    </xf>
    <xf numFmtId="0" fontId="5" fillId="0" borderId="80" xfId="1" applyFont="1" applyBorder="1" applyAlignment="1">
      <alignment horizontal="center" vertical="center"/>
    </xf>
    <xf numFmtId="0" fontId="5" fillId="3" borderId="60" xfId="1" applyFont="1" applyFill="1" applyBorder="1" applyAlignment="1">
      <alignment horizontal="left" vertical="center"/>
    </xf>
    <xf numFmtId="0" fontId="5" fillId="0" borderId="82" xfId="1" applyFont="1" applyBorder="1" applyAlignment="1">
      <alignment horizontal="center" vertical="center"/>
    </xf>
    <xf numFmtId="177" fontId="5" fillId="3" borderId="19" xfId="1" applyNumberFormat="1" applyFont="1" applyFill="1" applyBorder="1" applyAlignment="1">
      <alignment horizontal="center" vertical="center"/>
    </xf>
    <xf numFmtId="177" fontId="5" fillId="3" borderId="49" xfId="1" applyNumberFormat="1" applyFont="1" applyFill="1" applyBorder="1" applyAlignment="1">
      <alignment horizontal="left" vertical="center"/>
    </xf>
    <xf numFmtId="177" fontId="5" fillId="3" borderId="24" xfId="1" applyNumberFormat="1" applyFont="1" applyFill="1" applyBorder="1" applyAlignment="1">
      <alignment horizontal="center" vertical="center"/>
    </xf>
    <xf numFmtId="177" fontId="5" fillId="2" borderId="88" xfId="1" applyNumberFormat="1" applyFont="1" applyFill="1" applyBorder="1" applyAlignment="1">
      <alignment horizontal="right" vertical="center"/>
    </xf>
    <xf numFmtId="2" fontId="6" fillId="5" borderId="89" xfId="1" applyNumberFormat="1" applyFont="1" applyFill="1" applyBorder="1" applyAlignment="1">
      <alignment horizontal="right" vertical="center"/>
    </xf>
    <xf numFmtId="177" fontId="5" fillId="5" borderId="89" xfId="1" applyNumberFormat="1" applyFont="1" applyFill="1" applyBorder="1" applyAlignment="1">
      <alignment vertical="center"/>
    </xf>
    <xf numFmtId="177" fontId="5" fillId="5" borderId="89" xfId="1" applyNumberFormat="1" applyFont="1" applyFill="1" applyBorder="1" applyAlignment="1">
      <alignment horizontal="right" vertical="center"/>
    </xf>
    <xf numFmtId="176" fontId="5" fillId="5" borderId="89" xfId="1" applyNumberFormat="1" applyFont="1" applyFill="1" applyBorder="1" applyAlignment="1">
      <alignment horizontal="right" vertical="center"/>
    </xf>
    <xf numFmtId="178" fontId="5" fillId="5" borderId="89" xfId="1" applyNumberFormat="1" applyFont="1" applyFill="1" applyBorder="1" applyAlignment="1">
      <alignment vertical="center"/>
    </xf>
    <xf numFmtId="177" fontId="5" fillId="5" borderId="89" xfId="1" applyNumberFormat="1" applyFont="1" applyFill="1" applyBorder="1" applyAlignment="1">
      <alignment horizontal="center" vertical="center"/>
    </xf>
    <xf numFmtId="177" fontId="5" fillId="5" borderId="89" xfId="1" applyNumberFormat="1" applyFont="1" applyFill="1" applyBorder="1" applyAlignment="1">
      <alignment horizontal="left" vertical="center"/>
    </xf>
    <xf numFmtId="0" fontId="5" fillId="5" borderId="89" xfId="1" applyFont="1" applyFill="1" applyBorder="1" applyAlignment="1">
      <alignment horizontal="center" vertical="center"/>
    </xf>
    <xf numFmtId="41" fontId="5" fillId="5" borderId="89" xfId="1" applyNumberFormat="1" applyFont="1" applyFill="1" applyBorder="1" applyAlignment="1">
      <alignment vertical="center"/>
    </xf>
    <xf numFmtId="0" fontId="5" fillId="5" borderId="90" xfId="1" applyFont="1" applyFill="1" applyBorder="1" applyAlignment="1">
      <alignment horizontal="center" vertical="center"/>
    </xf>
    <xf numFmtId="0" fontId="5" fillId="5" borderId="88" xfId="1" applyFont="1" applyFill="1" applyBorder="1" applyAlignment="1">
      <alignment horizontal="center" vertical="center"/>
    </xf>
    <xf numFmtId="0" fontId="9" fillId="5" borderId="91" xfId="1" applyFont="1" applyFill="1" applyBorder="1" applyAlignment="1">
      <alignment horizontal="left" vertical="center"/>
    </xf>
    <xf numFmtId="41" fontId="5" fillId="3" borderId="9" xfId="1" applyNumberFormat="1" applyFont="1" applyFill="1" applyBorder="1" applyAlignment="1">
      <alignment vertical="center"/>
    </xf>
    <xf numFmtId="41" fontId="5" fillId="3" borderId="13" xfId="1" applyNumberFormat="1" applyFont="1" applyFill="1" applyBorder="1" applyAlignment="1">
      <alignment vertical="center"/>
    </xf>
    <xf numFmtId="178" fontId="5" fillId="3" borderId="52" xfId="1" applyNumberFormat="1" applyFont="1" applyFill="1" applyBorder="1" applyAlignment="1">
      <alignment vertical="center"/>
    </xf>
    <xf numFmtId="177" fontId="5" fillId="3" borderId="52" xfId="1" applyNumberFormat="1" applyFont="1" applyFill="1" applyBorder="1" applyAlignment="1">
      <alignment horizontal="left" vertical="center"/>
    </xf>
    <xf numFmtId="0" fontId="5" fillId="0" borderId="70" xfId="1" applyFont="1" applyBorder="1" applyAlignment="1">
      <alignment horizontal="center" vertical="center"/>
    </xf>
    <xf numFmtId="2" fontId="6" fillId="3" borderId="17" xfId="1" applyNumberFormat="1" applyFont="1" applyFill="1" applyBorder="1" applyAlignment="1">
      <alignment horizontal="right" vertical="center"/>
    </xf>
    <xf numFmtId="177" fontId="5" fillId="3" borderId="61" xfId="1" applyNumberFormat="1" applyFont="1" applyFill="1" applyBorder="1" applyAlignment="1">
      <alignment horizontal="center" vertical="center"/>
    </xf>
    <xf numFmtId="177" fontId="5" fillId="3" borderId="61" xfId="1" applyNumberFormat="1" applyFont="1" applyFill="1" applyBorder="1" applyAlignment="1">
      <alignment horizontal="left" vertical="center"/>
    </xf>
    <xf numFmtId="41" fontId="5" fillId="3" borderId="17" xfId="1" applyNumberFormat="1" applyFont="1" applyFill="1" applyBorder="1" applyAlignment="1">
      <alignment vertical="center"/>
    </xf>
    <xf numFmtId="177" fontId="6" fillId="3" borderId="13" xfId="1" applyNumberFormat="1" applyFont="1" applyFill="1" applyBorder="1" applyAlignment="1">
      <alignment vertical="center"/>
    </xf>
    <xf numFmtId="177" fontId="6" fillId="3" borderId="13" xfId="1" applyNumberFormat="1" applyFont="1" applyFill="1" applyBorder="1" applyAlignment="1">
      <alignment horizontal="center" vertical="center"/>
    </xf>
    <xf numFmtId="177" fontId="6" fillId="3" borderId="13" xfId="1" applyNumberFormat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center" vertical="center"/>
    </xf>
    <xf numFmtId="41" fontId="6" fillId="3" borderId="13" xfId="1" applyNumberFormat="1" applyFont="1" applyFill="1" applyBorder="1" applyAlignment="1">
      <alignment vertical="center"/>
    </xf>
    <xf numFmtId="176" fontId="5" fillId="0" borderId="13" xfId="1" applyNumberFormat="1" applyFont="1" applyBorder="1" applyAlignment="1">
      <alignment horizontal="right" vertical="center"/>
    </xf>
    <xf numFmtId="178" fontId="5" fillId="0" borderId="13" xfId="1" applyNumberFormat="1" applyFont="1" applyBorder="1" applyAlignment="1">
      <alignment vertical="center"/>
    </xf>
    <xf numFmtId="176" fontId="6" fillId="0" borderId="13" xfId="1" applyNumberFormat="1" applyFont="1" applyBorder="1" applyAlignment="1">
      <alignment horizontal="right" vertical="center"/>
    </xf>
    <xf numFmtId="178" fontId="6" fillId="0" borderId="13" xfId="1" applyNumberFormat="1" applyFont="1" applyBorder="1" applyAlignment="1">
      <alignment vertical="center"/>
    </xf>
    <xf numFmtId="176" fontId="5" fillId="0" borderId="17" xfId="1" applyNumberFormat="1" applyFont="1" applyBorder="1" applyAlignment="1">
      <alignment horizontal="right" vertical="center"/>
    </xf>
    <xf numFmtId="178" fontId="5" fillId="0" borderId="17" xfId="1" applyNumberFormat="1" applyFont="1" applyBorder="1" applyAlignment="1">
      <alignment vertical="center"/>
    </xf>
    <xf numFmtId="0" fontId="5" fillId="0" borderId="95" xfId="1" applyFont="1" applyBorder="1" applyAlignment="1">
      <alignment horizontal="center" vertical="center"/>
    </xf>
    <xf numFmtId="2" fontId="6" fillId="3" borderId="16" xfId="1" applyNumberFormat="1" applyFont="1" applyFill="1" applyBorder="1" applyAlignment="1">
      <alignment horizontal="right" vertical="center"/>
    </xf>
    <xf numFmtId="180" fontId="5" fillId="3" borderId="5" xfId="1" applyNumberFormat="1" applyFont="1" applyFill="1" applyBorder="1" applyAlignment="1">
      <alignment horizontal="center" vertical="center"/>
    </xf>
    <xf numFmtId="177" fontId="5" fillId="3" borderId="16" xfId="1" applyNumberFormat="1" applyFont="1" applyFill="1" applyBorder="1" applyAlignment="1">
      <alignment horizontal="left" vertical="center"/>
    </xf>
    <xf numFmtId="41" fontId="5" fillId="3" borderId="16" xfId="1" applyNumberFormat="1" applyFont="1" applyFill="1" applyBorder="1" applyAlignment="1">
      <alignment vertical="center"/>
    </xf>
    <xf numFmtId="0" fontId="5" fillId="0" borderId="96" xfId="1" applyFont="1" applyBorder="1" applyAlignment="1">
      <alignment horizontal="center" vertical="center"/>
    </xf>
    <xf numFmtId="178" fontId="5" fillId="3" borderId="98" xfId="1" applyNumberFormat="1" applyFont="1" applyFill="1" applyBorder="1" applyAlignment="1">
      <alignment vertical="center"/>
    </xf>
    <xf numFmtId="0" fontId="5" fillId="0" borderId="69" xfId="1" applyFont="1" applyBorder="1" applyAlignment="1">
      <alignment horizontal="center" vertical="center"/>
    </xf>
    <xf numFmtId="176" fontId="5" fillId="3" borderId="4" xfId="1" applyNumberFormat="1" applyFont="1" applyFill="1" applyBorder="1" applyAlignment="1">
      <alignment horizontal="right" vertical="center"/>
    </xf>
    <xf numFmtId="177" fontId="5" fillId="3" borderId="5" xfId="1" applyNumberFormat="1" applyFont="1" applyFill="1" applyBorder="1" applyAlignment="1">
      <alignment horizontal="left" vertical="center"/>
    </xf>
    <xf numFmtId="177" fontId="5" fillId="2" borderId="37" xfId="1" applyNumberFormat="1" applyFont="1" applyFill="1" applyBorder="1" applyAlignment="1">
      <alignment horizontal="right" vertical="center"/>
    </xf>
    <xf numFmtId="2" fontId="6" fillId="3" borderId="4" xfId="1" applyNumberFormat="1" applyFont="1" applyFill="1" applyBorder="1" applyAlignment="1">
      <alignment horizontal="right" vertical="center"/>
    </xf>
    <xf numFmtId="178" fontId="5" fillId="3" borderId="4" xfId="1" applyNumberFormat="1" applyFont="1" applyFill="1" applyBorder="1" applyAlignment="1">
      <alignment vertical="center"/>
    </xf>
    <xf numFmtId="0" fontId="5" fillId="3" borderId="4" xfId="1" applyFont="1" applyFill="1" applyBorder="1" applyAlignment="1">
      <alignment horizontal="center" vertical="center"/>
    </xf>
    <xf numFmtId="41" fontId="5" fillId="3" borderId="4" xfId="1" applyNumberFormat="1" applyFont="1" applyFill="1" applyBorder="1" applyAlignment="1">
      <alignment vertical="center"/>
    </xf>
    <xf numFmtId="176" fontId="5" fillId="3" borderId="29" xfId="1" applyNumberFormat="1" applyFont="1" applyFill="1" applyBorder="1" applyAlignment="1">
      <alignment horizontal="right" vertical="center"/>
    </xf>
    <xf numFmtId="178" fontId="5" fillId="3" borderId="29" xfId="1" applyNumberFormat="1" applyFont="1" applyFill="1" applyBorder="1" applyAlignment="1">
      <alignment vertical="center"/>
    </xf>
    <xf numFmtId="41" fontId="5" fillId="3" borderId="29" xfId="1" applyNumberFormat="1" applyFont="1" applyFill="1" applyBorder="1" applyAlignment="1">
      <alignment vertical="center"/>
    </xf>
    <xf numFmtId="177" fontId="5" fillId="2" borderId="101" xfId="1" applyNumberFormat="1" applyFont="1" applyFill="1" applyBorder="1" applyAlignment="1">
      <alignment horizontal="right" vertical="center"/>
    </xf>
    <xf numFmtId="41" fontId="6" fillId="3" borderId="24" xfId="1" applyNumberFormat="1" applyFont="1" applyFill="1" applyBorder="1" applyAlignment="1">
      <alignment vertical="center"/>
    </xf>
    <xf numFmtId="0" fontId="6" fillId="0" borderId="102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77" fontId="5" fillId="2" borderId="41" xfId="1" applyNumberFormat="1" applyFont="1" applyFill="1" applyBorder="1" applyAlignment="1">
      <alignment horizontal="right" vertical="center"/>
    </xf>
    <xf numFmtId="41" fontId="6" fillId="3" borderId="17" xfId="1" applyNumberFormat="1" applyFont="1" applyFill="1" applyBorder="1" applyAlignment="1">
      <alignment vertical="center"/>
    </xf>
    <xf numFmtId="0" fontId="6" fillId="0" borderId="104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2" fontId="6" fillId="3" borderId="20" xfId="1" applyNumberFormat="1" applyFont="1" applyFill="1" applyBorder="1" applyAlignment="1">
      <alignment horizontal="right" vertical="center"/>
    </xf>
    <xf numFmtId="177" fontId="5" fillId="3" borderId="20" xfId="1" applyNumberFormat="1" applyFont="1" applyFill="1" applyBorder="1" applyAlignment="1">
      <alignment horizontal="left" vertical="center"/>
    </xf>
    <xf numFmtId="41" fontId="5" fillId="3" borderId="20" xfId="1" applyNumberFormat="1" applyFont="1" applyFill="1" applyBorder="1" applyAlignment="1">
      <alignment vertical="center"/>
    </xf>
    <xf numFmtId="0" fontId="6" fillId="3" borderId="13" xfId="1" applyFont="1" applyFill="1" applyBorder="1" applyAlignment="1">
      <alignment horizontal="left" vertical="center"/>
    </xf>
    <xf numFmtId="177" fontId="5" fillId="2" borderId="13" xfId="1" applyNumberFormat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left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left" vertical="center" wrapText="1"/>
    </xf>
    <xf numFmtId="41" fontId="6" fillId="3" borderId="16" xfId="1" applyNumberFormat="1" applyFont="1" applyFill="1" applyBorder="1" applyAlignment="1">
      <alignment horizontal="left" vertical="center"/>
    </xf>
    <xf numFmtId="0" fontId="5" fillId="3" borderId="16" xfId="1" applyFont="1" applyFill="1" applyBorder="1" applyAlignment="1">
      <alignment horizontal="left" vertical="center" wrapText="1"/>
    </xf>
    <xf numFmtId="0" fontId="4" fillId="0" borderId="0" xfId="1" applyAlignment="1">
      <alignment vertical="center"/>
    </xf>
    <xf numFmtId="0" fontId="4" fillId="0" borderId="0" xfId="1" applyAlignment="1">
      <alignment vertical="center" wrapText="1"/>
    </xf>
    <xf numFmtId="178" fontId="5" fillId="3" borderId="13" xfId="1" applyNumberFormat="1" applyFont="1" applyFill="1" applyBorder="1" applyAlignment="1">
      <alignment horizontal="right" vertical="center"/>
    </xf>
    <xf numFmtId="0" fontId="6" fillId="3" borderId="3" xfId="1" applyFont="1" applyFill="1" applyBorder="1" applyAlignment="1">
      <alignment horizontal="left" vertical="center"/>
    </xf>
    <xf numFmtId="0" fontId="6" fillId="0" borderId="107" xfId="1" applyFont="1" applyBorder="1" applyAlignment="1">
      <alignment horizontal="center" vertical="center"/>
    </xf>
    <xf numFmtId="41" fontId="6" fillId="3" borderId="5" xfId="1" applyNumberFormat="1" applyFont="1" applyFill="1" applyBorder="1" applyAlignment="1">
      <alignment horizontal="center" vertical="center"/>
    </xf>
    <xf numFmtId="2" fontId="6" fillId="3" borderId="29" xfId="1" applyNumberFormat="1" applyFont="1" applyFill="1" applyBorder="1" applyAlignment="1">
      <alignment horizontal="right" vertical="center"/>
    </xf>
    <xf numFmtId="177" fontId="6" fillId="3" borderId="4" xfId="1" applyNumberFormat="1" applyFont="1" applyFill="1" applyBorder="1" applyAlignment="1">
      <alignment vertical="center"/>
    </xf>
    <xf numFmtId="177" fontId="6" fillId="3" borderId="4" xfId="1" applyNumberFormat="1" applyFont="1" applyFill="1" applyBorder="1" applyAlignment="1">
      <alignment horizontal="right" vertical="center"/>
    </xf>
    <xf numFmtId="176" fontId="6" fillId="3" borderId="4" xfId="1" applyNumberFormat="1" applyFont="1" applyFill="1" applyBorder="1" applyAlignment="1">
      <alignment horizontal="right" vertical="center"/>
    </xf>
    <xf numFmtId="178" fontId="6" fillId="3" borderId="4" xfId="1" applyNumberFormat="1" applyFont="1" applyFill="1" applyBorder="1" applyAlignment="1">
      <alignment vertical="center"/>
    </xf>
    <xf numFmtId="177" fontId="6" fillId="3" borderId="4" xfId="1" applyNumberFormat="1" applyFont="1" applyFill="1" applyBorder="1" applyAlignment="1">
      <alignment horizontal="center" vertical="center"/>
    </xf>
    <xf numFmtId="177" fontId="6" fillId="3" borderId="4" xfId="1" applyNumberFormat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center" vertical="center"/>
    </xf>
    <xf numFmtId="41" fontId="6" fillId="3" borderId="4" xfId="1" applyNumberFormat="1" applyFont="1" applyFill="1" applyBorder="1" applyAlignment="1">
      <alignment vertical="center"/>
    </xf>
    <xf numFmtId="0" fontId="7" fillId="0" borderId="0" xfId="1" applyFont="1"/>
    <xf numFmtId="177" fontId="6" fillId="3" borderId="8" xfId="1" applyNumberFormat="1" applyFont="1" applyFill="1" applyBorder="1" applyAlignment="1">
      <alignment vertical="center"/>
    </xf>
    <xf numFmtId="177" fontId="6" fillId="3" borderId="8" xfId="1" applyNumberFormat="1" applyFont="1" applyFill="1" applyBorder="1" applyAlignment="1">
      <alignment horizontal="right" vertical="center"/>
    </xf>
    <xf numFmtId="176" fontId="6" fillId="3" borderId="8" xfId="1" applyNumberFormat="1" applyFont="1" applyFill="1" applyBorder="1" applyAlignment="1">
      <alignment horizontal="right" vertical="center"/>
    </xf>
    <xf numFmtId="178" fontId="6" fillId="3" borderId="8" xfId="1" applyNumberFormat="1" applyFont="1" applyFill="1" applyBorder="1" applyAlignment="1">
      <alignment vertical="center"/>
    </xf>
    <xf numFmtId="178" fontId="6" fillId="3" borderId="10" xfId="1" applyNumberFormat="1" applyFont="1" applyFill="1" applyBorder="1" applyAlignment="1">
      <alignment vertical="center"/>
    </xf>
    <xf numFmtId="0" fontId="6" fillId="3" borderId="8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left" vertical="center"/>
    </xf>
    <xf numFmtId="41" fontId="6" fillId="3" borderId="8" xfId="1" applyNumberFormat="1" applyFont="1" applyFill="1" applyBorder="1" applyAlignment="1">
      <alignment vertical="center"/>
    </xf>
    <xf numFmtId="178" fontId="5" fillId="3" borderId="28" xfId="1" applyNumberFormat="1" applyFont="1" applyFill="1" applyBorder="1" applyAlignment="1">
      <alignment vertical="center"/>
    </xf>
    <xf numFmtId="0" fontId="5" fillId="3" borderId="18" xfId="1" applyFont="1" applyFill="1" applyBorder="1" applyAlignment="1">
      <alignment horizontal="left" vertical="center"/>
    </xf>
    <xf numFmtId="178" fontId="6" fillId="3" borderId="28" xfId="1" applyNumberFormat="1" applyFont="1" applyFill="1" applyBorder="1" applyAlignment="1">
      <alignment vertical="center"/>
    </xf>
    <xf numFmtId="0" fontId="6" fillId="3" borderId="18" xfId="1" applyFont="1" applyFill="1" applyBorder="1" applyAlignment="1">
      <alignment horizontal="left" vertical="center"/>
    </xf>
    <xf numFmtId="0" fontId="6" fillId="3" borderId="20" xfId="1" applyFont="1" applyFill="1" applyBorder="1" applyAlignment="1">
      <alignment horizontal="center" vertical="center"/>
    </xf>
    <xf numFmtId="41" fontId="6" fillId="3" borderId="20" xfId="1" applyNumberFormat="1" applyFont="1" applyFill="1" applyBorder="1" applyAlignment="1">
      <alignment vertical="center"/>
    </xf>
    <xf numFmtId="0" fontId="6" fillId="0" borderId="93" xfId="1" applyFont="1" applyBorder="1" applyAlignment="1">
      <alignment horizontal="center" vertical="center"/>
    </xf>
    <xf numFmtId="0" fontId="5" fillId="3" borderId="12" xfId="1" applyFont="1" applyFill="1" applyBorder="1" applyAlignment="1">
      <alignment horizontal="left" vertical="center"/>
    </xf>
    <xf numFmtId="178" fontId="5" fillId="3" borderId="36" xfId="1" applyNumberFormat="1" applyFont="1" applyFill="1" applyBorder="1" applyAlignment="1">
      <alignment vertical="center"/>
    </xf>
    <xf numFmtId="177" fontId="5" fillId="3" borderId="24" xfId="1" applyNumberFormat="1" applyFont="1" applyFill="1" applyBorder="1" applyAlignment="1">
      <alignment horizontal="right" vertical="center"/>
    </xf>
    <xf numFmtId="176" fontId="5" fillId="3" borderId="24" xfId="1" applyNumberFormat="1" applyFont="1" applyFill="1" applyBorder="1" applyAlignment="1">
      <alignment horizontal="right" vertical="center"/>
    </xf>
    <xf numFmtId="178" fontId="5" fillId="3" borderId="24" xfId="1" applyNumberFormat="1" applyFont="1" applyFill="1" applyBorder="1" applyAlignment="1">
      <alignment vertical="center"/>
    </xf>
    <xf numFmtId="178" fontId="5" fillId="3" borderId="109" xfId="1" applyNumberFormat="1" applyFont="1" applyFill="1" applyBorder="1" applyAlignment="1">
      <alignment vertical="center"/>
    </xf>
    <xf numFmtId="0" fontId="5" fillId="3" borderId="24" xfId="1" applyFont="1" applyFill="1" applyBorder="1" applyAlignment="1">
      <alignment horizontal="center" vertical="center"/>
    </xf>
    <xf numFmtId="41" fontId="5" fillId="3" borderId="24" xfId="1" applyNumberFormat="1" applyFont="1" applyFill="1" applyBorder="1" applyAlignment="1">
      <alignment vertical="center"/>
    </xf>
    <xf numFmtId="180" fontId="5" fillId="3" borderId="30" xfId="1" applyNumberFormat="1" applyFont="1" applyFill="1" applyBorder="1" applyAlignment="1">
      <alignment horizontal="left" vertical="center"/>
    </xf>
    <xf numFmtId="180" fontId="5" fillId="3" borderId="34" xfId="1" applyNumberFormat="1" applyFont="1" applyFill="1" applyBorder="1" applyAlignment="1">
      <alignment horizontal="left" vertical="center"/>
    </xf>
    <xf numFmtId="180" fontId="5" fillId="3" borderId="101" xfId="1" applyNumberFormat="1" applyFont="1" applyFill="1" applyBorder="1" applyAlignment="1">
      <alignment horizontal="left" vertical="center"/>
    </xf>
    <xf numFmtId="2" fontId="6" fillId="3" borderId="2" xfId="1" applyNumberFormat="1" applyFont="1" applyFill="1" applyBorder="1" applyAlignment="1">
      <alignment horizontal="right" vertical="center"/>
    </xf>
    <xf numFmtId="176" fontId="5" fillId="3" borderId="77" xfId="1" applyNumberFormat="1" applyFont="1" applyFill="1" applyBorder="1" applyAlignment="1">
      <alignment horizontal="right" vertical="center"/>
    </xf>
    <xf numFmtId="178" fontId="5" fillId="3" borderId="77" xfId="1" applyNumberFormat="1" applyFont="1" applyFill="1" applyBorder="1" applyAlignment="1">
      <alignment vertical="center"/>
    </xf>
    <xf numFmtId="178" fontId="5" fillId="3" borderId="110" xfId="1" applyNumberFormat="1" applyFont="1" applyFill="1" applyBorder="1" applyAlignment="1">
      <alignment vertical="center"/>
    </xf>
    <xf numFmtId="180" fontId="5" fillId="3" borderId="3" xfId="1" applyNumberFormat="1" applyFont="1" applyFill="1" applyBorder="1" applyAlignment="1">
      <alignment horizontal="center" vertical="center"/>
    </xf>
    <xf numFmtId="180" fontId="5" fillId="3" borderId="111" xfId="1" applyNumberFormat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/>
    </xf>
    <xf numFmtId="41" fontId="5" fillId="3" borderId="77" xfId="1" applyNumberFormat="1" applyFont="1" applyFill="1" applyBorder="1" applyAlignment="1">
      <alignment vertical="center"/>
    </xf>
    <xf numFmtId="177" fontId="5" fillId="0" borderId="8" xfId="1" applyNumberFormat="1" applyFont="1" applyBorder="1" applyAlignment="1">
      <alignment vertical="center"/>
    </xf>
    <xf numFmtId="177" fontId="5" fillId="3" borderId="8" xfId="1" applyNumberFormat="1" applyFont="1" applyFill="1" applyBorder="1" applyAlignment="1">
      <alignment horizontal="right" vertical="center"/>
    </xf>
    <xf numFmtId="176" fontId="5" fillId="3" borderId="8" xfId="1" applyNumberFormat="1" applyFont="1" applyFill="1" applyBorder="1" applyAlignment="1">
      <alignment horizontal="right" vertical="center"/>
    </xf>
    <xf numFmtId="178" fontId="5" fillId="3" borderId="8" xfId="1" applyNumberFormat="1" applyFont="1" applyFill="1" applyBorder="1" applyAlignment="1">
      <alignment vertical="center"/>
    </xf>
    <xf numFmtId="178" fontId="5" fillId="3" borderId="10" xfId="1" applyNumberFormat="1" applyFont="1" applyFill="1" applyBorder="1" applyAlignment="1">
      <alignment vertical="center"/>
    </xf>
    <xf numFmtId="177" fontId="5" fillId="3" borderId="8" xfId="1" applyNumberFormat="1" applyFont="1" applyFill="1" applyBorder="1" applyAlignment="1">
      <alignment horizontal="center" vertical="center"/>
    </xf>
    <xf numFmtId="177" fontId="5" fillId="3" borderId="7" xfId="1" applyNumberFormat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center" vertical="center"/>
    </xf>
    <xf numFmtId="41" fontId="5" fillId="3" borderId="8" xfId="1" applyNumberFormat="1" applyFont="1" applyFill="1" applyBorder="1" applyAlignment="1">
      <alignment vertical="center"/>
    </xf>
    <xf numFmtId="177" fontId="5" fillId="0" borderId="20" xfId="1" applyNumberFormat="1" applyFont="1" applyBorder="1" applyAlignment="1">
      <alignment vertical="center"/>
    </xf>
    <xf numFmtId="177" fontId="5" fillId="3" borderId="27" xfId="1" applyNumberFormat="1" applyFont="1" applyFill="1" applyBorder="1" applyAlignment="1">
      <alignment horizontal="left" vertical="center"/>
    </xf>
    <xf numFmtId="177" fontId="5" fillId="3" borderId="6" xfId="1" applyNumberFormat="1" applyFont="1" applyFill="1" applyBorder="1" applyAlignment="1">
      <alignment horizontal="left" vertical="center"/>
    </xf>
    <xf numFmtId="41" fontId="6" fillId="3" borderId="20" xfId="1" applyNumberFormat="1" applyFont="1" applyFill="1" applyBorder="1" applyAlignment="1">
      <alignment horizontal="left" vertical="center"/>
    </xf>
    <xf numFmtId="177" fontId="5" fillId="3" borderId="12" xfId="1" applyNumberFormat="1" applyFont="1" applyFill="1" applyBorder="1" applyAlignment="1">
      <alignment horizontal="left" vertical="center"/>
    </xf>
    <xf numFmtId="177" fontId="5" fillId="0" borderId="16" xfId="1" applyNumberFormat="1" applyFont="1" applyBorder="1" applyAlignment="1">
      <alignment vertical="center"/>
    </xf>
    <xf numFmtId="177" fontId="6" fillId="0" borderId="3" xfId="1" applyNumberFormat="1" applyFont="1" applyBorder="1" applyAlignment="1">
      <alignment vertical="center"/>
    </xf>
    <xf numFmtId="177" fontId="6" fillId="0" borderId="3" xfId="1" applyNumberFormat="1" applyFont="1" applyBorder="1" applyAlignment="1">
      <alignment horizontal="right" vertical="center"/>
    </xf>
    <xf numFmtId="178" fontId="6" fillId="0" borderId="3" xfId="1" applyNumberFormat="1" applyFont="1" applyBorder="1" applyAlignment="1">
      <alignment vertical="center"/>
    </xf>
    <xf numFmtId="176" fontId="6" fillId="0" borderId="3" xfId="1" applyNumberFormat="1" applyFont="1" applyBorder="1" applyAlignment="1">
      <alignment horizontal="right" vertical="center"/>
    </xf>
    <xf numFmtId="178" fontId="6" fillId="0" borderId="103" xfId="1" applyNumberFormat="1" applyFont="1" applyBorder="1" applyAlignment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39" xfId="1" applyFont="1" applyBorder="1" applyAlignment="1">
      <alignment horizontal="left" vertical="center"/>
    </xf>
    <xf numFmtId="41" fontId="6" fillId="0" borderId="3" xfId="1" applyNumberFormat="1" applyFont="1" applyBorder="1" applyAlignment="1">
      <alignment vertical="center"/>
    </xf>
    <xf numFmtId="0" fontId="5" fillId="2" borderId="113" xfId="1" applyFont="1" applyFill="1" applyBorder="1" applyAlignment="1">
      <alignment horizontal="right" vertical="center"/>
    </xf>
    <xf numFmtId="0" fontId="5" fillId="0" borderId="45" xfId="1" applyFont="1" applyBorder="1" applyAlignment="1">
      <alignment horizontal="right" vertical="center"/>
    </xf>
    <xf numFmtId="177" fontId="5" fillId="0" borderId="45" xfId="1" applyNumberFormat="1" applyFont="1" applyBorder="1" applyAlignment="1">
      <alignment vertical="center"/>
    </xf>
    <xf numFmtId="177" fontId="5" fillId="0" borderId="45" xfId="1" applyNumberFormat="1" applyFont="1" applyBorder="1" applyAlignment="1">
      <alignment horizontal="right" vertical="center"/>
    </xf>
    <xf numFmtId="178" fontId="5" fillId="0" borderId="45" xfId="1" applyNumberFormat="1" applyFont="1" applyBorder="1" applyAlignment="1">
      <alignment vertical="center"/>
    </xf>
    <xf numFmtId="176" fontId="5" fillId="0" borderId="45" xfId="1" applyNumberFormat="1" applyFont="1" applyBorder="1" applyAlignment="1">
      <alignment horizontal="right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Border="1" applyAlignment="1">
      <alignment horizontal="left" vertical="center"/>
    </xf>
    <xf numFmtId="41" fontId="5" fillId="0" borderId="45" xfId="1" applyNumberFormat="1" applyFont="1" applyBorder="1" applyAlignment="1">
      <alignment vertical="center"/>
    </xf>
    <xf numFmtId="0" fontId="5" fillId="0" borderId="114" xfId="1" applyFont="1" applyBorder="1" applyAlignment="1">
      <alignment horizontal="left" vertical="center"/>
    </xf>
    <xf numFmtId="0" fontId="5" fillId="0" borderId="115" xfId="1" applyFont="1" applyBorder="1" applyAlignment="1">
      <alignment horizontal="center" vertical="center"/>
    </xf>
    <xf numFmtId="0" fontId="9" fillId="2" borderId="116" xfId="1" applyFont="1" applyFill="1" applyBorder="1" applyAlignment="1">
      <alignment horizontal="right" vertical="center"/>
    </xf>
    <xf numFmtId="0" fontId="9" fillId="5" borderId="117" xfId="1" applyFont="1" applyFill="1" applyBorder="1" applyAlignment="1">
      <alignment horizontal="right" vertical="center"/>
    </xf>
    <xf numFmtId="177" fontId="9" fillId="5" borderId="117" xfId="1" applyNumberFormat="1" applyFont="1" applyFill="1" applyBorder="1" applyAlignment="1">
      <alignment vertical="center"/>
    </xf>
    <xf numFmtId="177" fontId="9" fillId="5" borderId="117" xfId="1" applyNumberFormat="1" applyFont="1" applyFill="1" applyBorder="1" applyAlignment="1">
      <alignment horizontal="right" vertical="center"/>
    </xf>
    <xf numFmtId="178" fontId="9" fillId="5" borderId="117" xfId="1" applyNumberFormat="1" applyFont="1" applyFill="1" applyBorder="1" applyAlignment="1">
      <alignment vertical="center"/>
    </xf>
    <xf numFmtId="176" fontId="9" fillId="5" borderId="117" xfId="1" applyNumberFormat="1" applyFont="1" applyFill="1" applyBorder="1" applyAlignment="1">
      <alignment horizontal="right" vertical="center"/>
    </xf>
    <xf numFmtId="177" fontId="9" fillId="5" borderId="117" xfId="1" applyNumberFormat="1" applyFont="1" applyFill="1" applyBorder="1" applyAlignment="1">
      <alignment horizontal="center" vertical="center"/>
    </xf>
    <xf numFmtId="177" fontId="9" fillId="5" borderId="117" xfId="1" applyNumberFormat="1" applyFont="1" applyFill="1" applyBorder="1" applyAlignment="1">
      <alignment horizontal="left" vertical="center"/>
    </xf>
    <xf numFmtId="0" fontId="9" fillId="5" borderId="117" xfId="1" applyFont="1" applyFill="1" applyBorder="1" applyAlignment="1">
      <alignment horizontal="center" vertical="center"/>
    </xf>
    <xf numFmtId="41" fontId="18" fillId="5" borderId="117" xfId="1" applyNumberFormat="1" applyFont="1" applyFill="1" applyBorder="1" applyAlignment="1">
      <alignment vertical="center"/>
    </xf>
    <xf numFmtId="0" fontId="18" fillId="5" borderId="118" xfId="1" applyFont="1" applyFill="1" applyBorder="1" applyAlignment="1">
      <alignment horizontal="left" vertical="center"/>
    </xf>
    <xf numFmtId="0" fontId="18" fillId="5" borderId="118" xfId="1" applyFont="1" applyFill="1" applyBorder="1" applyAlignment="1">
      <alignment horizontal="center" vertical="center"/>
    </xf>
    <xf numFmtId="0" fontId="18" fillId="5" borderId="116" xfId="1" applyFont="1" applyFill="1" applyBorder="1" applyAlignment="1">
      <alignment horizontal="center" vertical="center"/>
    </xf>
    <xf numFmtId="0" fontId="18" fillId="5" borderId="86" xfId="1" applyFont="1" applyFill="1" applyBorder="1" applyAlignment="1">
      <alignment horizontal="left" vertical="center"/>
    </xf>
    <xf numFmtId="0" fontId="10" fillId="2" borderId="119" xfId="1" applyFont="1" applyFill="1" applyBorder="1" applyAlignment="1">
      <alignment horizontal="center" vertical="center"/>
    </xf>
    <xf numFmtId="0" fontId="10" fillId="0" borderId="120" xfId="1" applyFont="1" applyBorder="1" applyAlignment="1">
      <alignment horizontal="center" vertical="center" wrapText="1"/>
    </xf>
    <xf numFmtId="0" fontId="10" fillId="0" borderId="119" xfId="1" applyFont="1" applyBorder="1" applyAlignment="1">
      <alignment horizontal="center" vertical="center" wrapText="1"/>
    </xf>
    <xf numFmtId="0" fontId="14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176" fontId="14" fillId="0" borderId="0" xfId="1" applyNumberFormat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4" fillId="7" borderId="136" xfId="1" applyFill="1" applyBorder="1" applyAlignment="1">
      <alignment horizontal="left" vertical="center"/>
    </xf>
    <xf numFmtId="0" fontId="4" fillId="7" borderId="133" xfId="1" applyFill="1" applyBorder="1" applyAlignment="1">
      <alignment vertical="center"/>
    </xf>
    <xf numFmtId="0" fontId="4" fillId="7" borderId="134" xfId="1" applyFill="1" applyBorder="1" applyAlignment="1">
      <alignment vertical="center"/>
    </xf>
    <xf numFmtId="0" fontId="24" fillId="7" borderId="135" xfId="1" applyFont="1" applyFill="1" applyBorder="1" applyAlignment="1">
      <alignment vertical="center"/>
    </xf>
    <xf numFmtId="0" fontId="19" fillId="0" borderId="0" xfId="1" applyFont="1" applyAlignment="1">
      <alignment horizontal="left" vertical="center"/>
    </xf>
    <xf numFmtId="0" fontId="19" fillId="0" borderId="0" xfId="1" applyFont="1" applyAlignment="1">
      <alignment horizontal="center" vertical="center"/>
    </xf>
    <xf numFmtId="181" fontId="4" fillId="0" borderId="6" xfId="1" applyNumberFormat="1" applyBorder="1"/>
    <xf numFmtId="177" fontId="6" fillId="0" borderId="3" xfId="1" applyNumberFormat="1" applyFont="1" applyBorder="1" applyAlignment="1">
      <alignment horizontal="left" vertical="center"/>
    </xf>
    <xf numFmtId="177" fontId="6" fillId="0" borderId="3" xfId="1" applyNumberFormat="1" applyFont="1" applyBorder="1" applyAlignment="1">
      <alignment horizontal="center" vertical="center"/>
    </xf>
    <xf numFmtId="177" fontId="6" fillId="0" borderId="5" xfId="1" applyNumberFormat="1" applyFont="1" applyBorder="1" applyAlignment="1">
      <alignment horizontal="left" vertical="center"/>
    </xf>
    <xf numFmtId="177" fontId="6" fillId="0" borderId="5" xfId="1" applyNumberFormat="1" applyFont="1" applyBorder="1" applyAlignment="1">
      <alignment horizontal="center" vertical="center"/>
    </xf>
    <xf numFmtId="178" fontId="6" fillId="0" borderId="5" xfId="1" applyNumberFormat="1" applyFont="1" applyBorder="1" applyAlignment="1">
      <alignment vertical="center"/>
    </xf>
    <xf numFmtId="176" fontId="6" fillId="0" borderId="5" xfId="1" applyNumberFormat="1" applyFont="1" applyBorder="1" applyAlignment="1">
      <alignment horizontal="right" vertical="center"/>
    </xf>
    <xf numFmtId="177" fontId="6" fillId="0" borderId="5" xfId="1" applyNumberFormat="1" applyFont="1" applyBorder="1" applyAlignment="1">
      <alignment horizontal="right" vertical="center"/>
    </xf>
    <xf numFmtId="0" fontId="6" fillId="0" borderId="16" xfId="1" applyFont="1" applyBorder="1" applyAlignment="1">
      <alignment horizontal="center" vertical="center"/>
    </xf>
    <xf numFmtId="0" fontId="6" fillId="0" borderId="16" xfId="1" applyFont="1" applyBorder="1" applyAlignment="1">
      <alignment horizontal="left" vertical="center"/>
    </xf>
    <xf numFmtId="178" fontId="6" fillId="0" borderId="16" xfId="1" applyNumberFormat="1" applyFont="1" applyBorder="1" applyAlignment="1">
      <alignment vertical="center"/>
    </xf>
    <xf numFmtId="176" fontId="6" fillId="0" borderId="16" xfId="1" applyNumberFormat="1" applyFont="1" applyBorder="1" applyAlignment="1">
      <alignment horizontal="right" vertical="center"/>
    </xf>
    <xf numFmtId="177" fontId="6" fillId="0" borderId="16" xfId="1" applyNumberFormat="1" applyFont="1" applyBorder="1" applyAlignment="1">
      <alignment horizontal="right" vertical="center"/>
    </xf>
    <xf numFmtId="177" fontId="6" fillId="0" borderId="16" xfId="1" applyNumberFormat="1" applyFont="1" applyBorder="1" applyAlignment="1">
      <alignment vertical="center"/>
    </xf>
    <xf numFmtId="0" fontId="5" fillId="0" borderId="16" xfId="1" applyFont="1" applyBorder="1" applyAlignment="1">
      <alignment horizontal="left" vertical="center"/>
    </xf>
    <xf numFmtId="178" fontId="5" fillId="0" borderId="16" xfId="1" applyNumberFormat="1" applyFont="1" applyBorder="1" applyAlignment="1">
      <alignment vertical="center"/>
    </xf>
    <xf numFmtId="176" fontId="5" fillId="0" borderId="16" xfId="1" applyNumberFormat="1" applyFont="1" applyBorder="1" applyAlignment="1">
      <alignment horizontal="right" vertical="center"/>
    </xf>
    <xf numFmtId="177" fontId="5" fillId="0" borderId="16" xfId="1" applyNumberFormat="1" applyFont="1" applyBorder="1" applyAlignment="1">
      <alignment horizontal="right" vertical="center"/>
    </xf>
    <xf numFmtId="177" fontId="5" fillId="4" borderId="42" xfId="1" applyNumberFormat="1" applyFont="1" applyFill="1" applyBorder="1" applyAlignment="1">
      <alignment horizontal="right" vertical="center"/>
    </xf>
    <xf numFmtId="177" fontId="5" fillId="4" borderId="39" xfId="1" applyNumberFormat="1" applyFont="1" applyFill="1" applyBorder="1" applyAlignment="1">
      <alignment horizontal="right" vertical="center"/>
    </xf>
    <xf numFmtId="177" fontId="5" fillId="4" borderId="34" xfId="1" applyNumberFormat="1" applyFont="1" applyFill="1" applyBorder="1" applyAlignment="1">
      <alignment horizontal="right" vertical="center"/>
    </xf>
    <xf numFmtId="177" fontId="5" fillId="4" borderId="30" xfId="1" applyNumberFormat="1" applyFont="1" applyFill="1" applyBorder="1" applyAlignment="1">
      <alignment horizontal="right" vertical="center"/>
    </xf>
    <xf numFmtId="41" fontId="5" fillId="3" borderId="20" xfId="1" applyNumberFormat="1" applyFont="1" applyFill="1" applyBorder="1" applyAlignment="1">
      <alignment horizontal="left" vertical="center"/>
    </xf>
    <xf numFmtId="178" fontId="4" fillId="0" borderId="0" xfId="1" applyNumberFormat="1" applyAlignment="1">
      <alignment vertical="center"/>
    </xf>
    <xf numFmtId="41" fontId="26" fillId="3" borderId="20" xfId="1" applyNumberFormat="1" applyFont="1" applyFill="1" applyBorder="1" applyAlignment="1">
      <alignment horizontal="left" vertical="center"/>
    </xf>
    <xf numFmtId="180" fontId="5" fillId="3" borderId="4" xfId="1" applyNumberFormat="1" applyFont="1" applyFill="1" applyBorder="1" applyAlignment="1">
      <alignment horizontal="center" vertical="center"/>
    </xf>
    <xf numFmtId="178" fontId="5" fillId="3" borderId="14" xfId="1" applyNumberFormat="1" applyFont="1" applyFill="1" applyBorder="1" applyAlignment="1">
      <alignment vertical="center"/>
    </xf>
    <xf numFmtId="178" fontId="5" fillId="3" borderId="137" xfId="1" applyNumberFormat="1" applyFont="1" applyFill="1" applyBorder="1" applyAlignment="1">
      <alignment vertical="center"/>
    </xf>
    <xf numFmtId="178" fontId="6" fillId="3" borderId="137" xfId="1" applyNumberFormat="1" applyFont="1" applyFill="1" applyBorder="1" applyAlignment="1">
      <alignment vertical="center"/>
    </xf>
    <xf numFmtId="0" fontId="26" fillId="3" borderId="5" xfId="1" applyFont="1" applyFill="1" applyBorder="1" applyAlignment="1">
      <alignment horizontal="center" vertical="center"/>
    </xf>
    <xf numFmtId="180" fontId="5" fillId="3" borderId="19" xfId="1" applyNumberFormat="1" applyFont="1" applyFill="1" applyBorder="1" applyAlignment="1">
      <alignment horizontal="center" vertical="center"/>
    </xf>
    <xf numFmtId="178" fontId="5" fillId="3" borderId="35" xfId="1" applyNumberFormat="1" applyFont="1" applyFill="1" applyBorder="1" applyAlignment="1">
      <alignment vertical="center"/>
    </xf>
    <xf numFmtId="0" fontId="9" fillId="5" borderId="138" xfId="1" applyFont="1" applyFill="1" applyBorder="1" applyAlignment="1">
      <alignment horizontal="left" vertical="center"/>
    </xf>
    <xf numFmtId="0" fontId="5" fillId="5" borderId="139" xfId="1" applyFont="1" applyFill="1" applyBorder="1" applyAlignment="1">
      <alignment horizontal="center" vertical="center"/>
    </xf>
    <xf numFmtId="0" fontId="5" fillId="5" borderId="140" xfId="1" applyFont="1" applyFill="1" applyBorder="1" applyAlignment="1">
      <alignment horizontal="center" vertical="center"/>
    </xf>
    <xf numFmtId="41" fontId="5" fillId="5" borderId="141" xfId="1" applyNumberFormat="1" applyFont="1" applyFill="1" applyBorder="1" applyAlignment="1">
      <alignment vertical="center"/>
    </xf>
    <xf numFmtId="0" fontId="5" fillId="5" borderId="141" xfId="1" applyFont="1" applyFill="1" applyBorder="1" applyAlignment="1">
      <alignment horizontal="center" vertical="center"/>
    </xf>
    <xf numFmtId="177" fontId="5" fillId="5" borderId="141" xfId="1" applyNumberFormat="1" applyFont="1" applyFill="1" applyBorder="1" applyAlignment="1">
      <alignment horizontal="left" vertical="center"/>
    </xf>
    <xf numFmtId="177" fontId="5" fillId="5" borderId="141" xfId="1" applyNumberFormat="1" applyFont="1" applyFill="1" applyBorder="1" applyAlignment="1">
      <alignment horizontal="center" vertical="center"/>
    </xf>
    <xf numFmtId="178" fontId="5" fillId="5" borderId="141" xfId="1" applyNumberFormat="1" applyFont="1" applyFill="1" applyBorder="1" applyAlignment="1">
      <alignment vertical="center"/>
    </xf>
    <xf numFmtId="176" fontId="5" fillId="5" borderId="141" xfId="1" applyNumberFormat="1" applyFont="1" applyFill="1" applyBorder="1" applyAlignment="1">
      <alignment horizontal="right" vertical="center"/>
    </xf>
    <xf numFmtId="177" fontId="5" fillId="5" borderId="141" xfId="1" applyNumberFormat="1" applyFont="1" applyFill="1" applyBorder="1" applyAlignment="1">
      <alignment horizontal="right" vertical="center"/>
    </xf>
    <xf numFmtId="177" fontId="5" fillId="5" borderId="141" xfId="1" applyNumberFormat="1" applyFont="1" applyFill="1" applyBorder="1" applyAlignment="1">
      <alignment vertical="center"/>
    </xf>
    <xf numFmtId="2" fontId="6" fillId="5" borderId="141" xfId="1" applyNumberFormat="1" applyFont="1" applyFill="1" applyBorder="1" applyAlignment="1">
      <alignment horizontal="right" vertical="center"/>
    </xf>
    <xf numFmtId="177" fontId="5" fillId="2" borderId="141" xfId="1" applyNumberFormat="1" applyFont="1" applyFill="1" applyBorder="1" applyAlignment="1">
      <alignment horizontal="right" vertical="center"/>
    </xf>
    <xf numFmtId="180" fontId="5" fillId="3" borderId="8" xfId="1" applyNumberFormat="1" applyFont="1" applyFill="1" applyBorder="1" applyAlignment="1">
      <alignment horizontal="center" vertical="center"/>
    </xf>
    <xf numFmtId="177" fontId="5" fillId="3" borderId="8" xfId="1" applyNumberFormat="1" applyFont="1" applyFill="1" applyBorder="1" applyAlignment="1">
      <alignment vertical="center"/>
    </xf>
    <xf numFmtId="177" fontId="5" fillId="2" borderId="8" xfId="1" applyNumberFormat="1" applyFont="1" applyFill="1" applyBorder="1" applyAlignment="1">
      <alignment horizontal="right" vertical="center"/>
    </xf>
    <xf numFmtId="177" fontId="5" fillId="3" borderId="24" xfId="1" applyNumberFormat="1" applyFont="1" applyFill="1" applyBorder="1" applyAlignment="1">
      <alignment vertical="center"/>
    </xf>
    <xf numFmtId="0" fontId="5" fillId="0" borderId="19" xfId="1" applyFont="1" applyBorder="1" applyAlignment="1">
      <alignment horizontal="center" vertical="center"/>
    </xf>
    <xf numFmtId="177" fontId="5" fillId="2" borderId="5" xfId="1" applyNumberFormat="1" applyFont="1" applyFill="1" applyBorder="1" applyAlignment="1">
      <alignment horizontal="right" vertical="center"/>
    </xf>
    <xf numFmtId="41" fontId="5" fillId="0" borderId="8" xfId="1" applyNumberFormat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177" fontId="5" fillId="3" borderId="8" xfId="1" applyNumberFormat="1" applyFont="1" applyFill="1" applyBorder="1" applyAlignment="1">
      <alignment horizontal="left" vertical="center"/>
    </xf>
    <xf numFmtId="2" fontId="6" fillId="0" borderId="8" xfId="1" applyNumberFormat="1" applyFont="1" applyBorder="1" applyAlignment="1">
      <alignment horizontal="right" vertical="center"/>
    </xf>
    <xf numFmtId="177" fontId="5" fillId="3" borderId="19" xfId="1" applyNumberFormat="1" applyFont="1" applyFill="1" applyBorder="1" applyAlignment="1">
      <alignment horizontal="left" vertical="center"/>
    </xf>
    <xf numFmtId="178" fontId="5" fillId="3" borderId="19" xfId="1" applyNumberFormat="1" applyFont="1" applyFill="1" applyBorder="1" applyAlignment="1">
      <alignment vertical="center"/>
    </xf>
    <xf numFmtId="176" fontId="5" fillId="3" borderId="19" xfId="1" applyNumberFormat="1" applyFont="1" applyFill="1" applyBorder="1" applyAlignment="1">
      <alignment horizontal="right" vertical="center"/>
    </xf>
    <xf numFmtId="177" fontId="5" fillId="3" borderId="19" xfId="1" applyNumberFormat="1" applyFont="1" applyFill="1" applyBorder="1" applyAlignment="1">
      <alignment vertical="center"/>
    </xf>
    <xf numFmtId="2" fontId="6" fillId="0" borderId="19" xfId="1" applyNumberFormat="1" applyFont="1" applyBorder="1" applyAlignment="1">
      <alignment horizontal="right" vertical="center"/>
    </xf>
    <xf numFmtId="177" fontId="5" fillId="2" borderId="19" xfId="1" applyNumberFormat="1" applyFont="1" applyFill="1" applyBorder="1" applyAlignment="1">
      <alignment horizontal="right" vertical="center"/>
    </xf>
    <xf numFmtId="0" fontId="5" fillId="0" borderId="29" xfId="1" applyFont="1" applyBorder="1" applyAlignment="1">
      <alignment horizontal="left" vertical="center" wrapText="1"/>
    </xf>
    <xf numFmtId="177" fontId="5" fillId="3" borderId="52" xfId="1" applyNumberFormat="1" applyFont="1" applyFill="1" applyBorder="1" applyAlignment="1">
      <alignment vertical="center"/>
    </xf>
    <xf numFmtId="0" fontId="6" fillId="0" borderId="103" xfId="1" applyFont="1" applyBorder="1" applyAlignment="1">
      <alignment horizontal="left" vertical="center" wrapText="1"/>
    </xf>
    <xf numFmtId="0" fontId="5" fillId="0" borderId="33" xfId="1" applyFont="1" applyBorder="1" applyAlignment="1">
      <alignment horizontal="left" vertical="center" wrapText="1"/>
    </xf>
    <xf numFmtId="0" fontId="5" fillId="5" borderId="140" xfId="1" applyFont="1" applyFill="1" applyBorder="1" applyAlignment="1">
      <alignment horizontal="left" vertical="center" wrapText="1"/>
    </xf>
    <xf numFmtId="0" fontId="5" fillId="0" borderId="62" xfId="1" applyFont="1" applyBorder="1" applyAlignment="1">
      <alignment horizontal="left" vertical="center" wrapText="1"/>
    </xf>
    <xf numFmtId="0" fontId="6" fillId="0" borderId="35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6" fillId="0" borderId="29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19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5" fillId="0" borderId="24" xfId="1" applyFont="1" applyBorder="1" applyAlignment="1">
      <alignment horizontal="left" vertical="center" wrapText="1"/>
    </xf>
    <xf numFmtId="0" fontId="5" fillId="0" borderId="31" xfId="1" applyFont="1" applyBorder="1" applyAlignment="1">
      <alignment horizontal="left" vertical="center" wrapText="1"/>
    </xf>
    <xf numFmtId="0" fontId="5" fillId="5" borderId="90" xfId="1" applyFont="1" applyFill="1" applyBorder="1" applyAlignment="1">
      <alignment horizontal="left" vertical="center" wrapText="1"/>
    </xf>
    <xf numFmtId="0" fontId="5" fillId="0" borderId="74" xfId="1" applyFont="1" applyBorder="1" applyAlignment="1">
      <alignment horizontal="left" vertical="center" wrapText="1"/>
    </xf>
    <xf numFmtId="0" fontId="5" fillId="0" borderId="50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56" xfId="1" applyFont="1" applyBorder="1" applyAlignment="1">
      <alignment horizontal="left" vertical="center" wrapText="1"/>
    </xf>
    <xf numFmtId="0" fontId="5" fillId="5" borderId="35" xfId="1" applyFont="1" applyFill="1" applyBorder="1" applyAlignment="1">
      <alignment horizontal="left" vertical="center" wrapText="1"/>
    </xf>
    <xf numFmtId="0" fontId="5" fillId="5" borderId="45" xfId="1" applyFont="1" applyFill="1" applyBorder="1" applyAlignment="1">
      <alignment horizontal="left" vertical="center" wrapText="1"/>
    </xf>
    <xf numFmtId="0" fontId="5" fillId="0" borderId="35" xfId="1" applyFont="1" applyBorder="1" applyAlignment="1">
      <alignment horizontal="left" vertical="center" wrapText="1"/>
    </xf>
    <xf numFmtId="0" fontId="4" fillId="0" borderId="5" xfId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8" xfId="1" applyFont="1" applyBorder="1" applyAlignment="1">
      <alignment horizontal="left" wrapText="1"/>
    </xf>
    <xf numFmtId="177" fontId="5" fillId="3" borderId="4" xfId="1" applyNumberFormat="1" applyFont="1" applyFill="1" applyBorder="1" applyAlignment="1">
      <alignment horizontal="right"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>
      <alignment vertical="center"/>
    </xf>
    <xf numFmtId="0" fontId="27" fillId="8" borderId="44" xfId="0" applyFont="1" applyFill="1" applyBorder="1" applyAlignment="1">
      <alignment horizontal="center" vertical="center"/>
    </xf>
    <xf numFmtId="0" fontId="27" fillId="8" borderId="44" xfId="0" applyFont="1" applyFill="1" applyBorder="1">
      <alignment vertical="center"/>
    </xf>
    <xf numFmtId="184" fontId="0" fillId="9" borderId="44" xfId="0" applyNumberFormat="1" applyFill="1" applyBorder="1" applyAlignment="1">
      <alignment horizontal="center" vertical="center"/>
    </xf>
    <xf numFmtId="184" fontId="0" fillId="9" borderId="148" xfId="0" applyNumberFormat="1" applyFill="1" applyBorder="1" applyAlignment="1">
      <alignment horizontal="center" vertical="center"/>
    </xf>
    <xf numFmtId="186" fontId="0" fillId="0" borderId="148" xfId="0" applyNumberFormat="1" applyBorder="1">
      <alignment vertical="center"/>
    </xf>
    <xf numFmtId="182" fontId="0" fillId="0" borderId="148" xfId="0" applyNumberFormat="1" applyBorder="1">
      <alignment vertical="center"/>
    </xf>
    <xf numFmtId="185" fontId="0" fillId="0" borderId="148" xfId="0" applyNumberFormat="1" applyBorder="1">
      <alignment vertical="center"/>
    </xf>
    <xf numFmtId="183" fontId="0" fillId="9" borderId="148" xfId="0" applyNumberFormat="1" applyFill="1" applyBorder="1">
      <alignment vertical="center"/>
    </xf>
    <xf numFmtId="187" fontId="27" fillId="3" borderId="149" xfId="0" applyNumberFormat="1" applyFont="1" applyFill="1" applyBorder="1">
      <alignment vertical="center"/>
    </xf>
    <xf numFmtId="182" fontId="0" fillId="3" borderId="152" xfId="0" applyNumberFormat="1" applyFill="1" applyBorder="1">
      <alignment vertical="center"/>
    </xf>
    <xf numFmtId="185" fontId="0" fillId="3" borderId="152" xfId="0" applyNumberFormat="1" applyFill="1" applyBorder="1">
      <alignment vertical="center"/>
    </xf>
    <xf numFmtId="183" fontId="0" fillId="3" borderId="152" xfId="0" applyNumberFormat="1" applyFill="1" applyBorder="1">
      <alignment vertical="center"/>
    </xf>
    <xf numFmtId="184" fontId="0" fillId="3" borderId="152" xfId="0" applyNumberForma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0" fillId="9" borderId="154" xfId="0" applyFill="1" applyBorder="1">
      <alignment vertical="center"/>
    </xf>
    <xf numFmtId="0" fontId="0" fillId="3" borderId="150" xfId="0" applyFill="1" applyBorder="1">
      <alignment vertical="center"/>
    </xf>
    <xf numFmtId="41" fontId="29" fillId="3" borderId="148" xfId="1" applyNumberFormat="1" applyFont="1" applyFill="1" applyBorder="1" applyAlignment="1">
      <alignment vertical="center" wrapText="1"/>
    </xf>
    <xf numFmtId="41" fontId="29" fillId="3" borderId="152" xfId="1" applyNumberFormat="1" applyFont="1" applyFill="1" applyBorder="1" applyAlignment="1">
      <alignment vertical="center"/>
    </xf>
    <xf numFmtId="183" fontId="27" fillId="10" borderId="147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27" fillId="11" borderId="44" xfId="0" applyFont="1" applyFill="1" applyBorder="1" applyAlignment="1">
      <alignment horizontal="center" vertical="center" wrapText="1"/>
    </xf>
    <xf numFmtId="0" fontId="27" fillId="11" borderId="44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4" xfId="0" applyBorder="1">
      <alignment vertical="center"/>
    </xf>
    <xf numFmtId="184" fontId="0" fillId="9" borderId="3" xfId="0" applyNumberFormat="1" applyFill="1" applyBorder="1" applyAlignment="1">
      <alignment horizontal="center" vertical="center"/>
    </xf>
    <xf numFmtId="0" fontId="0" fillId="3" borderId="152" xfId="0" applyFill="1" applyBorder="1">
      <alignment vertical="center"/>
    </xf>
    <xf numFmtId="0" fontId="0" fillId="9" borderId="3" xfId="0" applyFill="1" applyBorder="1">
      <alignment vertical="center"/>
    </xf>
    <xf numFmtId="0" fontId="0" fillId="9" borderId="148" xfId="0" applyFill="1" applyBorder="1">
      <alignment vertical="center"/>
    </xf>
    <xf numFmtId="0" fontId="28" fillId="0" borderId="0" xfId="0" applyFont="1">
      <alignment vertical="center"/>
    </xf>
    <xf numFmtId="184" fontId="0" fillId="9" borderId="4" xfId="0" applyNumberFormat="1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>
      <alignment vertical="center"/>
    </xf>
    <xf numFmtId="189" fontId="0" fillId="3" borderId="152" xfId="0" applyNumberFormat="1" applyFill="1" applyBorder="1">
      <alignment vertical="center"/>
    </xf>
    <xf numFmtId="189" fontId="0" fillId="9" borderId="148" xfId="0" applyNumberFormat="1" applyFill="1" applyBorder="1">
      <alignment vertical="center"/>
    </xf>
    <xf numFmtId="0" fontId="27" fillId="8" borderId="2" xfId="0" applyFont="1" applyFill="1" applyBorder="1">
      <alignment vertical="center"/>
    </xf>
    <xf numFmtId="189" fontId="27" fillId="10" borderId="147" xfId="0" applyNumberFormat="1" applyFont="1" applyFill="1" applyBorder="1" applyAlignment="1">
      <alignment horizontal="center" vertical="center"/>
    </xf>
    <xf numFmtId="190" fontId="0" fillId="9" borderId="44" xfId="0" applyNumberFormat="1" applyFill="1" applyBorder="1" applyAlignment="1">
      <alignment horizontal="center" vertical="center"/>
    </xf>
    <xf numFmtId="190" fontId="0" fillId="9" borderId="128" xfId="0" applyNumberFormat="1" applyFill="1" applyBorder="1" applyAlignment="1">
      <alignment horizontal="center" vertical="center"/>
    </xf>
    <xf numFmtId="0" fontId="27" fillId="0" borderId="2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7" fillId="0" borderId="43" xfId="0" applyFont="1" applyBorder="1" applyAlignment="1">
      <alignment vertical="center" wrapText="1"/>
    </xf>
    <xf numFmtId="0" fontId="27" fillId="0" borderId="42" xfId="0" applyFont="1" applyBorder="1" applyAlignment="1">
      <alignment vertical="center" wrapText="1"/>
    </xf>
    <xf numFmtId="0" fontId="27" fillId="11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 wrapText="1"/>
    </xf>
    <xf numFmtId="183" fontId="0" fillId="0" borderId="8" xfId="0" applyNumberFormat="1" applyBorder="1" applyAlignment="1">
      <alignment horizontal="center" vertical="center"/>
    </xf>
    <xf numFmtId="182" fontId="27" fillId="8" borderId="44" xfId="0" applyNumberFormat="1" applyFont="1" applyFill="1" applyBorder="1" applyAlignment="1">
      <alignment horizontal="center" vertical="center"/>
    </xf>
    <xf numFmtId="185" fontId="27" fillId="8" borderId="44" xfId="0" applyNumberFormat="1" applyFont="1" applyFill="1" applyBorder="1" applyAlignment="1">
      <alignment horizontal="center" vertical="center"/>
    </xf>
    <xf numFmtId="191" fontId="27" fillId="5" borderId="3" xfId="0" applyNumberFormat="1" applyFont="1" applyFill="1" applyBorder="1" applyAlignment="1">
      <alignment horizontal="center" vertical="center"/>
    </xf>
    <xf numFmtId="182" fontId="27" fillId="8" borderId="2" xfId="0" applyNumberFormat="1" applyFont="1" applyFill="1" applyBorder="1" applyAlignment="1">
      <alignment horizontal="center" vertical="center"/>
    </xf>
    <xf numFmtId="0" fontId="0" fillId="0" borderId="43" xfId="0" applyBorder="1">
      <alignment vertical="center"/>
    </xf>
    <xf numFmtId="183" fontId="0" fillId="0" borderId="43" xfId="0" applyNumberFormat="1" applyBorder="1" applyAlignment="1">
      <alignment horizontal="center" vertical="center"/>
    </xf>
    <xf numFmtId="182" fontId="0" fillId="0" borderId="159" xfId="0" applyNumberFormat="1" applyBorder="1">
      <alignment vertical="center"/>
    </xf>
    <xf numFmtId="182" fontId="0" fillId="0" borderId="160" xfId="0" applyNumberFormat="1" applyBorder="1">
      <alignment vertical="center"/>
    </xf>
    <xf numFmtId="0" fontId="0" fillId="0" borderId="162" xfId="0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184" fontId="30" fillId="0" borderId="0" xfId="0" applyNumberFormat="1" applyFont="1" applyAlignment="1">
      <alignment horizontal="center" vertical="center"/>
    </xf>
    <xf numFmtId="0" fontId="27" fillId="0" borderId="3" xfId="0" applyFont="1" applyBorder="1" applyAlignment="1">
      <alignment vertical="center" wrapText="1"/>
    </xf>
    <xf numFmtId="0" fontId="27" fillId="0" borderId="8" xfId="0" applyFont="1" applyBorder="1" applyAlignment="1">
      <alignment vertical="center" wrapText="1"/>
    </xf>
    <xf numFmtId="184" fontId="0" fillId="0" borderId="8" xfId="0" applyNumberFormat="1" applyBorder="1" applyAlignment="1">
      <alignment horizontal="center" vertical="center"/>
    </xf>
    <xf numFmtId="189" fontId="0" fillId="0" borderId="43" xfId="0" applyNumberFormat="1" applyBorder="1" applyAlignment="1">
      <alignment horizontal="center" vertical="center"/>
    </xf>
    <xf numFmtId="189" fontId="0" fillId="0" borderId="8" xfId="0" applyNumberFormat="1" applyBorder="1" applyAlignment="1">
      <alignment horizontal="center" vertical="center"/>
    </xf>
    <xf numFmtId="177" fontId="5" fillId="3" borderId="20" xfId="1" applyNumberFormat="1" applyFont="1" applyFill="1" applyBorder="1" applyAlignment="1">
      <alignment horizontal="center" vertical="center"/>
    </xf>
    <xf numFmtId="177" fontId="5" fillId="3" borderId="29" xfId="1" applyNumberFormat="1" applyFont="1" applyFill="1" applyBorder="1" applyAlignment="1">
      <alignment horizontal="center" vertical="center"/>
    </xf>
    <xf numFmtId="177" fontId="5" fillId="3" borderId="16" xfId="1" applyNumberFormat="1" applyFont="1" applyFill="1" applyBorder="1" applyAlignment="1">
      <alignment horizontal="center" vertical="center"/>
    </xf>
    <xf numFmtId="0" fontId="5" fillId="0" borderId="105" xfId="1" applyFont="1" applyBorder="1" applyAlignment="1">
      <alignment horizontal="center" vertical="center"/>
    </xf>
    <xf numFmtId="0" fontId="5" fillId="0" borderId="106" xfId="1" applyFont="1" applyBorder="1" applyAlignment="1">
      <alignment horizontal="center" vertical="center"/>
    </xf>
    <xf numFmtId="41" fontId="5" fillId="3" borderId="29" xfId="1" applyNumberFormat="1" applyFont="1" applyFill="1" applyBorder="1" applyAlignment="1">
      <alignment horizontal="left" vertical="center"/>
    </xf>
    <xf numFmtId="41" fontId="5" fillId="3" borderId="4" xfId="1" applyNumberFormat="1" applyFont="1" applyFill="1" applyBorder="1" applyAlignment="1">
      <alignment horizontal="left" vertical="center"/>
    </xf>
    <xf numFmtId="177" fontId="5" fillId="3" borderId="19" xfId="1" applyNumberFormat="1" applyFont="1" applyFill="1" applyBorder="1" applyAlignment="1">
      <alignment horizontal="left" vertical="center"/>
    </xf>
    <xf numFmtId="177" fontId="5" fillId="3" borderId="4" xfId="1" applyNumberFormat="1" applyFont="1" applyFill="1" applyBorder="1" applyAlignment="1">
      <alignment horizontal="left" vertical="center"/>
    </xf>
    <xf numFmtId="177" fontId="5" fillId="3" borderId="19" xfId="1" applyNumberFormat="1" applyFont="1" applyFill="1" applyBorder="1" applyAlignment="1">
      <alignment horizontal="center" vertical="center"/>
    </xf>
    <xf numFmtId="41" fontId="5" fillId="3" borderId="5" xfId="1" applyNumberFormat="1" applyFont="1" applyFill="1" applyBorder="1" applyAlignment="1">
      <alignment horizontal="left" vertical="center"/>
    </xf>
    <xf numFmtId="177" fontId="5" fillId="3" borderId="4" xfId="1" applyNumberFormat="1" applyFont="1" applyFill="1" applyBorder="1" applyAlignment="1">
      <alignment horizontal="center" vertical="center"/>
    </xf>
    <xf numFmtId="0" fontId="5" fillId="0" borderId="92" xfId="1" applyFont="1" applyBorder="1" applyAlignment="1">
      <alignment horizontal="center" vertical="center"/>
    </xf>
    <xf numFmtId="0" fontId="5" fillId="0" borderId="29" xfId="1" applyFont="1" applyBorder="1" applyAlignment="1">
      <alignment horizontal="left" vertical="center" wrapText="1"/>
    </xf>
    <xf numFmtId="41" fontId="5" fillId="3" borderId="19" xfId="1" applyNumberFormat="1" applyFont="1" applyFill="1" applyBorder="1" applyAlignment="1">
      <alignment horizontal="left" vertical="center"/>
    </xf>
    <xf numFmtId="0" fontId="5" fillId="0" borderId="93" xfId="1" applyFont="1" applyBorder="1" applyAlignment="1">
      <alignment horizontal="center" vertical="center"/>
    </xf>
    <xf numFmtId="0" fontId="10" fillId="0" borderId="68" xfId="1" applyFont="1" applyBorder="1" applyAlignment="1">
      <alignment horizontal="center" vertical="center"/>
    </xf>
    <xf numFmtId="0" fontId="10" fillId="0" borderId="75" xfId="1" applyFont="1" applyBorder="1" applyAlignment="1">
      <alignment horizontal="center" vertical="center"/>
    </xf>
    <xf numFmtId="0" fontId="10" fillId="0" borderId="65" xfId="1" applyFont="1" applyBorder="1" applyAlignment="1">
      <alignment horizontal="center" vertical="center"/>
    </xf>
    <xf numFmtId="0" fontId="10" fillId="0" borderId="73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5" fillId="0" borderId="60" xfId="1" applyFont="1" applyBorder="1" applyAlignment="1">
      <alignment horizontal="center" vertical="center"/>
    </xf>
    <xf numFmtId="0" fontId="5" fillId="0" borderId="74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94" xfId="1" applyFont="1" applyBorder="1" applyAlignment="1">
      <alignment horizontal="center" vertical="center"/>
    </xf>
    <xf numFmtId="0" fontId="5" fillId="0" borderId="7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81" xfId="1" applyFont="1" applyBorder="1" applyAlignment="1">
      <alignment horizontal="center" vertical="center"/>
    </xf>
    <xf numFmtId="0" fontId="10" fillId="0" borderId="108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5" fillId="0" borderId="143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85" xfId="1" applyFont="1" applyBorder="1" applyAlignment="1">
      <alignment horizontal="center" vertical="center"/>
    </xf>
    <xf numFmtId="0" fontId="5" fillId="0" borderId="84" xfId="1" applyFont="1" applyBorder="1" applyAlignment="1">
      <alignment horizontal="center" vertical="center"/>
    </xf>
    <xf numFmtId="0" fontId="10" fillId="0" borderId="119" xfId="1" applyFont="1" applyBorder="1" applyAlignment="1">
      <alignment horizontal="center" vertical="center" wrapText="1"/>
    </xf>
    <xf numFmtId="0" fontId="10" fillId="0" borderId="121" xfId="1" applyFont="1" applyBorder="1" applyAlignment="1">
      <alignment horizontal="center" vertical="center" wrapText="1"/>
    </xf>
    <xf numFmtId="0" fontId="5" fillId="0" borderId="113" xfId="1" applyFont="1" applyBorder="1" applyAlignment="1">
      <alignment horizontal="center" vertical="center"/>
    </xf>
    <xf numFmtId="0" fontId="5" fillId="0" borderId="114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 wrapText="1"/>
    </xf>
    <xf numFmtId="0" fontId="5" fillId="0" borderId="93" xfId="1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left" vertical="center" wrapText="1"/>
    </xf>
    <xf numFmtId="0" fontId="5" fillId="0" borderId="76" xfId="1" applyFont="1" applyBorder="1" applyAlignment="1">
      <alignment horizontal="left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19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3" xfId="1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4" fillId="0" borderId="4" xfId="1" applyBorder="1" applyAlignment="1">
      <alignment horizontal="left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66" xfId="1" applyFont="1" applyBorder="1" applyAlignment="1">
      <alignment horizontal="center" vertical="center"/>
    </xf>
    <xf numFmtId="0" fontId="21" fillId="0" borderId="132" xfId="1" applyFont="1" applyBorder="1" applyAlignment="1">
      <alignment horizontal="center" vertical="center"/>
    </xf>
    <xf numFmtId="0" fontId="19" fillId="0" borderId="125" xfId="1" applyFont="1" applyBorder="1" applyAlignment="1">
      <alignment horizontal="center" vertical="center"/>
    </xf>
    <xf numFmtId="0" fontId="21" fillId="0" borderId="131" xfId="1" applyFont="1" applyBorder="1" applyAlignment="1">
      <alignment horizontal="center" vertical="center"/>
    </xf>
    <xf numFmtId="0" fontId="4" fillId="0" borderId="130" xfId="1" applyBorder="1" applyAlignment="1">
      <alignment horizontal="center" vertical="center"/>
    </xf>
    <xf numFmtId="0" fontId="19" fillId="0" borderId="124" xfId="1" applyFont="1" applyBorder="1" applyAlignment="1">
      <alignment horizontal="center" vertical="center"/>
    </xf>
    <xf numFmtId="0" fontId="4" fillId="0" borderId="123" xfId="1" applyBorder="1" applyAlignment="1">
      <alignment horizontal="center" vertical="center"/>
    </xf>
    <xf numFmtId="0" fontId="22" fillId="0" borderId="129" xfId="1" applyFont="1" applyBorder="1" applyAlignment="1">
      <alignment horizontal="center" vertical="center"/>
    </xf>
    <xf numFmtId="0" fontId="20" fillId="0" borderId="122" xfId="1" applyFont="1" applyBorder="1" applyAlignment="1">
      <alignment horizontal="center" vertical="center"/>
    </xf>
    <xf numFmtId="0" fontId="14" fillId="0" borderId="73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108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 wrapText="1"/>
    </xf>
    <xf numFmtId="0" fontId="5" fillId="0" borderId="97" xfId="1" applyFont="1" applyBorder="1" applyAlignment="1">
      <alignment horizontal="center" vertical="center"/>
    </xf>
    <xf numFmtId="0" fontId="4" fillId="0" borderId="29" xfId="1" applyBorder="1" applyAlignment="1">
      <alignment horizontal="left" vertical="center" wrapText="1"/>
    </xf>
    <xf numFmtId="0" fontId="5" fillId="3" borderId="19" xfId="1" applyFont="1" applyFill="1" applyBorder="1" applyAlignment="1">
      <alignment horizontal="center" vertical="center" wrapText="1"/>
    </xf>
    <xf numFmtId="0" fontId="5" fillId="3" borderId="29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0" borderId="71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/>
    </xf>
    <xf numFmtId="0" fontId="5" fillId="0" borderId="50" xfId="1" applyFont="1" applyBorder="1" applyAlignment="1">
      <alignment horizontal="center" vertical="center"/>
    </xf>
    <xf numFmtId="0" fontId="5" fillId="0" borderId="83" xfId="1" applyFont="1" applyBorder="1" applyAlignment="1">
      <alignment horizontal="center" vertical="center"/>
    </xf>
    <xf numFmtId="0" fontId="5" fillId="0" borderId="7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41" fontId="6" fillId="0" borderId="20" xfId="1" applyNumberFormat="1" applyFont="1" applyBorder="1" applyAlignment="1">
      <alignment vertical="center"/>
    </xf>
    <xf numFmtId="41" fontId="6" fillId="0" borderId="16" xfId="1" applyNumberFormat="1" applyFont="1" applyBorder="1" applyAlignment="1">
      <alignment vertical="center"/>
    </xf>
    <xf numFmtId="0" fontId="5" fillId="0" borderId="32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0" fillId="0" borderId="64" xfId="1" applyFont="1" applyBorder="1" applyAlignment="1">
      <alignment horizontal="center" vertical="center"/>
    </xf>
    <xf numFmtId="0" fontId="10" fillId="0" borderId="59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51" xfId="1" applyFont="1" applyBorder="1" applyAlignment="1">
      <alignment horizontal="center" vertical="center"/>
    </xf>
    <xf numFmtId="0" fontId="5" fillId="0" borderId="73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0" borderId="99" xfId="1" applyFont="1" applyBorder="1" applyAlignment="1">
      <alignment horizontal="center" vertical="center"/>
    </xf>
    <xf numFmtId="0" fontId="9" fillId="0" borderId="87" xfId="1" applyFont="1" applyBorder="1" applyAlignment="1">
      <alignment horizontal="center" vertical="center"/>
    </xf>
    <xf numFmtId="0" fontId="13" fillId="0" borderId="48" xfId="1" applyFont="1" applyBorder="1" applyAlignment="1">
      <alignment horizontal="center" vertical="center"/>
    </xf>
    <xf numFmtId="0" fontId="13" fillId="0" borderId="86" xfId="1" applyFont="1" applyBorder="1" applyAlignment="1">
      <alignment horizontal="center" vertical="center"/>
    </xf>
    <xf numFmtId="0" fontId="5" fillId="0" borderId="43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5" fillId="0" borderId="108" xfId="1" applyFont="1" applyBorder="1" applyAlignment="1">
      <alignment horizontal="center" vertical="center"/>
    </xf>
    <xf numFmtId="0" fontId="6" fillId="0" borderId="105" xfId="1" applyFont="1" applyBorder="1" applyAlignment="1">
      <alignment horizontal="center" vertical="center"/>
    </xf>
    <xf numFmtId="0" fontId="6" fillId="0" borderId="93" xfId="1" applyFont="1" applyBorder="1" applyAlignment="1">
      <alignment horizontal="center" vertical="center"/>
    </xf>
    <xf numFmtId="0" fontId="6" fillId="0" borderId="106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0" fillId="0" borderId="142" xfId="1" applyFont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5" fillId="0" borderId="112" xfId="1" applyFont="1" applyBorder="1" applyAlignment="1">
      <alignment horizontal="center" vertical="center"/>
    </xf>
    <xf numFmtId="0" fontId="5" fillId="0" borderId="100" xfId="1" applyFont="1" applyBorder="1" applyAlignment="1">
      <alignment horizontal="center" vertical="center"/>
    </xf>
    <xf numFmtId="0" fontId="4" fillId="0" borderId="16" xfId="1" applyBorder="1" applyAlignment="1">
      <alignment horizontal="left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44" xfId="1" applyFont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9" fillId="0" borderId="135" xfId="1" applyFont="1" applyBorder="1" applyAlignment="1">
      <alignment horizontal="right" vertical="center" wrapText="1"/>
    </xf>
    <xf numFmtId="0" fontId="9" fillId="0" borderId="134" xfId="1" applyFont="1" applyBorder="1" applyAlignment="1">
      <alignment horizontal="right" vertical="center" wrapText="1"/>
    </xf>
    <xf numFmtId="0" fontId="9" fillId="0" borderId="133" xfId="1" applyFont="1" applyBorder="1" applyAlignment="1">
      <alignment horizontal="right" vertical="center" wrapText="1"/>
    </xf>
    <xf numFmtId="0" fontId="21" fillId="0" borderId="128" xfId="1" applyFont="1" applyBorder="1" applyAlignment="1">
      <alignment horizontal="center" vertical="center"/>
    </xf>
    <xf numFmtId="0" fontId="19" fillId="0" borderId="120" xfId="1" applyFont="1" applyBorder="1" applyAlignment="1">
      <alignment horizontal="center" vertical="center"/>
    </xf>
    <xf numFmtId="0" fontId="10" fillId="0" borderId="128" xfId="1" applyFont="1" applyBorder="1" applyAlignment="1">
      <alignment horizontal="center" vertical="center" wrapText="1"/>
    </xf>
    <xf numFmtId="0" fontId="14" fillId="0" borderId="120" xfId="1" applyFont="1" applyBorder="1" applyAlignment="1">
      <alignment horizontal="center" vertical="center"/>
    </xf>
    <xf numFmtId="0" fontId="21" fillId="0" borderId="127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1" fillId="0" borderId="126" xfId="1" applyFont="1" applyBorder="1" applyAlignment="1">
      <alignment horizontal="center" vertical="center" wrapText="1"/>
    </xf>
    <xf numFmtId="41" fontId="5" fillId="3" borderId="20" xfId="1" applyNumberFormat="1" applyFont="1" applyFill="1" applyBorder="1" applyAlignment="1">
      <alignment horizontal="left" vertical="center"/>
    </xf>
    <xf numFmtId="41" fontId="5" fillId="3" borderId="16" xfId="1" applyNumberFormat="1" applyFont="1" applyFill="1" applyBorder="1" applyAlignment="1">
      <alignment horizontal="left" vertical="center"/>
    </xf>
    <xf numFmtId="177" fontId="5" fillId="3" borderId="20" xfId="1" applyNumberFormat="1" applyFont="1" applyFill="1" applyBorder="1" applyAlignment="1">
      <alignment horizontal="left" vertical="center"/>
    </xf>
    <xf numFmtId="177" fontId="5" fillId="3" borderId="16" xfId="1" applyNumberFormat="1" applyFont="1" applyFill="1" applyBorder="1" applyAlignment="1">
      <alignment horizontal="left" vertical="center"/>
    </xf>
    <xf numFmtId="41" fontId="5" fillId="3" borderId="145" xfId="1" applyNumberFormat="1" applyFont="1" applyFill="1" applyBorder="1" applyAlignment="1">
      <alignment horizontal="left" vertical="center" wrapText="1"/>
    </xf>
    <xf numFmtId="41" fontId="5" fillId="3" borderId="146" xfId="1" applyNumberFormat="1" applyFont="1" applyFill="1" applyBorder="1" applyAlignment="1">
      <alignment horizontal="left" vertical="center"/>
    </xf>
    <xf numFmtId="187" fontId="27" fillId="3" borderId="150" xfId="0" applyNumberFormat="1" applyFont="1" applyFill="1" applyBorder="1" applyAlignment="1">
      <alignment horizontal="center" vertical="center"/>
    </xf>
    <xf numFmtId="187" fontId="27" fillId="3" borderId="151" xfId="0" applyNumberFormat="1" applyFont="1" applyFill="1" applyBorder="1" applyAlignment="1">
      <alignment horizontal="center" vertical="center"/>
    </xf>
    <xf numFmtId="188" fontId="27" fillId="3" borderId="150" xfId="0" applyNumberFormat="1" applyFont="1" applyFill="1" applyBorder="1" applyAlignment="1">
      <alignment horizontal="center" vertical="center"/>
    </xf>
    <xf numFmtId="188" fontId="27" fillId="3" borderId="155" xfId="0" applyNumberFormat="1" applyFont="1" applyFill="1" applyBorder="1" applyAlignment="1">
      <alignment horizontal="center" vertical="center"/>
    </xf>
    <xf numFmtId="188" fontId="27" fillId="3" borderId="151" xfId="0" applyNumberFormat="1" applyFont="1" applyFill="1" applyBorder="1" applyAlignment="1">
      <alignment horizontal="center" vertical="center"/>
    </xf>
    <xf numFmtId="0" fontId="28" fillId="0" borderId="153" xfId="0" applyFont="1" applyBorder="1" applyAlignment="1">
      <alignment horizontal="center" vertical="center"/>
    </xf>
    <xf numFmtId="0" fontId="27" fillId="8" borderId="44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27" fillId="8" borderId="29" xfId="0" applyFont="1" applyFill="1" applyBorder="1" applyAlignment="1">
      <alignment horizontal="center" vertical="center"/>
    </xf>
    <xf numFmtId="0" fontId="27" fillId="8" borderId="43" xfId="0" applyFont="1" applyFill="1" applyBorder="1" applyAlignment="1">
      <alignment horizontal="center" vertical="center"/>
    </xf>
    <xf numFmtId="184" fontId="27" fillId="8" borderId="44" xfId="0" applyNumberFormat="1" applyFont="1" applyFill="1" applyBorder="1" applyAlignment="1">
      <alignment horizontal="center" vertical="center"/>
    </xf>
    <xf numFmtId="185" fontId="0" fillId="0" borderId="103" xfId="0" applyNumberFormat="1" applyBorder="1" applyAlignment="1">
      <alignment horizontal="center" vertical="center"/>
    </xf>
    <xf numFmtId="185" fontId="0" fillId="0" borderId="14" xfId="0" applyNumberFormat="1" applyBorder="1" applyAlignment="1">
      <alignment horizontal="center" vertical="center"/>
    </xf>
    <xf numFmtId="183" fontId="0" fillId="0" borderId="3" xfId="0" applyNumberFormat="1" applyBorder="1" applyAlignment="1">
      <alignment horizontal="center" vertical="center"/>
    </xf>
    <xf numFmtId="183" fontId="0" fillId="0" borderId="5" xfId="0" applyNumberFormat="1" applyBorder="1" applyAlignment="1">
      <alignment horizontal="center" vertical="center"/>
    </xf>
    <xf numFmtId="183" fontId="0" fillId="0" borderId="8" xfId="0" applyNumberFormat="1" applyBorder="1" applyAlignment="1">
      <alignment horizontal="center" vertical="center"/>
    </xf>
    <xf numFmtId="182" fontId="27" fillId="5" borderId="5" xfId="0" applyNumberFormat="1" applyFont="1" applyFill="1" applyBorder="1" applyAlignment="1">
      <alignment horizontal="center" vertical="center"/>
    </xf>
    <xf numFmtId="182" fontId="27" fillId="5" borderId="8" xfId="0" applyNumberFormat="1" applyFont="1" applyFill="1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182" fontId="27" fillId="8" borderId="44" xfId="0" applyNumberFormat="1" applyFont="1" applyFill="1" applyBorder="1" applyAlignment="1">
      <alignment horizontal="center" vertical="center"/>
    </xf>
    <xf numFmtId="182" fontId="27" fillId="8" borderId="44" xfId="0" applyNumberFormat="1" applyFont="1" applyFill="1" applyBorder="1" applyAlignment="1">
      <alignment horizontal="center" vertical="center" wrapText="1"/>
    </xf>
    <xf numFmtId="182" fontId="27" fillId="8" borderId="2" xfId="0" applyNumberFormat="1" applyFont="1" applyFill="1" applyBorder="1" applyAlignment="1">
      <alignment horizontal="center" vertical="center"/>
    </xf>
    <xf numFmtId="183" fontId="27" fillId="8" borderId="44" xfId="0" applyNumberFormat="1" applyFont="1" applyFill="1" applyBorder="1" applyAlignment="1">
      <alignment horizontal="center" vertical="center" wrapText="1"/>
    </xf>
    <xf numFmtId="41" fontId="5" fillId="3" borderId="164" xfId="1" applyNumberFormat="1" applyFont="1" applyFill="1" applyBorder="1" applyAlignment="1">
      <alignment horizontal="left" vertical="center" wrapText="1"/>
    </xf>
    <xf numFmtId="41" fontId="5" fillId="3" borderId="165" xfId="1" applyNumberFormat="1" applyFont="1" applyFill="1" applyBorder="1" applyAlignment="1">
      <alignment horizontal="left" vertical="center" wrapText="1"/>
    </xf>
    <xf numFmtId="0" fontId="27" fillId="8" borderId="47" xfId="0" applyFont="1" applyFill="1" applyBorder="1" applyAlignment="1">
      <alignment horizontal="center" vertical="center"/>
    </xf>
    <xf numFmtId="0" fontId="27" fillId="8" borderId="46" xfId="0" applyFont="1" applyFill="1" applyBorder="1" applyAlignment="1">
      <alignment horizontal="center" vertical="center"/>
    </xf>
    <xf numFmtId="186" fontId="0" fillId="0" borderId="2" xfId="0" applyNumberFormat="1" applyBorder="1" applyAlignment="1">
      <alignment horizontal="center" vertical="center"/>
    </xf>
    <xf numFmtId="186" fontId="0" fillId="0" borderId="4" xfId="0" applyNumberFormat="1" applyBorder="1" applyAlignment="1">
      <alignment horizontal="center" vertical="center"/>
    </xf>
    <xf numFmtId="187" fontId="27" fillId="3" borderId="156" xfId="0" applyNumberFormat="1" applyFont="1" applyFill="1" applyBorder="1" applyAlignment="1">
      <alignment horizontal="center" vertical="center"/>
    </xf>
    <xf numFmtId="187" fontId="27" fillId="3" borderId="157" xfId="0" applyNumberFormat="1" applyFont="1" applyFill="1" applyBorder="1" applyAlignment="1">
      <alignment horizontal="center" vertical="center"/>
    </xf>
    <xf numFmtId="189" fontId="0" fillId="0" borderId="3" xfId="0" applyNumberFormat="1" applyBorder="1" applyAlignment="1">
      <alignment horizontal="center" vertical="center"/>
    </xf>
    <xf numFmtId="189" fontId="0" fillId="0" borderId="5" xfId="0" applyNumberFormat="1" applyBorder="1" applyAlignment="1">
      <alignment horizontal="center" vertical="center"/>
    </xf>
    <xf numFmtId="189" fontId="0" fillId="0" borderId="8" xfId="0" applyNumberFormat="1" applyBorder="1" applyAlignment="1">
      <alignment horizontal="center" vertical="center"/>
    </xf>
  </cellXfs>
  <cellStyles count="4">
    <cellStyle name="표준" xfId="0" builtinId="0"/>
    <cellStyle name="표준 2" xfId="1" xr:uid="{C4D14CC5-5771-42DE-BFCF-14F0407906E6}"/>
    <cellStyle name="표준 3" xfId="2" xr:uid="{EB27049B-4325-4231-8802-9B0179727CD9}"/>
    <cellStyle name="하이퍼링크 2" xfId="3" xr:uid="{F4940D1E-C3E0-4B46-AB0B-6E3EDE0101E9}"/>
  </cellStyles>
  <dxfs count="0"/>
  <tableStyles count="0" defaultTableStyle="TableStyleMedium2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198396</xdr:colOff>
      <xdr:row>253</xdr:row>
      <xdr:rowOff>56642</xdr:rowOff>
    </xdr:from>
    <xdr:ext cx="4626086" cy="2424710"/>
    <xdr:pic>
      <xdr:nvPicPr>
        <xdr:cNvPr id="2" name="그림 1">
          <a:extLst>
            <a:ext uri="{FF2B5EF4-FFF2-40B4-BE49-F238E27FC236}">
              <a16:creationId xmlns:a16="http://schemas.microsoft.com/office/drawing/2014/main" id="{2D11CA5B-0F18-4703-B4DB-4A0CF527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1425" y="47244613"/>
          <a:ext cx="4626086" cy="2424710"/>
        </a:xfrm>
        <a:prstGeom prst="rect">
          <a:avLst/>
        </a:prstGeom>
      </xdr:spPr>
    </xdr:pic>
    <xdr:clientData/>
  </xdr:oneCellAnchor>
  <xdr:oneCellAnchor>
    <xdr:from>
      <xdr:col>24</xdr:col>
      <xdr:colOff>528390</xdr:colOff>
      <xdr:row>238</xdr:row>
      <xdr:rowOff>117273</xdr:rowOff>
    </xdr:from>
    <xdr:ext cx="5667889" cy="3240308"/>
    <xdr:pic>
      <xdr:nvPicPr>
        <xdr:cNvPr id="3" name="그림 2">
          <a:extLst>
            <a:ext uri="{FF2B5EF4-FFF2-40B4-BE49-F238E27FC236}">
              <a16:creationId xmlns:a16="http://schemas.microsoft.com/office/drawing/2014/main" id="{8E6F6740-6900-410A-9182-17009CC6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01419" y="43607302"/>
          <a:ext cx="5667889" cy="32403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451541</xdr:colOff>
      <xdr:row>26</xdr:row>
      <xdr:rowOff>72279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611ED4B-20B1-48A0-B08D-0C440959A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17428" cy="50684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280146</xdr:colOff>
      <xdr:row>27</xdr:row>
      <xdr:rowOff>206809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E01A103-B42E-4F85-9EE7-7372AECD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3559"/>
          <a:ext cx="5221940" cy="5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347384</xdr:colOff>
      <xdr:row>27</xdr:row>
      <xdr:rowOff>179295</xdr:rowOff>
    </xdr:from>
    <xdr:to>
      <xdr:col>7</xdr:col>
      <xdr:colOff>224120</xdr:colOff>
      <xdr:row>34</xdr:row>
      <xdr:rowOff>185732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CCB26A6-834A-417A-9ABA-B43BB0C8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384" y="6096001"/>
          <a:ext cx="4818530" cy="14968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212911</xdr:rowOff>
    </xdr:from>
    <xdr:to>
      <xdr:col>9</xdr:col>
      <xdr:colOff>480721</xdr:colOff>
      <xdr:row>25</xdr:row>
      <xdr:rowOff>201705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537A931-C0CD-4A26-BE6B-E3F812FF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3558"/>
          <a:ext cx="6632750" cy="4997823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25</xdr:row>
      <xdr:rowOff>179294</xdr:rowOff>
    </xdr:from>
    <xdr:to>
      <xdr:col>9</xdr:col>
      <xdr:colOff>515472</xdr:colOff>
      <xdr:row>32</xdr:row>
      <xdr:rowOff>32483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032B41-CB77-4CE7-B00D-202783F56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93" t="29651"/>
        <a:stretch/>
      </xdr:blipFill>
      <xdr:spPr>
        <a:xfrm>
          <a:off x="56029" y="5658970"/>
          <a:ext cx="6611472" cy="1377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9457;&#51648;&#44277;&#547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73;&#49345;\&#48148;&#53461;%20&#54868;&#47732;\My%20Documents\&#44204;%20%20%20%20&#51201;\&#54869;&#50557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SI\&#44600;&#51020;&#46041;&#51116;&#44060;&#48156;&#50500;&#54028;&#53944;\JABO\O12060\INFORM\MYENGB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2PROJECT\PLANT\Z98037\SUM-CT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884;&#44032;&#51648;&#50864;&#549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DS\PROJECT\&#52628;%20&#54413;%20&#47161;\&#52628;&#54413;&#52572;&#513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&#44608;&#50857;&#44592;\&#50641;&#49472;\GUMI4B2\&#44396;&#48120;4&#45800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mb\project\2PROJECT\PLANT\Z98037\SUM-CT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KGM\Documents\&#48155;&#51008;%20&#54028;&#51068;\&#50896;&#44032;(&#45824;&#51204;&#46020;&#50504;8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49453;\2001&#45380;&#44204;&#51201;\&#51077;&#52272;&#45236;&#50669;\&#44592;&#50500;&#45824;&#44368;\&#44592;&#50500;&#45824;&#443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ELECTRIC"/>
      <sheetName val="CTEMCOST"/>
      <sheetName val="토목주소"/>
      <sheetName val="프랜트면허"/>
      <sheetName val="일위대가"/>
      <sheetName val="#REF"/>
      <sheetName val="2.내역"/>
      <sheetName val="1,2공구원가계산서"/>
      <sheetName val="2공구산출내역"/>
      <sheetName val="1공구산출내역서"/>
      <sheetName val="내역서"/>
      <sheetName val="견적"/>
      <sheetName val="갑지(추정)"/>
      <sheetName val="설산1.나"/>
      <sheetName val="본사S"/>
      <sheetName val="원가"/>
      <sheetName val="화전내"/>
      <sheetName val="합천내역"/>
      <sheetName val="중기일위대가"/>
      <sheetName val="계화총괄"/>
      <sheetName val="계화배수(3대)"/>
      <sheetName val="6PILE  (돌출)"/>
      <sheetName val="간접비"/>
      <sheetName val="방배동내역(리라)"/>
      <sheetName val="예가표"/>
      <sheetName val="Y-WORK"/>
      <sheetName val="원가계산"/>
      <sheetName val="공문"/>
      <sheetName val="품셈TABLE"/>
      <sheetName val="Sheet2"/>
      <sheetName val="TOWER 12TON"/>
      <sheetName val="TOWER 10TON"/>
      <sheetName val="금액내역서"/>
      <sheetName val="공틀공사"/>
      <sheetName val="산출내역서"/>
      <sheetName val="변경내역을"/>
      <sheetName val="자재단가"/>
      <sheetName val="옥외"/>
      <sheetName val="아파트"/>
      <sheetName val="복지시설"/>
      <sheetName val="지하주차장"/>
      <sheetName val="근린생활시설"/>
      <sheetName val="보합산출근거"/>
      <sheetName val="실행철강하도"/>
      <sheetName val="본사공가현황"/>
      <sheetName val="Sheet1"/>
      <sheetName val="본선 토공 분배표"/>
      <sheetName val="단면 _2_"/>
      <sheetName val="영동(D)"/>
      <sheetName val="유림골조"/>
      <sheetName val="Sheet5"/>
      <sheetName val="EP0618"/>
      <sheetName val="데이타"/>
      <sheetName val="공사내역"/>
      <sheetName val="FB25JN"/>
      <sheetName val="입력시트"/>
      <sheetName val="원하도급내역서(당초)"/>
      <sheetName val="data2"/>
      <sheetName val="정보매체A동"/>
      <sheetName val="할증 "/>
      <sheetName val="Eq. Mob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비"/>
      <sheetName val="#REF"/>
      <sheetName val="예가표"/>
      <sheetName val="확약서"/>
      <sheetName val="제6-2공구"/>
      <sheetName val="투안점수"/>
      <sheetName val="자재및인력 (투안)"/>
      <sheetName val="내역서"/>
      <sheetName val="현장관리계획서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토목"/>
      <sheetName val="연결임시"/>
      <sheetName val="수목일위"/>
      <sheetName val="식재"/>
      <sheetName val="유지관리"/>
      <sheetName val="기계(소방기계)"/>
      <sheetName val="기계(기계설비)"/>
      <sheetName val="건축(부대)"/>
      <sheetName val="시설물"/>
      <sheetName val="복갑"/>
      <sheetName val="원가"/>
      <sheetName val="철콘"/>
      <sheetName val="일위대가"/>
      <sheetName val="단가결정"/>
      <sheetName val="원가서"/>
      <sheetName val="적점"/>
      <sheetName val="건축(경비실)"/>
      <sheetName val="견적내역"/>
      <sheetName val="가설공사"/>
      <sheetName val="교량전기"/>
      <sheetName val="수목데이타"/>
      <sheetName val="공비입력"/>
      <sheetName val="실행대비"/>
      <sheetName val="참고"/>
      <sheetName val="총괄-1"/>
      <sheetName val="내역"/>
      <sheetName val="설계가추정 (2)"/>
      <sheetName val="Macro1"/>
      <sheetName val="중기조종사 단위단가"/>
      <sheetName val="기준액"/>
      <sheetName val="기계(소방전기)"/>
      <sheetName val="96노임기준"/>
      <sheetName val="노무비단가"/>
      <sheetName val="SG"/>
      <sheetName val="덕소내역"/>
      <sheetName val="관급총괄"/>
      <sheetName val="자재"/>
      <sheetName val="내역아"/>
      <sheetName val="4차원가계산서"/>
      <sheetName val="시설물일위"/>
      <sheetName val="식재출력용"/>
      <sheetName val="원가계산서"/>
      <sheetName val="토공"/>
      <sheetName val="건축(본관분)"/>
      <sheetName val="부대tu"/>
      <sheetName val="노임"/>
      <sheetName val="단가조사"/>
      <sheetName val="울타리"/>
      <sheetName val="토목내역"/>
      <sheetName val="식재인부"/>
      <sheetName val="산출내역서"/>
      <sheetName val="단가"/>
      <sheetName val="계수시트"/>
      <sheetName val="결재원가"/>
      <sheetName val="견적"/>
      <sheetName val="신표지1"/>
      <sheetName val="현장경비"/>
      <sheetName val="부흥(실행)"/>
      <sheetName val="복을"/>
      <sheetName val="백호우계수"/>
      <sheetName val="마감사양"/>
      <sheetName val="MAT_N048"/>
      <sheetName val="01"/>
      <sheetName val="252K444"/>
      <sheetName val="방배동내역(리라)"/>
      <sheetName val="공통가설"/>
      <sheetName val="건축공사집계표"/>
      <sheetName val="방배동내역 (총괄)"/>
      <sheetName val="부대공사총괄"/>
      <sheetName val="공사비예산서(토목분)"/>
      <sheetName val="일위대가(건축)"/>
      <sheetName val="중동상가"/>
      <sheetName val="H-pile(298x299)"/>
      <sheetName val="H-pile(250x250)"/>
      <sheetName val="결과조달"/>
      <sheetName val="집계표"/>
      <sheetName val="참조"/>
      <sheetName val="입찰"/>
      <sheetName val="현경"/>
      <sheetName val="1,2공구원가계산서"/>
      <sheetName val="2공구산출내역"/>
      <sheetName val="1공구산출내역서"/>
      <sheetName val="기계경비(시간당)"/>
      <sheetName val="램머"/>
      <sheetName val="전체내역"/>
      <sheetName val="법면"/>
      <sheetName val="부대공"/>
      <sheetName val="구조물공"/>
      <sheetName val="중기일위대가"/>
      <sheetName val="포장공"/>
      <sheetName val="배수공1"/>
      <sheetName val="실행철강하도"/>
      <sheetName val="건축공사"/>
      <sheetName val="표지"/>
      <sheetName val="자재및인력_(투안)"/>
      <sheetName val="설계가추정_(2)"/>
      <sheetName val="중기조종사_단위단가"/>
      <sheetName val="현황산출서"/>
      <sheetName val="BID"/>
      <sheetName val="FILE1"/>
      <sheetName val="전계가"/>
      <sheetName val="조명시설"/>
      <sheetName val="찍기"/>
      <sheetName val="밸브설치"/>
      <sheetName val="노임단가"/>
      <sheetName val="유림골조"/>
      <sheetName val="가격조사서"/>
      <sheetName val="물량표"/>
      <sheetName val="맨홀되메우기"/>
      <sheetName val="합천내역"/>
      <sheetName val="C3"/>
      <sheetName val="집계표(육상)"/>
      <sheetName val="변경현황"/>
      <sheetName val="Sheet1 (2)"/>
      <sheetName val="총괄표"/>
      <sheetName val="실행"/>
      <sheetName val="SAKUB"/>
      <sheetName val="영동(D)"/>
      <sheetName val="Ⅴ-2.공종별내역"/>
      <sheetName val="Eq. Mobilization"/>
      <sheetName val="기초1"/>
      <sheetName val="가도공"/>
      <sheetName val="변경집계표"/>
      <sheetName val="데이타"/>
      <sheetName val="공량산출서"/>
      <sheetName val="하도금액분계"/>
      <sheetName val="INPUT"/>
      <sheetName val="지급자재"/>
      <sheetName val="09년콘크리트타설현황 (교량공)"/>
      <sheetName val="09년콘크리트타설현황 (공통공)"/>
      <sheetName val="09년콘크리트타설현황 (배수공)"/>
      <sheetName val="09년콘크리트타설현황 (포장공부대공)"/>
      <sheetName val="수량산출"/>
      <sheetName val="배수및물푸기시설"/>
      <sheetName val="02.월별투입현황"/>
      <sheetName val="총괄내역서"/>
      <sheetName val="차액보증"/>
      <sheetName val="공사비집계"/>
      <sheetName val="광양 3기 유입수"/>
      <sheetName val="경비"/>
      <sheetName val="공사비증감"/>
      <sheetName val="A-4"/>
      <sheetName val="장비"/>
      <sheetName val="산근1"/>
      <sheetName val="노무"/>
      <sheetName val="갑지"/>
      <sheetName val="총괄집계표"/>
      <sheetName val="기초일위대가"/>
      <sheetName val="식재일위대가"/>
      <sheetName val="단가대비표"/>
      <sheetName val="일위대가-1"/>
      <sheetName val="준공조서갑지"/>
      <sheetName val="단면가정"/>
      <sheetName val="Sheet1"/>
      <sheetName val="토적집계표(토공)"/>
      <sheetName val="흙운반(총괄)"/>
      <sheetName val="2차운반후 토량집계"/>
      <sheetName val="이기(집계)"/>
      <sheetName val="JUCKEYK"/>
      <sheetName val="기자재비"/>
      <sheetName val="교각1"/>
      <sheetName val="교통처리우회도로토공집계표 (2)"/>
      <sheetName val="우회도로포장수량집계표 (2)"/>
      <sheetName val="가시설총괄집계_서제교"/>
      <sheetName val="포장수량집계"/>
      <sheetName val="4.2.1 마루높이 검토"/>
      <sheetName val="을"/>
      <sheetName val="간접"/>
      <sheetName val="감액총괄표"/>
      <sheetName val="수정"/>
      <sheetName val="설계내역서"/>
      <sheetName val="토적표"/>
      <sheetName val="약품공급2"/>
      <sheetName val="Baby일위대가"/>
      <sheetName val="소요자재"/>
      <sheetName val="기본DATA"/>
      <sheetName val="산정표"/>
      <sheetName val="산재 안전"/>
      <sheetName val="노무비 경비"/>
      <sheetName val="산출내역서집계표"/>
      <sheetName val="부대내역"/>
      <sheetName val="우수"/>
      <sheetName val="CTEMCOST"/>
      <sheetName val="타공종 이월수량"/>
      <sheetName val="산출내역(K2)"/>
      <sheetName val="이기(공통)"/>
      <sheetName val="이기(배수)"/>
      <sheetName val="이기(교량)"/>
      <sheetName val="이기(부대)"/>
      <sheetName val="이기(터널)"/>
      <sheetName val="6PILE  (돌출)"/>
      <sheetName val="SCHEDULE"/>
      <sheetName val="ELECTRIC"/>
      <sheetName val="철근단면적"/>
      <sheetName val="전기일위대가"/>
      <sheetName val="이건 두번째에"/>
      <sheetName val="제출내역 (2)"/>
      <sheetName val="7.PILE  (돌출)"/>
      <sheetName val="부속동"/>
      <sheetName val="금융비용"/>
      <sheetName val="입찰안"/>
      <sheetName val="실행내역"/>
      <sheetName val="현장지지물물량"/>
      <sheetName val="용산1(해보)"/>
      <sheetName val="3.바닥판설계"/>
      <sheetName val="Macro2"/>
      <sheetName val="단면 (2)"/>
      <sheetName val="LTR-2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FitOutConfCentre"/>
      <sheetName val="조도계산서 (도서)"/>
      <sheetName val="3.공통공사대비"/>
      <sheetName val="단위수량"/>
      <sheetName val="프랜트면허"/>
      <sheetName val="토목주소"/>
      <sheetName val="증감내역서"/>
      <sheetName val="하부철근수량"/>
      <sheetName val="공통부대비"/>
      <sheetName val="토목-물가"/>
      <sheetName val="배관내역"/>
      <sheetName val="DATE"/>
      <sheetName val="대운산출"/>
      <sheetName val="경상비"/>
      <sheetName val="철근집계표"/>
      <sheetName val="금액내역서"/>
      <sheetName val="내역서적용수량 (지방도893)"/>
      <sheetName val="전선 및 전선관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L형집계"/>
      <sheetName val="갑지(추정)"/>
      <sheetName val="3.하중계산"/>
      <sheetName val="간접비"/>
      <sheetName val="북방3터널"/>
      <sheetName val="조건표"/>
      <sheetName val="설계조건"/>
      <sheetName val="단가산출서"/>
      <sheetName val="한강운반비"/>
      <sheetName val="표준건축비"/>
      <sheetName val="2"/>
      <sheetName val="업무처리전"/>
      <sheetName val="1공구 건정토건 토공"/>
      <sheetName val="BOQ"/>
      <sheetName val="LEGEND"/>
      <sheetName val="법면단"/>
      <sheetName val="석축단"/>
      <sheetName val="법면수집"/>
      <sheetName val="석축설면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(추정)"/>
      <sheetName val="GAEYO"/>
      <sheetName val="JOKUN"/>
      <sheetName val="전기"/>
      <sheetName val="부하계산서"/>
      <sheetName val="Sheet5"/>
      <sheetName val="BSD (2)"/>
      <sheetName val="현장지지물물량"/>
      <sheetName val="기계시공"/>
      <sheetName val="적용률"/>
      <sheetName val="danga"/>
      <sheetName val="ilch"/>
      <sheetName val="공통가설"/>
      <sheetName val="갑지1"/>
      <sheetName val="1.우편집중내역서"/>
      <sheetName val="Sheet1"/>
      <sheetName val="ACDIM6D"/>
      <sheetName val="을지"/>
      <sheetName val="직노"/>
      <sheetName val="AP1"/>
      <sheetName val="토공"/>
      <sheetName val="CAT_5"/>
      <sheetName val="일위대가"/>
      <sheetName val="산근"/>
      <sheetName val="Sheet6"/>
      <sheetName val="EKOG10건축"/>
      <sheetName val="토공(우물통,기타) "/>
      <sheetName val="설산1.나"/>
      <sheetName val="본사S"/>
      <sheetName val="SG"/>
      <sheetName val="DATA"/>
      <sheetName val="예가표"/>
      <sheetName val="노임"/>
      <sheetName val="DATE"/>
      <sheetName val="공종단가"/>
      <sheetName val="건축내역서"/>
      <sheetName val="설비내역서"/>
      <sheetName val="전기내역서"/>
      <sheetName val="집계표"/>
      <sheetName val="°©Áö(ÃßÁ¤)"/>
      <sheetName val="ºÎÇÏ°è»ê¼­"/>
      <sheetName val="ÇöÀåÁöÁö¹°¹°·®"/>
      <sheetName val="±â°è½Ã°ø"/>
      <sheetName val="Àû¿ë·ü"/>
      <sheetName val="»ê±Ù"/>
      <sheetName val="°øÅë°¡¼³"/>
      <sheetName val="EKOG10°ÇÃà"/>
      <sheetName val="À»Áö"/>
      <sheetName val="Åä°ø(¿ì¹°Åë,±âÅ¸) "/>
      <sheetName val="¼³»ê1.³ª"/>
      <sheetName val="º»»çS"/>
      <sheetName val="총물량"/>
      <sheetName val="조경"/>
      <sheetName val="표지 (2)"/>
      <sheetName val="SUM-CTI"/>
      <sheetName val="갑지_추정_"/>
      <sheetName val="아파트 기성내역서"/>
      <sheetName val="프랜트면허"/>
      <sheetName val="주소록"/>
      <sheetName val="내역서"/>
      <sheetName val="입찰안"/>
      <sheetName val="내역"/>
      <sheetName val="#REF"/>
      <sheetName val="설직재-1"/>
      <sheetName val="해평견적"/>
      <sheetName val="데이타"/>
      <sheetName val="식재인부"/>
      <sheetName val="Total"/>
      <sheetName val="대우단가(풍산)"/>
      <sheetName val="내역(전체)"/>
      <sheetName val="Sheet2"/>
      <sheetName val="공통비(전체)"/>
      <sheetName val="정부노임단가"/>
      <sheetName val="입고현황(전체)"/>
      <sheetName val="전체"/>
      <sheetName val="입찰보고"/>
      <sheetName val="부표총괄"/>
      <sheetName val="토목주소"/>
      <sheetName val="CATV"/>
      <sheetName val="1-1"/>
      <sheetName val="Breakdown"/>
      <sheetName val="UnitRate"/>
      <sheetName val="총괄표"/>
      <sheetName val="단가표"/>
      <sheetName val="c_balju"/>
      <sheetName val="을"/>
      <sheetName val="정공공사"/>
      <sheetName val="hvac(제어동)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소방사항"/>
      <sheetName val="목록"/>
      <sheetName val="중기"/>
      <sheetName val="내역1"/>
      <sheetName val="건축집계"/>
      <sheetName val="자재(원원+원대)"/>
      <sheetName val="입찰"/>
      <sheetName val="현경"/>
      <sheetName val="출력일지(01월)"/>
      <sheetName val="설계"/>
      <sheetName val="기초일위"/>
      <sheetName val="CTEMCOST"/>
      <sheetName val="ELECTRIC"/>
      <sheetName val="1월"/>
      <sheetName val="설계명세"/>
      <sheetName val="실행(표지,갑,을)"/>
      <sheetName val="백호우계수"/>
      <sheetName val="6호기"/>
      <sheetName val="Indirect Cost"/>
      <sheetName val="건축공사실행"/>
      <sheetName val="실행(ALT1)"/>
      <sheetName val="투찰"/>
      <sheetName val="본공사"/>
      <sheetName val="개산공사비"/>
      <sheetName val="원가계산서"/>
      <sheetName val="정화조동내역"/>
      <sheetName val="총괄"/>
      <sheetName val="코드"/>
      <sheetName val="토목"/>
      <sheetName val="단위수량"/>
      <sheetName val="공사비산출내역"/>
      <sheetName val="4.2유효폭의 계산"/>
      <sheetName val="차액보증"/>
      <sheetName val="대가목록"/>
      <sheetName val="남양시작동자105노65기1.3화1.2"/>
      <sheetName val="9GNG운반"/>
      <sheetName val="공내역"/>
      <sheetName val="설비원가"/>
      <sheetName val="표지"/>
      <sheetName val="관리,공감"/>
      <sheetName val="1차설계변경내역"/>
      <sheetName val="수량산출"/>
      <sheetName val="설비단가표"/>
      <sheetName val="기본일위"/>
      <sheetName val="견적내역"/>
      <sheetName val="준검 내역서"/>
      <sheetName val="노임단가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6È£±â"/>
      <sheetName val="Åä¸ñ"/>
      <sheetName val="º»°ø»ç"/>
      <sheetName val="°ø³»¿ª"/>
      <sheetName val="1Â÷¼³°èº¯°æ³»¿ª"/>
      <sheetName val="¿ø°¡°è»ê¼­"/>
      <sheetName val="인건비"/>
      <sheetName val="대전-교대(A1-A2)"/>
      <sheetName val="저"/>
      <sheetName val="유림골조"/>
      <sheetName val="공사내역"/>
      <sheetName val="업체견적(거푸집)"/>
      <sheetName val="은행"/>
      <sheetName val="단가"/>
      <sheetName val="BSD _2_"/>
      <sheetName val="콘크리트타설집계표"/>
      <sheetName val="시화점실행"/>
      <sheetName val="WORK"/>
      <sheetName val="ITB COST"/>
      <sheetName val="내역서1999.8최종"/>
      <sheetName val="물가자료"/>
      <sheetName val="원형맨홀수량"/>
      <sheetName val="ABUT수량-A1"/>
      <sheetName val="KMT물량"/>
      <sheetName val="TB-내역서"/>
      <sheetName val="토공집계표"/>
      <sheetName val="작성"/>
      <sheetName val="INPUT"/>
      <sheetName val="손익분석"/>
      <sheetName val="간접경상비"/>
      <sheetName val="s"/>
      <sheetName val="조명시설"/>
      <sheetName val="BID"/>
      <sheetName val="Y-WORK"/>
      <sheetName val="HVAC"/>
      <sheetName val="당진1,2호기전선관설치및접지4차공사내역서-을지"/>
      <sheetName val="기계"/>
      <sheetName val="자재단가비교표"/>
      <sheetName val="견적단가"/>
      <sheetName val="수량-가로등"/>
      <sheetName val="골조시행"/>
      <sheetName val="돌담교 상부수량"/>
      <sheetName val="1차 내역서"/>
      <sheetName val="참조"/>
      <sheetName val="전차선로 물량표"/>
      <sheetName val="포장복구집계"/>
      <sheetName val="기계내역서"/>
      <sheetName val="97 사업추정(WEKI)"/>
      <sheetName val="인사자료총집계"/>
      <sheetName val="200"/>
      <sheetName val="공사수행방안"/>
      <sheetName val="경비"/>
      <sheetName val="Sheet10"/>
      <sheetName val="단면가정"/>
      <sheetName val="음료실행"/>
      <sheetName val="거래처등록"/>
      <sheetName val="참고자료"/>
      <sheetName val="유류대관리"/>
      <sheetName val="건축공사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판"/>
      <sheetName val="CB"/>
      <sheetName val="내역서 "/>
      <sheetName val="실행간접비용"/>
      <sheetName val="S0"/>
      <sheetName val="우수공"/>
      <sheetName val="기계내역"/>
      <sheetName val="CSA-Rate Build Up"/>
      <sheetName val="SOURCE"/>
      <sheetName val="건축내역"/>
      <sheetName val="설계기준"/>
      <sheetName val="지수"/>
      <sheetName val="인부신상자료"/>
      <sheetName val="판매시설"/>
      <sheetName val="1.설계조건"/>
      <sheetName val="직공비"/>
      <sheetName val="교각1"/>
      <sheetName val="부산4"/>
      <sheetName val="사급자재"/>
      <sheetName val="공사원가계산서"/>
      <sheetName val="Macro"/>
      <sheetName val="실행철강하도"/>
      <sheetName val="단면 (2)"/>
      <sheetName val="설계개요"/>
      <sheetName val="백암비스타내역"/>
      <sheetName val="주경기-오배수"/>
      <sheetName val="기기리스트"/>
      <sheetName val="Chiet tinh dz35"/>
      <sheetName val="기둥(원형)"/>
      <sheetName val="2000년1차"/>
      <sheetName val="2000전체분"/>
      <sheetName val="노임이"/>
      <sheetName val="암거공"/>
      <sheetName val="동해title"/>
      <sheetName val="금액내역서"/>
      <sheetName val="Tables"/>
      <sheetName val="금액"/>
      <sheetName val="APT내역"/>
      <sheetName val="견"/>
      <sheetName val="정보매체A동"/>
      <sheetName val="시설이용권명세서"/>
      <sheetName val="FORM-0"/>
      <sheetName val="Macro(차단기)"/>
      <sheetName val="JUCKEYK"/>
      <sheetName val="조정금액결과표 (차수별)"/>
      <sheetName val="STORAGE"/>
      <sheetName val="별표 "/>
      <sheetName val="조명율표"/>
      <sheetName val="단가조사-2"/>
      <sheetName val="대비표(토공1안)"/>
      <sheetName val=" BM 셈플"/>
      <sheetName val="돈암사업"/>
      <sheetName val="시중노임단가"/>
      <sheetName val="건축"/>
      <sheetName val="Sheet1 (2)"/>
      <sheetName val="실행대비"/>
      <sheetName val="시점교대"/>
      <sheetName val="공동"/>
      <sheetName val="단독"/>
      <sheetName val="NP-총정리"/>
      <sheetName val="3_공통공사대비"/>
      <sheetName val="기본사항"/>
      <sheetName val="N賃率-職"/>
      <sheetName val="gyun"/>
      <sheetName val="(1)본선수량집계"/>
      <sheetName val="재료비"/>
      <sheetName val="경비일반이윤"/>
      <sheetName val="노무비"/>
      <sheetName val="을-ATYPE"/>
      <sheetName val="기존단가 (2)"/>
      <sheetName val="I一般比"/>
      <sheetName val="새공통"/>
      <sheetName val="안내"/>
      <sheetName val="증감대비"/>
      <sheetName val="45,46"/>
      <sheetName val="갑지"/>
      <sheetName val="원내역서3"/>
      <sheetName val="설계서"/>
      <sheetName val="집계"/>
      <sheetName val="TYPE-A"/>
      <sheetName val="위생기구"/>
      <sheetName val="기계실냉난방"/>
      <sheetName val="일위대가 "/>
      <sheetName val="전력"/>
      <sheetName val="골조"/>
      <sheetName val=" 냉각수펌프"/>
      <sheetName val="공조기휀"/>
      <sheetName val="AHU집계"/>
      <sheetName val="도급FORM"/>
      <sheetName val="2공구산출내역"/>
      <sheetName val="건축2"/>
      <sheetName val="토목설계(배수지+관로)"/>
      <sheetName val="수납장배치도"/>
      <sheetName val="터파기및재료"/>
      <sheetName val="노임,재료비"/>
      <sheetName val="3.공통공사대비"/>
      <sheetName val="파일의이용"/>
      <sheetName val="기성내역서표지"/>
      <sheetName val="변경내역서간지"/>
      <sheetName val="1.취수장"/>
      <sheetName val="DATA1"/>
      <sheetName val="난방열교"/>
      <sheetName val="급탕열교"/>
      <sheetName val="국내조달(통합-1)"/>
      <sheetName val="기본단가표"/>
      <sheetName val="건축원가"/>
      <sheetName val="b_balju_cho"/>
      <sheetName val="부하집계표"/>
      <sheetName val="수량집계(방송설비)"/>
      <sheetName val="조직"/>
      <sheetName val="수량집계(전기시계)"/>
      <sheetName val="수량집계(출입통제)"/>
      <sheetName val="수량집계(통합배선)"/>
      <sheetName val="수량집계(CATV)"/>
      <sheetName val="수량집계(CCTV)"/>
      <sheetName val="경산"/>
      <sheetName val="Baby일위대가"/>
      <sheetName val="계약내역서(을지)"/>
      <sheetName val="guard(mac)"/>
      <sheetName val="Y_WORK"/>
      <sheetName val="실행내역서 "/>
      <sheetName val="지주목시비량산출서"/>
      <sheetName val="단가조사"/>
      <sheetName val="PROJECT BRIEF(EX.NEW)"/>
      <sheetName val="TEST1"/>
      <sheetName val="연돌일위집계"/>
      <sheetName val="개요"/>
      <sheetName val="DS기성최종"/>
      <sheetName val="DS설변내역서"/>
      <sheetName val="정산내역서"/>
      <sheetName val="일반전기"/>
      <sheetName val="LEGEND"/>
      <sheetName val="예산서"/>
      <sheetName val="P-산#1-1(WOWA1)"/>
      <sheetName val="Customer Databas"/>
      <sheetName val="CAB_OD"/>
      <sheetName val="NEYOK"/>
      <sheetName val="1F"/>
      <sheetName val="KLHT"/>
      <sheetName val="1995년 섹터별 매출"/>
      <sheetName val="총괄갑 "/>
      <sheetName val="자재비"/>
      <sheetName val="금융비용"/>
      <sheetName val="환산"/>
      <sheetName val="wall"/>
      <sheetName val="BM"/>
      <sheetName val="부대공"/>
      <sheetName val="포장공"/>
      <sheetName val="청천내"/>
      <sheetName val="Salary(해외)"/>
      <sheetName val="DJ1"/>
      <sheetName val="주요기준"/>
      <sheetName val="도급실행(본관-주차장)"/>
      <sheetName val="내   역"/>
      <sheetName val="소비자가"/>
      <sheetName val="수량집계"/>
      <sheetName val="Front"/>
      <sheetName val="실행단가철(ems코드적용)"/>
      <sheetName val="관급"/>
      <sheetName val="시중노임"/>
      <sheetName val="날개벽수량표"/>
      <sheetName val="세부내역"/>
      <sheetName val="기술부 VENDOR LIST"/>
      <sheetName val="설계내역서"/>
      <sheetName val="Macro7"/>
      <sheetName val="조명율"/>
      <sheetName val="중기사용료"/>
      <sheetName val="패널"/>
      <sheetName val="대비"/>
      <sheetName val="조건표"/>
      <sheetName val="말뚝지지력산정"/>
      <sheetName val="3BL공동구 수량"/>
      <sheetName val="일반공사"/>
      <sheetName val="변경내역"/>
      <sheetName val="스포회원매출"/>
      <sheetName val="일위대가(목록)"/>
      <sheetName val="수리결과"/>
      <sheetName val="하수급견적대비"/>
      <sheetName val="아파트"/>
      <sheetName val="기초단가"/>
      <sheetName val="명세"/>
      <sheetName val="토목2"/>
      <sheetName val="노무비단가"/>
      <sheetName val="시설물일위"/>
      <sheetName val="건축원가계산서"/>
      <sheetName val="그림"/>
      <sheetName val="구성1"/>
      <sheetName val="구성2"/>
      <sheetName val="구성3"/>
      <sheetName val="구성4"/>
      <sheetName val="그림2"/>
      <sheetName val="샤워실위생"/>
      <sheetName val="EIB010831"/>
      <sheetName val="코드표"/>
      <sheetName val="우석문틀"/>
      <sheetName val="수지예산"/>
      <sheetName val="예정공정완"/>
      <sheetName val="비교표"/>
      <sheetName val="공문"/>
      <sheetName val="Internal Floor"/>
      <sheetName val="현금"/>
      <sheetName val="부산만덕"/>
      <sheetName val="수원율전"/>
      <sheetName val="안양주공"/>
      <sheetName val="표준일위대가"/>
      <sheetName val="파주"/>
      <sheetName val="부재리스트"/>
      <sheetName val="unit 4"/>
      <sheetName val="익산"/>
      <sheetName val="노원열병합  건축공사기성내역서"/>
      <sheetName val="TEL"/>
      <sheetName val="수수료율표"/>
      <sheetName val="아파트건축"/>
      <sheetName val="감액총괄표"/>
      <sheetName val="설비내역"/>
      <sheetName val="설계내역2"/>
      <sheetName val="설계내역"/>
      <sheetName val="행거,슈,볼트,펌프,잡재"/>
      <sheetName val="현장"/>
      <sheetName val="기계공사"/>
      <sheetName val="현장관리비"/>
      <sheetName val="나.건축"/>
      <sheetName val="도근좌표"/>
      <sheetName val="SP-B1"/>
      <sheetName val="단위단가"/>
      <sheetName val="저수조"/>
      <sheetName val="급,배기팬"/>
      <sheetName val="급탕순환펌프"/>
      <sheetName val="순환펌프"/>
      <sheetName val="담파단가"/>
      <sheetName val="일위대가목록(ems)"/>
      <sheetName val="적현로"/>
      <sheetName val="총괄원가계산서"/>
      <sheetName val="설계서(건축분)"/>
      <sheetName val="요율"/>
      <sheetName val="108동"/>
      <sheetName val="101동"/>
      <sheetName val="7~8사이내림기초"/>
      <sheetName val="영업소실적"/>
      <sheetName val="기계설비"/>
      <sheetName val="실행예산"/>
      <sheetName val="재료"/>
      <sheetName val="설치자재"/>
      <sheetName val="물량표"/>
      <sheetName val="일반부표"/>
      <sheetName val="비용산식"/>
      <sheetName val="인원계획-미화"/>
      <sheetName val="일위대가(가설)"/>
      <sheetName val="COVER"/>
      <sheetName val="구리토평1전기"/>
      <sheetName val="열린교실"/>
      <sheetName val="의왕내역"/>
      <sheetName val="Sheet4"/>
      <sheetName val="수지"/>
      <sheetName val="CON'C"/>
      <sheetName val="Uint보온"/>
      <sheetName val="자  재"/>
      <sheetName val="건축외주"/>
      <sheetName val="신청서"/>
      <sheetName val="철콘공사"/>
      <sheetName val="변경서식"/>
      <sheetName val="미장"/>
      <sheetName val="철골"/>
      <sheetName val="부대내역"/>
      <sheetName val="견적"/>
      <sheetName val="일위대가표"/>
      <sheetName val="일용직내역"/>
      <sheetName val="20관리비율"/>
      <sheetName val="DATA테이블1 (2)"/>
      <sheetName val="공사개요"/>
      <sheetName val="중기일위대가"/>
      <sheetName val="부하(성남)"/>
      <sheetName val="회사99"/>
      <sheetName val="CAL."/>
      <sheetName val="SPEC"/>
      <sheetName val="Eq. Mobilization"/>
      <sheetName val="견적대비"/>
      <sheetName val="단가조사서"/>
      <sheetName val="목차"/>
      <sheetName val="시멘트"/>
      <sheetName val="PAINT"/>
      <sheetName val="물량표(신)"/>
      <sheetName val="대비내역"/>
      <sheetName val="상계견적"/>
      <sheetName val="3.하중산정4.지지력"/>
      <sheetName val="Ⅴ-2.공종별내역"/>
      <sheetName val="9-1차이내역"/>
      <sheetName val="PBS"/>
      <sheetName val="내역분기"/>
      <sheetName val="년도별노임표"/>
      <sheetName val="중기목록표"/>
      <sheetName val="설계조건"/>
      <sheetName val="동력부하계산"/>
      <sheetName val="참조자료"/>
      <sheetName val="수로교총재료집계"/>
      <sheetName val="일위대가목차"/>
      <sheetName val="LD"/>
      <sheetName val="기준"/>
      <sheetName val="대공종"/>
      <sheetName val="상승요인분석"/>
      <sheetName val="가설공사"/>
      <sheetName val="단가산출1"/>
      <sheetName val="단가산출2"/>
      <sheetName val="REINF."/>
      <sheetName val="SKETCH"/>
      <sheetName val="LOADS"/>
      <sheetName val="ASALTOTA"/>
      <sheetName val="완도-군외"/>
      <sheetName val="공틀공사"/>
      <sheetName val="구조물철거타공정이월"/>
      <sheetName val="직접공사비집계표_7"/>
      <sheetName val="공통가설_8"/>
      <sheetName val="기타시설"/>
      <sheetName val="아파트_9"/>
      <sheetName val="주민복지관"/>
      <sheetName val="지하주차장"/>
      <sheetName val="Macro(전동기)"/>
      <sheetName val="Condition"/>
      <sheetName val="VXXXXXXX"/>
      <sheetName val="미드수량"/>
      <sheetName val="자료"/>
      <sheetName val="b_balju"/>
      <sheetName val="5사남"/>
      <sheetName val="품셈TABLE"/>
      <sheetName val="적용기준"/>
      <sheetName val="노임대장"/>
      <sheetName val="대치판정"/>
      <sheetName val="자료입력"/>
      <sheetName val="준공시전망_원본"/>
      <sheetName val="일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9811"/>
      <sheetName val="덕전리"/>
      <sheetName val="분당임차변경"/>
      <sheetName val="미디어고등학교"/>
      <sheetName val="EQT-ESTN"/>
      <sheetName val="IN2"/>
      <sheetName val="설비"/>
      <sheetName val="견적서"/>
      <sheetName val="납부서"/>
      <sheetName val="Sheet17"/>
      <sheetName val="사업자등록증"/>
      <sheetName val="인원자료"/>
      <sheetName val="참고"/>
      <sheetName val="공조기"/>
      <sheetName val="금융"/>
      <sheetName val=" 견적서"/>
      <sheetName val="TIE-IN"/>
      <sheetName val="B1(반포1차)"/>
      <sheetName val="건축토목내역"/>
      <sheetName val="연결관암거"/>
      <sheetName val="실행내역"/>
      <sheetName val="간접비"/>
      <sheetName val="fs-e"/>
      <sheetName val="tax1"/>
      <sheetName val="내역서을지"/>
      <sheetName val="방수"/>
      <sheetName val="내역표지"/>
      <sheetName val="96노임기준"/>
      <sheetName val="수원공사비"/>
      <sheetName val="자재대"/>
      <sheetName val="안양1공구_건축"/>
      <sheetName val="내역(중앙)"/>
      <sheetName val="내역(창신)"/>
      <sheetName val="시장성초안camera"/>
      <sheetName val="MATERIAL"/>
      <sheetName val="배수펌프"/>
      <sheetName val="등가관장표"/>
      <sheetName val="결재갑지"/>
      <sheetName val="CAPVC"/>
      <sheetName val="미지급금"/>
      <sheetName val="별첨1(공사견적 양식) (재제출-0713)"/>
      <sheetName val="별첨1(공사견적 양식)"/>
      <sheetName val="공사비비교 (호텔0723-"/>
      <sheetName val="충주"/>
      <sheetName val="플랜트 설치"/>
      <sheetName val="원본"/>
      <sheetName val="을_ATYPE"/>
      <sheetName val="b_gunmul"/>
      <sheetName val="b_balju (2)"/>
      <sheetName val="환경기계공정표 (3)"/>
      <sheetName val="간접"/>
      <sheetName val="남양시작동010313100%"/>
      <sheetName val="OCT.FDN"/>
      <sheetName val="DESIGN"/>
      <sheetName val="도급양식"/>
      <sheetName val="내역전기"/>
      <sheetName val="C1ㅇ"/>
      <sheetName val="J直材4"/>
      <sheetName val="일위대가(건축)"/>
      <sheetName val="토공집계"/>
      <sheetName val="사유서제출현황-2"/>
      <sheetName val="측량요율"/>
      <sheetName val="원가"/>
      <sheetName val="단가 "/>
      <sheetName val="조명일위"/>
      <sheetName val="방식총괄"/>
      <sheetName val="crude.SLAB RE-bar"/>
      <sheetName val="CRUDE RE-bar"/>
      <sheetName val="현장관리Assumption"/>
      <sheetName val="직원투입계획"/>
      <sheetName val="가설전기별첨"/>
      <sheetName val="개화1교"/>
      <sheetName val="백룡교차로"/>
      <sheetName val="산정교차로"/>
      <sheetName val="신영교차로"/>
      <sheetName val="철거산출근거"/>
      <sheetName val="내역총괄표"/>
      <sheetName val="마산방향철근집계"/>
      <sheetName val="진주방향"/>
      <sheetName val="마산방향"/>
      <sheetName val="회로내역(승인)"/>
      <sheetName val="설계예산"/>
      <sheetName val="실행분석표"/>
      <sheetName val="품목납기"/>
      <sheetName val="Sheet3"/>
      <sheetName val="제품정보"/>
      <sheetName val="COPING"/>
      <sheetName val="Assumption"/>
      <sheetName val="COVER-P"/>
      <sheetName val="설명서 "/>
      <sheetName val="원가 (2)"/>
      <sheetName val="주관사업"/>
      <sheetName val="기초자료"/>
      <sheetName val="Macro3"/>
      <sheetName val="추천서"/>
      <sheetName val="산출내역서집계표"/>
      <sheetName val="1,2공구원가계산서"/>
      <sheetName val="우,오수"/>
      <sheetName val="교대(A1-A2)"/>
      <sheetName val="지급자재"/>
      <sheetName val="인부임"/>
      <sheetName val="현장별계약현황('98.10.31)"/>
      <sheetName val="STEEL BOX 단면설계(SEC.8)"/>
      <sheetName val="안전시설내역서"/>
      <sheetName val="205동"/>
      <sheetName val="빗물받이(910-510-410)"/>
      <sheetName val="수목표준대가"/>
      <sheetName val="광양방향"/>
      <sheetName val="本年收入合计"/>
      <sheetName val="슬래브(PF)(하류)"/>
      <sheetName val="1TL종점(1)"/>
      <sheetName val="전기공사일위대가"/>
      <sheetName val="현대실행 (실투입최종)"/>
      <sheetName val="기타 정보통신공사"/>
      <sheetName val="유효폭의 계산"/>
      <sheetName val="계약내역"/>
      <sheetName val="옥외부분합"/>
      <sheetName val="b_babun (2)"/>
      <sheetName val="공정별금액"/>
      <sheetName val="내역서(음성금왕)"/>
      <sheetName val="36+45-113-18+19+20I"/>
      <sheetName val="커튼월(pfg)"/>
      <sheetName val="산출근거"/>
      <sheetName val="부대"/>
      <sheetName val="인력터파기"/>
      <sheetName val="CC16-내역서"/>
      <sheetName val="MASTER00.7月"/>
      <sheetName val="견적조건"/>
      <sheetName val="2000.05"/>
      <sheetName val="계좌번호"/>
      <sheetName val="형틀공사"/>
      <sheetName val="명세서"/>
      <sheetName val="토공사(흙막이)"/>
      <sheetName val="기성청구내역서"/>
      <sheetName val="노무산출서"/>
      <sheetName val="설계명세서(종합)"/>
      <sheetName val="소요자재"/>
      <sheetName val="공사내역서(을)실행"/>
      <sheetName val="기성내역서"/>
      <sheetName val="PI"/>
      <sheetName val="횡배수관토공수량"/>
      <sheetName val="전선 및 전선관"/>
      <sheetName val="단가산출"/>
      <sheetName val="일위대가목록"/>
      <sheetName val="횡배수관집현황(2공구)"/>
      <sheetName val="단가대비표 (3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관경별내역서"/>
      <sheetName val="단가비교표"/>
      <sheetName val="종현황"/>
      <sheetName val="9509"/>
      <sheetName val="SUMMARY(S)"/>
      <sheetName val="갑지(과세)"/>
      <sheetName val="총괄내역서"/>
      <sheetName val="해외(원화)"/>
      <sheetName val="변화치수"/>
      <sheetName val="기안"/>
      <sheetName val="파이프류"/>
      <sheetName val="남양내역"/>
      <sheetName val="중기사용료산출근거"/>
      <sheetName val="전기일위대가"/>
      <sheetName val="남양주부대"/>
      <sheetName val="부속동"/>
      <sheetName val="대운산출"/>
      <sheetName val="CLAUSE"/>
      <sheetName val="MAT_N048"/>
      <sheetName val="S1"/>
      <sheetName val="삼성전기"/>
      <sheetName val="음봉방향"/>
      <sheetName val="BSD_(2)"/>
      <sheetName val="토공(우물통,기타)_"/>
      <sheetName val="아파트_기성내역서"/>
      <sheetName val="설산1_나"/>
      <sheetName val="1_우편집중내역서"/>
      <sheetName val="Åä°ø(¿ì¹°Åë,±âÅ¸)_"/>
      <sheetName val="¼³»ê1_³ª"/>
      <sheetName val="표지_(2)"/>
      <sheetName val="Indirect_Cost"/>
      <sheetName val="4_2유효폭의_계산"/>
      <sheetName val="남양시작동자105노65기1_3화1_2"/>
      <sheetName val="준검_내역서"/>
      <sheetName val="BSD__2_"/>
      <sheetName val="BLR_1"/>
      <sheetName val="ITB_COST"/>
      <sheetName val="내역서1999_8최종"/>
      <sheetName val="제수"/>
      <sheetName val="공기"/>
      <sheetName val="Works Cost"/>
      <sheetName val="점수계산1-2"/>
      <sheetName val="FAB별"/>
      <sheetName val="tank list"/>
      <sheetName val="도"/>
      <sheetName val="날개벽"/>
      <sheetName val="견적대비표"/>
      <sheetName val="단가대비"/>
      <sheetName val="집계표(4공구)"/>
      <sheetName val="내역서(4공구)"/>
      <sheetName val="시스템운영비(4공구)"/>
      <sheetName val="단가대비표"/>
      <sheetName val="견적결과(1공구)"/>
      <sheetName val="견적결과(2공구)"/>
      <sheetName val="견적결과(3공구)"/>
      <sheetName val="견적결과(4공구)OT"/>
      <sheetName val="견적결과(4공구)APT"/>
      <sheetName val="내역서(4공구)오피스텔"/>
      <sheetName val="집계표(4공구)APT"/>
      <sheetName val="집계표(4공구)OT"/>
      <sheetName val="노임근거"/>
      <sheetName val="집계표(개별)"/>
      <sheetName val="내역서(개별)"/>
      <sheetName val="소액공사비(변경후)"/>
      <sheetName val="단중표"/>
      <sheetName val="1승인신청서"/>
      <sheetName val="Maine"/>
      <sheetName val="기성현황집계표"/>
      <sheetName val="카메라"/>
      <sheetName val=" 노무비결의서_17년07월.xlsx"/>
      <sheetName val="계수시트"/>
      <sheetName val="유첨3.적용기준"/>
      <sheetName val="기술조건"/>
      <sheetName val="삭제내역1차"/>
      <sheetName val="견적대비 견적서"/>
      <sheetName val="2002년"/>
      <sheetName val="Calc V1.2"/>
      <sheetName val="Calc V1.2 (2)"/>
      <sheetName val="시추주상도"/>
      <sheetName val="일위_파일"/>
      <sheetName val="NYS"/>
      <sheetName val="참조(인건비)"/>
      <sheetName val="PAC"/>
      <sheetName val="감가상각"/>
      <sheetName val="일위대가표(DEEP)"/>
      <sheetName val="목동1절주.bh01"/>
      <sheetName val="발송list(2절)"/>
      <sheetName val="CODE"/>
      <sheetName val="#2_일위대가목록"/>
      <sheetName val="70%"/>
      <sheetName val="정보"/>
      <sheetName val="7.수지"/>
      <sheetName val="지급자재조서"/>
      <sheetName val="수량산출(방송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B시설가격"/>
      <sheetName val="도급및 실행내역"/>
      <sheetName val="정부노임(2000.상)"/>
      <sheetName val="이토변실"/>
      <sheetName val="104동"/>
      <sheetName val="종단계산"/>
      <sheetName val="NAI"/>
      <sheetName val="변경하세요"/>
      <sheetName val="하도정산"/>
      <sheetName val="铝合金"/>
      <sheetName val="예총"/>
      <sheetName val="N-001_내역서"/>
      <sheetName val="지구단위계획"/>
      <sheetName val="한일양산"/>
      <sheetName val="기초자료입력"/>
      <sheetName val="요약본"/>
      <sheetName val="1층LOAD"/>
      <sheetName val="도급원가"/>
      <sheetName val="유첨3.적용기㐘"/>
      <sheetName val="공종목록표"/>
      <sheetName val="참고사항"/>
      <sheetName val="CONCRETE"/>
      <sheetName val="교통대책내역"/>
      <sheetName val="교대일반수량총괄집계표"/>
      <sheetName val="안정계산"/>
      <sheetName val="단면검토"/>
      <sheetName val="2.토목공사"/>
      <sheetName val="분석항목"/>
      <sheetName val="Summary"/>
      <sheetName val="工程材料"/>
      <sheetName val="작업내역서"/>
      <sheetName val="울산시산표"/>
      <sheetName val="전기집계표"/>
      <sheetName val="산출서"/>
      <sheetName val="2008년상반기"/>
      <sheetName val="KCS-CA"/>
      <sheetName val="Proposal"/>
      <sheetName val="별표2"/>
      <sheetName val="순공사비"/>
      <sheetName val="소개"/>
      <sheetName val="대전노은1차_조적_집계표"/>
      <sheetName val="복구일위대가표"/>
      <sheetName val="TRE TABLE"/>
      <sheetName val="부대집계"/>
      <sheetName val="4-10"/>
      <sheetName val="6동"/>
      <sheetName val="실행"/>
      <sheetName val="안전장치"/>
      <sheetName val="대목"/>
      <sheetName val="6공구(당초)"/>
      <sheetName val="부대공수량산출"/>
      <sheetName val="T13(P68~72,78)"/>
      <sheetName val="resp"/>
      <sheetName val="주식"/>
      <sheetName val="갈현동"/>
      <sheetName val="취합표"/>
      <sheetName val="건축(산출)"/>
      <sheetName val="토목(산출)"/>
      <sheetName val="견적의뢰"/>
      <sheetName val="D.B"/>
      <sheetName val="대비표"/>
      <sheetName val="자재표"/>
      <sheetName val="물가기준년"/>
      <sheetName val="장비기준"/>
      <sheetName val="내역서_"/>
      <sheetName val="돌담교_상부수량"/>
      <sheetName val="전차선로_물량표"/>
      <sheetName val="1차_내역서"/>
      <sheetName val="97_사업추정(WEKI)"/>
      <sheetName val="단면_(2)"/>
      <sheetName val="Chiet_tinh_dz35"/>
      <sheetName val="1_설계조건"/>
      <sheetName val="3_하중산정4_지지력"/>
      <sheetName val="Ⅴ-2_공종별내역"/>
      <sheetName val="CSA-Rate_Build_Up"/>
      <sheetName val="Eq__Mobilization"/>
      <sheetName val="CAL_"/>
      <sheetName val="조정금액결과표_(차수별)"/>
      <sheetName val="별표_"/>
      <sheetName val="_BM_셈플"/>
      <sheetName val="Sheet1_(2)"/>
      <sheetName val="기존단가_(2)"/>
      <sheetName val="일위대가_"/>
      <sheetName val="_냉각수펌프"/>
      <sheetName val="3_공통공사대비1"/>
      <sheetName val="1_취수장"/>
      <sheetName val="실행내역서_"/>
      <sheetName val="PROJECT_BRIEF(EX_NEW)"/>
      <sheetName val="Customer_Databas"/>
      <sheetName val="1995년_섹터별_매출"/>
      <sheetName val="총괄갑_"/>
      <sheetName val="내___역"/>
      <sheetName val="기술부_VENDOR_LIST"/>
      <sheetName val="3BL공동구_수량"/>
      <sheetName val="Internal_Floor"/>
      <sheetName val="unit_4"/>
      <sheetName val="노원열병합__건축공사기성내역서"/>
      <sheetName val="나_건축"/>
      <sheetName val="자__재"/>
      <sheetName val="DATA테이블1_(2)"/>
      <sheetName val="REINF_"/>
      <sheetName val="토목 (2)"/>
      <sheetName val="예산내역서"/>
      <sheetName val="견적집계표"/>
      <sheetName val="Project Brief"/>
      <sheetName val="XXXXXXXX"/>
      <sheetName val="북부"/>
      <sheetName val="점검내역서(data) (2)"/>
      <sheetName val="총체보활공정표"/>
      <sheetName val="토목내역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출고"/>
      <sheetName val="산출"/>
      <sheetName val="공사원가내역서"/>
      <sheetName val="제경비산출"/>
      <sheetName val="관급자재"/>
      <sheetName val="전기변내역"/>
      <sheetName val="원가계산"/>
      <sheetName val="인명별연차내역"/>
      <sheetName val="출입자명단"/>
      <sheetName val="1~6 설계조건...."/>
      <sheetName val="토적계산서"/>
      <sheetName val="MOKDONG(1)"/>
      <sheetName val="배수내역"/>
      <sheetName val="토적표"/>
      <sheetName val="CAUDIT"/>
      <sheetName val="프로젝트"/>
      <sheetName val="95하U$가격"/>
      <sheetName val="구분테이블"/>
      <sheetName val="DATA(BAC)"/>
      <sheetName val="SE-611"/>
      <sheetName val="내역(토목)"/>
      <sheetName val="견적을지"/>
      <sheetName val="적용노임(09상)"/>
      <sheetName val="목표세부명세"/>
      <sheetName val="BSD_(2)1"/>
      <sheetName val="토공(우물통,기타)_1"/>
      <sheetName val="아파트_기성내역서1"/>
      <sheetName val="설산1_나1"/>
      <sheetName val="1_우편집중내역서1"/>
      <sheetName val="Åä°ø(¿ì¹°Åë,±âÅ¸)_1"/>
      <sheetName val="¼³»ê1_³ª1"/>
      <sheetName val="표지_(2)1"/>
      <sheetName val="BLR_11"/>
      <sheetName val="Indirect_Cost1"/>
      <sheetName val="4_2유효폭의_계산1"/>
      <sheetName val="남양시작동자105노65기1_3화1_21"/>
      <sheetName val="준검_내역서1"/>
      <sheetName val="BSD__2_1"/>
      <sheetName val="ITB_COST1"/>
      <sheetName val="내역서1999_8최종1"/>
      <sheetName val="_견적서"/>
      <sheetName val="별첨1(공사견적_양식)_(재제출-0713)"/>
      <sheetName val="별첨1(공사견적_양식)"/>
      <sheetName val="공사비비교_(호텔0723-"/>
      <sheetName val="플랜트_설치"/>
      <sheetName val="설명서_"/>
      <sheetName val="b_balju_(2)"/>
      <sheetName val="환경기계공정표_(3)"/>
      <sheetName val="OCT_FDN"/>
      <sheetName val="단가_"/>
      <sheetName val="crude_SLAB_RE-bar"/>
      <sheetName val="CRUDE_RE-bar"/>
      <sheetName val="원가_(2)"/>
      <sheetName val="현장별계약현황('98_10_31)"/>
      <sheetName val="STEEL_BOX_단면설계(SEC_8)"/>
      <sheetName val="현대실행_(실투입최종)"/>
      <sheetName val="기타_정보통신공사"/>
      <sheetName val="유효폭의_계산"/>
      <sheetName val="b_babun_(2)"/>
      <sheetName val="_노무비결의서_17년07월_xlsx"/>
      <sheetName val="견적대비_견적서"/>
      <sheetName val="Works_Cost"/>
      <sheetName val="tank_list"/>
      <sheetName val="MASTER00_7月"/>
      <sheetName val="2000_05"/>
      <sheetName val="전선_및_전선관"/>
      <sheetName val="단가대비표_(3)"/>
      <sheetName val="Flaer_Area"/>
      <sheetName val="유첨3_적용기준"/>
      <sheetName val="Calc_V1_2"/>
      <sheetName val="Calc_V1_2_(2)"/>
      <sheetName val="7_수지"/>
      <sheetName val="목동1절주_bh01"/>
      <sheetName val="2_토목공사"/>
      <sheetName val="정부노임(2000_상)"/>
      <sheetName val="유첨3_적용기㐘"/>
      <sheetName val="도급및_실행내역"/>
      <sheetName val="부하"/>
      <sheetName val="Sheet14"/>
      <sheetName val="Sheet13"/>
      <sheetName val="단"/>
      <sheetName val="AV시스템"/>
      <sheetName val="분당임堑Ä_x0000_"/>
      <sheetName val="BSD"/>
      <sheetName val="BSD 1"/>
      <sheetName val="금액집계"/>
      <sheetName val="Galaxy 소비자가격표"/>
      <sheetName val="수량산출서"/>
      <sheetName val="단가 (2)"/>
      <sheetName val="입력"/>
      <sheetName val="부대대비"/>
      <sheetName val="냉연집계"/>
      <sheetName val="설변물량"/>
      <sheetName val="0217상가미분양자산"/>
      <sheetName val="Macro1"/>
      <sheetName val="2경간"/>
      <sheetName val="1.설_x0000__x0000_Ԁ"/>
      <sheetName val="1.설퀀䩦謂"/>
      <sheetName val="1.설퐀Ⲩ렀"/>
      <sheetName val="D_B"/>
      <sheetName val="TRE_TABLE"/>
      <sheetName val="BSD_1"/>
      <sheetName val="Galaxy_소비자가격표"/>
      <sheetName val="단가_(2)"/>
      <sheetName val="파일항타"/>
      <sheetName val="98수문일위"/>
      <sheetName val="일위CODE"/>
      <sheetName val="참_x0000_"/>
      <sheetName val="정렬"/>
      <sheetName val="MOTOR"/>
      <sheetName val="작성기준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inter"/>
      <sheetName val="달력"/>
      <sheetName val="총투입계"/>
      <sheetName val="옥룡잡비"/>
      <sheetName val="경영계획1월"/>
      <sheetName val="맨홀수량산출"/>
      <sheetName val="을지(가로-한)"/>
      <sheetName val="견_x0000_h曘"/>
      <sheetName val="견_x0000__x0000__x0005_"/>
      <sheetName val="BEND LOSS"/>
      <sheetName val="1,2,3,4,5단위수량"/>
      <sheetName val="1.설"/>
      <sheetName val="건축내역(교사동)"/>
      <sheetName val="1.설Ȁ_x0000_쀀"/>
      <sheetName val="1.설吀亘码"/>
      <sheetName val="1.설吀亘䠁"/>
      <sheetName val="원가계산서_남측_"/>
      <sheetName val="2000년탍䁦"/>
      <sheetName val="저장품"/>
      <sheetName val="날개벽(좌,우=45도,75도)"/>
      <sheetName val="현황"/>
      <sheetName val="설계(안)"/>
      <sheetName val="공사비 내역 (가)"/>
      <sheetName val="C1.공사개요"/>
      <sheetName val="A1.스케쥴"/>
      <sheetName val="마감사양"/>
      <sheetName val="aa"/>
      <sheetName val="sheet"/>
      <sheetName val="D-3503"/>
      <sheetName val="C.배수관공"/>
      <sheetName val="base"/>
      <sheetName val="빙설"/>
      <sheetName val="첨부1-1"/>
      <sheetName val="광혁기성"/>
      <sheetName val="마산월령동골조물량변경"/>
      <sheetName val="건축비목군분류"/>
      <sheetName val="기성내역"/>
      <sheetName val="통신물량"/>
      <sheetName val="전열"/>
      <sheetName val="단가표 "/>
      <sheetName val="9_x0000__x0000__x0000_"/>
      <sheetName val="01"/>
      <sheetName val="VST재료산출"/>
      <sheetName val="참조M"/>
      <sheetName val="장비(냉동기)"/>
      <sheetName val="공사비산출서"/>
      <sheetName val="기기리_x0000__x0000_"/>
      <sheetName val="산출내역"/>
      <sheetName val="삭제금지단가"/>
      <sheetName val="RENUN"/>
      <sheetName val="1.설Ȁ"/>
      <sheetName val="TB(BS)"/>
      <sheetName val="TB(PL)"/>
      <sheetName val="공사비총괄표"/>
      <sheetName val="카니발(자105노60)"/>
      <sheetName val="영동(D)"/>
      <sheetName val="인제내역"/>
      <sheetName val="1공구을지"/>
      <sheetName val="금호"/>
      <sheetName val="산정기준"/>
      <sheetName val="MATRLDATA"/>
      <sheetName val="가설배관"/>
      <sheetName val="강재창호(작업중)"/>
      <sheetName val="강재창호(변경후작업중)"/>
      <sheetName val="WEON"/>
      <sheetName val="매립"/>
      <sheetName val="물량산출근거"/>
      <sheetName val="합천내역"/>
      <sheetName val="목공사품의서"/>
      <sheetName val="하수실행"/>
      <sheetName val="CODE(2)"/>
      <sheetName val="기준 LIST"/>
      <sheetName val="2-1. 경관조명 내역총괄표"/>
      <sheetName val="U-TYPE(1)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5차설계"/>
      <sheetName val="Architecture Work"/>
      <sheetName val="Main Gate House"/>
      <sheetName val="LGBOM1절_CheckList"/>
      <sheetName val="Infrastructure"/>
      <sheetName val="직급실적"/>
      <sheetName val="8.PILE  (돌출)"/>
      <sheetName val="12호기내역서(건축분)"/>
      <sheetName val="DAN"/>
      <sheetName val="co-no.2"/>
      <sheetName val="basic_info"/>
      <sheetName val="업체명"/>
      <sheetName val="관리"/>
      <sheetName val="A(Rev.3)"/>
      <sheetName val="TOTAL "/>
      <sheetName val="2000년1޸"/>
      <sheetName val="2000년1䘭"/>
      <sheetName val="2000년1扈"/>
      <sheetName val=""/>
      <sheetName val="소유권관련비"/>
      <sheetName val="토건"/>
      <sheetName val="입력자료"/>
      <sheetName val="단면치수"/>
      <sheetName val="XREF"/>
      <sheetName val="__SKEC_EB_EB_1_2PROJECT_PLANT_2"/>
      <sheetName val="예정(3)"/>
      <sheetName val="단가목록"/>
      <sheetName val="공통가설공사"/>
      <sheetName val="2000전체"/>
      <sheetName val="잡철단가대비"/>
      <sheetName val="기초입력 DATA"/>
      <sheetName val="특수선일위대가"/>
      <sheetName val="변수"/>
      <sheetName val="dV&amp;Cl"/>
      <sheetName val="CAP"/>
      <sheetName val="R"/>
      <sheetName val="배수통관(좌)"/>
      <sheetName val="3-3. 실행분석표(개산)"/>
      <sheetName val="견적공통"/>
      <sheetName val="2000ｙV̠"/>
      <sheetName val="SOURC퇀"/>
      <sheetName val="배수집"/>
      <sheetName val="기흥하도용"/>
      <sheetName val="설계예산서"/>
      <sheetName val="연령현황"/>
      <sheetName val="MAIN_TABLE"/>
      <sheetName val="화재 탐지 설비"/>
      <sheetName val="점공통경비배부"/>
      <sheetName val="특별교실"/>
      <sheetName val="약품공급2"/>
      <sheetName val="L-type"/>
      <sheetName val="토공사"/>
      <sheetName val="(C)원내역"/>
      <sheetName val="자재죖"/>
      <sheetName val="자재룖"/>
      <sheetName val="자재Ⴠ"/>
      <sheetName val="점검내역서(data)_(2)"/>
      <sheetName val="결_x0000__x0000__x0005_"/>
      <sheetName val="04.01"/>
      <sheetName val="기둥(원형䫈"/>
      <sheetName val="기둥(원형랸"/>
      <sheetName val="기둥(원형ᰐ"/>
      <sheetName val="포장물량집계"/>
      <sheetName val="원형1호맨홀토공수량"/>
      <sheetName val="문10"/>
      <sheetName val="98지급계획"/>
      <sheetName val="평야부단가"/>
      <sheetName val="B2 다목적홀 화장실  계단실 9"/>
      <sheetName val="셔틀 B2~B8"/>
      <sheetName val="5층 변경계약내역서"/>
      <sheetName val="7층 변경계약내역서"/>
      <sheetName val="기초데이타"/>
      <sheetName val="경량"/>
      <sheetName val="A0N"/>
      <sheetName val="테이블"/>
      <sheetName val="터널조도"/>
      <sheetName val="G2설비도급"/>
      <sheetName val="12CGOU"/>
      <sheetName val="기본데이타입력"/>
      <sheetName val="3.경비"/>
      <sheetName val="1.급료"/>
      <sheetName val="도체종-상수표"/>
      <sheetName val="FC-01"/>
      <sheetName val="FC-06"/>
      <sheetName val="5.소재"/>
      <sheetName val="잡비"/>
      <sheetName val="분전함신설"/>
      <sheetName val="접지1종"/>
      <sheetName val="b_balju-단가단가단가"/>
      <sheetName val="유첨3.적용기槜"/>
      <sheetName val="리 스 트"/>
      <sheetName val="__Bomb_project_2PROJECT_PLANT_2"/>
      <sheetName val="도(내)"/>
      <sheetName val="1"/>
      <sheetName val="12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4"/>
      <sheetName val="5"/>
      <sheetName val="제경비율"/>
      <sheetName val="NPC500"/>
      <sheetName val="조정금액결과표 ꗝ1푘ᛐ_x0000_"/>
      <sheetName val="조정금액결과표 Ȍ_x0000_釈ɡꗝ"/>
      <sheetName val="몰운대초견적"/>
      <sheetName val="업무분장 "/>
      <sheetName val="99년신청"/>
      <sheetName val="내역서2안"/>
      <sheetName val="KLH爋"/>
      <sheetName val="Mc1"/>
      <sheetName val="변전실재분리"/>
      <sheetName val="복구경비"/>
      <sheetName val="4BL ,ELEV.HALL 통합로비 연결층 걸레받이 재시"/>
      <sheetName val="107동 통합로비"/>
      <sheetName val="목동세대 산출근거"/>
      <sheetName val="APT"/>
      <sheetName val="김해식"/>
      <sheetName val="추가예산"/>
      <sheetName val="비목코드"/>
      <sheetName val="SUM-CTI.XLS"/>
      <sheetName val="교_xdfc0_魚"/>
      <sheetName val="교_x0000__x0000_"/>
      <sheetName val="교헾⼓"/>
      <sheetName val="부대공수량"/>
      <sheetName val="공사설계서"/>
      <sheetName val="내력서"/>
      <sheetName val="상불"/>
      <sheetName val="sort"/>
      <sheetName val="1-6(반품내역)"/>
      <sheetName val="잡철물"/>
      <sheetName val="6PILE  (돌출)"/>
      <sheetName val="DW9911301"/>
      <sheetName val="배수내역 (2)"/>
      <sheetName val="사  업  비  수  지  예  산  서"/>
      <sheetName val="중기비"/>
      <sheetName val="투찰가"/>
      <sheetName val="Staffing Plan"/>
      <sheetName val="Staffing_Plan"/>
      <sheetName val="??(??)"/>
      <sheetName val="ENFOCADO INT. VERT."/>
      <sheetName val="Ref. nº 14 presup."/>
      <sheetName val="바닥판(1)"/>
      <sheetName val="품셈"/>
      <sheetName val="관람석제출"/>
      <sheetName val="2F 회의실견적(5_14 일대)"/>
      <sheetName val="__Bomb_project_2PROJECT_PLANT_3"/>
      <sheetName val="__Bomb_project_2PROJECT_PLANT_4"/>
      <sheetName val="보증금(전신전화가입권)"/>
      <sheetName val="Factor"/>
      <sheetName val="산5-3"/>
      <sheetName val="경영혁신본부"/>
      <sheetName val="PLAN"/>
      <sheetName val="제1안"/>
      <sheetName val="제2안"/>
      <sheetName val="금액대비"/>
      <sheetName val="토공가실행"/>
      <sheetName val="97_사업추정(WEKI)1"/>
      <sheetName val="돌담교_상부수량1"/>
      <sheetName val="1차_내역서1"/>
      <sheetName val="전차선로_물량표1"/>
      <sheetName val="단면_(2)1"/>
      <sheetName val="Chiet_tinh_dz351"/>
      <sheetName val="내역서_1"/>
      <sheetName val="CAL_1"/>
      <sheetName val="1_설계조건1"/>
      <sheetName val="CSA-Rate_Build_Up1"/>
      <sheetName val="Eq__Mobilization1"/>
      <sheetName val="3_하중산정4_지지력1"/>
      <sheetName val="Ⅴ-2_공종별내역1"/>
      <sheetName val="조정금액결과표_(차수별)1"/>
      <sheetName val="별표_1"/>
      <sheetName val="_BM_셈플1"/>
      <sheetName val="Sheet1_(2)1"/>
      <sheetName val="기존단가_(2)1"/>
      <sheetName val="일위대가_1"/>
      <sheetName val="_냉각수펌프1"/>
      <sheetName val="3_공통공사대비2"/>
      <sheetName val="1_취수장1"/>
      <sheetName val="실행내역서_1"/>
      <sheetName val="PROJECT_BRIEF(EX_NEW)1"/>
      <sheetName val="Customer_Databas1"/>
      <sheetName val="1995년_섹터별_매출1"/>
      <sheetName val="총괄갑_1"/>
      <sheetName val="내___역1"/>
      <sheetName val="기술부_VENDOR_LIST1"/>
      <sheetName val="3BL공동구_수량1"/>
      <sheetName val="Internal_Floor1"/>
      <sheetName val="unit_41"/>
      <sheetName val="노원열병합__건축공사기성내역서1"/>
      <sheetName val="나_건축1"/>
      <sheetName val="자__재1"/>
      <sheetName val="DATA테이블1_(2)1"/>
      <sheetName val="REINF_1"/>
      <sheetName val="2.대외공문"/>
      <sheetName val="가도공"/>
      <sheetName val="각사별공사비분개 "/>
      <sheetName val=" 견_x0000__x0000_"/>
      <sheetName val="인력자료"/>
      <sheetName val="버팀목"/>
      <sheetName val="Element"/>
      <sheetName val="44"/>
      <sheetName val="현장별계약현황('98.10悾⪒_x0000__x0000_"/>
      <sheetName val="설계명세서"/>
      <sheetName val="화산경계"/>
      <sheetName val="기계설비-내역서"/>
      <sheetName val="중기조종사 단위단가"/>
      <sheetName val="지점장"/>
      <sheetName val="TOWER 12TON"/>
      <sheetName val="TOWER 10TON"/>
      <sheetName val="_견적서1"/>
      <sheetName val="b_balju_(2)1"/>
      <sheetName val="환경기계공정표_(3)1"/>
      <sheetName val="별첨1(공사견적_양식)_(재제출-0713)1"/>
      <sheetName val="별첨1(공사견적_양식)1"/>
      <sheetName val="공사비비교_(호텔0723-1"/>
      <sheetName val="플랜트_설치1"/>
      <sheetName val="원가_(2)1"/>
      <sheetName val="crude_SLAB_RE-bar1"/>
      <sheetName val="CRUDE_RE-bar1"/>
      <sheetName val="현장별계약현황('98_10_31)1"/>
      <sheetName val="STEEL_BOX_단면설계(SEC_8)1"/>
      <sheetName val="OCT_FDN1"/>
      <sheetName val="현대실행_(실투입최종)1"/>
      <sheetName val="기타_정보통신공사1"/>
      <sheetName val="MASTER00_7月1"/>
      <sheetName val="b_babun_(2)1"/>
      <sheetName val="전선_및_전선관1"/>
      <sheetName val="2000_051"/>
      <sheetName val="단가_1"/>
      <sheetName val="유첨3_적용기준1"/>
      <sheetName val="단가대비표_(3)1"/>
      <sheetName val="유첨3_적용기㐘1"/>
      <sheetName val="Flaer_Area1"/>
      <sheetName val="도급및_실행내역1"/>
      <sheetName val="유효폭의_계산1"/>
      <sheetName val="정부노임(2000_상)1"/>
      <sheetName val="2_토목공사1"/>
      <sheetName val="7_수지1"/>
      <sheetName val="1~6_설계조건____"/>
      <sheetName val="TRE_TABLE1"/>
      <sheetName val="D_B1"/>
      <sheetName val="1_설Ԁ"/>
      <sheetName val="1_설퀀䩦謂"/>
      <sheetName val="1_설퐀Ⲩ렀"/>
      <sheetName val="1_설Ȁ쀀"/>
      <sheetName val="1_설吀亘码"/>
      <sheetName val="1_설吀亘䠁"/>
      <sheetName val="BSD_11"/>
      <sheetName val="Galaxy_소비자가격표1"/>
      <sheetName val="단가_(2)1"/>
      <sheetName val="공사비_내역_(가)"/>
      <sheetName val="BEND_LOSS"/>
      <sheetName val="C1_공사개요"/>
      <sheetName val="A1_스케쥴"/>
      <sheetName val="1_설"/>
      <sheetName val="1_설Ȁ"/>
      <sheetName val="C_배수관공"/>
      <sheetName val="Project_Brief"/>
      <sheetName val="3-3__실행분석표(개산)"/>
      <sheetName val="신천3호용수로"/>
      <sheetName val="일위대가표 (2)"/>
      <sheetName val="36신설수량"/>
      <sheetName val="8_PILE__(돌출)"/>
      <sheetName val="세부내역서(전기)"/>
      <sheetName val="교?魚"/>
      <sheetName val="첨"/>
      <sheetName val="적용노임"/>
      <sheetName val="일반자재"/>
      <sheetName val="9609추"/>
      <sheetName val="단가및재료비"/>
      <sheetName val="결"/>
      <sheetName val="P280297"/>
      <sheetName val="코스모공장 (어음)"/>
      <sheetName val="WPL"/>
      <sheetName val="구매차입"/>
      <sheetName val="수원공사_x0000_"/>
      <sheetName val="옥내아파트(전기)"/>
      <sheetName val="철거현황"/>
      <sheetName val="XXXXXX"/>
      <sheetName val="총공사비"/>
      <sheetName val="20_10_100"/>
      <sheetName val="발생집계"/>
      <sheetName val="부대공주요자재집계표"/>
      <sheetName val="99입장목표"/>
      <sheetName val="주요자재단가"/>
      <sheetName val="토목내역서집계"/>
      <sheetName val="대구은행"/>
      <sheetName val="SULKEA"/>
      <sheetName val="2000년 공정표"/>
      <sheetName val="연못방수쉬트"/>
      <sheetName val="B"/>
      <sheetName val="O＆P"/>
      <sheetName val="여과지동"/>
      <sheetName val="형틀물량집계(내역별)"/>
      <sheetName val="형틀물량집계(부재별)"/>
      <sheetName val="Eq. Mobiliz_x0000__x0000__x0005__x0000_꺠"/>
      <sheetName val="table(삭제금지)"/>
      <sheetName val="2.냉난방설비공사"/>
      <sheetName val="EQUIP LIST"/>
      <sheetName val="설비(제출)"/>
      <sheetName val="확산동"/>
      <sheetName val="배수"/>
      <sheetName val="POL6차-PIPING"/>
      <sheetName val="배관"/>
      <sheetName val="Key Data"/>
      <sheetName val="사출실적(ERP)_DATA"/>
      <sheetName val="원재료 출고실적(품목번호별)"/>
      <sheetName val="원부재료1"/>
      <sheetName val="4차원가계산서"/>
      <sheetName val="교�魚"/>
      <sheetName val="98년BS"/>
      <sheetName val="잉여금"/>
      <sheetName val="조정금액결과표 Ȍ"/>
      <sheetName val="원가계산서(남측)"/>
      <sheetName val="장비 (2)"/>
      <sheetName val="공통비총괄표"/>
      <sheetName val="I.설계조건"/>
      <sheetName val="구성비"/>
      <sheetName val="__SKEC_EB_EB_1_2PROJECT_PLANT_3"/>
      <sheetName val="P.M 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가지우회도로공내역서"/>
      <sheetName val="부대tu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A-4"/>
      <sheetName val="추풍최종"/>
      <sheetName val="설 계"/>
      <sheetName val="입출재고현황 (2)"/>
      <sheetName val="내역서"/>
      <sheetName val="차액보증"/>
      <sheetName val="전기"/>
      <sheetName val="45,46"/>
      <sheetName val="양수장(기계)"/>
      <sheetName val="기초자료(x)"/>
      <sheetName val="2000년1차"/>
      <sheetName val="2000전체분"/>
      <sheetName val="INPUT"/>
      <sheetName val="내역(설계)"/>
      <sheetName val="단가"/>
      <sheetName val="설계"/>
      <sheetName val="노임"/>
      <sheetName val="도급"/>
      <sheetName val="갑지"/>
      <sheetName val="2000년하반기"/>
      <sheetName val="기본DATA"/>
      <sheetName val="지급자재"/>
      <sheetName val="건축내역"/>
      <sheetName val="Sheet5"/>
      <sheetName val="품셈TABLE"/>
      <sheetName val="횡배수관토공수량"/>
      <sheetName val="일위대가(가설)"/>
      <sheetName val="3F"/>
      <sheetName val="점수계산1-2"/>
      <sheetName val="ABUT수량-A1"/>
      <sheetName val="전계가"/>
      <sheetName val="취수탑"/>
      <sheetName val="표지"/>
      <sheetName val="단가표"/>
      <sheetName val="기계내역"/>
      <sheetName val="전신환매도율"/>
      <sheetName val="BID"/>
      <sheetName val="청천내"/>
      <sheetName val="일위대가(계측기설치)"/>
      <sheetName val="시멘트"/>
      <sheetName val="ASP포장"/>
      <sheetName val="통합"/>
      <sheetName val="내역"/>
      <sheetName val="DC-O-4-S(설명서)"/>
      <sheetName val="7.가스"/>
      <sheetName val="MEXICO-C"/>
      <sheetName val="준검 내역서"/>
      <sheetName val="공사비집계"/>
      <sheetName val="토공실행"/>
      <sheetName val="원가"/>
      <sheetName val="반중력식옹벽"/>
      <sheetName val="국공유지및사유지"/>
      <sheetName val="98수문일위"/>
      <sheetName val="G.R300경비"/>
      <sheetName val="공문"/>
      <sheetName val="낙찰표"/>
      <sheetName val="슬래브"/>
      <sheetName val="1호맨홀토공"/>
      <sheetName val="4)유동표"/>
      <sheetName val="일위대가"/>
      <sheetName val="내역표지"/>
      <sheetName val="원본"/>
      <sheetName val="본관"/>
      <sheetName val="BSD (2)"/>
      <sheetName val="EACT10"/>
      <sheetName val="예산변경사항"/>
      <sheetName val="단가(반정1교-원주)"/>
      <sheetName val="공사내역"/>
      <sheetName val="단면 (2)"/>
      <sheetName val="1.취수장"/>
      <sheetName val="구조물공"/>
      <sheetName val="배수공"/>
      <sheetName val="부대공"/>
      <sheetName val="토공"/>
      <sheetName val="포장공"/>
      <sheetName val="단면"/>
      <sheetName val="총공사내역서"/>
      <sheetName val="danga"/>
      <sheetName val="ilch"/>
      <sheetName val="조명율표"/>
      <sheetName val="경상비"/>
      <sheetName val="EQUIPMENT -2"/>
      <sheetName val="인건비"/>
      <sheetName val="부대내역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현경"/>
      <sheetName val="말뚝기초"/>
      <sheetName val="예산변경원인분석"/>
      <sheetName val="일위대가표"/>
      <sheetName val="수량이동"/>
      <sheetName val="관개"/>
      <sheetName val="설계예산서"/>
      <sheetName val="배수통관토공수량"/>
      <sheetName val="Sheet2"/>
      <sheetName val="노무비"/>
      <sheetName val="전신"/>
      <sheetName val="직공비"/>
      <sheetName val="Macro1"/>
      <sheetName val="DATA 입력란"/>
      <sheetName val="1. 설계조건 2.단면가정 3. 하중계산"/>
      <sheetName val="기기리스트"/>
      <sheetName val="교통대책내역"/>
      <sheetName val="개요"/>
      <sheetName val="현장"/>
      <sheetName val="공사비예산서(토목분)"/>
      <sheetName val="좌측"/>
      <sheetName val="자압"/>
      <sheetName val="위치조서"/>
      <sheetName val="장비"/>
      <sheetName val="산근1"/>
      <sheetName val="노무"/>
      <sheetName val="자재"/>
      <sheetName val="단가산출"/>
      <sheetName val="설계개요"/>
      <sheetName val="소요자금청구서 10월"/>
      <sheetName val="공사대금 12월"/>
      <sheetName val="장비 12월"/>
      <sheetName val="노무(출)12월"/>
      <sheetName val="Sheet1"/>
      <sheetName val="크레인"/>
      <sheetName val="지계차"/>
      <sheetName val="국제12"/>
      <sheetName val="원광12월"/>
      <sheetName val="서화12월."/>
      <sheetName val="기장건기"/>
      <sheetName val="도자"/>
      <sheetName val="팔팔건기"/>
      <sheetName val="팔팔건기 (2)"/>
      <sheetName val="운송"/>
      <sheetName val="최규헌"/>
      <sheetName val="인력"/>
      <sheetName val="목재"/>
      <sheetName val="앙카체"/>
      <sheetName val="철제"/>
      <sheetName val="일용직"/>
      <sheetName val="위"/>
      <sheetName val="아래"/>
      <sheetName val="전체"/>
      <sheetName val="총괄표"/>
      <sheetName val="양수장기계"/>
      <sheetName val="Sheet17"/>
      <sheetName val="D-3109"/>
      <sheetName val="매원개착터널총괄"/>
      <sheetName val="JUCKEYK"/>
      <sheetName val="변경후-SHEET"/>
      <sheetName val="별표집계"/>
      <sheetName val="준공시전망_원본"/>
      <sheetName val="차선도색현황"/>
      <sheetName val="남양내역"/>
      <sheetName val="물량표"/>
      <sheetName val="소방사항"/>
      <sheetName val="하수실행"/>
      <sheetName val="Sheet1 (2)"/>
      <sheetName val="ITEM"/>
      <sheetName val="EJ"/>
      <sheetName val="단가일람표"/>
      <sheetName val="토목주소"/>
      <sheetName val="프랜트면허"/>
      <sheetName val="부안일위"/>
      <sheetName val="주방환기"/>
      <sheetName val="관급"/>
      <sheetName val="AIR SHOWER(3인용)"/>
      <sheetName val="이방변동"/>
      <sheetName val="산출내역서집계표"/>
      <sheetName val="98비정기소모"/>
      <sheetName val="계산중"/>
      <sheetName val="횡배위치"/>
      <sheetName val="송라터널총괄"/>
      <sheetName val="2.대외공문"/>
      <sheetName val="인사자료총집계"/>
      <sheetName val="갑지1"/>
      <sheetName val="Apt내역"/>
      <sheetName val="실행내역"/>
      <sheetName val="계약내역서(을지)"/>
      <sheetName val="접지수량"/>
      <sheetName val="기초1"/>
      <sheetName val="양수장내역"/>
      <sheetName val="제수"/>
      <sheetName val="공기"/>
      <sheetName val="기초자료"/>
      <sheetName val="하수급견적대비"/>
      <sheetName val="설계내역서"/>
      <sheetName val="일반공사"/>
      <sheetName val="견적서"/>
      <sheetName val="현장관리비 산출내역"/>
      <sheetName val="옹벽철근"/>
      <sheetName val="IMPEADENCE MAP 취수장"/>
      <sheetName val="물량집계"/>
      <sheetName val="토사(PE)"/>
      <sheetName val="SG"/>
      <sheetName val="금액"/>
      <sheetName val="3.공통공사대비"/>
      <sheetName val="DATA"/>
      <sheetName val="간접1"/>
      <sheetName val="1.설계조건"/>
      <sheetName val="견적대비"/>
      <sheetName val="청산공사"/>
      <sheetName val="총내역서"/>
      <sheetName val="교량전기"/>
      <sheetName val="내역서 "/>
      <sheetName val="수량산출"/>
      <sheetName val="품셈(기초)"/>
      <sheetName val="DATE"/>
      <sheetName val="직노"/>
      <sheetName val="차수"/>
      <sheetName val="주상도"/>
      <sheetName val="부대시설"/>
      <sheetName val="C1ㅇ"/>
      <sheetName val="#REF"/>
      <sheetName val="원가계산서"/>
      <sheetName val="APT"/>
      <sheetName val="부속동"/>
      <sheetName val="MAT"/>
      <sheetName val="을지"/>
      <sheetName val="품셈총괄표"/>
      <sheetName val="처리현황"/>
      <sheetName val="학생내역"/>
      <sheetName val="실행철강하도"/>
      <sheetName val="TEBAK2"/>
      <sheetName val="구미"/>
      <sheetName val="시화점실행"/>
      <sheetName val="기초입력"/>
      <sheetName val="8S발주관리대장"/>
      <sheetName val="정보"/>
      <sheetName val="공사개요"/>
      <sheetName val="데리네이타현황"/>
      <sheetName val="대비"/>
      <sheetName val="일위대가목차"/>
      <sheetName val="401"/>
      <sheetName val="가설공사내역"/>
      <sheetName val="XL4Poppy"/>
      <sheetName val="중기손료"/>
      <sheetName val="실행내역서 "/>
      <sheetName val="입출재고현황 _2_"/>
      <sheetName val="단가대비표"/>
      <sheetName val="전차선로 물량표"/>
      <sheetName val="흄관기초"/>
      <sheetName val="97년추정손익계산서"/>
      <sheetName val="수정시산표"/>
      <sheetName val="도급원가"/>
      <sheetName val="6호기"/>
      <sheetName val="2공구산출내역"/>
      <sheetName val="취합표"/>
      <sheetName val="물량산출"/>
      <sheetName val="자료"/>
      <sheetName val="수입"/>
      <sheetName val="실행대비"/>
      <sheetName val="환율change"/>
      <sheetName val="FACTOR"/>
      <sheetName val="대목"/>
      <sheetName val="총괄내역서"/>
      <sheetName val="sw1"/>
      <sheetName val="NOMUBI"/>
      <sheetName val="현금"/>
      <sheetName val="sort"/>
      <sheetName val="을"/>
      <sheetName val="노임이"/>
      <sheetName val="Y-WORK"/>
      <sheetName val="BLOCK(1)"/>
      <sheetName val="인부신상자료"/>
      <sheetName val="식재총괄"/>
      <sheetName val="원가계산(2)"/>
      <sheetName val="배수통관(좌)"/>
      <sheetName val="대전-교대(A1-A2)"/>
      <sheetName val="견"/>
      <sheetName val="포장공사"/>
      <sheetName val="일위집계표"/>
      <sheetName val="날개벽"/>
      <sheetName val="단가 및 재료비"/>
      <sheetName val="단가산출1"/>
      <sheetName val="집계표"/>
      <sheetName val="내역(전체)"/>
      <sheetName val="계약ITEM"/>
      <sheetName val="매입세율"/>
      <sheetName val="일위대가_계측기설치_"/>
      <sheetName val="MOTOR"/>
      <sheetName val="정부노임단가"/>
      <sheetName val="PAINT"/>
      <sheetName val="별표"/>
      <sheetName val="자재조사표"/>
      <sheetName val="지질조사"/>
      <sheetName val="200"/>
      <sheetName val="토공사"/>
      <sheetName val="단위수량(출력X)"/>
      <sheetName val="수량집계"/>
      <sheetName val="MCC제원"/>
      <sheetName val="수량산출서"/>
      <sheetName val="산근"/>
      <sheetName val="Sheet10"/>
      <sheetName val="제철"/>
      <sheetName val="건축집계"/>
      <sheetName val="상가지급현황"/>
      <sheetName val="전화번호DATA (2001)"/>
      <sheetName val="현장별"/>
      <sheetName val="하조서"/>
      <sheetName val="SLAB"/>
      <sheetName val="내역서단가산출용"/>
      <sheetName val="부대공사비"/>
      <sheetName val="Total"/>
      <sheetName val="날개벽수량표"/>
      <sheetName val="역T형"/>
      <sheetName val="여흥"/>
      <sheetName val="설계명세서"/>
      <sheetName val="guard(mac)"/>
      <sheetName val="노임단가"/>
      <sheetName val="실행"/>
      <sheetName val="철거산출근거"/>
      <sheetName val="용소리교"/>
      <sheetName val="CODE"/>
      <sheetName val="자동제어"/>
      <sheetName val="토목"/>
      <sheetName val="계화배수"/>
      <sheetName val="단가비교"/>
      <sheetName val="단가산출서"/>
      <sheetName val="I一般比"/>
      <sheetName val="교각1"/>
      <sheetName val="1월"/>
      <sheetName val="배방교"/>
      <sheetName val="자금청구(건축)"/>
      <sheetName val="설계조건"/>
      <sheetName val="안정계산"/>
      <sheetName val="단면검토"/>
      <sheetName val="총집계표"/>
      <sheetName val="당초수량"/>
      <sheetName val="MAIN_TABLE"/>
      <sheetName val="기둥(원형)"/>
      <sheetName val="연결임시"/>
      <sheetName val="TEST1"/>
      <sheetName val="다이꾸"/>
      <sheetName val="한일양산"/>
      <sheetName val="정렬"/>
      <sheetName val="9GNG운반"/>
      <sheetName val="내역서(총괄)"/>
      <sheetName val="입찰보고"/>
      <sheetName val="투찰가"/>
      <sheetName val="신기1-LINE별연장"/>
      <sheetName val="S0"/>
      <sheetName val="단면가정"/>
      <sheetName val="2003년내역"/>
      <sheetName val="보도공제면적"/>
      <sheetName val="4-3 보온 기본물량집계"/>
      <sheetName val="일위"/>
      <sheetName val="단가조건(02년)"/>
      <sheetName val="가도공"/>
      <sheetName val="실행기성 갑지"/>
      <sheetName val="매입세"/>
      <sheetName val="구의33고"/>
      <sheetName val="FURNITURE-01"/>
      <sheetName val="옥외"/>
      <sheetName val="8.PILE  (돌출)"/>
      <sheetName val="tggwan(mac)"/>
      <sheetName val="Requirement(Work Crew)"/>
      <sheetName val="unit 4"/>
      <sheetName val="잡비"/>
      <sheetName val="NYS"/>
      <sheetName val="산출"/>
      <sheetName val="지장물C"/>
      <sheetName val="말뚝물량"/>
      <sheetName val="ETC"/>
      <sheetName val="YM-IL1"/>
      <sheetName val="D25"/>
      <sheetName val="D16"/>
      <sheetName val="D22"/>
      <sheetName val="전체도급"/>
      <sheetName val="최종견"/>
      <sheetName val="건축-물가변동"/>
      <sheetName val="기계설비-물가변동"/>
      <sheetName val="견적대비표"/>
      <sheetName val="L_RPTB02_01"/>
      <sheetName val="손익현황"/>
      <sheetName val="찍기"/>
      <sheetName val="전기일위대가"/>
      <sheetName val="1-1"/>
      <sheetName val="보고서"/>
      <sheetName val="판"/>
      <sheetName val="GAEYO"/>
      <sheetName val="선반OPT"/>
      <sheetName val="품셈표"/>
      <sheetName val="내역서1"/>
      <sheetName val="s"/>
      <sheetName val="물량"/>
      <sheetName val="2_대외공문"/>
      <sheetName val="토공(우물통,기타) "/>
      <sheetName val="간접경상비"/>
      <sheetName val="SUMMARY"/>
      <sheetName val="AC포장수량"/>
      <sheetName val="LEGEND"/>
      <sheetName val="단가조사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금액내역서"/>
      <sheetName val="집계"/>
      <sheetName val="납부서"/>
      <sheetName val="간선계산"/>
      <sheetName val="이름정의"/>
      <sheetName val="중기가동(7)"/>
      <sheetName val="공사비SUM"/>
      <sheetName val="c_balju"/>
      <sheetName val="부표총괄"/>
      <sheetName val="배선(낙차)"/>
      <sheetName val="에너지동"/>
      <sheetName val="주관사업"/>
      <sheetName val="수습"/>
      <sheetName val="건축설비내역"/>
      <sheetName val="변경별표"/>
      <sheetName val="A"/>
      <sheetName val="WORK"/>
      <sheetName val="예산내역"/>
      <sheetName val="도급내역(20061공구)"/>
      <sheetName val="양수장_기계_"/>
      <sheetName val="000000"/>
      <sheetName val="현대물량"/>
      <sheetName val="기본단가"/>
      <sheetName val="Baby일위대가"/>
      <sheetName val="유림골조"/>
      <sheetName val="전선"/>
      <sheetName val="선정_1"/>
      <sheetName val="선정_2"/>
      <sheetName val="선정_3"/>
      <sheetName val="선정_4"/>
      <sheetName val="선정_5"/>
      <sheetName val="설_계"/>
      <sheetName val="입출재고현황_(2)"/>
      <sheetName val="G_R300경비"/>
      <sheetName val="7_가스"/>
      <sheetName val="준검_내역서"/>
      <sheetName val="BSD_(2)"/>
      <sheetName val="단면_(2)"/>
      <sheetName val="1_취수장"/>
      <sheetName val="소요자금청구서_10월"/>
      <sheetName val="공사대금_12월"/>
      <sheetName val="장비_12월"/>
      <sheetName val="서화12월_"/>
      <sheetName val="팔팔건기_(2)"/>
      <sheetName val="DATA_입력란"/>
      <sheetName val="1__설계조건_2_단면가정_3__하중계산"/>
      <sheetName val="EQUIPMENT_-2"/>
      <sheetName val="Sheet1_(2)"/>
      <sheetName val="AIR_SHOWER(3인용)"/>
      <sheetName val="IMPEADENCE_MAP_취수장"/>
      <sheetName val="전차선로_물량표"/>
      <sheetName val="내역서_"/>
      <sheetName val="9902"/>
      <sheetName val="ELECTRIC"/>
      <sheetName val="CTEMCOST"/>
      <sheetName val="SCHEDULE"/>
      <sheetName val="99총공사내역서"/>
      <sheetName val="조건표"/>
      <sheetName val="발주현황"/>
      <sheetName val="재료"/>
      <sheetName val="예가표"/>
      <sheetName val="터파기및재료"/>
      <sheetName val="변경집계표"/>
      <sheetName val="6PILE  (돌출)"/>
      <sheetName val="내역(2000년)"/>
      <sheetName val="설치공사2"/>
      <sheetName val="DS적용내역서"/>
      <sheetName val="발파유용(3)"/>
      <sheetName val="기흥하도용"/>
      <sheetName val="제경비"/>
      <sheetName val="원도급내역"/>
      <sheetName val="3차토목내역"/>
      <sheetName val="첨부파일"/>
      <sheetName val="woo(mac)"/>
      <sheetName val="월별수입"/>
      <sheetName val="약품공급2"/>
      <sheetName val=" ｹ-ﾌﾞﾙ"/>
      <sheetName val="Sheet4"/>
      <sheetName val="경성자금"/>
      <sheetName val="부대공(BOQ)"/>
      <sheetName val="SLAB&quot;1&quot;"/>
      <sheetName val="SKETCH"/>
      <sheetName val="REINF."/>
      <sheetName val="LOADS"/>
      <sheetName val="CHECK1"/>
      <sheetName val="공통비배부기준"/>
      <sheetName val="98지급계획"/>
      <sheetName val="경비"/>
      <sheetName val="#3_일위대가목록"/>
      <sheetName val="제경비율"/>
      <sheetName val="기본사항"/>
      <sheetName val="INPUT-DATA"/>
      <sheetName val="갑지(추정)"/>
      <sheetName val="총괄"/>
      <sheetName val="현장관리비참조"/>
      <sheetName val="실행(1)"/>
      <sheetName val="옥외배관기본공량"/>
      <sheetName val="설비공사"/>
      <sheetName val="투찰"/>
      <sheetName val="1.전력공사"/>
      <sheetName val="8.DC"/>
      <sheetName val="3.전열"/>
      <sheetName val="2.조명제어"/>
      <sheetName val="국내조달(통합-1)"/>
      <sheetName val="상각율"/>
      <sheetName val="견적990322"/>
      <sheetName val="일위집계"/>
      <sheetName val="청구"/>
      <sheetName val="견적을지"/>
      <sheetName val="횡날개수집"/>
      <sheetName val="경산"/>
      <sheetName val="적용단가"/>
      <sheetName val="추가예산"/>
      <sheetName val="C_d"/>
      <sheetName val="7월11일"/>
      <sheetName val="예총"/>
      <sheetName val="수곡내역"/>
      <sheetName val="조명시설"/>
      <sheetName val="투찰(하수)"/>
      <sheetName val="총체보활공정표"/>
      <sheetName val="DAN"/>
      <sheetName val="공통부대비"/>
      <sheetName val="견적서(토공)"/>
      <sheetName val="신표지1"/>
      <sheetName val="TYPE-A"/>
      <sheetName val="적용토목"/>
      <sheetName val="정공공사"/>
      <sheetName val="2000,9월 일위"/>
      <sheetName val="공통단가"/>
      <sheetName val="단위단가"/>
      <sheetName val="경상직원"/>
      <sheetName val="조건"/>
      <sheetName val="코드표"/>
      <sheetName val="재료비"/>
      <sheetName val="단가일람"/>
      <sheetName val="조경일람"/>
      <sheetName val="운반비"/>
      <sheetName val="부대대비"/>
      <sheetName val="냉연집계"/>
      <sheetName val="내역및총괄"/>
      <sheetName val="별제권_정리담보권"/>
      <sheetName val="품셈"/>
      <sheetName val="플랜트 설치"/>
      <sheetName val="PI"/>
      <sheetName val="WEIGHT LIST"/>
      <sheetName val="산#2-1 (2)"/>
      <sheetName val="POL6차-PIPING"/>
      <sheetName val="산#3-1"/>
      <sheetName val="간접비"/>
      <sheetName val="이자율"/>
      <sheetName val="7.전산해석결과"/>
      <sheetName val="4.하중"/>
      <sheetName val="우각부검토"/>
      <sheetName val="SULKEA"/>
      <sheetName val="토공총괄표"/>
      <sheetName val="3층LOAD"/>
      <sheetName val="1층LOAD"/>
      <sheetName val="바닥판(1)"/>
      <sheetName val="간접"/>
      <sheetName val="기초코드"/>
      <sheetName val="연습"/>
      <sheetName val="PIPE"/>
      <sheetName val="3.3"/>
      <sheetName val="광혁기성"/>
      <sheetName val="날개벽(좌,우=60도-4개)"/>
      <sheetName val="전문품의"/>
      <sheetName val="과단위"/>
      <sheetName val="쌍송교"/>
      <sheetName val="각종장비전압강하계산"/>
      <sheetName val="수문일1"/>
      <sheetName val="종단계산"/>
      <sheetName val="대로근거"/>
      <sheetName val="약품설비"/>
      <sheetName val="95MAKER"/>
      <sheetName val="SCH"/>
      <sheetName val="건축공사실행"/>
      <sheetName val="능률(기성)"/>
      <sheetName val="개산공사비"/>
      <sheetName val="포장복구집계"/>
      <sheetName val="내역서-2"/>
      <sheetName val="토목내역서 (도급단가) (2)"/>
      <sheetName val="MSG 수량"/>
      <sheetName val="REDUCER"/>
      <sheetName val="WE'T"/>
      <sheetName val="N賃率-職"/>
      <sheetName val="영동(D)"/>
      <sheetName val="평3"/>
      <sheetName val="건축"/>
      <sheetName val="스포회원매출"/>
      <sheetName val="제수변수량"/>
      <sheetName val="공기변수량"/>
      <sheetName val="구조물철거타공정이월"/>
      <sheetName val="예정(3)"/>
      <sheetName val="SIL98"/>
      <sheetName val="식재인부"/>
      <sheetName val="단가목록"/>
      <sheetName val="공사개요(사업승인변경)"/>
      <sheetName val="귀래 설계 공내역서"/>
      <sheetName val="상부집계표"/>
      <sheetName val="요율"/>
      <sheetName val="새공통"/>
      <sheetName val="자재단가"/>
      <sheetName val="간접비계산"/>
      <sheetName val="우배수"/>
      <sheetName val="단중표"/>
      <sheetName val="빙축열내역대비입고현황"/>
      <sheetName val="방배동내역(리라)"/>
      <sheetName val="부대공사총괄"/>
      <sheetName val="현장경비"/>
      <sheetName val="건축공사집계표"/>
      <sheetName val="부하계산서"/>
      <sheetName val="계산서"/>
      <sheetName val="3_공통공사대비"/>
      <sheetName val="choose"/>
      <sheetName val="검색"/>
      <sheetName val="경영상태"/>
      <sheetName val="토적계산"/>
      <sheetName val="sh1"/>
      <sheetName val="산3"/>
      <sheetName val="아스팔트 포장총괄집계표"/>
      <sheetName val="감독1130"/>
      <sheetName val="일위대가-1"/>
      <sheetName val="BUDAI"/>
      <sheetName val="총괄집계 "/>
      <sheetName val="총괄-1"/>
      <sheetName val="환율"/>
      <sheetName val="월별품의현황"/>
      <sheetName val="예산M2"/>
      <sheetName val="물량표(신)"/>
      <sheetName val="충주"/>
      <sheetName val="시가지우회도로공내역서"/>
      <sheetName val="맨홀토공(3)"/>
      <sheetName val="손익분석"/>
      <sheetName val="SUB일위대가"/>
      <sheetName val="b_balju"/>
      <sheetName val="사본 - b_balju"/>
      <sheetName val="직접공사비집계표_7"/>
      <sheetName val="공통가설_8"/>
      <sheetName val="기타시설"/>
      <sheetName val="판매시설"/>
      <sheetName val="주민복지관"/>
      <sheetName val="지하주차장"/>
      <sheetName val="현장관리비내역서"/>
      <sheetName val="DATA98"/>
      <sheetName val="목창호"/>
      <sheetName val="교량"/>
      <sheetName val="일반설비내역서"/>
      <sheetName val="별표 "/>
      <sheetName val="오억미만"/>
      <sheetName val="세부내역"/>
      <sheetName val="중기"/>
      <sheetName val="덕전리"/>
      <sheetName val="일위목록"/>
      <sheetName val="archi(본사)"/>
      <sheetName val="시중노임단가"/>
      <sheetName val="주beam"/>
      <sheetName val="반중력식옹벽3.5"/>
      <sheetName val="용지매수"/>
      <sheetName val="FAX"/>
      <sheetName val="증감대비"/>
      <sheetName val="지불내역1"/>
      <sheetName val="2.입력sheet"/>
      <sheetName val="DB"/>
      <sheetName val="EL90"/>
      <sheetName val="비탈면보호공수량산출"/>
      <sheetName val="(포장)BOQ-실적공사"/>
      <sheetName val="각현장분석"/>
      <sheetName val="재료비단가(VALVE)"/>
      <sheetName val="보차도경계석"/>
      <sheetName val="부하(성남)"/>
      <sheetName val="우수맨홀토공단위수량"/>
      <sheetName val="1.토공"/>
      <sheetName val="공종목록표"/>
      <sheetName val="BEND LOSS"/>
      <sheetName val="산출2-기기동력"/>
      <sheetName val="원형맨홀수량"/>
      <sheetName val="시설일위"/>
      <sheetName val="Type(123)"/>
      <sheetName val="기초자료입력"/>
      <sheetName val="성남여성복지내역"/>
      <sheetName val="처리단락"/>
      <sheetName val="Customer Databas"/>
      <sheetName val="화해(함평)"/>
      <sheetName val="준공조서갑지"/>
      <sheetName val="고압"/>
      <sheetName val="광주운남을"/>
      <sheetName val="매립"/>
      <sheetName val="증감분석"/>
      <sheetName val="입찰내역서"/>
      <sheetName val="중기일위대가"/>
      <sheetName val="기자재집계"/>
      <sheetName val="플랜트"/>
      <sheetName val="현장목차"/>
      <sheetName val="간이영수증"/>
      <sheetName val=" 토목 처리장도급내역서 "/>
      <sheetName val="현장관리비"/>
      <sheetName val="제출내역 (2)"/>
      <sheetName val="기본단가표"/>
      <sheetName val="00건설추정대차대조표"/>
      <sheetName val="뚝토공"/>
      <sheetName val="화해(장성)"/>
      <sheetName val="b_balju_cho"/>
      <sheetName val="96보완계획7.12"/>
      <sheetName val="소야공정계획표"/>
      <sheetName val="기계내역서"/>
      <sheetName val="방배동내역 (총괄)"/>
      <sheetName val="7.PILE  (돌출)"/>
      <sheetName val="일위_파일"/>
      <sheetName val="하도급대비"/>
      <sheetName val="조건 (A)"/>
      <sheetName val="CAT_5"/>
      <sheetName val="저"/>
      <sheetName val="현금흐름"/>
      <sheetName val="카메라"/>
      <sheetName val="자금청구"/>
      <sheetName val="공사설계서"/>
      <sheetName val="장비비"/>
      <sheetName val="삼보지질"/>
      <sheetName val="문산방향-교대(A2)"/>
      <sheetName val="9-1차이내역"/>
      <sheetName val="B부대공"/>
      <sheetName val="철근총괄"/>
      <sheetName val="가시설수량"/>
      <sheetName val="2.단면가정3.모델링4.하중"/>
      <sheetName val="입력"/>
      <sheetName val="동력부하계산"/>
      <sheetName val="조명일위"/>
      <sheetName val="VENT"/>
      <sheetName val="해운대V-B"/>
      <sheetName val="업무처리전"/>
      <sheetName val="001"/>
      <sheetName val="순서도"/>
      <sheetName val="상 부"/>
      <sheetName val="입력DATA"/>
      <sheetName val="바닥판"/>
      <sheetName val="3BL공동구 수량"/>
      <sheetName val="공조기"/>
      <sheetName val="Macro2"/>
      <sheetName val="45_46"/>
      <sheetName val="산출근거"/>
      <sheetName val="뜃맟뭁돽띿맟?-BLDG"/>
      <sheetName val="1단계"/>
      <sheetName val="경비2내역"/>
      <sheetName val="열교환기"/>
      <sheetName val="계산내역(설비)"/>
      <sheetName val="광통신 견적내역서1"/>
      <sheetName val="LD"/>
      <sheetName val="단위세대물량"/>
      <sheetName val="지구단위계획"/>
      <sheetName val="장비손료"/>
      <sheetName val="MixBed"/>
      <sheetName val="CondPol"/>
      <sheetName val="품목"/>
      <sheetName val="부대토목"/>
      <sheetName val="TOT"/>
      <sheetName val="기성내역"/>
      <sheetName val="토목공사일반"/>
      <sheetName val="1안98Billing"/>
      <sheetName val="준공현장"/>
      <sheetName val="판매46"/>
      <sheetName val="수안보-MBR1"/>
      <sheetName val="집수정(600-700)"/>
      <sheetName val="단가비교표"/>
      <sheetName val="단가보완"/>
      <sheetName val="참조 (2)"/>
      <sheetName val="평균터파기고(1-2,ASP)"/>
      <sheetName val="갑근세납세필증명원"/>
      <sheetName val="종합"/>
      <sheetName val="가시설(TYPE-A)"/>
      <sheetName val="1-1평균터파기고(1)"/>
      <sheetName val="TRE TABLE"/>
      <sheetName val="PROJECT BRIEF(EX.NEW)"/>
      <sheetName val="아파트_9"/>
      <sheetName val="합천내역"/>
      <sheetName val="토적_x0000__x0000_"/>
      <sheetName val="기본자료"/>
      <sheetName val="단"/>
      <sheetName val="수장"/>
      <sheetName val="건축내역서"/>
      <sheetName val="SAKUB"/>
      <sheetName val="방음벽기초(H=4m)"/>
      <sheetName val="선정_11"/>
      <sheetName val="선정_21"/>
      <sheetName val="선정_31"/>
      <sheetName val="선정_41"/>
      <sheetName val="선정_51"/>
      <sheetName val="설_계1"/>
      <sheetName val="입출재고현황_(2)1"/>
      <sheetName val="G_R300경비1"/>
      <sheetName val="BSD_(2)1"/>
      <sheetName val="7_가스1"/>
      <sheetName val="준검_내역서1"/>
      <sheetName val="Sheet1_(2)1"/>
      <sheetName val="단면_(2)1"/>
      <sheetName val="1_취수장1"/>
      <sheetName val="현장관리비_산출내역"/>
      <sheetName val="소요자금청구서_10월1"/>
      <sheetName val="공사대금_12월1"/>
      <sheetName val="장비_12월1"/>
      <sheetName val="서화12월_1"/>
      <sheetName val="팔팔건기_(2)1"/>
      <sheetName val="DATA_입력란1"/>
      <sheetName val="1__설계조건_2_단면가정_3__하중계산1"/>
      <sheetName val="EQUIPMENT_-21"/>
      <sheetName val="AIR_SHOWER(3인용)1"/>
      <sheetName val="IMPEADENCE_MAP_취수장1"/>
      <sheetName val="전차선로_물량표1"/>
      <sheetName val="내역서_1"/>
      <sheetName val="1_설계조건"/>
      <sheetName val="입출재고현황__2_"/>
      <sheetName val="토공(우물통,기타)_"/>
      <sheetName val="2_대외공문1"/>
      <sheetName val="단가_및_재료비"/>
      <sheetName val="실행내역서_"/>
      <sheetName val="전화번호DATA_(2001)"/>
      <sheetName val="4-3_보온_기본물량집계"/>
      <sheetName val="Data&amp;Result"/>
      <sheetName val="도장수량(하1)"/>
      <sheetName val="주형"/>
      <sheetName val="Requirement(Work_Crew)"/>
      <sheetName val="8_PILE__(돌출)"/>
      <sheetName val="Option"/>
      <sheetName val="와동25-3(변경)"/>
      <sheetName val="사전공사"/>
      <sheetName val="세골재  T2 변경 현황"/>
      <sheetName val="품목단가"/>
      <sheetName val="현황산출서"/>
      <sheetName val="말뚝지지력산정"/>
      <sheetName val="교대(A1)"/>
      <sheetName val="단위수량"/>
      <sheetName val="01"/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내역(청마)"/>
      <sheetName val="내역(청마) (2)"/>
      <sheetName val="공사 Scope 표지"/>
      <sheetName val="공사 Scope"/>
      <sheetName val="원가표"/>
      <sheetName val="내역-1"/>
      <sheetName val="내역-2"/>
      <sheetName val="일위2"/>
      <sheetName val="일위3"/>
      <sheetName val="금융"/>
      <sheetName val="출자한도"/>
      <sheetName val="Sump,Pit,MH"/>
      <sheetName val="밸브설치"/>
      <sheetName val="표  지"/>
      <sheetName val="내역서변경성원"/>
      <sheetName val="활성탄 여과지토공"/>
      <sheetName val="내역1"/>
      <sheetName val="설직재-1"/>
      <sheetName val="REPORT"/>
      <sheetName val="ASALTOTA"/>
      <sheetName val="기계경비일람"/>
      <sheetName val="원가계산서(1차)"/>
      <sheetName val="단-토공"/>
      <sheetName val="J01"/>
      <sheetName val="ⴭⴭⴭⴭ"/>
      <sheetName val="가연천"/>
      <sheetName val="장비가동"/>
      <sheetName val="아파트"/>
      <sheetName val="공사별총괄표(도급)"/>
      <sheetName val="수 량 명 세 서 - 1"/>
      <sheetName val="입력변수"/>
      <sheetName val="수원역(전체분)설계서"/>
      <sheetName val="진접"/>
      <sheetName val="bi"/>
      <sheetName val="SUMMARY(S)"/>
      <sheetName val="부서코드표"/>
      <sheetName val="6동"/>
      <sheetName val="골조"/>
      <sheetName val="직재"/>
      <sheetName val="0226"/>
      <sheetName val=" 일본대사 관저 누수 보수공사120719.xlsx"/>
      <sheetName val="구분자"/>
      <sheetName val="중기사용료"/>
      <sheetName val="제수변 수량집계표(보통)"/>
      <sheetName val="안정검토"/>
      <sheetName val="목차"/>
      <sheetName val="공사비"/>
      <sheetName val="산식3"/>
      <sheetName val="관급자재"/>
      <sheetName val="도담구내 개소별 명세"/>
      <sheetName val="공정코드"/>
      <sheetName val="Ext. Stone-P"/>
      <sheetName val="12용지"/>
      <sheetName val="맨홀수량산출"/>
      <sheetName val="직접경비"/>
      <sheetName val="자재단가비교표"/>
      <sheetName val="피벗테이블데이터분석"/>
      <sheetName val="적용단위길이"/>
      <sheetName val="특수기호강도거푸집"/>
      <sheetName val="종배수관(신)"/>
      <sheetName val="자료입력"/>
      <sheetName val="11.1 단면hwp"/>
      <sheetName val="3.하중산정4.지지력"/>
      <sheetName val="총계"/>
      <sheetName val="음료실행"/>
      <sheetName val="BOX"/>
      <sheetName val="HANDHOLE(2)"/>
      <sheetName val="명단"/>
      <sheetName val="공내역"/>
      <sheetName val="평자재단가"/>
      <sheetName val="연돌일위집계"/>
      <sheetName val="2000.05"/>
      <sheetName val="CAPVC"/>
      <sheetName val="기준"/>
      <sheetName val="COPING"/>
      <sheetName val="정보LIST"/>
      <sheetName val="가설공사"/>
      <sheetName val="내역서 (2)"/>
      <sheetName val="단양 00 아파트-세부내역"/>
      <sheetName val="포장총괄집계표"/>
      <sheetName val="목동세대 산출근거"/>
      <sheetName val="업무분장"/>
      <sheetName val="대비표"/>
      <sheetName val="5-6공구"/>
      <sheetName val="5-7공구"/>
      <sheetName val="5-8공구"/>
      <sheetName val="변경후원본2"/>
      <sheetName val="식재가격"/>
      <sheetName val="구역화물"/>
      <sheetName val="Ⅴ-2.공종별내역"/>
      <sheetName val="주현(해보)"/>
      <sheetName val="주현(영광)"/>
      <sheetName val="구성비"/>
      <sheetName val="버스운행안내"/>
      <sheetName val="예방접종계획"/>
      <sheetName val="근태계획서"/>
      <sheetName val="sgbw"/>
      <sheetName val="실적"/>
      <sheetName val="입력(K0)"/>
      <sheetName val="팔당터널(1공구)"/>
      <sheetName val="본체"/>
      <sheetName val="전기혼잡제경비(45)"/>
      <sheetName val="데이타"/>
      <sheetName val="집행예산"/>
      <sheetName val="4.장비손료"/>
      <sheetName val="깨기"/>
      <sheetName val="단위가격"/>
      <sheetName val="절취및터파기"/>
      <sheetName val="laroux"/>
      <sheetName val="BJJIN"/>
      <sheetName val="총괄대장"/>
      <sheetName val="ES대장 양식"/>
      <sheetName val="공사비결정처별"/>
      <sheetName val="실정보고현황 (2)"/>
      <sheetName val="실정보고"/>
      <sheetName val="설변대장"/>
      <sheetName val="실정보고현황"/>
      <sheetName val="포항상수도"/>
      <sheetName val="포항상수도 (2)"/>
      <sheetName val="시화아파트보증현황"/>
      <sheetName val="시화아파트보증현황 (2)"/>
      <sheetName val="기초정보입력"/>
      <sheetName val="견적"/>
      <sheetName val="적용률"/>
      <sheetName val="종배수관면벽신"/>
      <sheetName val="1.수인터널"/>
      <sheetName val="단가조사서"/>
      <sheetName val="TOTAL3"/>
      <sheetName val="연결관암거"/>
      <sheetName val="1SGATE97"/>
      <sheetName val="총공비"/>
      <sheetName val="재료집계표"/>
      <sheetName val="노무비단가"/>
      <sheetName val="날개벽(시점좌측)"/>
      <sheetName val="공통가설"/>
      <sheetName val="간접재료비산출표-27-30"/>
      <sheetName val="O＆P"/>
      <sheetName val="토적표"/>
      <sheetName val="NYS(집계)"/>
      <sheetName val="하남내역"/>
      <sheetName val="흙쌓기도수로설치현황(1)"/>
      <sheetName val="Sheet3"/>
      <sheetName val="소업1교"/>
      <sheetName val="당진1,2호기전선관설치및접지4차공사내역서-을지"/>
      <sheetName val="4.전기"/>
      <sheetName val="개요입력"/>
      <sheetName val="수량기준"/>
      <sheetName val="단가기준"/>
      <sheetName val="하중계산"/>
      <sheetName val="조명_x0005__x0000_"/>
      <sheetName val="설산1.나"/>
      <sheetName val="본사S"/>
      <sheetName val="특수선일위대가"/>
      <sheetName val="표층포설및다짐"/>
      <sheetName val="기안"/>
      <sheetName val="선정_12"/>
      <sheetName val="선정_22"/>
      <sheetName val="선정_32"/>
      <sheetName val="선정_42"/>
      <sheetName val="선정_52"/>
      <sheetName val="설_계2"/>
      <sheetName val="입출재고현황_(2)2"/>
      <sheetName val="7_가스2"/>
      <sheetName val="BSD_(2)2"/>
      <sheetName val="준검_내역서2"/>
      <sheetName val="G_R300경비2"/>
      <sheetName val="단면_(2)2"/>
      <sheetName val="1_취수장2"/>
      <sheetName val="소요자금청구서_10월2"/>
      <sheetName val="공사대금_12월2"/>
      <sheetName val="장비_12월2"/>
      <sheetName val="서화12월_2"/>
      <sheetName val="팔팔건기_(2)2"/>
      <sheetName val="EQUIPMENT_-22"/>
      <sheetName val="DATA_입력란2"/>
      <sheetName val="1__설계조건_2_단면가정_3__하중계산2"/>
      <sheetName val="Sheet1_(2)2"/>
      <sheetName val="AIR_SHOWER(3인용)2"/>
      <sheetName val="IMPEADENCE_MAP_취수장2"/>
      <sheetName val="내역서_2"/>
      <sheetName val="1_설계조건1"/>
      <sheetName val="현장관리비_산출내역1"/>
      <sheetName val="전화번호DATA_(2001)1"/>
      <sheetName val="2_대외공문2"/>
      <sheetName val="전차선로_물량표2"/>
      <sheetName val="입출재고현황__2_1"/>
      <sheetName val="4-3_보온_기본물량집계1"/>
      <sheetName val="실행내역서_1"/>
      <sheetName val="3_공통공사대비1"/>
      <sheetName val="단가_및_재료비1"/>
      <sheetName val="토공(우물통,기타)_1"/>
      <sheetName val="Requirement(Work_Crew)1"/>
      <sheetName val="8_PILE__(돌출)1"/>
      <sheetName val="unit_4"/>
      <sheetName val="6PILE__(돌출)"/>
      <sheetName val="_ｹ-ﾌﾞﾙ"/>
      <sheetName val="실행기성_갑지"/>
      <sheetName val="플랜트_설치"/>
      <sheetName val="WEIGHT_LIST"/>
      <sheetName val="산#2-1_(2)"/>
      <sheetName val="7_전산해석결과"/>
      <sheetName val="4_하중"/>
      <sheetName val="3_3"/>
      <sheetName val="2000,9월_일위"/>
      <sheetName val="토목내역서_(도급단가)_(2)"/>
      <sheetName val="MSG_수량"/>
      <sheetName val="1_전력공사"/>
      <sheetName val="8_DC"/>
      <sheetName val="3_전열"/>
      <sheetName val="2_조명제어"/>
      <sheetName val="귀래_설계_공내역서"/>
      <sheetName val="총괄집계_"/>
      <sheetName val="Customer_Databas"/>
      <sheetName val="별표_"/>
      <sheetName val="반중력식옹벽3_5"/>
      <sheetName val="사본_-_b_balju"/>
      <sheetName val="2_입력sheet"/>
      <sheetName val="REINF_"/>
      <sheetName val="1_토공"/>
      <sheetName val="아스팔트_포장총괄집계표"/>
      <sheetName val="BEND_LOSS"/>
      <sheetName val="조건_(A)"/>
      <sheetName val="_토목_처리장도급내역서_"/>
      <sheetName val="TRE_TABLE"/>
      <sheetName val="상_부"/>
      <sheetName val="3BL공동구_수량"/>
      <sheetName val="96보완계획7_12"/>
      <sheetName val="제출내역_(2)"/>
      <sheetName val="참조_(2)"/>
      <sheetName val="방배동내역_(총괄)"/>
      <sheetName val="표__지"/>
      <sheetName val="7_PILE__(돌출)"/>
      <sheetName val="활성탄_여과지토공"/>
      <sheetName val="수_량_명_세_서_-_1"/>
      <sheetName val="_일본대사_관저_누수_보수공사120719_xlsx"/>
      <sheetName val="2_단면가정3_모델링4_하중"/>
      <sheetName val="광통신_견적내역서1"/>
      <sheetName val="PROJECT_BRIEF(EX_NEW)"/>
      <sheetName val="세골재__T2_변경_현황"/>
      <sheetName val="현장지지물물량"/>
      <sheetName val="수로교총재료집계"/>
      <sheetName val="결과조달"/>
      <sheetName val="22인공"/>
      <sheetName val="동일대내"/>
      <sheetName val="자재수량"/>
      <sheetName val="본부소개"/>
      <sheetName val="매출그래프"/>
      <sheetName val="진도말"/>
      <sheetName val="환산표"/>
      <sheetName val="1단지 단위세대 내역서"/>
      <sheetName val="BRAKE"/>
      <sheetName val="시설투자"/>
      <sheetName val="주요수량증감"/>
      <sheetName val="패널"/>
      <sheetName val="공종"/>
      <sheetName val="주식"/>
      <sheetName val="득점현황"/>
      <sheetName val="터널구조물산근"/>
      <sheetName val="3본사"/>
      <sheetName val="계림(함평)"/>
      <sheetName val="계림(장성)"/>
      <sheetName val="기안지"/>
      <sheetName val="현장일반사항"/>
      <sheetName val="동해title"/>
      <sheetName val="교각계산"/>
      <sheetName val="공통비총괄표"/>
      <sheetName val="Bill-7"/>
      <sheetName val="Bill-8"/>
      <sheetName val="Bill-6"/>
      <sheetName val="우수"/>
      <sheetName val="부대공Ⅱ"/>
      <sheetName val="을-ATYPE"/>
      <sheetName val="여암교"/>
      <sheetName val="3차설계"/>
      <sheetName val="도로단위당"/>
      <sheetName val="99노임기준"/>
      <sheetName val="종합기별"/>
      <sheetName val="노무비명세서"/>
      <sheetName val="소요자재명세서"/>
      <sheetName val="일위대가목록"/>
      <sheetName val=" "/>
      <sheetName val="월간공정표(04월))"/>
      <sheetName val="4.2.1 마루높이 검토"/>
      <sheetName val="정보매체A동"/>
      <sheetName val="Table"/>
      <sheetName val="NEYOK"/>
      <sheetName val="세부내역(직접인건비)"/>
      <sheetName val="재료표"/>
      <sheetName val="토량산출서"/>
      <sheetName val="공사개요(¡_x0000_Ԁ_x0000_䀀횶_x0009_"/>
      <sheetName val="공사개요(¡_x0000_Ԁ_x0000_䀀횶 "/>
      <sheetName val="방송(체육관)"/>
      <sheetName val="맨홀토공산출"/>
      <sheetName val="우수공,맨홀,집수정"/>
      <sheetName val="40단가산출서"/>
      <sheetName val="40집계"/>
      <sheetName val="직원인원"/>
      <sheetName val="금액유형"/>
      <sheetName val="수정계획3"/>
      <sheetName val="조건_(A)1"/>
      <sheetName val="상수도토공집계표"/>
      <sheetName val="착공계(전체)"/>
      <sheetName val="적격"/>
      <sheetName val="평가"/>
      <sheetName val="적정"/>
      <sheetName val="관리"/>
      <sheetName val="내역실행"/>
      <sheetName val="하도"/>
      <sheetName val="별지"/>
      <sheetName val="총괄설계"/>
      <sheetName val="내역설계"/>
      <sheetName val="조사"/>
      <sheetName val="의뢰"/>
      <sheetName val="AS"/>
      <sheetName val="여과지동"/>
      <sheetName val="단호교"/>
      <sheetName val="마포토정"/>
      <sheetName val="wall"/>
      <sheetName val="Front"/>
      <sheetName val="국내"/>
      <sheetName val="1.개요및면적"/>
      <sheetName val="고창방향"/>
      <sheetName val="총괄갑 "/>
      <sheetName val="양식"/>
      <sheetName val="FB25JN"/>
      <sheetName val="탑(을지)"/>
      <sheetName val="각종장비전압강하계"/>
      <sheetName val="AS복구"/>
      <sheetName val="YES-T"/>
      <sheetName val="현장관리비집계표"/>
      <sheetName val="Layout_Data "/>
      <sheetName val="집수A"/>
      <sheetName val="신흥교"/>
      <sheetName val="물질수지(2011)"/>
      <sheetName val="̀؀Ȁ턀"/>
      <sheetName val="̀؀Ȁ_x0000_"/>
      <sheetName val="SUB일위대가(손료)"/>
      <sheetName val="전도금"/>
      <sheetName val="건축공사이월"/>
      <sheetName val="Sheet9"/>
      <sheetName val="집계표(육상)"/>
      <sheetName val="계약서"/>
      <sheetName val="토목내역서"/>
      <sheetName val="대치판정"/>
      <sheetName val="Vendors"/>
      <sheetName val="9609추"/>
      <sheetName val="P-산#1-1(WOWA1)"/>
      <sheetName val="fursys"/>
      <sheetName val="전열"/>
      <sheetName val="7+160암거변경"/>
      <sheetName val="부대공자재"/>
      <sheetName val="_x0000__x000a__x0000__x0005__x0000__x0006__x0000__x0007__x0000_"/>
      <sheetName val="_x0000_ _x0000__x0005__x0000__x0002__x0000__x000c__x0000_"/>
      <sheetName val="Ѐ਀ఀ؀؀଀"/>
      <sheetName val="_x0000__x0009__x0000__x0005__x0000__x0002__x0000__x000c__x0000_"/>
      <sheetName val="토공집계"/>
      <sheetName val="CC16-내역서"/>
      <sheetName val="환_x0000_"/>
      <sheetName val="합의경상"/>
      <sheetName val="동원(3)"/>
      <sheetName val="외자배분"/>
      <sheetName val="외자내역"/>
      <sheetName val="마산방향철근집계"/>
      <sheetName val="진주방향"/>
      <sheetName val="마산방향"/>
      <sheetName val="시행후면적"/>
      <sheetName val="하도급"/>
      <sheetName val="자동차폐수처리장"/>
      <sheetName val="공성대비표"/>
      <sheetName val="inter"/>
      <sheetName val="CIVIL"/>
      <sheetName val="L-type"/>
      <sheetName val="노안2지구총(시행계획)"/>
      <sheetName val="입상내역"/>
      <sheetName val="투찰내역"/>
      <sheetName val="1.우편집중내역서"/>
      <sheetName val="건설성적"/>
      <sheetName val="가압장(토목)"/>
      <sheetName val="할증 "/>
      <sheetName val="CAL"/>
      <sheetName val="조경수량"/>
      <sheetName val="설계도1"/>
      <sheetName val="기초(1)"/>
      <sheetName val="전체실행"/>
      <sheetName val="미드수량"/>
      <sheetName val="문학간접"/>
      <sheetName val="수량산출1"/>
      <sheetName val="자재단가표"/>
      <sheetName val="전체제잡비"/>
      <sheetName val="참조-(1)"/>
      <sheetName val="종단耀⃤"/>
      <sheetName val="중기터파기"/>
      <sheetName val="변수값"/>
      <sheetName val="중기상차"/>
      <sheetName val="장척총괄"/>
      <sheetName val="1공구 배수통관 산출근거"/>
      <sheetName val="일위대가목록표"/>
      <sheetName val="전기,계장"/>
      <sheetName val="미결사항"/>
      <sheetName val="C3"/>
      <sheetName val="설계변경(수정전)"/>
      <sheetName val="1승인신청서"/>
      <sheetName val="산근터빈"/>
      <sheetName val="계수시트"/>
      <sheetName val="예산서"/>
      <sheetName val="quotation"/>
      <sheetName val="잉여처분"/>
      <sheetName val="2차공사변경현장관리비"/>
      <sheetName val="토공산출(주차장)"/>
      <sheetName val="배수내역"/>
      <sheetName val="참조자료"/>
      <sheetName val="__"/>
      <sheetName val="대비내역"/>
      <sheetName val="2.주요계수총괄"/>
      <sheetName val="2)보강토수량집계"/>
      <sheetName val="당초내역서"/>
      <sheetName val="5. FIREPROOF"/>
      <sheetName val="그림"/>
      <sheetName val="그림2"/>
      <sheetName val="3련 BOX"/>
      <sheetName val="등가관장표"/>
      <sheetName val="적현로"/>
      <sheetName val="설치자재"/>
      <sheetName val="구성1"/>
      <sheetName val="구성2"/>
      <sheetName val="구성3"/>
      <sheetName val="구성4"/>
      <sheetName val="Mc1"/>
      <sheetName val="평균높이산출근거"/>
      <sheetName val="횡배수관위치조서"/>
      <sheetName val="인건비 "/>
      <sheetName val="90.03실행 "/>
      <sheetName val="원내역"/>
      <sheetName val="청구내역(9807)"/>
      <sheetName val="내역(최종본4.5)"/>
      <sheetName val="공종분류"/>
      <sheetName val="공용정보"/>
      <sheetName val="장비투입계획"/>
      <sheetName val="직원투입계획"/>
      <sheetName val="배수공 시멘트 및 골재량 산출"/>
      <sheetName val="RE9604"/>
      <sheetName val="예가대비"/>
      <sheetName val="터널조도"/>
      <sheetName val="과천MAIN"/>
      <sheetName val="골조시행"/>
      <sheetName val="영업소실적"/>
      <sheetName val="주공 갑지"/>
      <sheetName val="기계경비(시간당)"/>
      <sheetName val="샤워실위생"/>
      <sheetName val="방음벽기초"/>
      <sheetName val="TB-내역서"/>
      <sheetName val="BND"/>
      <sheetName val="P.M 별"/>
      <sheetName val="김포IO"/>
      <sheetName val="일지-H"/>
      <sheetName val="약전닥트"/>
      <sheetName val="FD"/>
      <sheetName val="건축부하"/>
      <sheetName val="FA설치명세"/>
      <sheetName val="99관저"/>
      <sheetName val="VXXXXXX"/>
      <sheetName val="G2설비도급"/>
      <sheetName val="내역(청마- (2)"/>
      <sheetName val="집수정"/>
      <sheetName val="토적1"/>
      <sheetName val="샘플표지"/>
      <sheetName val="MTL$-INTER"/>
      <sheetName val="가격조사서"/>
      <sheetName val="VENDOR LIST"/>
      <sheetName val="사통공사비"/>
      <sheetName val="다곡2교"/>
      <sheetName val="구조     ."/>
      <sheetName val="97노임단가"/>
      <sheetName val="수주추정"/>
      <sheetName val="자재코드"/>
      <sheetName val="단가산출2"/>
      <sheetName val="중기사용료산출근거"/>
      <sheetName val="예산총괄표"/>
      <sheetName val="HW일위"/>
      <sheetName val="선정_13"/>
      <sheetName val="선정_23"/>
      <sheetName val="선정_33"/>
      <sheetName val="선정_43"/>
      <sheetName val="선정_53"/>
      <sheetName val="설_계3"/>
      <sheetName val="입출재고현황_(2)3"/>
      <sheetName val="7_가스3"/>
      <sheetName val="준검_내역서3"/>
      <sheetName val="BSD_(2)3"/>
      <sheetName val="G_R300경비3"/>
      <sheetName val="단면_(2)3"/>
      <sheetName val="1_취수장3"/>
      <sheetName val="소요자금청구서_10월3"/>
      <sheetName val="공사대금_12월3"/>
      <sheetName val="장비_12월3"/>
      <sheetName val="서화12월_3"/>
      <sheetName val="팔팔건기_(2)3"/>
      <sheetName val="EQUIPMENT_-23"/>
      <sheetName val="Sheet1_(2)3"/>
      <sheetName val="AIR_SHOWER(3인용)3"/>
      <sheetName val="3_공통공사대비2"/>
      <sheetName val="DATA_입력란3"/>
      <sheetName val="1__설계조건_2_단면가정_3__하중계산3"/>
      <sheetName val="IMPEADENCE_MAP_취수장3"/>
      <sheetName val="1_설계조건2"/>
      <sheetName val="현장관리비_산출내역2"/>
      <sheetName val="2_대외공문3"/>
      <sheetName val="전차선로_물량표3"/>
      <sheetName val="내역서_3"/>
      <sheetName val="실행내역서_2"/>
      <sheetName val="입출재고현황__2_2"/>
      <sheetName val="단가_및_재료비2"/>
      <sheetName val="토공(우물통,기타)_2"/>
      <sheetName val="전화번호DATA_(2001)2"/>
      <sheetName val="4-3_보온_기본물량집계2"/>
      <sheetName val="Requirement(Work_Crew)2"/>
      <sheetName val="8_PILE__(돌출)2"/>
      <sheetName val="6PILE__(돌출)1"/>
      <sheetName val="unit_41"/>
      <sheetName val="_ｹ-ﾌﾞﾙ1"/>
      <sheetName val="플랜트_설치1"/>
      <sheetName val="WEIGHT_LIST1"/>
      <sheetName val="산#2-1_(2)1"/>
      <sheetName val="7_전산해석결과1"/>
      <sheetName val="4_하중1"/>
      <sheetName val="2000,9월_일위1"/>
      <sheetName val="실행기성_갑지1"/>
      <sheetName val="3_31"/>
      <sheetName val="토목내역서_(도급단가)_(2)1"/>
      <sheetName val="MSG_수량1"/>
      <sheetName val="1_전력공사1"/>
      <sheetName val="8_DC1"/>
      <sheetName val="3_전열1"/>
      <sheetName val="2_조명제어1"/>
      <sheetName val="REINF_1"/>
      <sheetName val="사본_-_b_balju1"/>
      <sheetName val="2_입력sheet1"/>
      <sheetName val="반중력식옹벽3_51"/>
      <sheetName val="귀래_설계_공내역서1"/>
      <sheetName val="총괄집계_1"/>
      <sheetName val="Customer_Databas1"/>
      <sheetName val="별표_1"/>
      <sheetName val="아스팔트_포장총괄집계표1"/>
      <sheetName val="BEND_LOSS1"/>
      <sheetName val="1_토공1"/>
      <sheetName val="_토목_처리장도급내역서_1"/>
      <sheetName val="96보완계획7_121"/>
      <sheetName val="7_PILE__(돌출)1"/>
      <sheetName val="참조_(2)1"/>
      <sheetName val="상_부1"/>
      <sheetName val="3BL공동구_수량1"/>
      <sheetName val="제출내역_(2)1"/>
      <sheetName val="방배동내역_(총괄)1"/>
      <sheetName val="2_단면가정3_모델링4_하중1"/>
      <sheetName val="광통신_견적내역서11"/>
      <sheetName val="TRE_TABLE1"/>
      <sheetName val="PROJECT_BRIEF(EX_NEW)1"/>
      <sheetName val="세골재__T2_변경_현황1"/>
      <sheetName val="활성탄_여과지토공1"/>
      <sheetName val="_일본대사_관저_누수_보수공사120719_xlsx1"/>
      <sheetName val="Ext__Stone-P1"/>
      <sheetName val="ES대장_양식1"/>
      <sheetName val="실정보고현황_(2)1"/>
      <sheetName val="포항상수도_(2)1"/>
      <sheetName val="시화아파트보증현황_(2)1"/>
      <sheetName val="표__지1"/>
      <sheetName val="수_량_명_세_서_-_11"/>
      <sheetName val="도담구내_개소별_명세1"/>
      <sheetName val="1_수인터널1"/>
      <sheetName val="일위(거제)_1"/>
      <sheetName val="내역(청마)_(2)1"/>
      <sheetName val="공사_Scope_표지1"/>
      <sheetName val="공사_Scope1"/>
      <sheetName val="목동세대_산출근거1"/>
      <sheetName val="11_1_단면hwp1"/>
      <sheetName val="2000_051"/>
      <sheetName val="1단지_단위세대_내역서1"/>
      <sheetName val="제수변_수량집계표(보통)1"/>
      <sheetName val="Ext__Stone-P"/>
      <sheetName val="ES대장_양식"/>
      <sheetName val="실정보고현황_(2)"/>
      <sheetName val="포항상수도_(2)"/>
      <sheetName val="시화아파트보증현황_(2)"/>
      <sheetName val="1_수인터널"/>
      <sheetName val="일위(거제)_"/>
      <sheetName val="내역(청마)_(2)"/>
      <sheetName val="공사_Scope_표지"/>
      <sheetName val="공사_Scope"/>
      <sheetName val="목동세대_산출근거"/>
      <sheetName val="11_1_단면hwp"/>
      <sheetName val="2000_05"/>
      <sheetName val="1단지_단위세대_내역서"/>
      <sheetName val="제수변_수량집계표(보통)"/>
      <sheetName val="도담구내_개소별_명세"/>
      <sheetName val="4_장비손료"/>
      <sheetName val="내역서_(2)"/>
      <sheetName val="단양_00_아파트-세부내역"/>
      <sheetName val="설산1_나"/>
      <sheetName val="3_하중산정4_지지력"/>
      <sheetName val="선정_14"/>
      <sheetName val="선정_24"/>
      <sheetName val="선정_34"/>
      <sheetName val="선정_44"/>
      <sheetName val="선정_54"/>
      <sheetName val="설_계4"/>
      <sheetName val="입출재고현황_(2)4"/>
      <sheetName val="7_가스4"/>
      <sheetName val="준검_내역서4"/>
      <sheetName val="BSD_(2)4"/>
      <sheetName val="G_R300경비4"/>
      <sheetName val="단면_(2)4"/>
      <sheetName val="1_취수장4"/>
      <sheetName val="EQUIPMENT_-24"/>
      <sheetName val="IMPEADENCE_MAP_취수장4"/>
      <sheetName val="소요자금청구서_10월4"/>
      <sheetName val="공사대금_12월4"/>
      <sheetName val="장비_12월4"/>
      <sheetName val="서화12월_4"/>
      <sheetName val="팔팔건기_(2)4"/>
      <sheetName val="Sheet1_(2)4"/>
      <sheetName val="AIR_SHOWER(3인용)4"/>
      <sheetName val="3_공통공사대비3"/>
      <sheetName val="DATA_입력란4"/>
      <sheetName val="1__설계조건_2_단면가정_3__하중계산4"/>
      <sheetName val="1_설계조건3"/>
      <sheetName val="현장관리비_산출내역3"/>
      <sheetName val="2_대외공문4"/>
      <sheetName val="전차선로_물량표4"/>
      <sheetName val="내역서_4"/>
      <sheetName val="실행내역서_3"/>
      <sheetName val="입출재고현황__2_3"/>
      <sheetName val="단가_및_재료비3"/>
      <sheetName val="토공(우물통,기타)_3"/>
      <sheetName val="전화번호DATA_(2001)3"/>
      <sheetName val="4-3_보온_기본물량집계3"/>
      <sheetName val="Requirement(Work_Crew)3"/>
      <sheetName val="8_PILE__(돌출)3"/>
      <sheetName val="6PILE__(돌출)2"/>
      <sheetName val="unit_42"/>
      <sheetName val="_ｹ-ﾌﾞﾙ2"/>
      <sheetName val="플랜트_설치2"/>
      <sheetName val="WEIGHT_LIST2"/>
      <sheetName val="산#2-1_(2)2"/>
      <sheetName val="7_전산해석결과2"/>
      <sheetName val="4_하중2"/>
      <sheetName val="2000,9월_일위2"/>
      <sheetName val="실행기성_갑지2"/>
      <sheetName val="3_32"/>
      <sheetName val="토목내역서_(도급단가)_(2)2"/>
      <sheetName val="MSG_수량2"/>
      <sheetName val="1_전력공사2"/>
      <sheetName val="8_DC2"/>
      <sheetName val="3_전열2"/>
      <sheetName val="2_조명제어2"/>
      <sheetName val="REINF_2"/>
      <sheetName val="사본_-_b_balju2"/>
      <sheetName val="2_입력sheet2"/>
      <sheetName val="반중력식옹벽3_52"/>
      <sheetName val="귀래_설계_공내역서2"/>
      <sheetName val="총괄집계_2"/>
      <sheetName val="Customer_Databas2"/>
      <sheetName val="별표_2"/>
      <sheetName val="아스팔트_포장총괄집계표2"/>
      <sheetName val="BEND_LOSS2"/>
      <sheetName val="1_토공2"/>
      <sheetName val="_토목_처리장도급내역서_2"/>
      <sheetName val="조건_(A)2"/>
      <sheetName val="96보완계획7_122"/>
      <sheetName val="7_PILE__(돌출)2"/>
      <sheetName val="참조_(2)2"/>
      <sheetName val="상_부2"/>
      <sheetName val="3BL공동구_수량2"/>
      <sheetName val="제출내역_(2)2"/>
      <sheetName val="방배동내역_(총괄)2"/>
      <sheetName val="2_단면가정3_모델링4_하중2"/>
      <sheetName val="광통신_견적내역서12"/>
      <sheetName val="TRE_TABLE2"/>
      <sheetName val="PROJECT_BRIEF(EX_NEW)2"/>
      <sheetName val="활성탄_여과지토공2"/>
      <sheetName val="세골재__T2_변경_현황2"/>
      <sheetName val="_일본대사_관저_누수_보수공사120719_xlsx2"/>
      <sheetName val="Ext__Stone-P2"/>
      <sheetName val="ES대장_양식2"/>
      <sheetName val="실정보고현황_(2)2"/>
      <sheetName val="포항상수도_(2)2"/>
      <sheetName val="시화아파트보증현황_(2)2"/>
      <sheetName val="표__지2"/>
      <sheetName val="수_량_명_세_서_-_12"/>
      <sheetName val="도담구내_개소별_명세2"/>
      <sheetName val="1_수인터널2"/>
      <sheetName val="일위(거제)_2"/>
      <sheetName val="내역(청마)_(2)2"/>
      <sheetName val="공사_Scope_표지2"/>
      <sheetName val="공사_Scope2"/>
      <sheetName val="목동세대_산출근거2"/>
      <sheetName val="11_1_단면hwp2"/>
      <sheetName val="2000_052"/>
      <sheetName val="1단지_단위세대_내역서2"/>
      <sheetName val="제수변_수량집계표(보통)2"/>
      <sheetName val="기계시공"/>
      <sheetName val="업체별기성내역"/>
      <sheetName val="추진계획서"/>
      <sheetName val="능률(기성怀"/>
      <sheetName val="능률(기성쀀"/>
      <sheetName val="능률(기성砀"/>
      <sheetName val="능률(기성԰"/>
      <sheetName val="능률(기성倀"/>
      <sheetName val="능률(기성ጀ"/>
      <sheetName val="능률(기성䠀"/>
      <sheetName val="능률(기성 "/>
      <sheetName val="예산명세서"/>
      <sheetName val="구조"/>
      <sheetName val="BOX(1.5X1.5)"/>
      <sheetName val="전문품"/>
      <sheetName val="난이도"/>
      <sheetName val="토목내역서 (도급단가)렀ꔇ砯"/>
      <sheetName val="환경기계공정표 (3)"/>
      <sheetName val="제잡비요율"/>
      <sheetName val="설비"/>
      <sheetName val="집계장(대목_실행)"/>
      <sheetName val="A 견적"/>
      <sheetName val="하도급업체"/>
      <sheetName val="제경餀ኘ"/>
      <sheetName val="준공조서"/>
      <sheetName val="공사준공계"/>
      <sheetName val="준공검사보고서"/>
      <sheetName val="남양시작동010313100%"/>
      <sheetName val="공사개요(¡"/>
      <sheetName val="CB"/>
      <sheetName val="재료단가"/>
      <sheetName val="암거날개벽재료집계"/>
      <sheetName val="근로자자료입력"/>
      <sheetName val="연부97-1"/>
      <sheetName val="3지구단위"/>
      <sheetName val="하천제원"/>
      <sheetName val="변화치수"/>
      <sheetName val="Pier 3"/>
      <sheetName val="(포장)BOQ-실적공ꀀ"/>
      <sheetName val="Paint,Fire-Proof,Insul(48)"/>
      <sheetName val="기초단가"/>
      <sheetName val="CABLE SIZE-3"/>
      <sheetName val="총괄표(을)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工완성공사율"/>
      <sheetName val="mcc일위대가"/>
      <sheetName val="예산대비"/>
      <sheetName val="내역검토"/>
      <sheetName val="날개벽(좌,우=60"/>
      <sheetName val="음성cable"/>
      <sheetName val="WE轰翟"/>
      <sheetName val="WE鈀쑷"/>
      <sheetName val="WE述쑷"/>
      <sheetName val="WE鐠犘"/>
      <sheetName val="WE犘"/>
      <sheetName val="1.전_x0010_"/>
      <sheetName val="1.전׃"/>
      <sheetName val="WE軐鳅"/>
      <sheetName val="WE賀鳅"/>
      <sheetName val="국내조달(朌Õ羈ᕑ_x0000_"/>
      <sheetName val="대운산출"/>
      <sheetName val="현장식당(1)"/>
      <sheetName val="물량내역"/>
      <sheetName val="주배관TYPE현황"/>
      <sheetName val="설계가"/>
      <sheetName val="열린교실"/>
      <sheetName val="2002공임"/>
      <sheetName val="2002자재가격"/>
      <sheetName val="빙축열내역대_x0000__x0000__x0005__x0000_憐"/>
      <sheetName val="EVALUATE"/>
      <sheetName val="단가입력창"/>
      <sheetName val="현장관리贈%͈"/>
      <sheetName val="비용"/>
      <sheetName val="SCHE"/>
      <sheetName val="UPRI"/>
      <sheetName val="재무가정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기본일위"/>
      <sheetName val="기성"/>
      <sheetName val="산출근거1"/>
      <sheetName val="변경총괄표"/>
      <sheetName val="말뚝설계"/>
      <sheetName val="최적단면"/>
      <sheetName val="(C)원내역"/>
      <sheetName val="선수금"/>
      <sheetName val="Master Schedule_161025.xlsx"/>
      <sheetName val="예산"/>
      <sheetName val="가공비"/>
      <sheetName val="공사비총괄표"/>
      <sheetName val="기성2"/>
      <sheetName val="경비_원본"/>
      <sheetName val="건축원가"/>
      <sheetName val="아스팔트 포장총괄집계㕈"/>
      <sheetName val="뜃맟뭁돽띿맟_-BLDG"/>
      <sheetName val="시설물일위"/>
      <sheetName val="내역서 표지 "/>
      <sheetName val="원가계산서(전기)"/>
      <sheetName val="파일항타"/>
      <sheetName val="원가산출근거"/>
      <sheetName val="Macro(전선)"/>
      <sheetName val="AHU집계"/>
      <sheetName val="공조기휀"/>
      <sheetName val="묘발입력"/>
      <sheetName val="공동도급 지분"/>
      <sheetName val="첨부(원가상승분석)"/>
      <sheetName val="내역서(당초변경)"/>
      <sheetName val="STS내역서"/>
      <sheetName val="5단지"/>
      <sheetName val="빙축열내역대_x0000__x0000__x0005__x0000_鲀"/>
      <sheetName val="계획고"/>
      <sheetName val="EP0618"/>
      <sheetName val="세부내역서"/>
      <sheetName val="SRC-B3U2"/>
      <sheetName val="별제권_정ԯ_x0000_缀_x0000_"/>
      <sheetName val="별제권_정ﻔ_xded5_ԯ_x0000_"/>
      <sheetName val="별제권_정ﻔᣕԯ_x0000_"/>
      <sheetName val="별제권_정ﻔ⫕ԯ_x0000_"/>
      <sheetName val="조명 _x0000_"/>
      <sheetName val="기계단가"/>
      <sheetName val="갈현동"/>
      <sheetName val="물질수지"/>
      <sheetName val="콘크리트"/>
      <sheetName val="COVER-P"/>
      <sheetName val="시점교대"/>
      <sheetName val="Sheet13"/>
      <sheetName val="Sheet14"/>
      <sheetName val="날개벽(좌,우=60_x0000__x0000__x0005__x0000_銠"/>
      <sheetName val="Definitions"/>
      <sheetName val="Material&amp;Equipment"/>
      <sheetName val="BSD _2_"/>
      <sheetName val="_x0000_ _x0000__x0005__x0000__x0006__x0000__x0007__x0000_"/>
      <sheetName val="토공집계표"/>
      <sheetName val="COVER"/>
      <sheetName val="각종장비닑⾂_x0005__x0000__x0000_"/>
      <sheetName val="각종장비׃⽯_x0000__x0000_▰_x0000_"/>
      <sheetName val="능률(기성䀀"/>
      <sheetName val="능률(기성쌌"/>
      <sheetName val="능률(기성鬀"/>
      <sheetName val="능률(기성⠀"/>
      <sheetName val="능률(기성/"/>
      <sheetName val="능률(기성쌑"/>
      <sheetName val="능률(기성쌔"/>
      <sheetName val="능률(기성က"/>
      <sheetName val="능률(기성쌈"/>
      <sheetName val="물가자료"/>
      <sheetName val="부안변전"/>
      <sheetName val="빙축열내역대비입_x0000__x0000__x0005_"/>
      <sheetName val="빙축열내역대"/>
      <sheetName val="95M㦘&quot;ｐɉ"/>
      <sheetName val="95M㑸4鉨M"/>
      <sheetName val="부대공사"/>
      <sheetName val="FAB4생산"/>
      <sheetName val="화전내"/>
      <sheetName val=" 토목 처리장도_xd804_㉙_x0005_"/>
      <sheetName val="선정.ဲ"/>
      <sheetName val="토목내역서 (도급단가) (_x0000__x0000_"/>
      <sheetName val="전문޸á"/>
      <sheetName val="상부집계_x0005_"/>
      <sheetName val="상부집계誀"/>
      <sheetName val="상부집계"/>
      <sheetName val="수목단가"/>
      <sheetName val="증감내역서"/>
      <sheetName val="맨홀공제"/>
      <sheetName val="접속도로1"/>
      <sheetName val="접속도로"/>
      <sheetName val="사업내역"/>
      <sheetName val="우각부보강"/>
      <sheetName val="횡 연장"/>
      <sheetName val="공작물조직표(용배수)"/>
      <sheetName val="날개수량1.5"/>
      <sheetName val="계산서(곡선부)"/>
      <sheetName val="위치"/>
      <sheetName val="실행품의서"/>
      <sheetName val="여수토토적"/>
      <sheetName val="투찰_x0000__x0000__x0005__x0000_"/>
      <sheetName val="견적서(토공曘"/>
      <sheetName val="토목내역서 (도급단_x0000__x0000__x0005__x0000_퍀ӷ"/>
      <sheetName val="월간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조도계산서 (도서)"/>
      <sheetName val="능률_x0000__x0000__x0005__x0000_"/>
      <sheetName val="현장관리_x0000__x0000__x0000_"/>
      <sheetName val="월별"/>
      <sheetName val="월별뀀"/>
      <sheetName val="내역(협의)"/>
      <sheetName val="(포장)BOQ-실_x0005__x0000_"/>
      <sheetName val="(포장)BOQ-실_x0000__x0000_界"/>
      <sheetName val="기초"/>
      <sheetName val="40총괄"/>
      <sheetName val="필리핀전용요청"/>
      <sheetName val="기존단가 (2)"/>
      <sheetName val="토적??"/>
      <sheetName val="기초ၒ_x0000_"/>
      <sheetName val="중로근거"/>
      <sheetName val="제안서"/>
      <sheetName val="행정표준(1)"/>
      <sheetName val="행정표준(2)"/>
      <sheetName val="자재가격"/>
      <sheetName val="VA_code"/>
      <sheetName val="유입부 (2)"/>
      <sheetName val="유입부"/>
      <sheetName val="EQT-ESTN"/>
      <sheetName val="토적계산서"/>
      <sheetName val="단중표-ST"/>
      <sheetName val="선정_15"/>
      <sheetName val="선정_25"/>
      <sheetName val="선정_35"/>
      <sheetName val="선정_45"/>
      <sheetName val="선정_55"/>
      <sheetName val="설_계5"/>
      <sheetName val="입출재고현황_(2)5"/>
      <sheetName val="G_R300경비5"/>
      <sheetName val="BSD_(2)5"/>
      <sheetName val="7_가스5"/>
      <sheetName val="준검_내역서5"/>
      <sheetName val="Sheet1_(2)5"/>
      <sheetName val="단면_(2)5"/>
      <sheetName val="1_취수장5"/>
      <sheetName val="IMPEADENCE_MAP_취수장5"/>
      <sheetName val="1_설계조건4"/>
      <sheetName val="EQUIPMENT_-25"/>
      <sheetName val="소요자금청구서_10월5"/>
      <sheetName val="공사대금_12월5"/>
      <sheetName val="장비_12월5"/>
      <sheetName val="서화12월_5"/>
      <sheetName val="팔팔건기_(2)5"/>
      <sheetName val="DATA_입력란5"/>
      <sheetName val="1__설계조건_2_단면가정_3__하중계산5"/>
      <sheetName val="현장관리비_산출내역4"/>
      <sheetName val="전화번호DATA_(2001)4"/>
      <sheetName val="2_대외공문5"/>
      <sheetName val="내역서_5"/>
      <sheetName val="8_PILE__(돌출)4"/>
      <sheetName val="AIR_SHOWER(3인용)5"/>
      <sheetName val="3_공통공사대비4"/>
      <sheetName val="실행내역서_4"/>
      <sheetName val="입출재고현황__2_4"/>
      <sheetName val="전차선로_물량표5"/>
      <sheetName val="단가_및_재료비4"/>
      <sheetName val="4-3_보온_기본물량집계4"/>
      <sheetName val="Requirement(Work_Crew)4"/>
      <sheetName val="실행기성_갑지3"/>
      <sheetName val="unit_43"/>
      <sheetName val="토공(우물통,기타)_4"/>
      <sheetName val="6PILE__(돌출)3"/>
      <sheetName val="_ｹ-ﾌﾞﾙ3"/>
      <sheetName val="7_전산해석결과3"/>
      <sheetName val="4_하중3"/>
      <sheetName val="플랜트_설치3"/>
      <sheetName val="WEIGHT_LIST3"/>
      <sheetName val="산#2-1_(2)3"/>
      <sheetName val="3_33"/>
      <sheetName val="1_전력공사3"/>
      <sheetName val="8_DC3"/>
      <sheetName val="3_전열3"/>
      <sheetName val="2_조명제어3"/>
      <sheetName val="2000,9월_일위3"/>
      <sheetName val="토목내역서_(도급단가)_(2)3"/>
      <sheetName val="귀래_설계_공내역서3"/>
      <sheetName val="아스팔트_포장총괄집계표3"/>
      <sheetName val="별표_3"/>
      <sheetName val="Customer_Databas3"/>
      <sheetName val="총괄집계_3"/>
      <sheetName val="MSG_수량3"/>
      <sheetName val="2_입력sheet3"/>
      <sheetName val="반중력식옹벽3_53"/>
      <sheetName val="사본_-_b_balju3"/>
      <sheetName val="REINF_3"/>
      <sheetName val="BEND_LOSS3"/>
      <sheetName val="_토목_처리장도급내역서_3"/>
      <sheetName val="1_토공3"/>
      <sheetName val="조건_(A)3"/>
      <sheetName val="방배동내역_(총괄)3"/>
      <sheetName val="Ext__Stone-P3"/>
      <sheetName val="3BL공동구_수량3"/>
      <sheetName val="활성탄_여과지토공3"/>
      <sheetName val="96보완계획7_123"/>
      <sheetName val="상_부3"/>
      <sheetName val="참조_(2)3"/>
      <sheetName val="제출내역_(2)3"/>
      <sheetName val="세골재__T2_변경_현황3"/>
      <sheetName val="TRE_TABLE3"/>
      <sheetName val="2_단면가정3_모델링4_하중3"/>
      <sheetName val="7_PILE__(돌출)3"/>
      <sheetName val="PROJECT_BRIEF(EX_NEW)3"/>
      <sheetName val="광통신_견적내역서13"/>
      <sheetName val="_일본대사_관저_누수_보수공사120719_xlsx3"/>
      <sheetName val="ES대장_양식3"/>
      <sheetName val="실정보고현황_(2)3"/>
      <sheetName val="포항상수도_(2)3"/>
      <sheetName val="시화아파트보증현황_(2)3"/>
      <sheetName val="1_수인터널3"/>
      <sheetName val="일위(거제)_3"/>
      <sheetName val="내역(청마)_(2)3"/>
      <sheetName val="공사_Scope_표지3"/>
      <sheetName val="공사_Scope3"/>
      <sheetName val="제수변_수량집계표(보통)3"/>
      <sheetName val="2000_053"/>
      <sheetName val="표__지3"/>
      <sheetName val="목동세대_산출근거3"/>
      <sheetName val="도담구내_개소별_명세3"/>
      <sheetName val="수_량_명_세_서_-_13"/>
      <sheetName val="4_장비손료1"/>
      <sheetName val="11_1_단면hwp3"/>
      <sheetName val="3_하중산정4_지지력1"/>
      <sheetName val="조명"/>
      <sheetName val="4_전기"/>
      <sheetName val="설산1_나1"/>
      <sheetName val="Ⅴ-2_공종별내역"/>
      <sheetName val="내역서_(2)1"/>
      <sheetName val="단양_00_아파트-세부내역1"/>
      <sheetName val="1단지_단위세대_내역서3"/>
      <sheetName val="_x000a_"/>
      <sheetName val="_"/>
      <sheetName val="총괄갑_"/>
      <sheetName val="4_2_1_마루높이_검토"/>
      <sheetName val="1_개요및면적"/>
      <sheetName val="공사개요(¡Ԁ䀀횶_"/>
      <sheetName val="Layout_Data_"/>
      <sheetName val="1_우편집중내역서"/>
      <sheetName val="1공구_배수통관_산출근거"/>
      <sheetName val="A_견적"/>
      <sheetName val="5__FIREPROOF"/>
      <sheetName val="2_주요계수총괄"/>
      <sheetName val="인건비_"/>
      <sheetName val="할증_"/>
      <sheetName val="P_M_별"/>
      <sheetName val="빙축열내역대憐"/>
      <sheetName val="3련_BOX"/>
      <sheetName val="배수공_시멘트_및_골재량_산출"/>
      <sheetName val="90_03실행_"/>
      <sheetName val="내역(최종본4_5)"/>
      <sheetName val="내역(청마-_(2)"/>
      <sheetName val="1_전"/>
      <sheetName val="1_전׃"/>
      <sheetName val="토목내역서_(도급단가)렀ꔇ砯"/>
      <sheetName val="환경기계공정표_(3)"/>
      <sheetName val="주공_갑지"/>
      <sheetName val="VENDOR_LIST"/>
      <sheetName val="BOX(1_5X1_5)"/>
      <sheetName val="구조______"/>
      <sheetName val="CABLE_SIZE-3"/>
      <sheetName val="Pier_3"/>
      <sheetName val="분야별_집계표"/>
      <sheetName val="_공사설정_"/>
      <sheetName val="총체보활偤°"/>
      <sheetName val="별제권_정ԯ"/>
      <sheetName val="HO ENG MH CAL"/>
      <sheetName val="예산서新"/>
      <sheetName val="부대(갑)"/>
      <sheetName val="아파트(갑)"/>
      <sheetName val="능률"/>
      <sheetName val="빙축열내역대비입"/>
      <sheetName val="설계변경내역서"/>
      <sheetName val="95M槜で_x0000__x0000_"/>
      <sheetName val="95M槜⿙_x0000__x0000_"/>
      <sheetName val="토목내역서 (도급단"/>
      <sheetName val="[추풍최종.xls]능률(기성/"/>
      <sheetName val="Eq. Mobilization"/>
      <sheetName val="전 기"/>
      <sheetName val="HX"/>
      <sheetName val="가정급수관"/>
      <sheetName val="교대시점"/>
      <sheetName val="간지"/>
      <sheetName val="안산기계장치"/>
      <sheetName val="토공a"/>
      <sheetName val="단위량당중기"/>
      <sheetName val="기초일위"/>
      <sheetName val="식재수량표"/>
      <sheetName val="식재일위"/>
      <sheetName val="공정회의자료(월요일 10시까지)"/>
      <sheetName val="내역및"/>
      <sheetName val="당초"/>
      <sheetName val="소방"/>
      <sheetName val="토목내역서 (_x0000__x0000_Ԁ_x0000_倀䞓ꜙ_x0001__x0000_"/>
      <sheetName val="토목내역서 (ⶌ쌈괅/_x0000_ꠀp_x0000_"/>
      <sheetName val="choၒ_x0000__x0000_"/>
      <sheetName val="토목내역서 (도급단가)ꗝ1푘ᛐ"/>
      <sheetName val="토목내역서 (도급단가)Ȍ_x0000_釈ɡ"/>
      <sheetName val="[추풍최종.xls]A__KDS_PROJECT______2"/>
      <sheetName val="시설장비"/>
      <sheetName val="예빐"/>
      <sheetName val="예酰"/>
      <sheetName val="예쁀"/>
      <sheetName val="공통부'ሀ"/>
      <sheetName val="별제권_정ﻔ?ԯ"/>
      <sheetName val="각종장비닑⾂_x0005_"/>
      <sheetName val="각종장비׃⽯"/>
      <sheetName val=" 토목 처리장도?_x0005_"/>
      <sheetName val="D-623D"/>
      <sheetName val="토목내역서 ("/>
      <sheetName val="토목내역서 (ⶌ쌈괅/"/>
      <sheetName val="내역_FILE"/>
      <sheetName val="토공운반 내역"/>
      <sheetName val="결재판"/>
      <sheetName val="사  업  비  수  지  예  산  서"/>
      <sheetName val="현관비DATA"/>
      <sheetName val="SIL9惥"/>
      <sheetName val="2.조명제¬"/>
      <sheetName val="을 2"/>
      <sheetName val="을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 refreshError="1"/>
      <sheetData sheetId="1616" refreshError="1"/>
      <sheetData sheetId="1617" refreshError="1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 refreshError="1"/>
      <sheetData sheetId="1686" refreshError="1"/>
      <sheetData sheetId="1687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/>
      <sheetData sheetId="1773"/>
      <sheetData sheetId="1774" refreshError="1"/>
      <sheetData sheetId="1775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/>
      <sheetData sheetId="2050"/>
      <sheetData sheetId="2051"/>
      <sheetData sheetId="2052" refreshError="1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JOKUN"/>
      <sheetName val="갑지(추정)"/>
      <sheetName val="총물량"/>
      <sheetName val="갑지_추정_"/>
      <sheetName val="대비표(토공1안)"/>
      <sheetName val="공내역"/>
      <sheetName val="실행(표지,갑,을)"/>
      <sheetName val="정부노임단가"/>
      <sheetName val="Sheet5"/>
      <sheetName val="실행(ALT1)"/>
      <sheetName val="노임"/>
      <sheetName val="코드"/>
      <sheetName val="설비단가표"/>
      <sheetName val="견적내역"/>
      <sheetName val="건축공사실행"/>
      <sheetName val="건축집계"/>
      <sheetName val="내역1"/>
      <sheetName val="목록"/>
      <sheetName val="입찰"/>
      <sheetName val="현경"/>
      <sheetName val="자재(원원+원대)"/>
      <sheetName val="출력일지(01월)"/>
      <sheetName val="일위대가"/>
      <sheetName val="설계"/>
      <sheetName val="입찰안"/>
      <sheetName val="BSD (2)"/>
      <sheetName val="차액보증"/>
      <sheetName val="기초일위"/>
      <sheetName val="공통비(전체)"/>
      <sheetName val="CAT_5"/>
      <sheetName val="내역"/>
      <sheetName val="3_공통공사대비"/>
      <sheetName val="CTEMCOST"/>
      <sheetName val="Total"/>
      <sheetName val="ELECTRIC"/>
      <sheetName val="1월"/>
      <sheetName val="Sheet6"/>
      <sheetName val="설계명세"/>
      <sheetName val="9GNG운반"/>
      <sheetName val="SUM-CTI"/>
      <sheetName val="6호기"/>
      <sheetName val="Indirect Cost"/>
      <sheetName val="공통가설"/>
      <sheetName val="투찰"/>
      <sheetName val="직노"/>
      <sheetName val="백호우계수"/>
      <sheetName val="총괄"/>
      <sheetName val="적용률"/>
      <sheetName val="토목"/>
      <sheetName val="개산공사비"/>
      <sheetName val="공사비산출내역"/>
      <sheetName val="내역서"/>
      <sheetName val="을-ATYPE"/>
      <sheetName val="(1)본선수량집계"/>
      <sheetName val="기본사항"/>
      <sheetName val="기본일위"/>
      <sheetName val="본공사"/>
      <sheetName val="원내역서3"/>
      <sheetName val="설계서"/>
      <sheetName val="자재단가"/>
      <sheetName val="집계"/>
      <sheetName val="설비원가"/>
      <sheetName val="표지"/>
      <sheetName val="TYPE-A"/>
      <sheetName val="남양시작동자105노65기1.3화1.2"/>
      <sheetName val="단가"/>
      <sheetName val="해평견적"/>
      <sheetName val="대가목록"/>
      <sheetName val="인사자료총집계"/>
      <sheetName val="위생기구"/>
      <sheetName val="기계실냉난방"/>
      <sheetName val="일위대가 "/>
      <sheetName val="N賃率-職"/>
      <sheetName val="gyun"/>
      <sheetName val="전력"/>
      <sheetName val="증감대비"/>
      <sheetName val="유림골조"/>
      <sheetName val="을지"/>
      <sheetName val="원가계산서"/>
      <sheetName val="1차설계변경내역"/>
      <sheetName val="°©Áö(ÃßÁ¤)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°øÅë°¡¼³"/>
      <sheetName val="6È£±â"/>
      <sheetName val="Åä¸ñ"/>
      <sheetName val="º»°ø»ç"/>
      <sheetName val="°ø³»¿ª"/>
      <sheetName val="1Â÷¼³°èº¯°æ³»¿ª"/>
      <sheetName val="¿ø°¡°è»ê¼­"/>
      <sheetName val="인건비"/>
      <sheetName val="대전-교대(A1-A2)"/>
      <sheetName val="저"/>
      <sheetName val="재료비"/>
      <sheetName val="경비일반이윤"/>
      <sheetName val="노무비"/>
      <sheetName val="관리,공감"/>
      <sheetName val="4.2유효폭의 계산"/>
      <sheetName val="데이타"/>
      <sheetName val="식재인부"/>
      <sheetName val="노임단가"/>
      <sheetName val="단위수량"/>
      <sheetName val="수량산출"/>
      <sheetName val="준검 내역서"/>
      <sheetName val="기존단가 (2)"/>
      <sheetName val="골조"/>
      <sheetName val="돈암사업"/>
      <sheetName val="안내"/>
      <sheetName val="건축"/>
      <sheetName val="시점교대"/>
      <sheetName val="공사내역"/>
      <sheetName val="업체견적(거푸집)"/>
      <sheetName val="시중노임단가"/>
      <sheetName val="I一般比"/>
      <sheetName val="새공통"/>
      <sheetName val=" 냉각수펌프"/>
      <sheetName val="공조기휀"/>
      <sheetName val="AHU집계"/>
      <sheetName val="토목설계(배수지+관로)"/>
      <sheetName val=" BM 셈플"/>
      <sheetName val="Sheet1 (2)"/>
      <sheetName val="실행대비"/>
      <sheetName val="공동"/>
      <sheetName val="단독"/>
      <sheetName val="수납장배치도"/>
      <sheetName val="터파기및재료"/>
      <sheetName val="실행철강하도"/>
      <sheetName val="NP-총정리"/>
      <sheetName val="부하계산서"/>
      <sheetName val="단가표"/>
      <sheetName val="45,46"/>
      <sheetName val="도급FORM"/>
      <sheetName val="2공구산출내역"/>
      <sheetName val="건축2"/>
      <sheetName val="은행"/>
      <sheetName val="노임이"/>
      <sheetName val="파일의이용"/>
      <sheetName val="기성내역서표지"/>
      <sheetName val="변경내역서간지"/>
      <sheetName val="1.취수장"/>
      <sheetName val="노임,재료비"/>
      <sheetName val="DATA1"/>
      <sheetName val="난방열교"/>
      <sheetName val="급탕열교"/>
      <sheetName val="기본단가표"/>
      <sheetName val="건축원가"/>
      <sheetName val="국내조달(통합-1)"/>
      <sheetName val="sheet1"/>
      <sheetName val="b_balju_cho"/>
      <sheetName val="부하집계표"/>
      <sheetName val="설계내역서"/>
      <sheetName val="수량집계(방송설비)"/>
      <sheetName val="조직"/>
      <sheetName val="수량집계(전기시계)"/>
      <sheetName val="수량집계(출입통제)"/>
      <sheetName val="수량집계(통합배선)"/>
      <sheetName val="수량집계(CATV)"/>
      <sheetName val="수량집계(CCTV)"/>
      <sheetName val="3.공통공사대비"/>
      <sheetName val="총괄갑 "/>
      <sheetName val="자재비"/>
      <sheetName val="BID"/>
      <sheetName val="금융비용"/>
      <sheetName val="날개벽수량표"/>
      <sheetName val="갑지"/>
      <sheetName val="내   역"/>
      <sheetName val="기술부 VENDOR LIST"/>
      <sheetName val="경산"/>
      <sheetName val="주요기준"/>
      <sheetName val="환산"/>
      <sheetName val="금액"/>
      <sheetName val="wall"/>
      <sheetName val="BM"/>
      <sheetName val="부대공"/>
      <sheetName val="포장공"/>
      <sheetName val="토공"/>
      <sheetName val="청천내"/>
      <sheetName val="Salary(해외)"/>
      <sheetName val="연돌일위집계"/>
      <sheetName val="DJ1"/>
      <sheetName val="#REF"/>
      <sheetName val="도급실행(본관-주차장)"/>
      <sheetName val="Baby일위대가"/>
      <sheetName val="정화조동내역"/>
      <sheetName val="소비자가"/>
      <sheetName val="수량집계"/>
      <sheetName val="Front"/>
      <sheetName val="실행단가철(ems코드적용)"/>
      <sheetName val="관급"/>
      <sheetName val="중기"/>
      <sheetName val="시중노임"/>
      <sheetName val="세부내역"/>
      <sheetName val="패널"/>
      <sheetName val="대비"/>
      <sheetName val="집계표"/>
      <sheetName val="조건표"/>
      <sheetName val="말뚝지지력산정"/>
      <sheetName val="3BL공동구 수량"/>
      <sheetName val="일반공사"/>
      <sheetName val="변경내역"/>
      <sheetName val="스포회원매출"/>
      <sheetName val="BSD _2_"/>
      <sheetName val="전차선로 물량표"/>
      <sheetName val="일위대가(목록)"/>
      <sheetName val="프랜트면허"/>
      <sheetName val="수리결과"/>
      <sheetName val="하수급견적대비"/>
      <sheetName val="전기"/>
      <sheetName val="Macro7"/>
      <sheetName val="일위대가(가설)"/>
      <sheetName val="노무비단가"/>
      <sheetName val="시설물일위"/>
      <sheetName val="조명율"/>
      <sheetName val="수목단가"/>
      <sheetName val="시설수량표"/>
      <sheetName val="식재수량표"/>
      <sheetName val="일위목록"/>
      <sheetName val="기초단가"/>
      <sheetName val="명세"/>
      <sheetName val="중기사용료"/>
      <sheetName val="구리토평1전기"/>
      <sheetName val="아파트"/>
      <sheetName val="Customer Databas"/>
      <sheetName val="익산"/>
      <sheetName val="단가조사"/>
      <sheetName val="현금"/>
      <sheetName val="COVER"/>
      <sheetName val="판매시설"/>
      <sheetName val="일위대가표"/>
      <sheetName val="DATA테이블1 (2)"/>
      <sheetName val="공사개요"/>
      <sheetName val="부재리스트"/>
      <sheetName val="unit 4"/>
      <sheetName val="행거,슈,볼트,펌프,잡재"/>
      <sheetName val="예산서"/>
      <sheetName val="일용직내역"/>
      <sheetName val="신청서"/>
      <sheetName val="그림"/>
      <sheetName val="구성1"/>
      <sheetName val="구성2"/>
      <sheetName val="구성3"/>
      <sheetName val="구성4"/>
      <sheetName val="그림2"/>
      <sheetName val="20관리비율"/>
      <sheetName val="토목2"/>
      <sheetName val="코드표"/>
      <sheetName val="공사원가계산서"/>
      <sheetName val="우석문틀"/>
      <sheetName val="수지예산"/>
      <sheetName val="샤워실위생"/>
      <sheetName val="건축원가계산서"/>
      <sheetName val="예정공정완"/>
      <sheetName val="비교표"/>
      <sheetName val="공문"/>
      <sheetName val="Internal Floor"/>
      <sheetName val="부산만덕"/>
      <sheetName val="수원율전"/>
      <sheetName val="안양주공"/>
      <sheetName val="표준일위대가"/>
      <sheetName val="파주"/>
      <sheetName val="수수료율표"/>
      <sheetName val="감액총괄표"/>
      <sheetName val="설비내역"/>
      <sheetName val="설계내역2"/>
      <sheetName val="아파트건축"/>
      <sheetName val="설계내역"/>
      <sheetName val="노원열병합  건축공사기성내역서"/>
      <sheetName val="TEL"/>
      <sheetName val="Tables"/>
      <sheetName val="을"/>
      <sheetName val="철콘공사"/>
      <sheetName val="단위단가"/>
      <sheetName val="저수조"/>
      <sheetName val="급,배기팬"/>
      <sheetName val="급탕순환펌프"/>
      <sheetName val="순환펌프"/>
      <sheetName val="분당임차변경"/>
      <sheetName val="콘크리트타설집계표"/>
      <sheetName val="덕전리"/>
      <sheetName val="미디어고등학교"/>
      <sheetName val="Sheet2"/>
      <sheetName val="나.건축"/>
      <sheetName val="도근좌표"/>
      <sheetName val="변경서식"/>
      <sheetName val="미장"/>
      <sheetName val="철골"/>
      <sheetName val="부대내역"/>
      <sheetName val="견적"/>
      <sheetName val="1차 내역서"/>
      <sheetName val="요율"/>
      <sheetName val="EQT-ESTN"/>
      <sheetName val="9811"/>
      <sheetName val="재료"/>
      <sheetName val="설치자재"/>
      <sheetName val="IN2"/>
      <sheetName val="Y-WORK"/>
      <sheetName val="총괄표"/>
      <sheetName val="DATA"/>
      <sheetName val="계약내역서(을지)"/>
      <sheetName val="danga"/>
      <sheetName val="ilch"/>
      <sheetName val="Y_WORK"/>
      <sheetName val="실행내역서 "/>
      <sheetName val="갑지1"/>
      <sheetName val="음료실행"/>
      <sheetName val="guard(mac)"/>
      <sheetName val="INPUT"/>
      <sheetName val="표지 (2)"/>
      <sheetName val="지주목시비량산출서"/>
      <sheetName val="내역서 "/>
      <sheetName val="실행간접비용"/>
      <sheetName val="EKOG10건축"/>
      <sheetName val="설직재-1"/>
      <sheetName val="AP1"/>
      <sheetName val="PROJECT BRIEF(EX.NEW)"/>
      <sheetName val="TEST1"/>
      <sheetName val="DS기성최종"/>
      <sheetName val="DS설변내역서"/>
      <sheetName val="1.우편집중내역서"/>
      <sheetName val="개요"/>
      <sheetName val="대우단가(풍산)"/>
      <sheetName val="정산내역서"/>
      <sheetName val="일반전기"/>
      <sheetName val="LEGEND"/>
      <sheetName val="P-산#1-1(WOWA1)"/>
      <sheetName val="CAB_OD"/>
      <sheetName val="1F"/>
      <sheetName val="NEYOK"/>
      <sheetName val="1995년 섹터별 매출"/>
      <sheetName val="판"/>
      <sheetName val="현장지지물물량"/>
      <sheetName val="1-1"/>
      <sheetName val="대비내역"/>
      <sheetName val="입고현황(전체)"/>
      <sheetName val="전체"/>
      <sheetName val="ACDIM6D"/>
      <sheetName val="기계시공"/>
      <sheetName val="산근"/>
      <sheetName val="토공(우물통,기타) "/>
      <sheetName val="아파트 기성내역서"/>
      <sheetName val="정공공사"/>
      <sheetName val="토목주소"/>
      <sheetName val="Macro"/>
      <sheetName val="공사수행방안"/>
      <sheetName val="ºÎÇÏ°è»ê¼­"/>
      <sheetName val="ÇöÀåÁöÁö¹°¹°·®"/>
      <sheetName val="±â°è½Ã°ø"/>
      <sheetName val="Àû¿ë·ü"/>
      <sheetName val="»ê±Ù"/>
      <sheetName val="EKOG10°ÇÃà"/>
      <sheetName val="À»Áö"/>
      <sheetName val="Åä°ø(¿ì¹°Åë,±âÅ¸) "/>
      <sheetName val="¼³»ê1.³ª"/>
      <sheetName val="º»»çS"/>
      <sheetName val="SG"/>
      <sheetName val="설산1.나"/>
      <sheetName val="본사S"/>
      <sheetName val="조경"/>
      <sheetName val="공종단가"/>
      <sheetName val="예가표"/>
      <sheetName val="DATE"/>
      <sheetName val="내역(전체)"/>
      <sheetName val="주소록"/>
      <sheetName val="입찰보고"/>
      <sheetName val="견적서"/>
      <sheetName val="Sheet17"/>
      <sheetName val="담파단가"/>
      <sheetName val="일위대가목록(ems)"/>
      <sheetName val="일반부표"/>
      <sheetName val="Uint보온"/>
      <sheetName val="기계설비"/>
      <sheetName val="설비"/>
      <sheetName val="수지"/>
      <sheetName val="200"/>
      <sheetName val="사업자등록증"/>
      <sheetName val="인원자료"/>
      <sheetName val="금융"/>
      <sheetName val="참고"/>
      <sheetName val="납부서"/>
      <sheetName val="조명시설"/>
      <sheetName val="B1(반포1차)"/>
      <sheetName val="영업소실적"/>
      <sheetName val="건축토목내역"/>
      <sheetName val="물량표"/>
      <sheetName val="연결관암거"/>
      <sheetName val="실행내역"/>
      <sheetName val="실행예산"/>
      <sheetName val="간접비"/>
      <sheetName val="공조기"/>
      <sheetName val="SP-B1"/>
      <sheetName val="현장관리비"/>
      <sheetName val=" 견적서"/>
      <sheetName val="TIE-IN"/>
      <sheetName val="가설전기별첨"/>
      <sheetName val="내역표지"/>
      <sheetName val="96노임기준"/>
      <sheetName val="수원공사비"/>
      <sheetName val="자재대"/>
      <sheetName val="안양1공구_건축"/>
      <sheetName val="현장"/>
      <sheetName val="기계공사"/>
      <sheetName val="적현로"/>
      <sheetName val="총괄원가계산서"/>
      <sheetName val="설계서(건축분)"/>
      <sheetName val="CON'C"/>
      <sheetName val="비용산식"/>
      <sheetName val="인원계획-미화"/>
      <sheetName val="J直材4"/>
      <sheetName val="추천서"/>
      <sheetName val="개화1교"/>
      <sheetName val="충주"/>
      <sheetName val="별첨1(공사견적 양식) (재제출-0713)"/>
      <sheetName val="별첨1(공사견적 양식)"/>
      <sheetName val="공사비비교 (호텔0723-"/>
      <sheetName val="플랜트 설치"/>
      <sheetName val="CAPVC"/>
      <sheetName val="Macro3"/>
      <sheetName val="산출내역서집계표"/>
      <sheetName val="1,2공구원가계산서"/>
      <sheetName val="간접"/>
      <sheetName val="b_gunmul"/>
      <sheetName val="b_balju (2)"/>
      <sheetName val="원가 (2)"/>
      <sheetName val="주관사업"/>
      <sheetName val="결재갑지"/>
      <sheetName val="원본"/>
      <sheetName val="현장관리Assumption"/>
      <sheetName val="직원투입계획"/>
      <sheetName val="내역(중앙)"/>
      <sheetName val="내역(창신)"/>
      <sheetName val="108동"/>
      <sheetName val="101동"/>
      <sheetName val="7~8사이내림기초"/>
      <sheetName val="시장성초안camera"/>
      <sheetName val="MATERIAL"/>
      <sheetName val="열린교실"/>
      <sheetName val="의왕내역"/>
      <sheetName val="Sheet4"/>
      <sheetName val="本年收入合计"/>
      <sheetName val="KLHT"/>
      <sheetName val="견적단가"/>
      <sheetName val="수량-가로등"/>
      <sheetName val="원형맨홀수량"/>
      <sheetName val="ABUT수량-A1"/>
      <sheetName val="골조시행"/>
      <sheetName val="돌담교 상부수량"/>
      <sheetName val="부표총괄"/>
      <sheetName val="참조"/>
      <sheetName val="포장복구집계"/>
      <sheetName val="CATV"/>
      <sheetName val="Breakdown"/>
      <sheetName val="UnitRate"/>
      <sheetName val="c_balju"/>
      <sheetName val="hvac(제어동)"/>
      <sheetName val="WORK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소방사항"/>
      <sheetName val="시화점실행"/>
      <sheetName val="ITB COST"/>
      <sheetName val="내역서1999.8최종"/>
      <sheetName val="KMT물량"/>
      <sheetName val="TB-내역서"/>
      <sheetName val="물가자료"/>
      <sheetName val="인부신상자료"/>
      <sheetName val="토공집계표"/>
      <sheetName val="정보매체A동"/>
      <sheetName val="APT내역"/>
      <sheetName val="시설이용권명세서"/>
      <sheetName val="FORM-0"/>
      <sheetName val="교각1"/>
      <sheetName val="금액내역서"/>
      <sheetName val="손익분석"/>
      <sheetName val="s"/>
      <sheetName val="간접경상비"/>
      <sheetName val="당진1,2호기전선관설치및접지4차공사내역서-을지"/>
      <sheetName val="기계내역서"/>
      <sheetName val="97 사업추정(WEKI)"/>
      <sheetName val="HVAC"/>
      <sheetName val="작성"/>
      <sheetName val="건축내역서"/>
      <sheetName val="설비내역서"/>
      <sheetName val="전기내역서"/>
      <sheetName val="Macro(차단기)"/>
      <sheetName val="건축공사"/>
      <sheetName val="JUCKEYK"/>
      <sheetName val="조정금액결과표 (차수별)"/>
      <sheetName val="STORAGE"/>
      <sheetName val="별표 "/>
      <sheetName val="조명율표"/>
      <sheetName val="단가조사-2"/>
      <sheetName val="EIB010831"/>
      <sheetName val="기계"/>
      <sheetName val="자재단가비교표"/>
      <sheetName val="경비"/>
      <sheetName val="자  재"/>
      <sheetName val="건축외주"/>
      <sheetName val="빗물받이(910-510-410)"/>
      <sheetName val="환경기계공정표 (3)"/>
      <sheetName val="백룡교차로"/>
      <sheetName val="산정교차로"/>
      <sheetName val="신영교차로"/>
      <sheetName val="일위대가(건축)"/>
      <sheetName val="토공집계"/>
      <sheetName val="사유서제출현황-2"/>
      <sheetName val="건축내역"/>
      <sheetName val="슬래브(PF)(하류)"/>
      <sheetName val="배수펌프"/>
      <sheetName val="등가관장표"/>
      <sheetName val="우,오수"/>
      <sheetName val="미지급금"/>
      <sheetName val="단면가정"/>
      <sheetName val="시설일위"/>
      <sheetName val="식재일위"/>
      <sheetName val="Sheet10"/>
      <sheetName val="조명일위"/>
      <sheetName val="교대(A1-A2)"/>
      <sheetName val="지급자재"/>
      <sheetName val="방식총괄"/>
      <sheetName val="crude.SLAB RE-bar"/>
      <sheetName val="CRUDE RE-bar"/>
      <sheetName val="인부임"/>
      <sheetName val="현장별계약현황('98.10.31)"/>
      <sheetName val="STEEL BOX 단면설계(SEC.8)"/>
      <sheetName val="안전시설내역서"/>
      <sheetName val="205동"/>
      <sheetName val="수목표준대가"/>
      <sheetName val="광양방향"/>
      <sheetName val="C1ㅇ"/>
      <sheetName val="S0"/>
      <sheetName val="설계기준"/>
      <sheetName val="지수"/>
      <sheetName val="거래처등록"/>
      <sheetName val="참고자료"/>
      <sheetName val="유류대관리"/>
      <sheetName val="CB"/>
      <sheetName val="우수공"/>
      <sheetName val="기계내역"/>
      <sheetName val="1.설계조건"/>
      <sheetName val="CSA-Rate Build Up"/>
      <sheetName val="SOURCE"/>
      <sheetName val="기둥(원형)"/>
      <sheetName val="단면 (2)"/>
      <sheetName val="2000년1차"/>
      <sheetName val="2000전체분"/>
      <sheetName val="Eq. Mobilization"/>
      <sheetName val="견적대비"/>
      <sheetName val="단가조사서"/>
      <sheetName val="목차"/>
      <sheetName val="시멘트"/>
      <sheetName val="부산4"/>
      <sheetName val="설계개요"/>
      <sheetName val="백암비스타내역"/>
      <sheetName val="주경기-오배수"/>
      <sheetName val="기기리스트"/>
      <sheetName val="Chiet tinh dz35"/>
      <sheetName val="암거공"/>
      <sheetName val="중기일위대가"/>
      <sheetName val="직공비"/>
      <sheetName val="적용기준"/>
      <sheetName val="노임대장"/>
      <sheetName val="대치판정"/>
      <sheetName val="자료입력"/>
      <sheetName val="준공시전망_원본"/>
      <sheetName val="PAINT"/>
      <sheetName val="일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fs-e"/>
      <sheetName val="tax1"/>
      <sheetName val="내역서을지"/>
      <sheetName val="방수"/>
      <sheetName val="남양시작동010313100%"/>
      <sheetName val="부하(성남)"/>
      <sheetName val="년도별노임표"/>
      <sheetName val="중기목록표"/>
      <sheetName val="설계조건"/>
      <sheetName val="동력부하계산"/>
      <sheetName val="SPEC"/>
      <sheetName val="회사99"/>
      <sheetName val="CAL."/>
      <sheetName val="상계견적"/>
      <sheetName val="1TL종점(1)"/>
      <sheetName val="내역전기"/>
      <sheetName val="노무산출서"/>
      <sheetName val="설계명세서(종합)"/>
      <sheetName val="소요자재"/>
      <sheetName val="시추주상도"/>
      <sheetName val="미드수량"/>
      <sheetName val="일위_파일"/>
      <sheetName val="단가비교표"/>
      <sheetName val="종현황"/>
      <sheetName val="9509"/>
      <sheetName val="기술조건"/>
      <sheetName val="토공사(흙막이)"/>
      <sheetName val="인력터파기"/>
      <sheetName val="삭제내역1차"/>
      <sheetName val="옥룡잡비"/>
      <sheetName val="공정별금액"/>
      <sheetName val="기초자료"/>
      <sheetName val="형틀공사"/>
      <sheetName val="공사내역서(을)실행"/>
      <sheetName val="부대"/>
      <sheetName val="을_ATYPE"/>
      <sheetName val="관경별내역서"/>
      <sheetName val="현대실행 (실투입최종)"/>
      <sheetName val="기타 정보통신공사"/>
      <sheetName val="MASTER00.7月"/>
      <sheetName val="SUMMARY(S)"/>
      <sheetName val="횡배수관토공수량"/>
      <sheetName val="명세서"/>
      <sheetName val="기성청구내역서"/>
      <sheetName val="도급양식"/>
      <sheetName val="변화치수"/>
      <sheetName val="OCT.FDN"/>
      <sheetName val="DESIGN"/>
      <sheetName val="일위대가목차"/>
      <sheetName val="CC16-내역서"/>
      <sheetName val="측량요율"/>
      <sheetName val="원가"/>
      <sheetName val="단가 "/>
      <sheetName val="옥외부분합"/>
      <sheetName val="b_babun (2)"/>
      <sheetName val="전기공사일위대가"/>
      <sheetName val="유효폭의 계산"/>
      <sheetName val="견"/>
      <sheetName val="계약내역"/>
      <sheetName val="기성내역서"/>
      <sheetName val="단가대비표 (3)"/>
      <sheetName val="계좌번호"/>
      <sheetName val="PI"/>
      <sheetName val="3.하중산정4.지지력"/>
      <sheetName val="Ⅴ-2.공종별내역"/>
      <sheetName val="9-1차이내역"/>
      <sheetName val="PBS"/>
      <sheetName val="기준"/>
      <sheetName val="대공종"/>
      <sheetName val="내역분기"/>
      <sheetName val="LD"/>
      <sheetName val="직접공사비집계표_7"/>
      <sheetName val="공통가설_8"/>
      <sheetName val="기타시설"/>
      <sheetName val="아파트_9"/>
      <sheetName val="주민복지관"/>
      <sheetName val="지하주차장"/>
      <sheetName val="구조물철거타공정이월"/>
      <sheetName val="Macro(전동기)"/>
      <sheetName val="가설공사"/>
      <sheetName val="상승요인분석"/>
      <sheetName val="철거산출근거"/>
      <sheetName val="Assumption"/>
      <sheetName val="Sheet3"/>
      <sheetName val="참조자료"/>
      <sheetName val="수로교총재료집계"/>
      <sheetName val="ASALTOTA"/>
      <sheetName val="단가산출1"/>
      <sheetName val="단가산출2"/>
      <sheetName val="REINF."/>
      <sheetName val="SKETCH"/>
      <sheetName val="LOADS"/>
      <sheetName val="공틀공사"/>
      <sheetName val="완도-군외"/>
      <sheetName val="Condition"/>
      <sheetName val="VXXXXXXX"/>
      <sheetName val="사급자재"/>
      <sheetName val="회로내역(승인)"/>
      <sheetName val="설계예산"/>
      <sheetName val="제품정보"/>
      <sheetName val="산출근거"/>
      <sheetName val="견적조건"/>
      <sheetName val="남양내역"/>
      <sheetName val="전선 및 전선관"/>
      <sheetName val="단가산출"/>
      <sheetName val="일위대가목록"/>
      <sheetName val="횡배수관집현황(2공구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갑지(과세)"/>
      <sheetName val="전기일위대가"/>
      <sheetName val="커튼월(pfg)"/>
      <sheetName val="NYS"/>
      <sheetName val="참조(인건비)"/>
      <sheetName val="PAC"/>
      <sheetName val="종단계산"/>
      <sheetName val="2000.05"/>
      <sheetName val="계수시트"/>
      <sheetName val="유첨3.적용기준"/>
      <sheetName val="예총"/>
      <sheetName val="정보"/>
      <sheetName val="변경하세요"/>
      <sheetName val="NAI"/>
      <sheetName val="104동"/>
      <sheetName val="하도정산"/>
      <sheetName val="#2_일위대가목록"/>
      <sheetName val="铝合金"/>
      <sheetName val="N-001_내역서"/>
      <sheetName val="총괄내역서"/>
      <sheetName val="해외(원화)"/>
      <sheetName val="기안"/>
      <sheetName val="중기사용료산출근거"/>
      <sheetName val="남양주부대"/>
      <sheetName val="파이프류"/>
      <sheetName val="동해title"/>
      <sheetName val="1층LOAD"/>
      <sheetName val="70%"/>
      <sheetName val="부속동"/>
      <sheetName val="자료"/>
      <sheetName val="한일양산"/>
      <sheetName val="기초자료입력"/>
      <sheetName val="요약본"/>
      <sheetName val="도급원가"/>
      <sheetName val="유첨3.적용기㐘"/>
      <sheetName val="도급및 실행내역"/>
      <sheetName val="工程材料"/>
      <sheetName val="작업내역서"/>
      <sheetName val="울산시산표"/>
      <sheetName val="별표2"/>
      <sheetName val="품셈TABLE"/>
      <sheetName val="7.수지"/>
      <sheetName val="지구단위계획"/>
      <sheetName val="안정계산"/>
      <sheetName val="단면검토"/>
      <sheetName val="수량산출(방송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B시설가격"/>
      <sheetName val="교대일반수량총괄집계표"/>
      <sheetName val="전기집계표"/>
      <sheetName val="산출서"/>
      <sheetName val="2008년상반기"/>
      <sheetName val="정부노임(2000.상)"/>
      <sheetName val="이토변실"/>
      <sheetName val="공종목록표"/>
      <sheetName val="참고사항"/>
      <sheetName val="CONCRETE"/>
      <sheetName val="교통대책내역"/>
      <sheetName val="2.토목공사"/>
      <sheetName val="분석항목"/>
      <sheetName val="Summary"/>
      <sheetName val="KCS-CA"/>
      <sheetName val="Proposal"/>
      <sheetName val="순공사비"/>
      <sheetName val="소개"/>
      <sheetName val="대전노은1차_조적_집계표"/>
      <sheetName val="복구일위대가표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출고"/>
      <sheetName val="6공구(당초)"/>
      <sheetName val="산출"/>
      <sheetName val="COPING"/>
      <sheetName val="내역서(음성금왕)"/>
      <sheetName val="36+45-113-18+19+20I"/>
      <sheetName val="5사남"/>
      <sheetName val="b_balju"/>
      <sheetName val="내역총괄표"/>
      <sheetName val="마산방향철근집계"/>
      <sheetName val="진주방향"/>
      <sheetName val="마산방향"/>
      <sheetName val="COVER-P"/>
      <sheetName val="MOKDONG(1)"/>
      <sheetName val="배수내역"/>
      <sheetName val="공사원가내역서"/>
      <sheetName val="제경비산출"/>
      <sheetName val="관급자재"/>
      <sheetName val="전기변내역"/>
      <sheetName val="경영계획1월"/>
      <sheetName val="CAUDIT"/>
      <sheetName val="TRE TABLE"/>
      <sheetName val="부대집계"/>
      <sheetName val="인명별연차내역"/>
      <sheetName val="출입자명단"/>
      <sheetName val="1~6 설계조건...."/>
      <sheetName val="대목"/>
      <sheetName val="SE-611"/>
      <sheetName val="견적의뢰"/>
      <sheetName val="D.B"/>
      <sheetName val="자재표"/>
      <sheetName val="갈현동"/>
      <sheetName val="DATA(BAC)"/>
      <sheetName val="95하U$가격"/>
      <sheetName val="FAB별"/>
      <sheetName val="대비표"/>
      <sheetName val="C1.공사개요"/>
      <sheetName val="A1.스케쥴"/>
      <sheetName val="취합표"/>
      <sheetName val="원가계산"/>
      <sheetName val="내역(토목)"/>
      <sheetName val="BSD_(2)"/>
      <sheetName val="Indirect_Cost"/>
      <sheetName val="남양시작동자105노65기1_3화1_2"/>
      <sheetName val="일위대가_"/>
      <sheetName val="4_2유효폭의_계산"/>
      <sheetName val="준검_내역서"/>
      <sheetName val="기존단가_(2)"/>
      <sheetName val="_냉각수펌프"/>
      <sheetName val="_BM_셈플"/>
      <sheetName val="Sheet1_(2)"/>
      <sheetName val="3_공통공사대비1"/>
      <sheetName val="총괄갑_"/>
      <sheetName val="1.설_x0000__x0000_Ԁ"/>
      <sheetName val="1.설퀀䩦謂"/>
      <sheetName val="1.설퐀Ⲩ렀"/>
      <sheetName val="물가기준년"/>
      <sheetName val="장비기준"/>
      <sheetName val="건축(산출)"/>
      <sheetName val="토목(산출)"/>
      <sheetName val="구분테이블"/>
      <sheetName val="토적표"/>
      <sheetName val="을지(가로-한)"/>
      <sheetName val="견_x0000_h曘"/>
      <sheetName val="견_x0000__x0000__x0005_"/>
      <sheetName val="Flaer_Area"/>
      <sheetName val="OCT_FDN"/>
      <sheetName val="1_취수장"/>
      <sheetName val="3BL공동구_수량"/>
      <sheetName val="BSD__2_"/>
      <sheetName val="전차선로_물량표"/>
      <sheetName val="내___역"/>
      <sheetName val="Internal_Floor"/>
      <sheetName val="기술부_VENDOR_LIST"/>
      <sheetName val="unit_4"/>
      <sheetName val="노원열병합__건축공사기성내역서"/>
      <sheetName val="나_건축"/>
      <sheetName val="Customer_Databas"/>
      <sheetName val="DATA테이블1_(2)"/>
      <sheetName val="실행내역서_"/>
      <sheetName val="표지_(2)"/>
      <sheetName val="내역서_"/>
      <sheetName val="PROJECT_BRIEF(EX_NEW)"/>
      <sheetName val="1_우편집중내역서"/>
      <sheetName val="1995년_섹터별_매출"/>
      <sheetName val="토공(우물통,기타)_"/>
      <sheetName val="아파트_기성내역서"/>
      <sheetName val="Åä°ø(¿ì¹°Åë,±âÅ¸)_"/>
      <sheetName val="¼³»ê1_³ª"/>
      <sheetName val="설산1_나"/>
      <sheetName val="1차_내역서"/>
      <sheetName val="별첨1(공사견적_양식)_(재제출-0713)"/>
      <sheetName val="별첨1(공사견적_양식)"/>
      <sheetName val="공사비비교_(호텔0723-"/>
      <sheetName val="플랜트_설치"/>
      <sheetName val="_견적서"/>
      <sheetName val="원가_(2)"/>
      <sheetName val="b_balju_(2)"/>
      <sheetName val="자__재"/>
      <sheetName val="BSD"/>
      <sheetName val="BSD 1"/>
      <sheetName val="금액집계"/>
      <sheetName val="날개벽"/>
      <sheetName val="Galaxy 소비자가격표"/>
      <sheetName val="수량산출서"/>
      <sheetName val="단가 (2)"/>
      <sheetName val="입력"/>
      <sheetName val="부대대비"/>
      <sheetName val="냉연집계"/>
      <sheetName val="설변물량"/>
      <sheetName val="0217상가미분양자산"/>
      <sheetName val="토목내역"/>
      <sheetName val="Macro1"/>
      <sheetName val="건축내역(교사동)"/>
      <sheetName val="토건"/>
      <sheetName val="입력자료"/>
      <sheetName val="2경간"/>
      <sheetName val="4-10"/>
      <sheetName val="실행분석표"/>
      <sheetName val="BLR_1"/>
      <sheetName val="ITB_COST"/>
      <sheetName val="내역서1999_8최종"/>
      <sheetName val="물량표(신)"/>
      <sheetName val="품목납기"/>
      <sheetName val="설명서 "/>
      <sheetName val="대운산출"/>
      <sheetName val="S1"/>
      <sheetName val="CLAUSE"/>
      <sheetName val="삼성전기"/>
      <sheetName val="음봉방향"/>
      <sheetName val="도"/>
      <sheetName val="견적대비표"/>
      <sheetName val="단가대비"/>
      <sheetName val="견적대비 견적서"/>
      <sheetName val="MAT_N048"/>
      <sheetName val="Maine"/>
      <sheetName val="Calc V1.2"/>
      <sheetName val="Calc V1.2 (2)"/>
      <sheetName val="2002년"/>
      <sheetName val="1.설Ȁ_x0000_쀀"/>
      <sheetName val="1.설吀亘码"/>
      <sheetName val="1.설吀亘䠁"/>
      <sheetName val="감가상각"/>
      <sheetName val="일위대가표(DEEP)"/>
      <sheetName val="목동1절주.bh01"/>
      <sheetName val="발송list(2절)"/>
      <sheetName val="CODE"/>
      <sheetName val="원가계산서_남측_"/>
      <sheetName val="2000년탍䁦"/>
      <sheetName val="저장품"/>
      <sheetName val="날개벽(좌,우=45도,75도)"/>
      <sheetName val="현황"/>
      <sheetName val="설계(안)"/>
      <sheetName val="공사비 내역 (가)"/>
      <sheetName val="BEND LOSS"/>
      <sheetName val="토적계산서"/>
      <sheetName val="돌담교_상부수량"/>
      <sheetName val="97_사업추정(WEKI)"/>
      <sheetName val="조정금액결과표_(차수별)"/>
      <sheetName val="별표_"/>
      <sheetName val="환경기계공정표_(3)"/>
      <sheetName val="crude_SLAB_RE-bar"/>
      <sheetName val="CRUDE_RE-bar"/>
      <sheetName val="현장별계약현황('98_10_31)"/>
      <sheetName val="STEEL_BOX_단면설계(SEC_8)"/>
      <sheetName val="1_설계조건"/>
      <sheetName val="CSA-Rate_Build_Up"/>
      <sheetName val="단면_(2)"/>
      <sheetName val="Eq__Mobilization"/>
      <sheetName val="Chiet_tinh_dz35"/>
      <sheetName val="현대실행_(실투입최종)"/>
      <sheetName val="기타_정보통신공사"/>
      <sheetName val="MASTER00_7月"/>
      <sheetName val="전선_및_전선관"/>
      <sheetName val="CAL_"/>
      <sheetName val="단가_"/>
      <sheetName val="유효폭의_계산"/>
      <sheetName val="단가대비표_(3)"/>
      <sheetName val="b_babun_(2)"/>
      <sheetName val="도급및_실행내역"/>
      <sheetName val="정부노임(2000_상)"/>
      <sheetName val="2000_05"/>
      <sheetName val="유첨3_적용기준"/>
      <sheetName val="3_하중산정4_지지력"/>
      <sheetName val="Ⅴ-2_공종별내역"/>
      <sheetName val="REINF_"/>
      <sheetName val="유첨3_적용기㐘"/>
      <sheetName val="2_토목공사"/>
      <sheetName val="D_B"/>
      <sheetName val="7_수지"/>
      <sheetName val="TRE_TABLE"/>
      <sheetName val="BSD_1"/>
      <sheetName val="Galaxy_소비자가격표"/>
      <sheetName val="단가_(2)"/>
      <sheetName val="파일항타"/>
      <sheetName val="sheet"/>
      <sheetName val="D-3503"/>
      <sheetName val="RENUN"/>
      <sheetName val="aa"/>
      <sheetName val="전열"/>
      <sheetName val="프로젝트"/>
      <sheetName val="C.배수관공"/>
      <sheetName val="마감사양"/>
      <sheetName val="기기리_x0000__x0000_"/>
      <sheetName val="산출내역"/>
      <sheetName val="삭제금지단가"/>
      <sheetName val="DAN"/>
      <sheetName val="Works Cost"/>
      <sheetName val="1,2,3,4,5단위수량"/>
      <sheetName val="8.PILE  (돌출)"/>
      <sheetName val="LGBOM1절_CheckList"/>
      <sheetName val="맨홀수량산출"/>
      <sheetName val="VST재료산출"/>
      <sheetName val="3-3. 실행분석표(개산)"/>
      <sheetName val="견적공통"/>
      <sheetName val="견적을지"/>
      <sheetName val="tank list"/>
      <sheetName val="제수"/>
      <sheetName val="공기"/>
      <sheetName val="점수계산1-2"/>
      <sheetName val="기성현황집계표"/>
      <sheetName val="카메라"/>
      <sheetName val=" 노무비결의서_17년07월.xlsx"/>
      <sheetName val="1승인신청서"/>
      <sheetName val="Project Brief"/>
      <sheetName val="XXXXXXXX"/>
      <sheetName val="북부"/>
      <sheetName val="점검내역서(data) (2)"/>
      <sheetName val="총체보활공정표"/>
      <sheetName val="단중표"/>
      <sheetName val="집계표(4공구)"/>
      <sheetName val="내역서(4공구)"/>
      <sheetName val="시스템운영비(4공구)"/>
      <sheetName val="단가대비표"/>
      <sheetName val="견적결과(1공구)"/>
      <sheetName val="견적결과(2공구)"/>
      <sheetName val="견적결과(3공구)"/>
      <sheetName val="견적결과(4공구)OT"/>
      <sheetName val="견적결과(4공구)APT"/>
      <sheetName val="내역서(4공구)오피스텔"/>
      <sheetName val="집계표(4공구)APT"/>
      <sheetName val="집계표(4공구)OT"/>
      <sheetName val="노임근거"/>
      <sheetName val="집계표(개별)"/>
      <sheetName val="내역서(개별)"/>
      <sheetName val="소액공사비(변경후)"/>
      <sheetName val="실행"/>
      <sheetName val="직급실적"/>
      <sheetName val="참조M"/>
      <sheetName val="장비(냉동기)"/>
      <sheetName val="공사비산출서"/>
      <sheetName val="01"/>
      <sheetName val=""/>
      <sheetName val="2000년1޸"/>
      <sheetName val="2000년1䘭"/>
      <sheetName val="2000년1扈"/>
      <sheetName val="basic_info"/>
      <sheetName val="업체명"/>
      <sheetName val="관리"/>
      <sheetName val="소유권관련비"/>
      <sheetName val="98수문일위"/>
      <sheetName val="평야부단가"/>
      <sheetName val="배수집"/>
      <sheetName val="총투입계"/>
      <sheetName val="포장물량집계"/>
      <sheetName val="도(내)"/>
      <sheetName val="1"/>
      <sheetName val="12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4"/>
      <sheetName val="5"/>
      <sheetName val="제경비율"/>
      <sheetName val="설계예산서"/>
      <sheetName val="공통가설공사"/>
      <sheetName val="2000전체"/>
      <sheetName val="기흥하도용"/>
      <sheetName val="안전장치"/>
      <sheetName val="부대공수량산출"/>
      <sheetName val="T13(P68~72,78)"/>
      <sheetName val="주식"/>
      <sheetName val="A(Rev.3)"/>
      <sheetName val="TOTAL "/>
      <sheetName val="5.소재"/>
      <sheetName val="98지급계획"/>
      <sheetName val="2000ｙV̠"/>
      <sheetName val="일위CODE"/>
      <sheetName val="6동"/>
      <sheetName val="지급자재조서"/>
      <sheetName val="1.설"/>
      <sheetName val="12호기내역서(건축분)"/>
      <sheetName val="문10"/>
      <sheetName val="99년신청"/>
      <sheetName val="기둥(원형䫈"/>
      <sheetName val="기둥(원형랸"/>
      <sheetName val="기둥(원형ᰐ"/>
      <sheetName val="기초데이타"/>
      <sheetName val="SOURC퇀"/>
      <sheetName val="리 스 트"/>
      <sheetName val="업무분장 "/>
      <sheetName val="터널조도"/>
      <sheetName val="NPC500"/>
      <sheetName val="몰운대초견적"/>
      <sheetName val="1.설Ȁ"/>
      <sheetName val="B2 다목적홀 화장실  계단실 9"/>
      <sheetName val="셔틀 B2~B8"/>
      <sheetName val="5층 변경계약내역서"/>
      <sheetName val="7층 변경계약내역서"/>
      <sheetName val="현장별계약현황('98.10悾⪒_x0000__x0000_"/>
      <sheetName val="경량"/>
      <sheetName val="내역서2안"/>
      <sheetName val="KLH爋"/>
      <sheetName val="44"/>
      <sheetName val="b_balju-단가단가단가"/>
      <sheetName val="분전함신설"/>
      <sheetName val="접지1종"/>
      <sheetName val="잡비"/>
      <sheetName val="4BL ,ELEV.HALL 통합로비 연결층 걸레받이 재시"/>
      <sheetName val="107동 통합로비"/>
      <sheetName val="목동세대 산출근거"/>
      <sheetName val="APT"/>
      <sheetName val="__Bomb_project_2PROJECT_PLANT_2"/>
      <sheetName val="비목코드"/>
      <sheetName val="단가목록"/>
      <sheetName val="resp"/>
      <sheetName val="토목 (2)"/>
      <sheetName val="부하"/>
      <sheetName val="Sheet14"/>
      <sheetName val="Sheet13"/>
      <sheetName val="변전실재분리"/>
      <sheetName val="TOWER 12TON"/>
      <sheetName val="TOWER 10TON"/>
      <sheetName val="김해식"/>
      <sheetName val="추가예산"/>
      <sheetName val="경영혁신본부"/>
      <sheetName val="Mc1"/>
      <sheetName val="교_xdfc0_魚"/>
      <sheetName val="교_x0000__x0000_"/>
      <sheetName val="교헾⼓"/>
      <sheetName val="예산내역서"/>
      <sheetName val="BSD_(2)1"/>
      <sheetName val="1_우편집중내역서1"/>
      <sheetName val="토공(우물통,기타)_1"/>
      <sheetName val="설산1_나1"/>
      <sheetName val="표지_(2)1"/>
      <sheetName val="Åä°ø(¿ì¹°Åë,±âÅ¸)_1"/>
      <sheetName val="¼³»ê1_³ª1"/>
      <sheetName val="아파트_기성내역서1"/>
      <sheetName val="ITB_COST1"/>
      <sheetName val="Indirect_Cost1"/>
      <sheetName val="4_2유효폭의_계산1"/>
      <sheetName val="남양시작동자105노65기1_3화1_21"/>
      <sheetName val="준검_내역서1"/>
      <sheetName val="BSD__2_1"/>
      <sheetName val="BLR_11"/>
      <sheetName val="내역서1999_8최종1"/>
      <sheetName val="Works_Cost"/>
      <sheetName val="Calc_V1_2"/>
      <sheetName val="Calc_V1_2_(2)"/>
      <sheetName val="설명서_"/>
      <sheetName val="tank_list"/>
      <sheetName val="견적대비_견적서"/>
      <sheetName val="_노무비결의서_17년07월_xlsx"/>
      <sheetName val="목동1절주_bh01"/>
      <sheetName val="통신물량"/>
      <sheetName val="견적집계표"/>
      <sheetName val="목표세부명세"/>
      <sheetName val="광혁기성"/>
      <sheetName val="base"/>
      <sheetName val="빙설"/>
      <sheetName val="첨부1-1"/>
      <sheetName val="마산월령동골조물량변경"/>
      <sheetName val="연령현황"/>
      <sheetName val="MAIN_TABLE"/>
      <sheetName val="건축비목군분류"/>
      <sheetName val="기성내역"/>
      <sheetName val="화재 탐지 설비"/>
      <sheetName val="점공통경비배부"/>
      <sheetName val="특별교실"/>
      <sheetName val="약품공급2"/>
      <sheetName val="L-type"/>
      <sheetName val="토공사"/>
      <sheetName val="(C)원내역"/>
      <sheetName val="자재죖"/>
      <sheetName val="자재룖"/>
      <sheetName val="자재Ⴠ"/>
      <sheetName val="점검내역서(data)_(2)"/>
      <sheetName val="결_x0000__x0000__x0005_"/>
      <sheetName val="04.01"/>
      <sheetName val="원형1호맨홀토공수량"/>
      <sheetName val="유첨3.적용기槜"/>
      <sheetName val="복구경비"/>
      <sheetName val="버팀목"/>
      <sheetName val="중기조종사 단위단가"/>
      <sheetName val="지점장"/>
      <sheetName val="부대공수량"/>
      <sheetName val="__Bomb_project_2PROJECT_PLANT_3"/>
      <sheetName val="__Bomb_project_2PROJECT_PLANT_4"/>
      <sheetName val="SUM-CTI.XLS"/>
      <sheetName val="조정금액결과표 ꗝ1푘ᛐ_x0000_"/>
      <sheetName val="조정금액결과표 Ȍ_x0000_釈ɡꗝ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inter"/>
      <sheetName val="적용노임(09상)"/>
      <sheetName val="2F 회의실견적(5_14 일대)"/>
      <sheetName val="달력"/>
      <sheetName val="품셈"/>
      <sheetName val="보증금(전신전화가입권)"/>
      <sheetName val="??(??)"/>
      <sheetName val="Element"/>
      <sheetName val="설계명세서"/>
      <sheetName val="단"/>
      <sheetName val="AV시스템"/>
      <sheetName val="참_x0000_"/>
      <sheetName val="co-no.2"/>
      <sheetName val="정렬"/>
      <sheetName val="MOTOR"/>
      <sheetName val="U-TYPE(1)"/>
      <sheetName val="2-1. 경관조명 내역총괄표"/>
      <sheetName val="9_x0000__x0000__x0000_"/>
      <sheetName val="1공구을지"/>
      <sheetName val="분당임堑Ä_x0000_"/>
      <sheetName val="TB(BS)"/>
      <sheetName val="TB(PL)"/>
      <sheetName val="공사비총괄표"/>
      <sheetName val="단가표 "/>
      <sheetName val="작성기준"/>
      <sheetName val="하수실행"/>
      <sheetName val="공사설계서"/>
      <sheetName val="CAP_x0000__x0000_"/>
      <sheetName val="1_취수장1"/>
      <sheetName val="기존단가_(2)1"/>
      <sheetName val="3_공통공사대비2"/>
      <sheetName val="Sheet1_(2)1"/>
      <sheetName val="3BL공동구_수량1"/>
      <sheetName val="전차선로_물량표1"/>
      <sheetName val="_BM_셈플1"/>
      <sheetName val="내___역1"/>
      <sheetName val="일위대가_1"/>
      <sheetName val="_냉각수펌프1"/>
      <sheetName val="Internal_Floor1"/>
      <sheetName val="총괄갑_1"/>
      <sheetName val="기술부_VENDOR_LIST1"/>
      <sheetName val="unit_41"/>
      <sheetName val="노원열병합__건축공사기성내역서1"/>
      <sheetName val="나_건축1"/>
      <sheetName val="Customer_Databas1"/>
      <sheetName val="자__재1"/>
      <sheetName val="별첨1(공사견적_양식)_(재제출-0713)1"/>
      <sheetName val="별첨1(공사견적_양식)1"/>
      <sheetName val="공사비비교_(호텔0723-1"/>
      <sheetName val="b_balju_(2)1"/>
      <sheetName val="DATA테이블1_(2)1"/>
      <sheetName val="실행내역서_1"/>
      <sheetName val="내역서_1"/>
      <sheetName val="PROJECT_BRIEF(EX_NEW)1"/>
      <sheetName val="1995년_섹터별_매출1"/>
      <sheetName val="1차_내역서1"/>
      <sheetName val="crude_SLAB_RE-bar1"/>
      <sheetName val="CRUDE_RE-bar1"/>
      <sheetName val="환경기계공정표_(3)1"/>
      <sheetName val="현대실행_(실투입최종)1"/>
      <sheetName val="기타_정보통신공사1"/>
      <sheetName val="STEEL_BOX_단면설계(SEC_8)1"/>
      <sheetName val="플랜트_설치1"/>
      <sheetName val="OCT_FDN1"/>
      <sheetName val="_견적서1"/>
      <sheetName val="돌담교_상부수량1"/>
      <sheetName val="97_사업추정(WEKI)1"/>
      <sheetName val="조정금액결과표_(차수별)1"/>
      <sheetName val="별표_1"/>
      <sheetName val="단면_(2)1"/>
      <sheetName val="Chiet_tinh_dz351"/>
      <sheetName val="CAL_1"/>
      <sheetName val="1_설계조건1"/>
      <sheetName val="CSA-Rate_Build_Up1"/>
      <sheetName val="Eq__Mobilization1"/>
      <sheetName val="단가_1"/>
      <sheetName val="원가_(2)1"/>
      <sheetName val="유효폭의_계산1"/>
      <sheetName val="b_babun_(2)1"/>
      <sheetName val="현장별계약현황('98_10_31)1"/>
      <sheetName val="MASTER00_7月1"/>
      <sheetName val="단가대비표_(3)1"/>
      <sheetName val="전선_및_전선관1"/>
      <sheetName val="Flaer_Area1"/>
      <sheetName val="도급및_실행내역1"/>
      <sheetName val="정부노임(2000_상)1"/>
      <sheetName val="3_하중산정4_지지력1"/>
      <sheetName val="Ⅴ-2_공종별내역1"/>
      <sheetName val="REINF_1"/>
      <sheetName val="2000_051"/>
      <sheetName val="유첨3_적용기준1"/>
      <sheetName val="유첨3_적용기㐘1"/>
      <sheetName val="2_토목공사1"/>
      <sheetName val="7_수지1"/>
      <sheetName val="1~6_설계조건____"/>
      <sheetName val="TRE_TABLE1"/>
      <sheetName val="BSD_11"/>
      <sheetName val="Galaxy_소비자가격표1"/>
      <sheetName val="단가_(2)1"/>
      <sheetName val="1_설Ԁ"/>
      <sheetName val="1_설퀀䩦謂"/>
      <sheetName val="1_설퐀Ⲩ렀"/>
      <sheetName val="D_B1"/>
      <sheetName val="1_설Ȁ쀀"/>
      <sheetName val="1_설吀亘码"/>
      <sheetName val="1_설吀亘䠁"/>
      <sheetName val="C1_공사개요"/>
      <sheetName val="A1_스케쥴"/>
      <sheetName val="공사비_내역_(가)"/>
      <sheetName val="BEND_LOSS"/>
      <sheetName val="8_PILE__(돌출)"/>
      <sheetName val="3-3__실행분석표(개산)"/>
      <sheetName val="C_배수관공"/>
      <sheetName val="Project_Brief"/>
      <sheetName val="화산경계"/>
      <sheetName val="투찰가"/>
      <sheetName val="일위대가표 (2)"/>
      <sheetName val="1_설"/>
      <sheetName val="1_설Ȁ"/>
      <sheetName val="세부내역서(전기)"/>
      <sheetName val="교?魚"/>
      <sheetName val="기계설비-내역서"/>
      <sheetName val="관람석제출"/>
      <sheetName val="단면치수"/>
      <sheetName val="카니발(자105노60)"/>
      <sheetName val="강재창호(작업중)"/>
      <sheetName val="강재창호(변경후작업중)"/>
      <sheetName val="WEON"/>
      <sheetName val="금호"/>
      <sheetName val="산정기준"/>
      <sheetName val="인제내역"/>
      <sheetName val="영동(D)"/>
      <sheetName val="합천내역"/>
      <sheetName val="5차설계"/>
      <sheetName val="신천3호용수로"/>
      <sheetName val="36신설수량"/>
      <sheetName val="첨"/>
      <sheetName val="20_10_100"/>
      <sheetName val="발생집계"/>
      <sheetName val="SULKEA"/>
      <sheetName val="연못방수쉬트"/>
      <sheetName val="대구은행"/>
      <sheetName val="99입장목표"/>
      <sheetName val="O＆P"/>
      <sheetName val="확산동"/>
      <sheetName val="B"/>
      <sheetName val="1-6(반품내역)"/>
      <sheetName val="사출실적(ERP)_DATA"/>
      <sheetName val="원재료 출고실적(품목번호별)"/>
      <sheetName val="원부재료1"/>
      <sheetName val="4차원가계산서"/>
      <sheetName val="table(삭제금지)"/>
      <sheetName val="2.냉난방설비공사"/>
      <sheetName val="Eq. Mobiliz_x0000__x0000__x0005__x0000_꺠"/>
      <sheetName val="Key Data"/>
      <sheetName val="주요자재단가"/>
      <sheetName val="토목내역서집계"/>
      <sheetName val="공통비총괄표"/>
      <sheetName val="부대공주요자재집계표"/>
      <sheetName val="2000년 공정표"/>
      <sheetName val="교�魚"/>
      <sheetName val="조정금액결과표 Ȍ"/>
      <sheetName val="여과지동"/>
      <sheetName val="형틀물량집계(내역별)"/>
      <sheetName val="형틀물량집계(부재별)"/>
      <sheetName val="배수"/>
      <sheetName val="변수"/>
      <sheetName val="dV&amp;Cl"/>
      <sheetName val="R"/>
      <sheetName val="CODE(2)"/>
      <sheetName val="XREF"/>
      <sheetName val="기초입력 DATA"/>
      <sheetName val="기준 LIST"/>
      <sheetName val="매립"/>
      <sheetName val="물량산출근거"/>
      <sheetName val="POL6차-PIPING"/>
      <sheetName val="배관"/>
      <sheetName val="도급예산내역서봉투"/>
      <sheetName val="설계산출표지"/>
      <sheetName val="도급예산내역서총괄표"/>
      <sheetName val="을부담운반비"/>
      <sheetName val="운반비산출"/>
      <sheetName val="98년BS"/>
      <sheetName val="잉여금"/>
      <sheetName val="기본데이타입력"/>
      <sheetName val="3.경비"/>
      <sheetName val="1.급료"/>
      <sheetName val="WPL"/>
      <sheetName val="구매차입"/>
      <sheetName val="PAY"/>
      <sheetName val="ITEM_QTY"/>
      <sheetName val="전등설비"/>
      <sheetName val="제작운반"/>
      <sheetName val="제작운반변경"/>
      <sheetName val="원가계산서(남측)"/>
      <sheetName val="장비 (2)"/>
      <sheetName val="__SKEC_EB_EB_1_2PROJECT_PLANT_2"/>
      <sheetName val="A0N"/>
      <sheetName val="예정(3)"/>
      <sheetName val="FC-01"/>
      <sheetName val="FC-06"/>
      <sheetName val="상불"/>
      <sheetName val="잡철단가대비"/>
      <sheetName val="특수선일위대가"/>
      <sheetName val="목공사품의서"/>
      <sheetName val="배수통관(좌)"/>
      <sheetName val="G2설비도급"/>
      <sheetName val="Architecture Work"/>
      <sheetName val="Main Gate House"/>
      <sheetName val="도체종-상수표"/>
      <sheetName val="MATRLDATA"/>
      <sheetName val="Staffing Plan"/>
      <sheetName val="Staffing_Plan"/>
      <sheetName val="ENFOCADO INT. VERT."/>
      <sheetName val="Ref. nº 14 presup."/>
      <sheetName val="DW9911301"/>
      <sheetName val="내력서"/>
      <sheetName val="6PILE  (돌출)"/>
      <sheetName val="인력자료"/>
      <sheetName val="배수내역 (2)"/>
      <sheetName val="적용노임"/>
      <sheetName val="일반자재"/>
      <sheetName val="테이블"/>
      <sheetName val="5.경상직원"/>
      <sheetName val="BSD_(2)2"/>
      <sheetName val="Indirect_Cost2"/>
      <sheetName val="4_2유효폭의_계산2"/>
      <sheetName val="남양시작동자105노65기1_3화1_22"/>
      <sheetName val="준검_내역서2"/>
      <sheetName val="내___역2"/>
      <sheetName val="기존단가_(2)2"/>
      <sheetName val="Sheet1_(2)2"/>
      <sheetName val="3_공통공사대비3"/>
      <sheetName val="일위대가_2"/>
      <sheetName val="_냉각수펌프2"/>
      <sheetName val="_BM_셈플2"/>
      <sheetName val="총괄갑_2"/>
      <sheetName val="기술부_VENDOR_LIST2"/>
      <sheetName val="나_건축2"/>
      <sheetName val="1_취수장2"/>
      <sheetName val="3BL공동구_수량2"/>
      <sheetName val="전차선로_물량표2"/>
      <sheetName val="BSD__2_2"/>
      <sheetName val="unit_42"/>
      <sheetName val="b_balju_(2)2"/>
      <sheetName val="Internal_Floor2"/>
      <sheetName val="자__재2"/>
      <sheetName val="Customer_Databas2"/>
      <sheetName val="DATA테이블1_(2)2"/>
      <sheetName val="노원열병합__건축공사기성내역서2"/>
      <sheetName val="실행내역서_2"/>
      <sheetName val="표지_(2)2"/>
      <sheetName val="내역서_2"/>
      <sheetName val="PROJECT_BRIEF(EX_NEW)2"/>
      <sheetName val="1_우편집중내역서2"/>
      <sheetName val="1995년_섹터별_매출2"/>
      <sheetName val="토공(우물통,기타)_2"/>
      <sheetName val="아파트_기성내역서2"/>
      <sheetName val="Åä°ø(¿ì¹°Åë,±âÅ¸)_2"/>
      <sheetName val="¼³»ê1_³ª2"/>
      <sheetName val="설산1_나2"/>
      <sheetName val="환경기계공정표_(3)2"/>
      <sheetName val="STEEL_BOX_단면설계(SEC_8)2"/>
      <sheetName val="ITB_COST2"/>
      <sheetName val="BLR_12"/>
      <sheetName val="내역서1999_8최종2"/>
      <sheetName val="돌담교_상부수량2"/>
      <sheetName val="1차_내역서2"/>
      <sheetName val="97_사업추정(WEKI)2"/>
      <sheetName val="1_설계조건2"/>
      <sheetName val="CSA-Rate_Build_Up2"/>
      <sheetName val="단면_(2)2"/>
      <sheetName val="Eq__Mobilization2"/>
      <sheetName val="Chiet_tinh_dz352"/>
      <sheetName val="_견적서2"/>
      <sheetName val="별첨1(공사견적_양식)_(재제출-0713)2"/>
      <sheetName val="별첨1(공사견적_양식)2"/>
      <sheetName val="공사비비교_(호텔0723-2"/>
      <sheetName val="플랜트_설치2"/>
      <sheetName val="조정금액결과표_(차수별)2"/>
      <sheetName val="별표_2"/>
      <sheetName val="OCT_FDN2"/>
      <sheetName val="crude_SLAB_RE-bar2"/>
      <sheetName val="CRUDE_RE-bar2"/>
      <sheetName val="원가_(2)2"/>
      <sheetName val="현장별계약현황('98_10_31)2"/>
      <sheetName val="CAL_2"/>
      <sheetName val="현대실행_(실투입최종)2"/>
      <sheetName val="기타_정보통신공사2"/>
      <sheetName val="MASTER00_7月2"/>
      <sheetName val="b_babun_(2)2"/>
      <sheetName val="전선_및_전선관2"/>
      <sheetName val="2000_052"/>
      <sheetName val="단가_2"/>
      <sheetName val="유첨3_적용기준2"/>
      <sheetName val="유효폭의_계산2"/>
      <sheetName val="단가대비표_(3)2"/>
      <sheetName val="공사비_내역_(가)1"/>
      <sheetName val="7_수지2"/>
      <sheetName val="Flaer_Area2"/>
      <sheetName val="정부노임(2000_상)2"/>
      <sheetName val="유첨3_적용기㐘2"/>
      <sheetName val="도급및_실행내역2"/>
      <sheetName val="3_하중산정4_지지력2"/>
      <sheetName val="Ⅴ-2_공종별내역2"/>
      <sheetName val="REINF_2"/>
      <sheetName val="2_토목공사2"/>
      <sheetName val="1~6_설계조건____1"/>
      <sheetName val="D_B2"/>
      <sheetName val="Calc_V1_21"/>
      <sheetName val="Calc_V1_2_(2)1"/>
      <sheetName val="목동1절주_bh011"/>
      <sheetName val="설명서_1"/>
      <sheetName val="Works_Cost1"/>
      <sheetName val="견적대비_견적서1"/>
      <sheetName val="TRE_TABLE2"/>
      <sheetName val="1_설퀀䩦謂1"/>
      <sheetName val="1_설퐀Ⲩ렀1"/>
      <sheetName val="BSD_12"/>
      <sheetName val="Galaxy_소비자가격표2"/>
      <sheetName val="단가_(2)2"/>
      <sheetName val="1_설吀亘码1"/>
      <sheetName val="1_설吀亘䠁1"/>
      <sheetName val="BEND_LOSS1"/>
      <sheetName val="C1_공사개요1"/>
      <sheetName val="A1_스케쥴1"/>
      <sheetName val="현장별계약현황('98_10悾⪒"/>
      <sheetName val="C_배수관공1"/>
      <sheetName val="3-3__실행분석표(개산)1"/>
      <sheetName val="tank_list1"/>
      <sheetName val="B2_다목적홀_화장실__계단실_9"/>
      <sheetName val="셔틀_B2~B8"/>
      <sheetName val="5층_변경계약내역서"/>
      <sheetName val="7층_변경계약내역서"/>
      <sheetName val="_노무비결의서_17년07월_xlsx1"/>
      <sheetName val="Project_Brief1"/>
      <sheetName val="점검내역서(data)_(2)1"/>
      <sheetName val="1_설1"/>
      <sheetName val="1_설Ȁ1"/>
      <sheetName val="8_PILE__(돌출)1"/>
      <sheetName val="A(Rev_3)"/>
      <sheetName val="TOTAL_"/>
      <sheetName val="2F_회의실견적(5_14_일대)"/>
      <sheetName val="4BL_,ELEV_HALL_통합로비_연결층_걸레받이_재시"/>
      <sheetName val="107동_통합로비"/>
      <sheetName val="목동세대_산출근거"/>
      <sheetName val="5_경상직원"/>
      <sheetName val="리_스_트"/>
      <sheetName val="토목_(2)"/>
      <sheetName val="Key_Data"/>
      <sheetName val="기본가정"/>
      <sheetName val="위치조서"/>
      <sheetName val="사업총괄"/>
      <sheetName val="DA"/>
      <sheetName val="사  업  비  수  지  예  산  서"/>
      <sheetName val="중기비"/>
      <sheetName val="FUSE_MCB"/>
      <sheetName val="대창(장성)"/>
      <sheetName val="대창(함평)-창열"/>
      <sheetName val="사용자정의"/>
      <sheetName val="제품표준규격"/>
      <sheetName val="기준FACTOR"/>
      <sheetName val="페이지전경"/>
      <sheetName val="1페이지보고"/>
      <sheetName val="이름표"/>
      <sheetName val="5-1.본관동건축(전체집계표포함)"/>
      <sheetName val="5-3.음수대"/>
      <sheetName val="도급"/>
      <sheetName val="①매출"/>
      <sheetName val="05"/>
      <sheetName val="급여data"/>
      <sheetName val="흙쌓기도수로설치현황"/>
      <sheetName val="수목데이타"/>
      <sheetName val="회사정보"/>
      <sheetName val="단가결정"/>
      <sheetName val="견_x005f_x0000_h曘"/>
      <sheetName val="견_x005f_x0000__x005f_x0000__x005f_x0005_"/>
      <sheetName val="1.설_x005f_x0000__x005f_x0000_Ԁ"/>
      <sheetName val="1.설Ȁ_x005f_x0000_쀀"/>
      <sheetName val="기기리_x005f_x0000__x005f_x0000_"/>
      <sheetName val="교_x005f_xdfc0_魚"/>
      <sheetName val="교_x005f_x0000__x005f_x0000_"/>
      <sheetName val="코드관리"/>
      <sheetName val="Spool Index"/>
      <sheetName val="간접비 총괄표"/>
      <sheetName val="BSD_(2)5"/>
      <sheetName val="Indirect_Cost5"/>
      <sheetName val="남양시작동자105노65기1_3화1_25"/>
      <sheetName val="일위대가_5"/>
      <sheetName val="4_2유효폭의_계산5"/>
      <sheetName val="준검_내역서5"/>
      <sheetName val="기존단가_(2)5"/>
      <sheetName val="_냉각수펌프5"/>
      <sheetName val="_BM_셈플5"/>
      <sheetName val="Sheet1_(2)5"/>
      <sheetName val="3_공통공사대비6"/>
      <sheetName val="총괄갑_5"/>
      <sheetName val="1_취수장5"/>
      <sheetName val="내___역5"/>
      <sheetName val="기술부_VENDOR_LIST5"/>
      <sheetName val="3BL공동구_수량5"/>
      <sheetName val="BSD__2_5"/>
      <sheetName val="전차선로_물량표5"/>
      <sheetName val="Customer_Databas5"/>
      <sheetName val="unit_45"/>
      <sheetName val="Internal_Floor5"/>
      <sheetName val="노원열병합__건축공사기성내역서5"/>
      <sheetName val="DATA테이블1_(2)5"/>
      <sheetName val="나_건축5"/>
      <sheetName val="실행내역서_5"/>
      <sheetName val="표지_(2)5"/>
      <sheetName val="내역서_5"/>
      <sheetName val="PROJECT_BRIEF(EX_NEW)5"/>
      <sheetName val="1_우편집중내역서5"/>
      <sheetName val="1995년_섹터별_매출5"/>
      <sheetName val="토공(우물통,기타)_5"/>
      <sheetName val="아파트_기성내역서5"/>
      <sheetName val="Åä°ø(¿ì¹°Åë,±âÅ¸)_5"/>
      <sheetName val="¼³»ê1_³ª5"/>
      <sheetName val="설산1_나5"/>
      <sheetName val="1차_내역서5"/>
      <sheetName val="_견적서5"/>
      <sheetName val="별첨1(공사견적_양식)_(재제출-0713)5"/>
      <sheetName val="별첨1(공사견적_양식)5"/>
      <sheetName val="공사비비교_(호텔0723-5"/>
      <sheetName val="플랜트_설치5"/>
      <sheetName val="원가_(2)5"/>
      <sheetName val="돌담교_상부수량5"/>
      <sheetName val="BLR_15"/>
      <sheetName val="ITB_COST5"/>
      <sheetName val="내역서1999_8최종5"/>
      <sheetName val="97_사업추정(WEKI)5"/>
      <sheetName val="조정금액결과표_(차수별)5"/>
      <sheetName val="별표_5"/>
      <sheetName val="자__재5"/>
      <sheetName val="b_balju_(2)5"/>
      <sheetName val="환경기계공정표_(3)5"/>
      <sheetName val="crude_SLAB_RE-bar5"/>
      <sheetName val="CRUDE_RE-bar5"/>
      <sheetName val="현장별계약현황('98_10_31)5"/>
      <sheetName val="STEEL_BOX_단면설계(SEC_8)5"/>
      <sheetName val="1_설계조건5"/>
      <sheetName val="CSA-Rate_Build_Up5"/>
      <sheetName val="단면_(2)5"/>
      <sheetName val="Eq__Mobilization5"/>
      <sheetName val="Chiet_tinh_dz355"/>
      <sheetName val="CAL_5"/>
      <sheetName val="OCT_FDN5"/>
      <sheetName val="현대실행_(실투입최종)5"/>
      <sheetName val="기타_정보통신공사5"/>
      <sheetName val="단가_5"/>
      <sheetName val="MASTER00_7月5"/>
      <sheetName val="전선_및_전선관5"/>
      <sheetName val="단가대비표_(3)5"/>
      <sheetName val="Flaer_Area5"/>
      <sheetName val="7_수지5"/>
      <sheetName val="b_babun_(2)5"/>
      <sheetName val="2000_055"/>
      <sheetName val="유첨3_적용기준5"/>
      <sheetName val="유효폭의_계산5"/>
      <sheetName val="유첨3_적용기㐘5"/>
      <sheetName val="3_하중산정4_지지력5"/>
      <sheetName val="Ⅴ-2_공종별내역5"/>
      <sheetName val="REINF_5"/>
      <sheetName val="도급및_실행내역5"/>
      <sheetName val="정부노임(2000_상)5"/>
      <sheetName val="2_토목공사5"/>
      <sheetName val="TRE_TABLE5"/>
      <sheetName val="1~6_설계조건____4"/>
      <sheetName val="BSD_15"/>
      <sheetName val="Galaxy_소비자가격표5"/>
      <sheetName val="단가_(2)5"/>
      <sheetName val="D_B5"/>
      <sheetName val="설명서_4"/>
      <sheetName val="견적대비_견적서4"/>
      <sheetName val="Calc_V1_24"/>
      <sheetName val="Calc_V1_2_(2)4"/>
      <sheetName val="1_설퀀䩦謂4"/>
      <sheetName val="1_설퐀Ⲩ렀4"/>
      <sheetName val="1_설吀亘码4"/>
      <sheetName val="1_설吀亘䠁4"/>
      <sheetName val="C1_공사개요4"/>
      <sheetName val="A1_스케쥴4"/>
      <sheetName val="목동1절주_bh014"/>
      <sheetName val="Works_Cost4"/>
      <sheetName val="3-3__실행분석표(개산)4"/>
      <sheetName val="공사비_내역_(가)4"/>
      <sheetName val="BEND_LOSS4"/>
      <sheetName val="tank_list4"/>
      <sheetName val="8_PILE__(돌출)4"/>
      <sheetName val="C_배수관공4"/>
      <sheetName val="B2_다목적홀_화장실__계단실_93"/>
      <sheetName val="셔틀_B2~B83"/>
      <sheetName val="5층_변경계약내역서3"/>
      <sheetName val="7층_변경계약내역서3"/>
      <sheetName val="1_설4"/>
      <sheetName val="1_설Ȁ4"/>
      <sheetName val="Project_Brief4"/>
      <sheetName val="점검내역서(data)_(2)4"/>
      <sheetName val="_노무비결의서_17년07월_xlsx4"/>
      <sheetName val="A(Rev_3)3"/>
      <sheetName val="TOTAL_3"/>
      <sheetName val="리_스_트3"/>
      <sheetName val="4BL_,ELEV_HALL_통합로비_연결층_걸레받이_재3"/>
      <sheetName val="107동_통합로비3"/>
      <sheetName val="목동세대_산출근거3"/>
      <sheetName val="2F_회의실견적(5_14_일대)3"/>
      <sheetName val="토목_(2)3"/>
      <sheetName val="TOWER_12TON2"/>
      <sheetName val="TOWER_10TON2"/>
      <sheetName val="5_소재2"/>
      <sheetName val="유첨3_적용기槜2"/>
      <sheetName val="업무분장_2"/>
      <sheetName val="조정금액결과표_ꗝ1푘ᛐ"/>
      <sheetName val="조정금액결과표_Ȍ釈ɡꗝ"/>
      <sheetName val="Form_A_1_III2"/>
      <sheetName val="Form_A_12"/>
      <sheetName val="Form_A_1_12"/>
      <sheetName val="BOM_Indirect2"/>
      <sheetName val="Form_A_1_II_12"/>
      <sheetName val="Form_A_1_II_22"/>
      <sheetName val="Rekap-Base_Price2"/>
      <sheetName val="SUM-CTI_XLS2"/>
      <sheetName val="중기조종사_단위단가2"/>
      <sheetName val="Key_Data3"/>
      <sheetName val="5_경상직원3"/>
      <sheetName val="일위대가표_(2)2"/>
      <sheetName val="장비_(2)2"/>
      <sheetName val="BSD_(2)3"/>
      <sheetName val="Indirect_Cost3"/>
      <sheetName val="남양시작동자105노65기1_3화1_23"/>
      <sheetName val="일위대가_3"/>
      <sheetName val="4_2유효폭의_계산3"/>
      <sheetName val="준검_내역서3"/>
      <sheetName val="기존단가_(2)3"/>
      <sheetName val="_냉각수펌프3"/>
      <sheetName val="_BM_셈플3"/>
      <sheetName val="Sheet1_(2)3"/>
      <sheetName val="3_공통공사대비4"/>
      <sheetName val="총괄갑_3"/>
      <sheetName val="1_취수장3"/>
      <sheetName val="내___역3"/>
      <sheetName val="기술부_VENDOR_LIST3"/>
      <sheetName val="3BL공동구_수량3"/>
      <sheetName val="BSD__2_3"/>
      <sheetName val="전차선로_물량표3"/>
      <sheetName val="Customer_Databas3"/>
      <sheetName val="unit_43"/>
      <sheetName val="Internal_Floor3"/>
      <sheetName val="노원열병합__건축공사기성내역서3"/>
      <sheetName val="DATA테이블1_(2)3"/>
      <sheetName val="나_건축3"/>
      <sheetName val="실행내역서_3"/>
      <sheetName val="표지_(2)3"/>
      <sheetName val="내역서_3"/>
      <sheetName val="PROJECT_BRIEF(EX_NEW)3"/>
      <sheetName val="1_우편집중내역서3"/>
      <sheetName val="1995년_섹터별_매출3"/>
      <sheetName val="토공(우물통,기타)_3"/>
      <sheetName val="아파트_기성내역서3"/>
      <sheetName val="Åä°ø(¿ì¹°Åë,±âÅ¸)_3"/>
      <sheetName val="¼³»ê1_³ª3"/>
      <sheetName val="설산1_나3"/>
      <sheetName val="1차_내역서3"/>
      <sheetName val="_견적서3"/>
      <sheetName val="별첨1(공사견적_양식)_(재제출-0713)3"/>
      <sheetName val="별첨1(공사견적_양식)3"/>
      <sheetName val="공사비비교_(호텔0723-3"/>
      <sheetName val="플랜트_설치3"/>
      <sheetName val="원가_(2)3"/>
      <sheetName val="돌담교_상부수량3"/>
      <sheetName val="BLR_13"/>
      <sheetName val="ITB_COST3"/>
      <sheetName val="내역서1999_8최종3"/>
      <sheetName val="97_사업추정(WEKI)3"/>
      <sheetName val="조정금액결과표_(차수별)3"/>
      <sheetName val="별표_3"/>
      <sheetName val="자__재3"/>
      <sheetName val="b_balju_(2)3"/>
      <sheetName val="환경기계공정표_(3)3"/>
      <sheetName val="crude_SLAB_RE-bar3"/>
      <sheetName val="CRUDE_RE-bar3"/>
      <sheetName val="현장별계약현황('98_10_31)3"/>
      <sheetName val="STEEL_BOX_단면설계(SEC_8)3"/>
      <sheetName val="1_설계조건3"/>
      <sheetName val="CSA-Rate_Build_Up3"/>
      <sheetName val="단면_(2)3"/>
      <sheetName val="Eq__Mobilization3"/>
      <sheetName val="Chiet_tinh_dz353"/>
      <sheetName val="CAL_3"/>
      <sheetName val="OCT_FDN3"/>
      <sheetName val="현대실행_(실투입최종)3"/>
      <sheetName val="기타_정보통신공사3"/>
      <sheetName val="단가_3"/>
      <sheetName val="MASTER00_7月3"/>
      <sheetName val="전선_및_전선관3"/>
      <sheetName val="단가대비표_(3)3"/>
      <sheetName val="Flaer_Area3"/>
      <sheetName val="7_수지3"/>
      <sheetName val="b_babun_(2)3"/>
      <sheetName val="2000_053"/>
      <sheetName val="유첨3_적용기준3"/>
      <sheetName val="유효폭의_계산3"/>
      <sheetName val="유첨3_적용기㐘3"/>
      <sheetName val="3_하중산정4_지지력3"/>
      <sheetName val="Ⅴ-2_공종별내역3"/>
      <sheetName val="REINF_3"/>
      <sheetName val="도급및_실행내역3"/>
      <sheetName val="정부노임(2000_상)3"/>
      <sheetName val="2_토목공사3"/>
      <sheetName val="TRE_TABLE3"/>
      <sheetName val="1~6_설계조건____2"/>
      <sheetName val="BSD_13"/>
      <sheetName val="Galaxy_소비자가격표3"/>
      <sheetName val="단가_(2)3"/>
      <sheetName val="D_B3"/>
      <sheetName val="설명서_2"/>
      <sheetName val="견적대비_견적서2"/>
      <sheetName val="Calc_V1_22"/>
      <sheetName val="Calc_V1_2_(2)2"/>
      <sheetName val="1_설퀀䩦謂2"/>
      <sheetName val="1_설퐀Ⲩ렀2"/>
      <sheetName val="1_설吀亘码2"/>
      <sheetName val="1_설吀亘䠁2"/>
      <sheetName val="C1_공사개요2"/>
      <sheetName val="A1_스케쥴2"/>
      <sheetName val="목동1절주_bh012"/>
      <sheetName val="Works_Cost2"/>
      <sheetName val="3-3__실행분석표(개산)2"/>
      <sheetName val="공사비_내역_(가)2"/>
      <sheetName val="BEND_LOSS2"/>
      <sheetName val="tank_list2"/>
      <sheetName val="8_PILE__(돌출)2"/>
      <sheetName val="C_배수관공2"/>
      <sheetName val="B2_다목적홀_화장실__계단실_91"/>
      <sheetName val="셔틀_B2~B81"/>
      <sheetName val="5층_변경계약내역서1"/>
      <sheetName val="7층_변경계약내역서1"/>
      <sheetName val="1_설2"/>
      <sheetName val="1_설Ȁ2"/>
      <sheetName val="Project_Brief2"/>
      <sheetName val="점검내역서(data)_(2)2"/>
      <sheetName val="_노무비결의서_17년07월_xlsx2"/>
      <sheetName val="A(Rev_3)1"/>
      <sheetName val="TOTAL_1"/>
      <sheetName val="리_스_트1"/>
      <sheetName val="4BL_,ELEV_HALL_통합로비_연결층_걸레받이_재1"/>
      <sheetName val="107동_통합로비1"/>
      <sheetName val="목동세대_산출근거1"/>
      <sheetName val="2F_회의실견적(5_14_일대)1"/>
      <sheetName val="토목_(2)1"/>
      <sheetName val="TOWER_12TON"/>
      <sheetName val="TOWER_10TON"/>
      <sheetName val="5_소재"/>
      <sheetName val="유첨3_적용기槜"/>
      <sheetName val="업무분장_"/>
      <sheetName val="Form_A_1_III"/>
      <sheetName val="Form_A_1"/>
      <sheetName val="Form_A_1_1"/>
      <sheetName val="BOM_Indirect"/>
      <sheetName val="Form_A_1_II_1"/>
      <sheetName val="Form_A_1_II_2"/>
      <sheetName val="Rekap-Base_Price"/>
      <sheetName val="SUM-CTI_XLS"/>
      <sheetName val="중기조종사_단위단가"/>
      <sheetName val="Key_Data1"/>
      <sheetName val="5_경상직원1"/>
      <sheetName val="일위대가표_(2)"/>
      <sheetName val="장비_(2)"/>
      <sheetName val="BSD_(2)4"/>
      <sheetName val="Indirect_Cost4"/>
      <sheetName val="남양시작동자105노65기1_3화1_24"/>
      <sheetName val="일위대가_4"/>
      <sheetName val="4_2유효폭의_계산4"/>
      <sheetName val="준검_내역서4"/>
      <sheetName val="기존단가_(2)4"/>
      <sheetName val="_냉각수펌프4"/>
      <sheetName val="_BM_셈플4"/>
      <sheetName val="Sheet1_(2)4"/>
      <sheetName val="3_공통공사대비5"/>
      <sheetName val="총괄갑_4"/>
      <sheetName val="1_취수장4"/>
      <sheetName val="내___역4"/>
      <sheetName val="기술부_VENDOR_LIST4"/>
      <sheetName val="3BL공동구_수량4"/>
      <sheetName val="BSD__2_4"/>
      <sheetName val="전차선로_물량표4"/>
      <sheetName val="Customer_Databas4"/>
      <sheetName val="unit_44"/>
      <sheetName val="Internal_Floor4"/>
      <sheetName val="노원열병합__건축공사기성내역서4"/>
      <sheetName val="DATA테이블1_(2)4"/>
      <sheetName val="나_건축4"/>
      <sheetName val="실행내역서_4"/>
      <sheetName val="표지_(2)4"/>
      <sheetName val="내역서_4"/>
      <sheetName val="PROJECT_BRIEF(EX_NEW)4"/>
      <sheetName val="1_우편집중내역서4"/>
      <sheetName val="1995년_섹터별_매출4"/>
      <sheetName val="토공(우물통,기타)_4"/>
      <sheetName val="아파트_기성내역서4"/>
      <sheetName val="Åä°ø(¿ì¹°Åë,±âÅ¸)_4"/>
      <sheetName val="¼³»ê1_³ª4"/>
      <sheetName val="설산1_나4"/>
      <sheetName val="1차_내역서4"/>
      <sheetName val="_견적서4"/>
      <sheetName val="별첨1(공사견적_양식)_(재제출-0713)4"/>
      <sheetName val="별첨1(공사견적_양식)4"/>
      <sheetName val="공사비비교_(호텔0723-4"/>
      <sheetName val="플랜트_설치4"/>
      <sheetName val="원가_(2)4"/>
      <sheetName val="돌담교_상부수량4"/>
      <sheetName val="BLR_14"/>
      <sheetName val="ITB_COST4"/>
      <sheetName val="내역서1999_8최종4"/>
      <sheetName val="97_사업추정(WEKI)4"/>
      <sheetName val="조정금액결과표_(차수별)4"/>
      <sheetName val="별표_4"/>
      <sheetName val="자__재4"/>
      <sheetName val="b_balju_(2)4"/>
      <sheetName val="환경기계공정표_(3)4"/>
      <sheetName val="crude_SLAB_RE-bar4"/>
      <sheetName val="CRUDE_RE-bar4"/>
      <sheetName val="현장별계약현황('98_10_31)4"/>
      <sheetName val="STEEL_BOX_단면설계(SEC_8)4"/>
      <sheetName val="1_설계조건4"/>
      <sheetName val="CSA-Rate_Build_Up4"/>
      <sheetName val="단면_(2)4"/>
      <sheetName val="Eq__Mobilization4"/>
      <sheetName val="Chiet_tinh_dz354"/>
      <sheetName val="CAL_4"/>
      <sheetName val="OCT_FDN4"/>
      <sheetName val="현대실행_(실투입최종)4"/>
      <sheetName val="기타_정보통신공사4"/>
      <sheetName val="단가_4"/>
      <sheetName val="MASTER00_7月4"/>
      <sheetName val="전선_및_전선관4"/>
      <sheetName val="단가대비표_(3)4"/>
      <sheetName val="Flaer_Area4"/>
      <sheetName val="7_수지4"/>
      <sheetName val="b_babun_(2)4"/>
      <sheetName val="2000_054"/>
      <sheetName val="유첨3_적용기준4"/>
      <sheetName val="유효폭의_계산4"/>
      <sheetName val="유첨3_적용기㐘4"/>
      <sheetName val="3_하중산정4_지지력4"/>
      <sheetName val="Ⅴ-2_공종별내역4"/>
      <sheetName val="REINF_4"/>
      <sheetName val="도급및_실행내역4"/>
      <sheetName val="정부노임(2000_상)4"/>
      <sheetName val="2_토목공사4"/>
      <sheetName val="TRE_TABLE4"/>
      <sheetName val="1~6_설계조건____3"/>
      <sheetName val="BSD_14"/>
      <sheetName val="Galaxy_소비자가격표4"/>
      <sheetName val="단가_(2)4"/>
      <sheetName val="D_B4"/>
      <sheetName val="설명서_3"/>
      <sheetName val="견적대비_견적서3"/>
      <sheetName val="Calc_V1_23"/>
      <sheetName val="Calc_V1_2_(2)3"/>
      <sheetName val="1_설퀀䩦謂3"/>
      <sheetName val="1_설퐀Ⲩ렀3"/>
      <sheetName val="1_설吀亘码3"/>
      <sheetName val="1_설吀亘䠁3"/>
      <sheetName val="C1_공사개요3"/>
      <sheetName val="A1_스케쥴3"/>
      <sheetName val="목동1절주_bh013"/>
      <sheetName val="Works_Cost3"/>
      <sheetName val="3-3__실행분석표(개산)3"/>
      <sheetName val="공사비_내역_(가)3"/>
      <sheetName val="BEND_LOSS3"/>
      <sheetName val="tank_list3"/>
      <sheetName val="8_PILE__(돌출)3"/>
      <sheetName val="C_배수관공3"/>
      <sheetName val="B2_다목적홀_화장실__계단실_92"/>
      <sheetName val="셔틀_B2~B82"/>
      <sheetName val="5층_변경계약내역서2"/>
      <sheetName val="7층_변경계약내역서2"/>
      <sheetName val="1_설3"/>
      <sheetName val="1_설Ȁ3"/>
      <sheetName val="Project_Brief3"/>
      <sheetName val="점검내역서(data)_(2)3"/>
      <sheetName val="_노무비결의서_17년07월_xlsx3"/>
      <sheetName val="A(Rev_3)2"/>
      <sheetName val="TOTAL_2"/>
      <sheetName val="리_스_트2"/>
      <sheetName val="4BL_,ELEV_HALL_통합로비_연결층_걸레받이_재2"/>
      <sheetName val="107동_통합로비2"/>
      <sheetName val="목동세대_산출근거2"/>
      <sheetName val="2F_회의실견적(5_14_일대)2"/>
      <sheetName val="토목_(2)2"/>
      <sheetName val="TOWER_12TON1"/>
      <sheetName val="TOWER_10TON1"/>
      <sheetName val="5_소재1"/>
      <sheetName val="유첨3_적용기槜1"/>
      <sheetName val="업무분장_1"/>
      <sheetName val="Form_A_1_III1"/>
      <sheetName val="Form_A_11"/>
      <sheetName val="Form_A_1_11"/>
      <sheetName val="BOM_Indirect1"/>
      <sheetName val="Form_A_1_II_11"/>
      <sheetName val="Form_A_1_II_21"/>
      <sheetName val="Rekap-Base_Price1"/>
      <sheetName val="SUM-CTI_XLS1"/>
      <sheetName val="중기조종사_단위단가1"/>
      <sheetName val="Key_Data2"/>
      <sheetName val="5_경상직원2"/>
      <sheetName val="일위대가표_(2)1"/>
      <sheetName val="장비_(2)1"/>
      <sheetName val="수량조서"/>
      <sheetName val="현장리스트 (실예산,기준예산,변경예산)"/>
      <sheetName val="예산"/>
      <sheetName val="정산서 "/>
      <sheetName val="사업부배부A"/>
      <sheetName val="세금자료"/>
      <sheetName val="수주추정"/>
      <sheetName val="자재집계 &amp; 총괄표"/>
      <sheetName val="결"/>
      <sheetName val="배관내경(삭제하지마시오)"/>
      <sheetName val="증가분"/>
      <sheetName val="정보매체AÈ"/>
      <sheetName val="일위목차"/>
      <sheetName val="가도공"/>
      <sheetName val="수원공사_x0000_"/>
      <sheetName val="옥내아파트(전기)"/>
      <sheetName val="ILBAN"/>
      <sheetName val="지성학원"/>
      <sheetName val="집수정(600-700)"/>
      <sheetName val="갑"/>
      <sheetName val="costing_CV"/>
      <sheetName val="costing_ESDV"/>
      <sheetName val="costing_FE"/>
      <sheetName val="costing_Misc"/>
      <sheetName val="costing_MOV"/>
      <sheetName val="costing_Press"/>
      <sheetName val="BLDG_MCI"/>
      <sheetName val="BLDG_DCI"/>
      <sheetName val="송라터널총괄"/>
      <sheetName val="투찰판"/>
      <sheetName val="부대입찰"/>
      <sheetName val="하도내역"/>
      <sheetName val="하도"/>
      <sheetName val="VXXXX"/>
      <sheetName val="설변현황 (사업소제출전체포함)"/>
      <sheetName val="설변현황 (사업소제출보류제외최종) (2)"/>
      <sheetName val="계획 (9.29) (제출용)"/>
      <sheetName val="상황판"/>
      <sheetName val="자재인력"/>
      <sheetName val="집계장"/>
      <sheetName val="신흥교"/>
      <sheetName val="결재란"/>
      <sheetName val="저가1"/>
      <sheetName val="다곡2교"/>
      <sheetName val="공주-교대(A1)"/>
      <sheetName val="관리본관골조 집계"/>
      <sheetName val="관리본관 골조"/>
      <sheetName val="관리본관마감집계"/>
      <sheetName val="관리본관 마감"/>
      <sheetName val="Module1"/>
      <sheetName val="총집계"/>
      <sheetName val="갑지 "/>
      <sheetName val="수량1"/>
      <sheetName val="수량 2"/>
      <sheetName val="연회장"/>
      <sheetName val="오크밸리 연회장 실물량 "/>
      <sheetName val="오크밸리 연회장철근증 실물량  (3)"/>
      <sheetName val="오크밸리 연회장 실물량  (2)"/>
      <sheetName val="변경갑지"/>
      <sheetName val="내역갑지"/>
      <sheetName val="대연회장도급내역"/>
      <sheetName val="오크밸리 관리비"/>
      <sheetName val="당초실행내역"/>
      <sheetName val="실행내역변경"/>
      <sheetName val="오크밸리 변경관리비"/>
      <sheetName val="실행내역재변경"/>
      <sheetName val="대연회장최종도급내역"/>
      <sheetName val="최종도급갑지"/>
      <sheetName val="최종도급갑지 (2)"/>
      <sheetName val="일위(통합 기존)"/>
      <sheetName val="배수공"/>
      <sheetName val="구조물공"/>
      <sheetName val="제출내역 (2)"/>
      <sheetName val="L_RPTB~1"/>
      <sheetName val="금리계산"/>
      <sheetName val="내역서(원안분)"/>
      <sheetName val="공사비집계"/>
      <sheetName val="룡전상부"/>
      <sheetName val="(포장)BOQ-실적공사"/>
      <sheetName val="값"/>
      <sheetName val="변경집계2"/>
      <sheetName val="사급비"/>
      <sheetName val="부관맨홀조서"/>
      <sheetName val="아포2당초"/>
      <sheetName val="기타backdata"/>
      <sheetName val="누가토량"/>
      <sheetName val="장비가동"/>
      <sheetName val="DATA 입력부"/>
      <sheetName val="변전실"/>
      <sheetName val="자재목록"/>
      <sheetName val="노임목록"/>
      <sheetName val="집계표(육상)"/>
      <sheetName val="변경현황"/>
      <sheetName val="중기명"/>
      <sheetName val="목포방향"/>
      <sheetName val="종배수관"/>
      <sheetName val="가설건물"/>
      <sheetName val="5Strand-장기처짐PCI"/>
      <sheetName val="기계경비"/>
      <sheetName val="시노"/>
      <sheetName val="확약서"/>
      <sheetName val="계약서"/>
      <sheetName val="변경내역서"/>
      <sheetName val="초기화면"/>
      <sheetName val="계약내역서"/>
      <sheetName val="성원계약"/>
      <sheetName val="1공구산출내역서"/>
      <sheetName val="배수공 내역서 적용수량"/>
      <sheetName val="내역(설계)"/>
      <sheetName val="가중치 종합"/>
      <sheetName val="DATA 입력란"/>
      <sheetName val="전산output"/>
      <sheetName val="투찰내역"/>
      <sheetName val="총공사내역서"/>
      <sheetName val="MYUN(MAC)"/>
      <sheetName val="중기손료"/>
      <sheetName val="000000"/>
      <sheetName val="직접노무비"/>
      <sheetName val="단위가격"/>
      <sheetName val="공사비예산서(토목분)"/>
      <sheetName val="철근총괄"/>
      <sheetName val="ysn"/>
      <sheetName val="기간등록"/>
      <sheetName val="연결임시"/>
      <sheetName val="단면설계"/>
      <sheetName val="안정검토"/>
      <sheetName val="일위총괄표"/>
      <sheetName val="변경내역을"/>
      <sheetName val="설계변경"/>
      <sheetName val="내역최종"/>
      <sheetName val="장비종합부표"/>
      <sheetName val="부표"/>
      <sheetName val="인건비 "/>
      <sheetName val="현황산출서"/>
      <sheetName val="옹벽기초자료"/>
      <sheetName val="예측단가간지"/>
      <sheetName val="콘_재료분리(1)"/>
      <sheetName val="02자재"/>
      <sheetName val="기타공"/>
      <sheetName val="바닥판"/>
      <sheetName val="TYPE1"/>
      <sheetName val="철근량"/>
      <sheetName val="삼홍테크"/>
      <sheetName val="비탈면보호공수량산출"/>
      <sheetName val="설변현황_(사업소제출전체포함)"/>
      <sheetName val="설변현황_(사업소제출보류제외최종)_(2)"/>
      <sheetName val="계획_(9_29)_(제출용)"/>
      <sheetName val="일위(통합_기존)"/>
      <sheetName val="관리본관골조_집계"/>
      <sheetName val="관리본관_골조"/>
      <sheetName val="관리본관_마감"/>
      <sheetName val="갑지_"/>
      <sheetName val="수량_2"/>
      <sheetName val="오크밸리_연회장_실물량_"/>
      <sheetName val="오크밸리_연회장철근증_실물량__(3)"/>
      <sheetName val="오크밸리_연회장_실물량__(2)"/>
      <sheetName val="오크밸리_관리비"/>
      <sheetName val="오크밸리_변경관리비"/>
      <sheetName val="최종도급갑지_(2)"/>
      <sheetName val="제출내역_(2)"/>
      <sheetName val="DATA_입력부"/>
      <sheetName val="DATA_입력란"/>
      <sheetName val="배수공_내역서_적용수량"/>
      <sheetName val="수수료"/>
      <sheetName val="교각 P3"/>
      <sheetName val="BOJUNGGM"/>
      <sheetName val="내역서(변경)"/>
      <sheetName val="TOTAL_BOQ"/>
      <sheetName val="간선"/>
      <sheetName val="1호구조물"/>
      <sheetName val="내역서(삼호)"/>
      <sheetName val="업자내역서"/>
      <sheetName val="설계서식"/>
      <sheetName val="01AC"/>
      <sheetName val="화해(함평)"/>
      <sheetName val="화해(장성)"/>
      <sheetName val="데리네이타현황"/>
      <sheetName val="간지"/>
      <sheetName val="잡설비내역"/>
      <sheetName val="6.단면검토"/>
      <sheetName val="금액결정"/>
      <sheetName val="배지거총재료집계표"/>
      <sheetName val="공사비"/>
      <sheetName val="1호철근량"/>
      <sheetName val="입력창"/>
      <sheetName val="배수공수집"/>
      <sheetName val="웅진교-S2"/>
      <sheetName val="수공기"/>
      <sheetName val="9902"/>
      <sheetName val="POOM_MOTO"/>
      <sheetName val="POOM_MOTO2"/>
      <sheetName val="2.수량조서(발주용)"/>
      <sheetName val="토사(PE)"/>
      <sheetName val="7.2품셈"/>
      <sheetName val="Tool"/>
      <sheetName val="국내총괄"/>
      <sheetName val="일용노임단가2001상"/>
      <sheetName val="화전내"/>
      <sheetName val="토적계산"/>
      <sheetName val="암거단위"/>
      <sheetName val="시설장비"/>
      <sheetName val="기초일위대가"/>
      <sheetName val="식재일위대가"/>
      <sheetName val="자재"/>
      <sheetName val="7+160암거변경"/>
      <sheetName val="수안보-MBR1"/>
      <sheetName val="총괄표 "/>
      <sheetName val="제출내역 (3)"/>
      <sheetName val="별표"/>
      <sheetName val="기술부대조건"/>
      <sheetName val="소일위대가코드표"/>
      <sheetName val="단1"/>
      <sheetName val="잡철물"/>
      <sheetName val="2.대외공문"/>
      <sheetName val="12CGOU"/>
      <sheetName val=" 견_x0000__x0000_"/>
      <sheetName val="Factor"/>
      <sheetName val="sort"/>
      <sheetName val="바닥판(1)"/>
      <sheetName val="연습"/>
      <sheetName val="가설배관"/>
      <sheetName val="9609추"/>
      <sheetName val="각사별공사비분개 "/>
      <sheetName val="archi(본사)"/>
      <sheetName val="구성비"/>
      <sheetName val="산5-3"/>
      <sheetName val="P280297"/>
      <sheetName val="코스모공장 (어음)"/>
      <sheetName val="설계산출기초"/>
      <sheetName val="Infrastructure"/>
      <sheetName val="PLAN"/>
      <sheetName val="제1안"/>
      <sheetName val="제2안"/>
      <sheetName val="금액대비"/>
      <sheetName val="토공가실행"/>
      <sheetName val="부대공사"/>
      <sheetName val="Column"/>
      <sheetName val="별첨1(공사견적 양_x0000__x0000_"/>
      <sheetName val="SITE-E"/>
      <sheetName val="DHEQSUPT"/>
      <sheetName val="analysis"/>
      <sheetName val="단가일람"/>
      <sheetName val="자재일람"/>
      <sheetName val="조경일람"/>
      <sheetName val="95MAKER"/>
      <sheetName val="Eq. Mobiliz"/>
      <sheetName val="Macr_x0000__x0000__x0005__x0000_ᱰქ"/>
      <sheetName val="조정금액결과표_Ȍ"/>
      <sheetName val="화재_탐지_설비"/>
      <sheetName val="04_01"/>
      <sheetName val="co-no_2"/>
      <sheetName val="2-1__경관조명_내역총괄표"/>
      <sheetName val="단가표_"/>
      <sheetName val="원재료_출고실적(품목번호별)"/>
      <sheetName val="2_냉난방설비공사"/>
      <sheetName val="Eq__Mobiliz꺠"/>
      <sheetName val="제출내역_(3)"/>
      <sheetName val="3_경비"/>
      <sheetName val="1_급료"/>
      <sheetName val="2000년_공정표"/>
      <sheetName val="상하"/>
      <sheetName val="서철"/>
      <sheetName val="서토"/>
      <sheetName val="포장"/>
      <sheetName val="휴철"/>
      <sheetName val="휴토"/>
      <sheetName val="도급정산"/>
      <sheetName val="도급내역"/>
      <sheetName val="월별매출"/>
      <sheetName val="집계표(1905)"/>
      <sheetName val="직원투입계획(1인)"/>
      <sheetName val="__Bomb_project_2PROJECT_PLANT_5"/>
      <sheetName val="1.인건비"/>
      <sheetName val="I.설계조건"/>
      <sheetName val="EQUIP LIST"/>
      <sheetName val="단가및재료비"/>
      <sheetName val="__SKEC_EB_EB_1_2PROJECT_PLANT_3"/>
      <sheetName val="맨홀토공수량"/>
      <sheetName val="설비(제출)"/>
      <sheetName val="1-최종안"/>
      <sheetName val="사업분석-분양가결정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 refreshError="1"/>
      <sheetData sheetId="962"/>
      <sheetData sheetId="963" refreshError="1"/>
      <sheetData sheetId="964" refreshError="1"/>
      <sheetData sheetId="965"/>
      <sheetData sheetId="966"/>
      <sheetData sheetId="967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/>
      <sheetData sheetId="2115"/>
      <sheetData sheetId="2116"/>
      <sheetData sheetId="2117"/>
      <sheetData sheetId="2118" refreshError="1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 refreshError="1"/>
      <sheetData sheetId="2219" refreshError="1"/>
      <sheetData sheetId="2220" refreshError="1"/>
      <sheetData sheetId="2221" refreshError="1"/>
      <sheetData sheetId="2222"/>
      <sheetData sheetId="2223" refreshError="1"/>
      <sheetData sheetId="2224" refreshError="1"/>
      <sheetData sheetId="2225"/>
      <sheetData sheetId="2226"/>
      <sheetData sheetId="2227"/>
      <sheetData sheetId="2228" refreshError="1"/>
      <sheetData sheetId="2229" refreshError="1"/>
      <sheetData sheetId="2230" refreshError="1"/>
      <sheetData sheetId="223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/>
      <sheetData sheetId="2346" refreshError="1"/>
      <sheetData sheetId="2347" refreshError="1"/>
      <sheetData sheetId="2348" refreshError="1"/>
      <sheetData sheetId="23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적정심사"/>
      <sheetName val="사유서제출항목"/>
      <sheetName val="미제출세부공종조정창"/>
      <sheetName val="세부공종투찰비율"/>
      <sheetName val="심사공종집계"/>
      <sheetName val="건원가"/>
      <sheetName val="기원가"/>
      <sheetName val="토원가"/>
      <sheetName val="총원가"/>
      <sheetName val="기준"/>
      <sheetName val="단가"/>
      <sheetName val="보할"/>
      <sheetName val="건내역"/>
      <sheetName val="기내역"/>
      <sheetName val="토내역"/>
      <sheetName val="하도급계획서(제출)"/>
      <sheetName val="사유일위"/>
      <sheetName val="속"/>
      <sheetName val="Sheet1"/>
    </sheetNames>
    <sheetDataSet>
      <sheetData sheetId="0" refreshError="1">
        <row r="5">
          <cell r="D5" t="str">
            <v>A01</v>
          </cell>
          <cell r="E5" t="str">
            <v>공통가설공사</v>
          </cell>
          <cell r="F5">
            <v>399348016</v>
          </cell>
          <cell r="G5">
            <v>645471601</v>
          </cell>
          <cell r="H5">
            <v>635652698</v>
          </cell>
          <cell r="I5">
            <v>1680472315</v>
          </cell>
          <cell r="J5">
            <v>1.7275405090758457E-2</v>
          </cell>
          <cell r="K5">
            <v>399348016</v>
          </cell>
          <cell r="L5">
            <v>645471601</v>
          </cell>
          <cell r="M5">
            <v>635652698</v>
          </cell>
          <cell r="N5">
            <v>1680472315</v>
          </cell>
          <cell r="O5">
            <v>1</v>
          </cell>
          <cell r="P5">
            <v>292714050</v>
          </cell>
          <cell r="Q5">
            <v>471176885</v>
          </cell>
          <cell r="R5">
            <v>517012727</v>
          </cell>
          <cell r="S5">
            <v>1280903662</v>
          </cell>
          <cell r="T5">
            <v>0.22852151858396358</v>
          </cell>
          <cell r="U5">
            <v>0.36784724642312716</v>
          </cell>
          <cell r="V5">
            <v>0.40363123499290926</v>
          </cell>
          <cell r="W5">
            <v>0.76222836316110332</v>
          </cell>
          <cell r="X5">
            <v>0.76174225564286679</v>
          </cell>
          <cell r="Y5">
            <v>0.76193999999999995</v>
          </cell>
          <cell r="Z5">
            <v>0.95238800000000001</v>
          </cell>
          <cell r="AA5">
            <v>0.95799999999999996</v>
          </cell>
          <cell r="AB5" t="str">
            <v/>
          </cell>
          <cell r="AC5">
            <v>67.700200000000009</v>
          </cell>
          <cell r="AD5">
            <v>0</v>
          </cell>
          <cell r="AE5">
            <v>5</v>
          </cell>
          <cell r="AF5">
            <v>72.700200000000009</v>
          </cell>
          <cell r="AG5" t="str">
            <v>NG</v>
          </cell>
          <cell r="AI5">
            <v>1</v>
          </cell>
          <cell r="AJ5">
            <v>0.23764034220343583</v>
          </cell>
          <cell r="AK5">
            <v>0.38410130011573562</v>
          </cell>
          <cell r="AL5">
            <v>0.37825835768082855</v>
          </cell>
          <cell r="AM5">
            <v>0.96162762797376411</v>
          </cell>
          <cell r="AN5">
            <v>0.95768289852778199</v>
          </cell>
          <cell r="AO5">
            <v>1.0670781670698475</v>
          </cell>
          <cell r="AP5">
            <v>0.76144408276145237</v>
          </cell>
          <cell r="AQ5">
            <v>0.76193</v>
          </cell>
          <cell r="AR5">
            <v>-2.9836316110332106E-4</v>
          </cell>
          <cell r="AS5">
            <v>0.76174225564286679</v>
          </cell>
        </row>
        <row r="6">
          <cell r="D6" t="str">
            <v>A02</v>
          </cell>
          <cell r="E6" t="str">
            <v>가설공사</v>
          </cell>
          <cell r="F6">
            <v>410283023</v>
          </cell>
          <cell r="G6">
            <v>2576741308</v>
          </cell>
          <cell r="H6">
            <v>280885815</v>
          </cell>
          <cell r="I6">
            <v>3267910106</v>
          </cell>
          <cell r="J6">
            <v>3.3594406987498278E-2</v>
          </cell>
          <cell r="K6">
            <v>410283023</v>
          </cell>
          <cell r="L6">
            <v>2576741308</v>
          </cell>
          <cell r="M6">
            <v>280885815</v>
          </cell>
          <cell r="N6">
            <v>3267910146</v>
          </cell>
          <cell r="O6">
            <v>1.0000000122402388</v>
          </cell>
          <cell r="P6">
            <v>301929600</v>
          </cell>
          <cell r="Q6">
            <v>1880164253</v>
          </cell>
          <cell r="R6">
            <v>307547214</v>
          </cell>
          <cell r="S6">
            <v>2489641067</v>
          </cell>
          <cell r="T6">
            <v>0.12127434914295619</v>
          </cell>
          <cell r="U6">
            <v>0.75519490657566346</v>
          </cell>
          <cell r="V6">
            <v>0.12353074428138038</v>
          </cell>
          <cell r="W6">
            <v>0.76184502824264655</v>
          </cell>
          <cell r="X6">
            <v>0.76156150830790559</v>
          </cell>
          <cell r="Y6">
            <v>0.76193999999999995</v>
          </cell>
          <cell r="Z6">
            <v>0.95238800000000001</v>
          </cell>
          <cell r="AA6">
            <v>0.95799999999999996</v>
          </cell>
          <cell r="AB6" t="str">
            <v>부적정</v>
          </cell>
          <cell r="AC6">
            <v>64.320099999999996</v>
          </cell>
          <cell r="AD6">
            <v>0</v>
          </cell>
          <cell r="AE6">
            <v>4</v>
          </cell>
          <cell r="AF6">
            <v>68.320099999999996</v>
          </cell>
          <cell r="AG6" t="str">
            <v>NG</v>
          </cell>
          <cell r="AI6">
            <v>2</v>
          </cell>
          <cell r="AJ6">
            <v>0.12554905419420984</v>
          </cell>
          <cell r="AK6">
            <v>0.78849822192752816</v>
          </cell>
          <cell r="AL6">
            <v>8.5952736118500808E-2</v>
          </cell>
          <cell r="AM6">
            <v>0.965951913547344</v>
          </cell>
          <cell r="AN6">
            <v>0.95776361388557996</v>
          </cell>
          <cell r="AO6">
            <v>1.4371938562964621</v>
          </cell>
          <cell r="AP6">
            <v>0.76164644844309681</v>
          </cell>
          <cell r="AQ6">
            <v>0.76193</v>
          </cell>
          <cell r="AR6">
            <v>8.4971757353446975E-5</v>
          </cell>
          <cell r="AS6">
            <v>0.76156150830790559</v>
          </cell>
        </row>
        <row r="7">
          <cell r="D7" t="str">
            <v>A03</v>
          </cell>
          <cell r="E7" t="str">
            <v>철근콘크리트공사</v>
          </cell>
          <cell r="F7">
            <v>6119427120</v>
          </cell>
          <cell r="G7">
            <v>0</v>
          </cell>
          <cell r="H7">
            <v>0</v>
          </cell>
          <cell r="I7">
            <v>6119427075</v>
          </cell>
          <cell r="J7">
            <v>6.2908255435306079E-2</v>
          </cell>
          <cell r="K7">
            <v>6119427120</v>
          </cell>
          <cell r="L7">
            <v>0</v>
          </cell>
          <cell r="M7">
            <v>0</v>
          </cell>
          <cell r="N7">
            <v>6119427120</v>
          </cell>
          <cell r="O7">
            <v>1.0000000073536295</v>
          </cell>
          <cell r="P7">
            <v>4661272724</v>
          </cell>
          <cell r="Q7">
            <v>0</v>
          </cell>
          <cell r="R7">
            <v>0</v>
          </cell>
          <cell r="S7">
            <v>4661272724</v>
          </cell>
          <cell r="T7">
            <v>1</v>
          </cell>
          <cell r="U7">
            <v>0</v>
          </cell>
          <cell r="V7">
            <v>0</v>
          </cell>
          <cell r="W7">
            <v>0.76171717823763752</v>
          </cell>
          <cell r="X7">
            <v>0.76171636450402214</v>
          </cell>
          <cell r="Y7">
            <v>0.76193999999999995</v>
          </cell>
          <cell r="Z7">
            <v>0.95238800000000001</v>
          </cell>
          <cell r="AA7">
            <v>0.95799999999999996</v>
          </cell>
          <cell r="AB7" t="str">
            <v>부적정</v>
          </cell>
          <cell r="AC7">
            <v>63.980099999999993</v>
          </cell>
          <cell r="AD7">
            <v>0</v>
          </cell>
          <cell r="AE7">
            <v>5</v>
          </cell>
          <cell r="AF7">
            <v>68.980099999999993</v>
          </cell>
          <cell r="AG7" t="str">
            <v>NG</v>
          </cell>
          <cell r="AI7">
            <v>3</v>
          </cell>
          <cell r="AJ7">
            <v>1.0000000073536295</v>
          </cell>
          <cell r="AK7">
            <v>0</v>
          </cell>
          <cell r="AL7">
            <v>0</v>
          </cell>
          <cell r="AM7">
            <v>0.99999999264637052</v>
          </cell>
          <cell r="AN7">
            <v>1</v>
          </cell>
          <cell r="AO7">
            <v>1</v>
          </cell>
          <cell r="AP7">
            <v>0.76192918603902959</v>
          </cell>
          <cell r="AQ7">
            <v>0.76193</v>
          </cell>
          <cell r="AR7">
            <v>2.1282176236248063E-4</v>
          </cell>
          <cell r="AS7">
            <v>0.76171636450402214</v>
          </cell>
        </row>
        <row r="8">
          <cell r="D8" t="str">
            <v>A04</v>
          </cell>
          <cell r="E8" t="str">
            <v>철근공사2</v>
          </cell>
          <cell r="F8">
            <v>1070470690</v>
          </cell>
          <cell r="G8">
            <v>628372894</v>
          </cell>
          <cell r="H8">
            <v>16021604</v>
          </cell>
          <cell r="I8">
            <v>1714865188</v>
          </cell>
          <cell r="J8">
            <v>1.7628966888835453E-2</v>
          </cell>
          <cell r="K8">
            <v>1070470690</v>
          </cell>
          <cell r="L8">
            <v>628372894</v>
          </cell>
          <cell r="M8">
            <v>16021604</v>
          </cell>
          <cell r="N8">
            <v>1714865188</v>
          </cell>
          <cell r="O8">
            <v>1</v>
          </cell>
          <cell r="P8">
            <v>781428811</v>
          </cell>
          <cell r="Q8">
            <v>458695650</v>
          </cell>
          <cell r="R8">
            <v>66572731</v>
          </cell>
          <cell r="S8">
            <v>1306697192</v>
          </cell>
          <cell r="T8">
            <v>0.59801828287697123</v>
          </cell>
          <cell r="U8">
            <v>0.35103438869255638</v>
          </cell>
          <cell r="V8">
            <v>5.0947328430472359E-2</v>
          </cell>
          <cell r="W8">
            <v>0.76198245853014546</v>
          </cell>
          <cell r="X8">
            <v>0.76192898949062493</v>
          </cell>
          <cell r="Y8">
            <v>0.76193999999999995</v>
          </cell>
          <cell r="Z8">
            <v>0.95238800000000001</v>
          </cell>
          <cell r="AA8">
            <v>0.95799999999999996</v>
          </cell>
          <cell r="AB8" t="str">
            <v/>
          </cell>
          <cell r="AC8">
            <v>72.010000000000005</v>
          </cell>
          <cell r="AD8">
            <v>0</v>
          </cell>
          <cell r="AE8">
            <v>4</v>
          </cell>
          <cell r="AF8">
            <v>76.010000000000005</v>
          </cell>
          <cell r="AG8" t="str">
            <v>NG</v>
          </cell>
          <cell r="AI8">
            <v>4</v>
          </cell>
          <cell r="AJ8">
            <v>0.62423022957767338</v>
          </cell>
          <cell r="AK8">
            <v>0.36642699286050234</v>
          </cell>
          <cell r="AL8">
            <v>9.3427775618242937E-3</v>
          </cell>
          <cell r="AM8">
            <v>0.95800916799810221</v>
          </cell>
          <cell r="AN8">
            <v>0.95799271214223602</v>
          </cell>
          <cell r="AO8">
            <v>5.4531244154467764</v>
          </cell>
          <cell r="AP8">
            <v>0.76187653464154481</v>
          </cell>
          <cell r="AQ8">
            <v>0.76193</v>
          </cell>
          <cell r="AR8">
            <v>-5.2458530145460536E-5</v>
          </cell>
          <cell r="AS8">
            <v>0.76192898949062493</v>
          </cell>
        </row>
        <row r="9">
          <cell r="D9" t="str">
            <v>A05</v>
          </cell>
          <cell r="E9" t="str">
            <v>거푸집공사1,2</v>
          </cell>
          <cell r="F9">
            <v>2431574400</v>
          </cell>
          <cell r="G9">
            <v>5606805304</v>
          </cell>
          <cell r="H9">
            <v>168183896</v>
          </cell>
          <cell r="I9">
            <v>8206563600</v>
          </cell>
          <cell r="J9">
            <v>8.4364204829564859E-2</v>
          </cell>
          <cell r="K9">
            <v>2431574400</v>
          </cell>
          <cell r="L9">
            <v>5606805304</v>
          </cell>
          <cell r="M9">
            <v>168183896</v>
          </cell>
          <cell r="N9">
            <v>8206563600</v>
          </cell>
          <cell r="O9">
            <v>1</v>
          </cell>
          <cell r="P9">
            <v>1777582202</v>
          </cell>
          <cell r="Q9">
            <v>4098216020</v>
          </cell>
          <cell r="R9">
            <v>386519014</v>
          </cell>
          <cell r="S9">
            <v>6262317236</v>
          </cell>
          <cell r="T9">
            <v>0.2838537453486491</v>
          </cell>
          <cell r="U9">
            <v>0.65442485034784015</v>
          </cell>
          <cell r="V9">
            <v>6.1721404303510759E-2</v>
          </cell>
          <cell r="W9">
            <v>0.76308641975308644</v>
          </cell>
          <cell r="X9">
            <v>0.76295313419213573</v>
          </cell>
          <cell r="Y9">
            <v>0.76193999999999995</v>
          </cell>
          <cell r="Z9">
            <v>0.95238800000000001</v>
          </cell>
          <cell r="AA9">
            <v>0.95799999999999996</v>
          </cell>
          <cell r="AB9" t="str">
            <v/>
          </cell>
          <cell r="AC9">
            <v>72.11</v>
          </cell>
          <cell r="AD9">
            <v>0</v>
          </cell>
          <cell r="AE9">
            <v>4</v>
          </cell>
          <cell r="AF9">
            <v>76.11</v>
          </cell>
          <cell r="AG9" t="str">
            <v>NG</v>
          </cell>
          <cell r="AI9">
            <v>5</v>
          </cell>
          <cell r="AJ9">
            <v>0.29629629629629628</v>
          </cell>
          <cell r="AK9">
            <v>0.68320987654320986</v>
          </cell>
          <cell r="AL9">
            <v>2.0493827160493826E-2</v>
          </cell>
          <cell r="AM9">
            <v>0.95800639055169079</v>
          </cell>
          <cell r="AN9">
            <v>0.95786795948997205</v>
          </cell>
          <cell r="AO9">
            <v>3.0117070774604651</v>
          </cell>
          <cell r="AP9">
            <v>0.7617969164267292</v>
          </cell>
          <cell r="AQ9">
            <v>0.76193</v>
          </cell>
          <cell r="AR9">
            <v>-1.1564197530864462E-3</v>
          </cell>
          <cell r="AS9">
            <v>0.76295313419213573</v>
          </cell>
        </row>
        <row r="10">
          <cell r="D10" t="str">
            <v>A06</v>
          </cell>
          <cell r="E10" t="str">
            <v>거푸집공사3</v>
          </cell>
          <cell r="F10">
            <v>1660975745</v>
          </cell>
          <cell r="G10">
            <v>2258952528</v>
          </cell>
          <cell r="H10">
            <v>83022911</v>
          </cell>
          <cell r="I10">
            <v>4002951175</v>
          </cell>
          <cell r="J10">
            <v>4.1150694652564122E-2</v>
          </cell>
          <cell r="K10">
            <v>1660975745</v>
          </cell>
          <cell r="L10">
            <v>2258952528</v>
          </cell>
          <cell r="M10">
            <v>83075954</v>
          </cell>
          <cell r="N10">
            <v>4003004227</v>
          </cell>
          <cell r="O10">
            <v>1.0000132532218557</v>
          </cell>
          <cell r="P10">
            <v>1221541901</v>
          </cell>
          <cell r="Q10">
            <v>1649625890</v>
          </cell>
          <cell r="R10">
            <v>181815653</v>
          </cell>
          <cell r="S10">
            <v>3052983444</v>
          </cell>
          <cell r="T10">
            <v>0.40011415830003433</v>
          </cell>
          <cell r="U10">
            <v>0.54033240607380117</v>
          </cell>
          <cell r="V10">
            <v>5.9553435626164504E-2</v>
          </cell>
          <cell r="W10">
            <v>0.76268315813269938</v>
          </cell>
          <cell r="X10">
            <v>0.76180410561419731</v>
          </cell>
          <cell r="Y10">
            <v>0.76193999999999995</v>
          </cell>
          <cell r="Z10">
            <v>0.95238800000000001</v>
          </cell>
          <cell r="AA10">
            <v>0.95799999999999996</v>
          </cell>
          <cell r="AB10" t="str">
            <v/>
          </cell>
          <cell r="AC10">
            <v>71.9696</v>
          </cell>
          <cell r="AD10">
            <v>0</v>
          </cell>
          <cell r="AE10">
            <v>4</v>
          </cell>
          <cell r="AF10">
            <v>75.9696</v>
          </cell>
          <cell r="AG10" t="str">
            <v>NG</v>
          </cell>
          <cell r="AI10">
            <v>6</v>
          </cell>
          <cell r="AJ10">
            <v>0.41493779773619149</v>
          </cell>
          <cell r="AK10">
            <v>0.56432177891852509</v>
          </cell>
          <cell r="AL10">
            <v>2.0740425593624684E-2</v>
          </cell>
          <cell r="AM10">
            <v>0.96427503226500055</v>
          </cell>
          <cell r="AN10">
            <v>0.95748990426933811</v>
          </cell>
          <cell r="AO10">
            <v>2.8713699898458396</v>
          </cell>
          <cell r="AP10">
            <v>0.76105181555567303</v>
          </cell>
          <cell r="AQ10">
            <v>0.76193</v>
          </cell>
          <cell r="AR10">
            <v>-7.5315813269938303E-4</v>
          </cell>
          <cell r="AS10">
            <v>0.76180410561419731</v>
          </cell>
        </row>
        <row r="11">
          <cell r="D11" t="str">
            <v>A07</v>
          </cell>
          <cell r="E11" t="str">
            <v>콘크리트공사1</v>
          </cell>
          <cell r="F11">
            <v>1304347096</v>
          </cell>
          <cell r="G11">
            <v>1761983342</v>
          </cell>
          <cell r="H11">
            <v>48862374</v>
          </cell>
          <cell r="I11">
            <v>3115192812</v>
          </cell>
          <cell r="J11">
            <v>3.2024459601477546E-2</v>
          </cell>
          <cell r="K11">
            <v>1304347096</v>
          </cell>
          <cell r="L11">
            <v>1761983342</v>
          </cell>
          <cell r="M11">
            <v>48862374</v>
          </cell>
          <cell r="N11">
            <v>3115192812</v>
          </cell>
          <cell r="O11">
            <v>1</v>
          </cell>
          <cell r="P11">
            <v>952468825</v>
          </cell>
          <cell r="Q11">
            <v>1285949158</v>
          </cell>
          <cell r="R11">
            <v>134978993</v>
          </cell>
          <cell r="S11">
            <v>2373396976</v>
          </cell>
          <cell r="T11">
            <v>0.40131037269847775</v>
          </cell>
          <cell r="U11">
            <v>0.5418179811483842</v>
          </cell>
          <cell r="V11">
            <v>5.6871646153138097E-2</v>
          </cell>
          <cell r="W11">
            <v>0.76187803427687162</v>
          </cell>
          <cell r="X11">
            <v>0.76179818585341208</v>
          </cell>
          <cell r="Y11">
            <v>0.76193999999999995</v>
          </cell>
          <cell r="Z11">
            <v>0.95238800000000001</v>
          </cell>
          <cell r="AA11">
            <v>0.95799999999999996</v>
          </cell>
          <cell r="AB11" t="str">
            <v>부적정</v>
          </cell>
          <cell r="AC11">
            <v>65.429899999999989</v>
          </cell>
          <cell r="AD11">
            <v>0</v>
          </cell>
          <cell r="AE11">
            <v>4</v>
          </cell>
          <cell r="AF11">
            <v>69.429899999999989</v>
          </cell>
          <cell r="AG11" t="str">
            <v>NG</v>
          </cell>
          <cell r="AI11">
            <v>7</v>
          </cell>
          <cell r="AJ11">
            <v>0.41870509298029285</v>
          </cell>
          <cell r="AK11">
            <v>0.56560972252269048</v>
          </cell>
          <cell r="AL11">
            <v>1.5685184497016617E-2</v>
          </cell>
          <cell r="AM11">
            <v>0.95845591426175025</v>
          </cell>
          <cell r="AN11">
            <v>0.95793611667742884</v>
          </cell>
          <cell r="AO11">
            <v>3.6258193943434525</v>
          </cell>
          <cell r="AP11">
            <v>0.76185014613028679</v>
          </cell>
          <cell r="AQ11">
            <v>0.76193</v>
          </cell>
          <cell r="AR11">
            <v>5.1965723128377661E-5</v>
          </cell>
          <cell r="AS11">
            <v>0.76179818585341208</v>
          </cell>
        </row>
        <row r="12">
          <cell r="D12" t="str">
            <v>A08</v>
          </cell>
          <cell r="E12" t="str">
            <v>비계,조적,미장공사</v>
          </cell>
          <cell r="F12">
            <v>493493790</v>
          </cell>
          <cell r="G12">
            <v>825072673</v>
          </cell>
          <cell r="H12">
            <v>14920039</v>
          </cell>
          <cell r="I12">
            <v>1333486502</v>
          </cell>
          <cell r="J12">
            <v>1.3708360024430684E-2</v>
          </cell>
          <cell r="K12">
            <v>493493790</v>
          </cell>
          <cell r="L12">
            <v>825072673</v>
          </cell>
          <cell r="M12">
            <v>14920039</v>
          </cell>
          <cell r="N12">
            <v>1333486502</v>
          </cell>
          <cell r="O12">
            <v>1</v>
          </cell>
          <cell r="P12">
            <v>358646240</v>
          </cell>
          <cell r="Q12">
            <v>599621403</v>
          </cell>
          <cell r="R12">
            <v>53387649</v>
          </cell>
          <cell r="S12">
            <v>1011655292</v>
          </cell>
          <cell r="T12">
            <v>0.35451427263427987</v>
          </cell>
          <cell r="U12">
            <v>0.59271315807044678</v>
          </cell>
          <cell r="V12">
            <v>5.2772569295273353E-2</v>
          </cell>
          <cell r="W12">
            <v>0.75865431744730172</v>
          </cell>
          <cell r="X12">
            <v>0.75857631675022885</v>
          </cell>
          <cell r="Y12">
            <v>0.76193999999999995</v>
          </cell>
          <cell r="Z12">
            <v>0.95238800000000001</v>
          </cell>
          <cell r="AA12">
            <v>0.95799999999999996</v>
          </cell>
          <cell r="AB12" t="str">
            <v>부적정</v>
          </cell>
          <cell r="AC12">
            <v>63.730000000000004</v>
          </cell>
          <cell r="AD12">
            <v>0</v>
          </cell>
          <cell r="AE12">
            <v>4</v>
          </cell>
          <cell r="AF12">
            <v>67.73</v>
          </cell>
          <cell r="AG12" t="str">
            <v>NG</v>
          </cell>
          <cell r="AI12">
            <v>8</v>
          </cell>
          <cell r="AJ12">
            <v>0.37007782925424765</v>
          </cell>
          <cell r="AK12">
            <v>0.61873342681949395</v>
          </cell>
          <cell r="AL12">
            <v>1.1188743926258356E-2</v>
          </cell>
          <cell r="AM12">
            <v>0.9579451796630718</v>
          </cell>
          <cell r="AN12">
            <v>0.95794591398948581</v>
          </cell>
          <cell r="AO12">
            <v>4.7165767348936996</v>
          </cell>
          <cell r="AP12">
            <v>0.76185166251512193</v>
          </cell>
          <cell r="AQ12">
            <v>0.76193</v>
          </cell>
          <cell r="AR12">
            <v>3.275682552698278E-3</v>
          </cell>
          <cell r="AS12">
            <v>0.75857631675022885</v>
          </cell>
        </row>
        <row r="13">
          <cell r="D13" t="str">
            <v>A09</v>
          </cell>
          <cell r="E13" t="str">
            <v>견출,방수,씰링재,목,단열공사</v>
          </cell>
          <cell r="F13">
            <v>1816754297</v>
          </cell>
          <cell r="G13">
            <v>1397413711</v>
          </cell>
          <cell r="H13">
            <v>12421330</v>
          </cell>
          <cell r="I13">
            <v>3226589338</v>
          </cell>
          <cell r="J13">
            <v>3.3169625811700541E-2</v>
          </cell>
          <cell r="K13">
            <v>1816754297</v>
          </cell>
          <cell r="L13">
            <v>1397413711</v>
          </cell>
          <cell r="M13">
            <v>12421330</v>
          </cell>
          <cell r="N13">
            <v>3226589338</v>
          </cell>
          <cell r="O13">
            <v>1</v>
          </cell>
          <cell r="P13">
            <v>1332503048</v>
          </cell>
          <cell r="Q13">
            <v>1019580521</v>
          </cell>
          <cell r="R13">
            <v>105580382</v>
          </cell>
          <cell r="S13">
            <v>2457663951</v>
          </cell>
          <cell r="T13">
            <v>0.54218276972236878</v>
          </cell>
          <cell r="U13">
            <v>0.41485758074660389</v>
          </cell>
          <cell r="V13">
            <v>4.2959649531027364E-2</v>
          </cell>
          <cell r="W13">
            <v>0.76169096638848433</v>
          </cell>
          <cell r="X13">
            <v>0.76155343695066091</v>
          </cell>
          <cell r="Y13">
            <v>0.76193999999999995</v>
          </cell>
          <cell r="Z13">
            <v>0.95238800000000001</v>
          </cell>
          <cell r="AA13">
            <v>0.95799999999999996</v>
          </cell>
          <cell r="AB13" t="str">
            <v>부적정</v>
          </cell>
          <cell r="AC13">
            <v>64.489999999999995</v>
          </cell>
          <cell r="AD13">
            <v>0</v>
          </cell>
          <cell r="AE13">
            <v>4</v>
          </cell>
          <cell r="AF13">
            <v>68.489999999999995</v>
          </cell>
          <cell r="AG13" t="str">
            <v>NG</v>
          </cell>
          <cell r="AI13">
            <v>9</v>
          </cell>
          <cell r="AJ13">
            <v>0.56305718103132218</v>
          </cell>
          <cell r="AK13">
            <v>0.43309314096543389</v>
          </cell>
          <cell r="AL13">
            <v>3.8496780032439321E-3</v>
          </cell>
          <cell r="AM13">
            <v>0.96292665822906509</v>
          </cell>
          <cell r="AN13">
            <v>0.95789459935066157</v>
          </cell>
          <cell r="AO13">
            <v>11.159283840058157</v>
          </cell>
          <cell r="AP13">
            <v>0.76179242740273301</v>
          </cell>
          <cell r="AQ13">
            <v>0.76193</v>
          </cell>
          <cell r="AR13">
            <v>2.3903361151567104E-4</v>
          </cell>
          <cell r="AS13">
            <v>0.76155343695066091</v>
          </cell>
        </row>
        <row r="14">
          <cell r="D14" t="str">
            <v>A10</v>
          </cell>
          <cell r="E14" t="str">
            <v>천정,내벽,타일공사</v>
          </cell>
          <cell r="F14">
            <v>1696603739</v>
          </cell>
          <cell r="G14">
            <v>2297692636</v>
          </cell>
          <cell r="H14">
            <v>69191723</v>
          </cell>
          <cell r="I14">
            <v>4063488098</v>
          </cell>
          <cell r="J14">
            <v>4.1773019613492175E-2</v>
          </cell>
          <cell r="K14">
            <v>1696603739</v>
          </cell>
          <cell r="L14">
            <v>2297692636</v>
          </cell>
          <cell r="M14">
            <v>69191723</v>
          </cell>
          <cell r="N14">
            <v>4063488098</v>
          </cell>
          <cell r="O14">
            <v>1</v>
          </cell>
          <cell r="P14">
            <v>1240094165</v>
          </cell>
          <cell r="Q14">
            <v>1676763405</v>
          </cell>
          <cell r="R14">
            <v>178669723</v>
          </cell>
          <cell r="S14">
            <v>3095527293</v>
          </cell>
          <cell r="T14">
            <v>0.40060837706204649</v>
          </cell>
          <cell r="U14">
            <v>0.54167295141984717</v>
          </cell>
          <cell r="V14">
            <v>5.7718671518106369E-2</v>
          </cell>
          <cell r="W14">
            <v>0.76179066318013366</v>
          </cell>
          <cell r="X14">
            <v>0.76176000284410816</v>
          </cell>
          <cell r="Y14">
            <v>0.76193999999999995</v>
          </cell>
          <cell r="Z14">
            <v>0.95238800000000001</v>
          </cell>
          <cell r="AA14">
            <v>0.95799999999999996</v>
          </cell>
          <cell r="AB14" t="str">
            <v>부적정</v>
          </cell>
          <cell r="AC14">
            <v>64.200200000000009</v>
          </cell>
          <cell r="AD14">
            <v>0</v>
          </cell>
          <cell r="AE14">
            <v>4</v>
          </cell>
          <cell r="AF14">
            <v>68.200200000000009</v>
          </cell>
          <cell r="AG14" t="str">
            <v>NG</v>
          </cell>
          <cell r="AI14">
            <v>10</v>
          </cell>
          <cell r="AJ14">
            <v>0.4175239838490109</v>
          </cell>
          <cell r="AK14">
            <v>0.56544834895195006</v>
          </cell>
          <cell r="AL14">
            <v>1.7027667199039007E-2</v>
          </cell>
          <cell r="AM14">
            <v>0.95948590394490585</v>
          </cell>
          <cell r="AN14">
            <v>0.95795301626369544</v>
          </cell>
          <cell r="AO14">
            <v>3.389699296058819</v>
          </cell>
          <cell r="AP14">
            <v>0.76189933405598542</v>
          </cell>
          <cell r="AQ14">
            <v>0.76193</v>
          </cell>
          <cell r="AR14">
            <v>1.393368198663314E-4</v>
          </cell>
          <cell r="AS14">
            <v>0.76176000284410816</v>
          </cell>
        </row>
        <row r="15">
          <cell r="D15" t="str">
            <v>A11</v>
          </cell>
          <cell r="E15" t="str">
            <v>돌,지붕,홈통,목창호,강재,기타창호공사</v>
          </cell>
          <cell r="F15">
            <v>2151646295</v>
          </cell>
          <cell r="G15">
            <v>694650882</v>
          </cell>
          <cell r="H15">
            <v>7342192</v>
          </cell>
          <cell r="I15">
            <v>2853639369</v>
          </cell>
          <cell r="J15">
            <v>2.9335666908866243E-2</v>
          </cell>
          <cell r="K15">
            <v>2151646295</v>
          </cell>
          <cell r="L15">
            <v>694650882</v>
          </cell>
          <cell r="M15">
            <v>7342192</v>
          </cell>
          <cell r="N15">
            <v>2853639369</v>
          </cell>
          <cell r="O15">
            <v>1</v>
          </cell>
          <cell r="P15">
            <v>1586868579</v>
          </cell>
          <cell r="Q15">
            <v>506989074</v>
          </cell>
          <cell r="R15">
            <v>80225742</v>
          </cell>
          <cell r="S15">
            <v>2174083395</v>
          </cell>
          <cell r="T15">
            <v>0.72990234995102388</v>
          </cell>
          <cell r="U15">
            <v>0.23319670035012618</v>
          </cell>
          <cell r="V15">
            <v>3.690094969884998E-2</v>
          </cell>
          <cell r="W15">
            <v>0.76186340103720374</v>
          </cell>
          <cell r="X15">
            <v>0.76178923162845935</v>
          </cell>
          <cell r="Y15">
            <v>0.76193999999999995</v>
          </cell>
          <cell r="Z15">
            <v>0.95238800000000001</v>
          </cell>
          <cell r="AA15">
            <v>0.95799999999999996</v>
          </cell>
          <cell r="AB15" t="str">
            <v>부적정</v>
          </cell>
          <cell r="AC15">
            <v>64.499600000000001</v>
          </cell>
          <cell r="AD15">
            <v>0</v>
          </cell>
          <cell r="AE15">
            <v>4</v>
          </cell>
          <cell r="AF15">
            <v>68.499600000000001</v>
          </cell>
          <cell r="AG15" t="str">
            <v>NG</v>
          </cell>
          <cell r="AI15">
            <v>11</v>
          </cell>
          <cell r="AJ15">
            <v>0.7540007747208789</v>
          </cell>
          <cell r="AK15">
            <v>0.24342630310830982</v>
          </cell>
          <cell r="AL15">
            <v>2.5729221708112762E-3</v>
          </cell>
          <cell r="AM15">
            <v>0.96803925728222773</v>
          </cell>
          <cell r="AN15">
            <v>0.95797659239136501</v>
          </cell>
          <cell r="AO15">
            <v>14.342038837192897</v>
          </cell>
          <cell r="AP15">
            <v>0.76185582410767116</v>
          </cell>
          <cell r="AQ15">
            <v>0.76193</v>
          </cell>
          <cell r="AR15">
            <v>6.659896279626043E-5</v>
          </cell>
          <cell r="AS15">
            <v>0.76178923162845935</v>
          </cell>
        </row>
        <row r="16">
          <cell r="D16" t="str">
            <v>A12</v>
          </cell>
          <cell r="E16" t="str">
            <v>PL창호공사</v>
          </cell>
          <cell r="F16">
            <v>4352606900</v>
          </cell>
          <cell r="G16">
            <v>401131450</v>
          </cell>
          <cell r="H16">
            <v>7620</v>
          </cell>
          <cell r="I16">
            <v>4753745970</v>
          </cell>
          <cell r="J16">
            <v>4.8868932024215168E-2</v>
          </cell>
          <cell r="K16">
            <v>4352606900</v>
          </cell>
          <cell r="L16">
            <v>401131450</v>
          </cell>
          <cell r="M16">
            <v>7620</v>
          </cell>
          <cell r="N16">
            <v>4753745970</v>
          </cell>
          <cell r="O16">
            <v>1</v>
          </cell>
          <cell r="P16">
            <v>3176484900</v>
          </cell>
          <cell r="Q16">
            <v>292745586</v>
          </cell>
          <cell r="R16">
            <v>152109978</v>
          </cell>
          <cell r="S16">
            <v>3621340464</v>
          </cell>
          <cell r="T16">
            <v>0.87715721059029372</v>
          </cell>
          <cell r="U16">
            <v>8.0839012213903785E-2</v>
          </cell>
          <cell r="V16">
            <v>4.2003777195802484E-2</v>
          </cell>
          <cell r="W16">
            <v>0.76178670186703312</v>
          </cell>
          <cell r="X16">
            <v>0.76178280847790536</v>
          </cell>
          <cell r="Y16">
            <v>0.76193999999999995</v>
          </cell>
          <cell r="Z16">
            <v>0.95238800000000001</v>
          </cell>
          <cell r="AA16">
            <v>0.95799999999999996</v>
          </cell>
          <cell r="AB16" t="str">
            <v>부적정</v>
          </cell>
          <cell r="AC16">
            <v>63.980199999999989</v>
          </cell>
          <cell r="AD16">
            <v>0</v>
          </cell>
          <cell r="AE16">
            <v>4</v>
          </cell>
          <cell r="AF16">
            <v>67.980199999999996</v>
          </cell>
          <cell r="AG16" t="str">
            <v>NG</v>
          </cell>
          <cell r="AI16">
            <v>12</v>
          </cell>
          <cell r="AJ16">
            <v>0.9156162166570293</v>
          </cell>
          <cell r="AK16">
            <v>8.438218039656839E-2</v>
          </cell>
          <cell r="AL16">
            <v>1.6029464022874575E-6</v>
          </cell>
          <cell r="AM16">
            <v>0.9579965870338647</v>
          </cell>
          <cell r="AN16">
            <v>0.95801046896379205</v>
          </cell>
          <cell r="AO16">
            <v>26204.105848992647</v>
          </cell>
          <cell r="AP16">
            <v>0.76192610587849485</v>
          </cell>
          <cell r="AQ16">
            <v>0.76193</v>
          </cell>
          <cell r="AR16">
            <v>1.4329813296687366E-4</v>
          </cell>
          <cell r="AS16">
            <v>0.76178280847790536</v>
          </cell>
        </row>
        <row r="17">
          <cell r="D17" t="str">
            <v>A13</v>
          </cell>
          <cell r="E17" t="str">
            <v>유리공사</v>
          </cell>
          <cell r="F17">
            <v>1607800286</v>
          </cell>
          <cell r="G17">
            <v>363563586</v>
          </cell>
          <cell r="H17">
            <v>0</v>
          </cell>
          <cell r="I17">
            <v>1971363872</v>
          </cell>
          <cell r="J17">
            <v>2.0265796208660602E-2</v>
          </cell>
          <cell r="K17">
            <v>1607800286</v>
          </cell>
          <cell r="L17">
            <v>363563586</v>
          </cell>
          <cell r="M17">
            <v>0</v>
          </cell>
          <cell r="N17">
            <v>1971363872</v>
          </cell>
          <cell r="O17">
            <v>1</v>
          </cell>
          <cell r="P17">
            <v>1175723124</v>
          </cell>
          <cell r="Q17">
            <v>265314408</v>
          </cell>
          <cell r="R17">
            <v>60956095</v>
          </cell>
          <cell r="S17">
            <v>1501993627</v>
          </cell>
          <cell r="T17">
            <v>0.7827750416946343</v>
          </cell>
          <cell r="U17">
            <v>0.17664150049020147</v>
          </cell>
          <cell r="V17">
            <v>4.0583457815164217E-2</v>
          </cell>
          <cell r="W17">
            <v>0.76190582993498224</v>
          </cell>
          <cell r="X17">
            <v>0.76168716475136222</v>
          </cell>
          <cell r="Y17">
            <v>0.76193999999999995</v>
          </cell>
          <cell r="Z17">
            <v>0.95238800000000001</v>
          </cell>
          <cell r="AA17">
            <v>0.95799999999999996</v>
          </cell>
          <cell r="AB17" t="str">
            <v>부적정</v>
          </cell>
          <cell r="AC17">
            <v>64.27</v>
          </cell>
          <cell r="AD17">
            <v>0</v>
          </cell>
          <cell r="AE17">
            <v>5</v>
          </cell>
          <cell r="AF17">
            <v>69.27</v>
          </cell>
          <cell r="AG17" t="str">
            <v>NG</v>
          </cell>
          <cell r="AI17">
            <v>13</v>
          </cell>
          <cell r="AJ17">
            <v>0.81557763578615483</v>
          </cell>
          <cell r="AK17">
            <v>0.18442236421384514</v>
          </cell>
          <cell r="AL17">
            <v>0</v>
          </cell>
          <cell r="AM17">
            <v>0.95977992449498528</v>
          </cell>
          <cell r="AN17">
            <v>0.95780954356153114</v>
          </cell>
          <cell r="AO17">
            <v>1</v>
          </cell>
          <cell r="AP17">
            <v>0.76171132787962814</v>
          </cell>
          <cell r="AQ17">
            <v>0.76193</v>
          </cell>
          <cell r="AR17">
            <v>2.4170065017758979E-5</v>
          </cell>
          <cell r="AS17">
            <v>0.76168716475136222</v>
          </cell>
        </row>
        <row r="18">
          <cell r="D18" t="str">
            <v>A14</v>
          </cell>
          <cell r="E18" t="str">
            <v>금속,도장,바닥마감,몰딩류설치공사</v>
          </cell>
          <cell r="F18">
            <v>520886553</v>
          </cell>
          <cell r="G18">
            <v>698202324</v>
          </cell>
          <cell r="H18">
            <v>13407273</v>
          </cell>
          <cell r="I18">
            <v>1232496150</v>
          </cell>
          <cell r="J18">
            <v>1.2670170209885426E-2</v>
          </cell>
          <cell r="K18">
            <v>520886553</v>
          </cell>
          <cell r="L18">
            <v>698202324</v>
          </cell>
          <cell r="M18">
            <v>13407273</v>
          </cell>
          <cell r="N18">
            <v>1232496150</v>
          </cell>
          <cell r="O18">
            <v>1</v>
          </cell>
          <cell r="P18">
            <v>390336602</v>
          </cell>
          <cell r="Q18">
            <v>509774554</v>
          </cell>
          <cell r="R18">
            <v>39603997</v>
          </cell>
          <cell r="S18">
            <v>939715153</v>
          </cell>
          <cell r="T18">
            <v>0.41537757559178146</v>
          </cell>
          <cell r="U18">
            <v>0.54247774165667839</v>
          </cell>
          <cell r="V18">
            <v>4.2144682751540138E-2</v>
          </cell>
          <cell r="W18">
            <v>0.76244875328819484</v>
          </cell>
          <cell r="X18">
            <v>0.76192508227597633</v>
          </cell>
          <cell r="Y18">
            <v>0.76193999999999995</v>
          </cell>
          <cell r="Z18">
            <v>0.95238800000000001</v>
          </cell>
          <cell r="AA18">
            <v>0.95799999999999996</v>
          </cell>
          <cell r="AB18" t="str">
            <v/>
          </cell>
          <cell r="AC18">
            <v>72.05</v>
          </cell>
          <cell r="AD18">
            <v>0</v>
          </cell>
          <cell r="AE18">
            <v>4</v>
          </cell>
          <cell r="AF18">
            <v>76.05</v>
          </cell>
          <cell r="AG18" t="str">
            <v>NG</v>
          </cell>
          <cell r="AI18">
            <v>14</v>
          </cell>
          <cell r="AJ18">
            <v>0.42262732666548292</v>
          </cell>
          <cell r="AK18">
            <v>0.56649452738655615</v>
          </cell>
          <cell r="AL18">
            <v>1.0878145947960974E-2</v>
          </cell>
          <cell r="AM18">
            <v>0.98284599547572615</v>
          </cell>
          <cell r="AN18">
            <v>0.95760455826347368</v>
          </cell>
          <cell r="AO18">
            <v>3.8742523728907901</v>
          </cell>
          <cell r="AP18">
            <v>0.76140668528196964</v>
          </cell>
          <cell r="AQ18">
            <v>0.76193</v>
          </cell>
          <cell r="AR18">
            <v>-5.1875328819483979E-4</v>
          </cell>
          <cell r="AS18">
            <v>0.76192508227597633</v>
          </cell>
        </row>
        <row r="19">
          <cell r="D19" t="str">
            <v>A15</v>
          </cell>
          <cell r="E19" t="str">
            <v>도배,부탁시설물,가구공사</v>
          </cell>
          <cell r="F19">
            <v>2783200395</v>
          </cell>
          <cell r="G19">
            <v>1069213250</v>
          </cell>
          <cell r="H19">
            <v>28072772</v>
          </cell>
          <cell r="I19">
            <v>3880486417</v>
          </cell>
          <cell r="J19">
            <v>3.9891746031448808E-2</v>
          </cell>
          <cell r="K19">
            <v>2783200395</v>
          </cell>
          <cell r="L19">
            <v>1069213250</v>
          </cell>
          <cell r="M19">
            <v>28072772</v>
          </cell>
          <cell r="N19">
            <v>3880486417</v>
          </cell>
          <cell r="O19">
            <v>1</v>
          </cell>
          <cell r="P19">
            <v>2031360113</v>
          </cell>
          <cell r="Q19">
            <v>780385111</v>
          </cell>
          <cell r="R19">
            <v>144910684</v>
          </cell>
          <cell r="S19">
            <v>2956655908</v>
          </cell>
          <cell r="T19">
            <v>0.68704650666437983</v>
          </cell>
          <cell r="U19">
            <v>0.26394180969400788</v>
          </cell>
          <cell r="V19">
            <v>4.9011683641612312E-2</v>
          </cell>
          <cell r="W19">
            <v>0.76192919914555135</v>
          </cell>
          <cell r="X19">
            <v>0.7617823282810432</v>
          </cell>
          <cell r="Y19">
            <v>0.76193999999999995</v>
          </cell>
          <cell r="Z19">
            <v>0.95238800000000001</v>
          </cell>
          <cell r="AA19">
            <v>0.95799999999999996</v>
          </cell>
          <cell r="AB19" t="str">
            <v/>
          </cell>
          <cell r="AC19">
            <v>64.710000000000008</v>
          </cell>
          <cell r="AD19">
            <v>0</v>
          </cell>
          <cell r="AE19">
            <v>4</v>
          </cell>
          <cell r="AF19">
            <v>68.710000000000008</v>
          </cell>
          <cell r="AG19" t="str">
            <v>NG</v>
          </cell>
          <cell r="AI19">
            <v>15</v>
          </cell>
          <cell r="AJ19">
            <v>0.71722977377451802</v>
          </cell>
          <cell r="AK19">
            <v>0.27553588264499262</v>
          </cell>
          <cell r="AL19">
            <v>7.2343435804893327E-3</v>
          </cell>
          <cell r="AM19">
            <v>0.95791687934077985</v>
          </cell>
          <cell r="AN19">
            <v>0.95792173113828938</v>
          </cell>
          <cell r="AO19">
            <v>6.7748625837725491</v>
          </cell>
          <cell r="AP19">
            <v>0.76178312898111755</v>
          </cell>
          <cell r="AQ19">
            <v>0.76193</v>
          </cell>
          <cell r="AR19">
            <v>8.0085444864597122E-7</v>
          </cell>
          <cell r="AS19">
            <v>0.7617823282810432</v>
          </cell>
        </row>
        <row r="20">
          <cell r="D20" t="str">
            <v>A16</v>
          </cell>
          <cell r="E20" t="str">
            <v>조립식욕실공사</v>
          </cell>
          <cell r="F20">
            <v>2290745380</v>
          </cell>
          <cell r="G20">
            <v>362700000</v>
          </cell>
          <cell r="H20">
            <v>0</v>
          </cell>
          <cell r="I20">
            <v>2653445380</v>
          </cell>
          <cell r="J20">
            <v>2.727765486913214E-2</v>
          </cell>
          <cell r="K20">
            <v>2290745380</v>
          </cell>
          <cell r="L20">
            <v>362700000</v>
          </cell>
          <cell r="M20">
            <v>0</v>
          </cell>
          <cell r="N20">
            <v>2653445380</v>
          </cell>
          <cell r="O20">
            <v>1</v>
          </cell>
          <cell r="P20">
            <v>1674058036</v>
          </cell>
          <cell r="Q20">
            <v>264702440</v>
          </cell>
          <cell r="R20">
            <v>82644596</v>
          </cell>
          <cell r="S20">
            <v>2021405072</v>
          </cell>
          <cell r="T20">
            <v>0.82816554642542228</v>
          </cell>
          <cell r="U20">
            <v>0.13094972584495423</v>
          </cell>
          <cell r="V20">
            <v>4.0884727729623503E-2</v>
          </cell>
          <cell r="W20">
            <v>0.76180391246644019</v>
          </cell>
          <cell r="X20">
            <v>0.7618007785300217</v>
          </cell>
          <cell r="Y20">
            <v>0.76193999999999995</v>
          </cell>
          <cell r="Z20">
            <v>0.95238800000000001</v>
          </cell>
          <cell r="AA20">
            <v>0.95799999999999996</v>
          </cell>
          <cell r="AB20" t="str">
            <v>부적정</v>
          </cell>
          <cell r="AC20">
            <v>64.009700000000009</v>
          </cell>
          <cell r="AD20">
            <v>0</v>
          </cell>
          <cell r="AE20">
            <v>5</v>
          </cell>
          <cell r="AF20">
            <v>69.009700000000009</v>
          </cell>
          <cell r="AG20" t="str">
            <v>NG</v>
          </cell>
          <cell r="AI20">
            <v>16</v>
          </cell>
          <cell r="AJ20">
            <v>0.86330979234251282</v>
          </cell>
          <cell r="AK20">
            <v>0.13669020765748718</v>
          </cell>
          <cell r="AL20">
            <v>0</v>
          </cell>
          <cell r="AM20">
            <v>0.959291269218979</v>
          </cell>
          <cell r="AN20">
            <v>0.95800370845205518</v>
          </cell>
          <cell r="AO20">
            <v>1</v>
          </cell>
          <cell r="AP20">
            <v>0.7619268655448781</v>
          </cell>
          <cell r="AQ20">
            <v>0.76193</v>
          </cell>
          <cell r="AR20">
            <v>1.260875335598044E-4</v>
          </cell>
          <cell r="AS20">
            <v>0.7618007785300217</v>
          </cell>
        </row>
        <row r="21">
          <cell r="D21" t="str">
            <v>A17</v>
          </cell>
          <cell r="E21" t="str">
            <v>토,파일공사</v>
          </cell>
          <cell r="F21">
            <v>3140756000</v>
          </cell>
          <cell r="G21">
            <v>97423000</v>
          </cell>
          <cell r="H21">
            <v>0</v>
          </cell>
          <cell r="I21">
            <v>3238179000</v>
          </cell>
          <cell r="J21">
            <v>3.328876856944063E-2</v>
          </cell>
          <cell r="K21">
            <v>3140756000</v>
          </cell>
          <cell r="L21">
            <v>97423000</v>
          </cell>
          <cell r="M21">
            <v>0</v>
          </cell>
          <cell r="N21">
            <v>3238179000</v>
          </cell>
          <cell r="O21">
            <v>1</v>
          </cell>
          <cell r="P21">
            <v>2292527556</v>
          </cell>
          <cell r="Q21">
            <v>71112638</v>
          </cell>
          <cell r="R21">
            <v>103626926</v>
          </cell>
          <cell r="S21">
            <v>2467267120</v>
          </cell>
          <cell r="T21">
            <v>0.9291768764786198</v>
          </cell>
          <cell r="U21">
            <v>2.8822431678982532E-2</v>
          </cell>
          <cell r="V21">
            <v>4.2000691842397672E-2</v>
          </cell>
          <cell r="W21">
            <v>0.76193043065253652</v>
          </cell>
          <cell r="X21">
            <v>0.76192928703806628</v>
          </cell>
          <cell r="Y21">
            <v>0.76193999999999995</v>
          </cell>
          <cell r="Z21">
            <v>0.95238800000000001</v>
          </cell>
          <cell r="AA21">
            <v>0.95799999999999996</v>
          </cell>
          <cell r="AB21" t="str">
            <v/>
          </cell>
          <cell r="AC21">
            <v>72.009900000000002</v>
          </cell>
          <cell r="AD21">
            <v>0</v>
          </cell>
          <cell r="AE21">
            <v>5</v>
          </cell>
          <cell r="AF21">
            <v>77.009900000000002</v>
          </cell>
          <cell r="AG21" t="str">
            <v>NG</v>
          </cell>
          <cell r="AI21">
            <v>17</v>
          </cell>
          <cell r="AJ21">
            <v>0.96991426354132981</v>
          </cell>
          <cell r="AK21">
            <v>3.0085736458670135E-2</v>
          </cell>
          <cell r="AL21">
            <v>0</v>
          </cell>
          <cell r="AM21">
            <v>0.95799898135947548</v>
          </cell>
          <cell r="AN21">
            <v>0.95800984358740726</v>
          </cell>
          <cell r="AO21">
            <v>1</v>
          </cell>
          <cell r="AP21">
            <v>0.76192885638617613</v>
          </cell>
          <cell r="AQ21">
            <v>0.76193</v>
          </cell>
          <cell r="AR21">
            <v>-4.3065253652052604E-7</v>
          </cell>
          <cell r="AS21">
            <v>0.76192928703806628</v>
          </cell>
        </row>
        <row r="22">
          <cell r="D22" t="str">
            <v>A18</v>
          </cell>
          <cell r="E22" t="str">
            <v>철근콘크리트공사</v>
          </cell>
          <cell r="F22">
            <v>985429465</v>
          </cell>
          <cell r="G22">
            <v>726204437</v>
          </cell>
          <cell r="H22">
            <v>16554392</v>
          </cell>
          <cell r="I22">
            <v>1728188294</v>
          </cell>
          <cell r="J22">
            <v>1.7765929605306693E-2</v>
          </cell>
          <cell r="K22">
            <v>985429465</v>
          </cell>
          <cell r="L22">
            <v>726204437</v>
          </cell>
          <cell r="M22">
            <v>16554392</v>
          </cell>
          <cell r="N22">
            <v>1728188294</v>
          </cell>
          <cell r="O22">
            <v>1</v>
          </cell>
          <cell r="P22">
            <v>720172090</v>
          </cell>
          <cell r="Q22">
            <v>529913611</v>
          </cell>
          <cell r="R22">
            <v>66469662</v>
          </cell>
          <cell r="S22">
            <v>1316555363</v>
          </cell>
          <cell r="T22">
            <v>0.54701238568423194</v>
          </cell>
          <cell r="U22">
            <v>0.40250005878408318</v>
          </cell>
          <cell r="V22">
            <v>5.0487555531684845E-2</v>
          </cell>
          <cell r="W22">
            <v>0.76181245271182241</v>
          </cell>
          <cell r="X22">
            <v>0.76159180802172288</v>
          </cell>
          <cell r="Y22">
            <v>0.76193999999999995</v>
          </cell>
          <cell r="Z22">
            <v>0.95238800000000001</v>
          </cell>
          <cell r="AA22">
            <v>0.95799999999999996</v>
          </cell>
          <cell r="AB22" t="str">
            <v>부적정</v>
          </cell>
          <cell r="AC22">
            <v>65.960200000000015</v>
          </cell>
          <cell r="AD22">
            <v>0</v>
          </cell>
          <cell r="AE22">
            <v>4</v>
          </cell>
          <cell r="AF22">
            <v>69.960200000000015</v>
          </cell>
          <cell r="AG22" t="str">
            <v>NG</v>
          </cell>
          <cell r="AI22">
            <v>18</v>
          </cell>
          <cell r="AJ22">
            <v>0.57020954743256702</v>
          </cell>
          <cell r="AK22">
            <v>0.42021140839876558</v>
          </cell>
          <cell r="AL22">
            <v>9.5790441686674221E-3</v>
          </cell>
          <cell r="AM22">
            <v>0.95931818074112762</v>
          </cell>
          <cell r="AN22">
            <v>0.95785133563562141</v>
          </cell>
          <cell r="AO22">
            <v>5.2706256117731591</v>
          </cell>
          <cell r="AP22">
            <v>0.76170932126453295</v>
          </cell>
          <cell r="AQ22">
            <v>0.76193</v>
          </cell>
          <cell r="AR22">
            <v>1.1754728817758853E-4</v>
          </cell>
          <cell r="AS22">
            <v>0.76159180802172288</v>
          </cell>
        </row>
        <row r="23">
          <cell r="D23" t="str">
            <v>A19</v>
          </cell>
          <cell r="E23" t="str">
            <v>주차장 상부 콘크리트공사</v>
          </cell>
          <cell r="F23">
            <v>1768486979</v>
          </cell>
          <cell r="G23">
            <v>1110534287</v>
          </cell>
          <cell r="H23">
            <v>351618898</v>
          </cell>
          <cell r="I23">
            <v>3230640076</v>
          </cell>
          <cell r="J23">
            <v>3.321126775917084E-2</v>
          </cell>
          <cell r="K23">
            <v>1768486979</v>
          </cell>
          <cell r="L23">
            <v>1110534287</v>
          </cell>
          <cell r="M23">
            <v>351618898</v>
          </cell>
          <cell r="N23">
            <v>3230640164</v>
          </cell>
          <cell r="O23">
            <v>1.0000000272391842</v>
          </cell>
          <cell r="P23">
            <v>1323954542</v>
          </cell>
          <cell r="Q23">
            <v>810365961</v>
          </cell>
          <cell r="R23">
            <v>326267825</v>
          </cell>
          <cell r="S23">
            <v>2460588328</v>
          </cell>
          <cell r="T23">
            <v>0.53806422103779072</v>
          </cell>
          <cell r="U23">
            <v>0.32933829352050797</v>
          </cell>
          <cell r="V23">
            <v>0.13259748544170125</v>
          </cell>
          <cell r="W23">
            <v>0.76164112068050749</v>
          </cell>
          <cell r="X23">
            <v>0.761309465023285</v>
          </cell>
          <cell r="Y23">
            <v>0.76193999999999995</v>
          </cell>
          <cell r="Z23">
            <v>0.95238800000000001</v>
          </cell>
          <cell r="AA23">
            <v>0.95799999999999996</v>
          </cell>
          <cell r="AB23" t="str">
            <v>부적정</v>
          </cell>
          <cell r="AC23">
            <v>65.660299999999992</v>
          </cell>
          <cell r="AD23">
            <v>0</v>
          </cell>
          <cell r="AE23">
            <v>4</v>
          </cell>
          <cell r="AF23">
            <v>69.660299999999992</v>
          </cell>
          <cell r="AG23" t="str">
            <v>NG</v>
          </cell>
          <cell r="AI23">
            <v>19</v>
          </cell>
          <cell r="AJ23">
            <v>0.54741071038456346</v>
          </cell>
          <cell r="AK23">
            <v>0.34375054505452746</v>
          </cell>
          <cell r="AL23">
            <v>0.10883877180009327</v>
          </cell>
          <cell r="AM23">
            <v>0.98292600205025815</v>
          </cell>
          <cell r="AN23">
            <v>0.95807351656203676</v>
          </cell>
          <cell r="AO23">
            <v>1.2182927393304857</v>
          </cell>
          <cell r="AP23">
            <v>0.76159821855064536</v>
          </cell>
          <cell r="AQ23">
            <v>0.76193</v>
          </cell>
          <cell r="AR23">
            <v>2.8887931949250767E-4</v>
          </cell>
          <cell r="AS23">
            <v>0.761309465023285</v>
          </cell>
        </row>
        <row r="24">
          <cell r="D24" t="str">
            <v>A20</v>
          </cell>
          <cell r="E24" t="str">
            <v>주차장 상부 기타공사</v>
          </cell>
          <cell r="F24">
            <v>3812992421</v>
          </cell>
          <cell r="G24">
            <v>1542328619</v>
          </cell>
          <cell r="H24">
            <v>124196358</v>
          </cell>
          <cell r="I24">
            <v>5479517397</v>
          </cell>
          <cell r="J24">
            <v>5.6329926943802899E-2</v>
          </cell>
          <cell r="K24">
            <v>3812992421</v>
          </cell>
          <cell r="L24">
            <v>1542328619</v>
          </cell>
          <cell r="M24">
            <v>124196358</v>
          </cell>
          <cell r="N24">
            <v>5479517398</v>
          </cell>
          <cell r="O24">
            <v>1.0000000001824978</v>
          </cell>
          <cell r="P24">
            <v>2861605376</v>
          </cell>
          <cell r="Q24">
            <v>1125889125</v>
          </cell>
          <cell r="R24">
            <v>187737813</v>
          </cell>
          <cell r="S24">
            <v>4175232314</v>
          </cell>
          <cell r="T24">
            <v>0.68537632418793359</v>
          </cell>
          <cell r="U24">
            <v>0.26965903698933674</v>
          </cell>
          <cell r="V24">
            <v>4.4964638822729712E-2</v>
          </cell>
          <cell r="W24">
            <v>0.76197081083927432</v>
          </cell>
          <cell r="X24">
            <v>0.76233906814887364</v>
          </cell>
          <cell r="Y24">
            <v>0.76193999999999995</v>
          </cell>
          <cell r="Z24">
            <v>0.95238800000000001</v>
          </cell>
          <cell r="AA24">
            <v>0.95799999999999996</v>
          </cell>
          <cell r="AB24" t="str">
            <v/>
          </cell>
          <cell r="AC24">
            <v>67.400200000000012</v>
          </cell>
          <cell r="AD24">
            <v>0</v>
          </cell>
          <cell r="AE24">
            <v>4</v>
          </cell>
          <cell r="AF24">
            <v>71.400200000000012</v>
          </cell>
          <cell r="AG24" t="str">
            <v>NG</v>
          </cell>
          <cell r="AI24">
            <v>20</v>
          </cell>
          <cell r="AJ24">
            <v>0.69586281870144051</v>
          </cell>
          <cell r="AK24">
            <v>0.28147161643184393</v>
          </cell>
          <cell r="AL24">
            <v>2.2665565049213403E-2</v>
          </cell>
          <cell r="AM24">
            <v>0.98493022729239088</v>
          </cell>
          <cell r="AN24">
            <v>0.95803278642353795</v>
          </cell>
          <cell r="AO24">
            <v>1.9838304813976031</v>
          </cell>
          <cell r="AP24">
            <v>0.76229823758589121</v>
          </cell>
          <cell r="AQ24">
            <v>0.76193</v>
          </cell>
          <cell r="AR24">
            <v>-4.0810839274318944E-5</v>
          </cell>
          <cell r="AS24">
            <v>0.76233906814887364</v>
          </cell>
        </row>
        <row r="25">
          <cell r="D25" t="str">
            <v>A21</v>
          </cell>
          <cell r="E25" t="str">
            <v>주차장 기초공사</v>
          </cell>
          <cell r="F25">
            <v>885317279</v>
          </cell>
          <cell r="G25">
            <v>1253344830</v>
          </cell>
          <cell r="H25">
            <v>22154248</v>
          </cell>
          <cell r="I25">
            <v>2160816357</v>
          </cell>
          <cell r="J25">
            <v>2.2213384630446555E-2</v>
          </cell>
          <cell r="K25">
            <v>885317279</v>
          </cell>
          <cell r="L25">
            <v>1253344830</v>
          </cell>
          <cell r="M25">
            <v>22158691</v>
          </cell>
          <cell r="N25">
            <v>2160820800</v>
          </cell>
          <cell r="O25">
            <v>1.0000020561673302</v>
          </cell>
          <cell r="P25">
            <v>649211898</v>
          </cell>
          <cell r="Q25">
            <v>914809246</v>
          </cell>
          <cell r="R25">
            <v>82638788</v>
          </cell>
          <cell r="S25">
            <v>1646659932</v>
          </cell>
          <cell r="T25">
            <v>0.39425985012672304</v>
          </cell>
          <cell r="U25">
            <v>0.55555444583441771</v>
          </cell>
          <cell r="V25">
            <v>5.0185704038859191E-2</v>
          </cell>
          <cell r="W25">
            <v>0.76205454788678273</v>
          </cell>
          <cell r="X25">
            <v>0.7617599561449061</v>
          </cell>
          <cell r="Y25">
            <v>0.76193999999999995</v>
          </cell>
          <cell r="Z25">
            <v>0.95238800000000001</v>
          </cell>
          <cell r="AA25">
            <v>0.95799999999999996</v>
          </cell>
          <cell r="AB25" t="str">
            <v/>
          </cell>
          <cell r="AC25">
            <v>67.060400000000001</v>
          </cell>
          <cell r="AD25">
            <v>0</v>
          </cell>
          <cell r="AE25">
            <v>4</v>
          </cell>
          <cell r="AF25">
            <v>71.060400000000001</v>
          </cell>
          <cell r="AG25" t="str">
            <v>NG</v>
          </cell>
          <cell r="AI25">
            <v>21</v>
          </cell>
          <cell r="AJ25">
            <v>0.40971426198806771</v>
          </cell>
          <cell r="AK25">
            <v>0.58003301666047136</v>
          </cell>
          <cell r="AL25">
            <v>1.0252721351460966E-2</v>
          </cell>
          <cell r="AM25">
            <v>0.96228002465338947</v>
          </cell>
          <cell r="AN25">
            <v>0.95779796990352628</v>
          </cell>
          <cell r="AO25">
            <v>4.8948666718332259</v>
          </cell>
          <cell r="AP25">
            <v>0.76163545640530528</v>
          </cell>
          <cell r="AQ25">
            <v>0.76193</v>
          </cell>
          <cell r="AR25">
            <v>-1.2454788678273321E-4</v>
          </cell>
          <cell r="AS25">
            <v>0.7617599561449061</v>
          </cell>
        </row>
        <row r="26">
          <cell r="D26" t="str">
            <v>A22</v>
          </cell>
          <cell r="E26" t="str">
            <v>판매시설</v>
          </cell>
          <cell r="F26">
            <v>2188929453</v>
          </cell>
          <cell r="G26">
            <v>765470571</v>
          </cell>
          <cell r="H26">
            <v>399865767</v>
          </cell>
          <cell r="I26">
            <v>3354265790</v>
          </cell>
          <cell r="J26">
            <v>3.4482151111381407E-2</v>
          </cell>
          <cell r="K26">
            <v>2188929453</v>
          </cell>
          <cell r="L26">
            <v>765470571</v>
          </cell>
          <cell r="M26">
            <v>399865767</v>
          </cell>
          <cell r="N26">
            <v>3354265791</v>
          </cell>
          <cell r="O26">
            <v>1.0000000002981277</v>
          </cell>
          <cell r="P26">
            <v>1647221392</v>
          </cell>
          <cell r="Q26">
            <v>558568718</v>
          </cell>
          <cell r="R26">
            <v>349199111</v>
          </cell>
          <cell r="S26">
            <v>2554989221</v>
          </cell>
          <cell r="T26">
            <v>0.64470776567710619</v>
          </cell>
          <cell r="U26">
            <v>0.21861881584822546</v>
          </cell>
          <cell r="V26">
            <v>0.13667341847466838</v>
          </cell>
          <cell r="W26">
            <v>0.76171340643819407</v>
          </cell>
          <cell r="X26">
            <v>0.76196806325653788</v>
          </cell>
          <cell r="Y26">
            <v>0.76193999999999995</v>
          </cell>
          <cell r="Z26">
            <v>0.95238800000000001</v>
          </cell>
          <cell r="AA26">
            <v>0.95799999999999996</v>
          </cell>
          <cell r="AB26" t="str">
            <v>부적정</v>
          </cell>
          <cell r="AC26">
            <v>65.010200000000012</v>
          </cell>
          <cell r="AD26">
            <v>0</v>
          </cell>
          <cell r="AE26">
            <v>5</v>
          </cell>
          <cell r="AF26">
            <v>70.010200000000012</v>
          </cell>
          <cell r="AG26" t="str">
            <v>NG</v>
          </cell>
          <cell r="AI26">
            <v>22</v>
          </cell>
          <cell r="AJ26">
            <v>0.65258080010409669</v>
          </cell>
          <cell r="AK26">
            <v>0.22820808454776625</v>
          </cell>
          <cell r="AL26">
            <v>0.11921111564626487</v>
          </cell>
          <cell r="AM26">
            <v>0.98793554081619528</v>
          </cell>
          <cell r="AN26">
            <v>0.95798015342645026</v>
          </cell>
          <cell r="AO26">
            <v>1.1464821693324254</v>
          </cell>
          <cell r="AP26">
            <v>0.7621847292301287</v>
          </cell>
          <cell r="AQ26">
            <v>0.76193</v>
          </cell>
          <cell r="AR26">
            <v>2.1659356180592226E-4</v>
          </cell>
          <cell r="AS26">
            <v>0.76196806325653788</v>
          </cell>
        </row>
        <row r="27">
          <cell r="D27" t="str">
            <v>A23</v>
          </cell>
          <cell r="E27" t="str">
            <v>복지시설, 기타시설</v>
          </cell>
          <cell r="F27">
            <v>1616497188</v>
          </cell>
          <cell r="G27">
            <v>856239000</v>
          </cell>
          <cell r="H27">
            <v>48804509</v>
          </cell>
          <cell r="I27">
            <v>2521540620</v>
          </cell>
          <cell r="J27">
            <v>2.5921662186563447E-2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X27">
            <v>0.76140251085125221</v>
          </cell>
          <cell r="Y27">
            <v>0.76193999999999995</v>
          </cell>
          <cell r="Z27">
            <v>0.95238800000000001</v>
          </cell>
          <cell r="AA27">
            <v>0.95799999999999996</v>
          </cell>
          <cell r="AB27" t="e">
            <v>#N/A</v>
          </cell>
          <cell r="AC27" t="e">
            <v>#N/A</v>
          </cell>
          <cell r="AD27">
            <v>0</v>
          </cell>
          <cell r="AE27">
            <v>5</v>
          </cell>
          <cell r="AF27" t="e">
            <v>#N/A</v>
          </cell>
          <cell r="AG27" t="e">
            <v>#N/A</v>
          </cell>
          <cell r="AI27">
            <v>23</v>
          </cell>
          <cell r="AJ27">
            <v>0.64107521218516006</v>
          </cell>
          <cell r="AK27">
            <v>0.33956978254032649</v>
          </cell>
          <cell r="AL27">
            <v>1.9355035811400096E-2</v>
          </cell>
          <cell r="AM27" t="e">
            <v>#N/A</v>
          </cell>
          <cell r="AN27" t="e">
            <v>#N/A</v>
          </cell>
          <cell r="AO27" t="e">
            <v>#N/A</v>
          </cell>
          <cell r="AP27" t="e">
            <v>#N/A</v>
          </cell>
          <cell r="AQ27">
            <v>0.76193</v>
          </cell>
          <cell r="AR27" t="e">
            <v>#N/A</v>
          </cell>
          <cell r="AS27">
            <v>0.76140251085125221</v>
          </cell>
        </row>
        <row r="28">
          <cell r="D28" t="str">
            <v>C01</v>
          </cell>
          <cell r="E28" t="str">
            <v>토목공사1</v>
          </cell>
          <cell r="F28">
            <v>622705965</v>
          </cell>
          <cell r="G28">
            <v>501484660</v>
          </cell>
          <cell r="H28">
            <v>94098797</v>
          </cell>
          <cell r="I28">
            <v>1218289422</v>
          </cell>
          <cell r="J28">
            <v>1.2524123780543198E-2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X28">
            <v>0.76144741654014125</v>
          </cell>
          <cell r="Y28">
            <v>0.76193999999999995</v>
          </cell>
          <cell r="Z28">
            <v>0.95238800000000001</v>
          </cell>
          <cell r="AA28">
            <v>0.95799999999999996</v>
          </cell>
          <cell r="AB28" t="e">
            <v>#N/A</v>
          </cell>
          <cell r="AC28" t="e">
            <v>#N/A</v>
          </cell>
          <cell r="AD28">
            <v>0</v>
          </cell>
          <cell r="AE28">
            <v>5</v>
          </cell>
          <cell r="AF28" t="e">
            <v>#N/A</v>
          </cell>
          <cell r="AG28" t="e">
            <v>#N/A</v>
          </cell>
          <cell r="AI28">
            <v>24</v>
          </cell>
          <cell r="AJ28">
            <v>0.51113138943432446</v>
          </cell>
          <cell r="AK28">
            <v>0.41163015203459591</v>
          </cell>
          <cell r="AL28">
            <v>7.7238458531079648E-2</v>
          </cell>
          <cell r="AM28" t="e">
            <v>#N/A</v>
          </cell>
          <cell r="AN28" t="e">
            <v>#N/A</v>
          </cell>
          <cell r="AO28" t="e">
            <v>#N/A</v>
          </cell>
          <cell r="AP28" t="e">
            <v>#N/A</v>
          </cell>
          <cell r="AQ28">
            <v>0.76193</v>
          </cell>
          <cell r="AR28" t="e">
            <v>#N/A</v>
          </cell>
          <cell r="AS28">
            <v>0.76144741654014125</v>
          </cell>
        </row>
        <row r="29">
          <cell r="D29" t="str">
            <v>C02</v>
          </cell>
          <cell r="E29" t="str">
            <v>토목공사2</v>
          </cell>
          <cell r="F29">
            <v>552288236</v>
          </cell>
          <cell r="G29">
            <v>542953719</v>
          </cell>
          <cell r="H29">
            <v>236739805</v>
          </cell>
          <cell r="I29">
            <v>1331981759</v>
          </cell>
          <cell r="J29">
            <v>1.3692891132351682E-2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X29">
            <v>0.76205181017846391</v>
          </cell>
          <cell r="Y29">
            <v>0.76193999999999995</v>
          </cell>
          <cell r="Z29">
            <v>0.95238800000000001</v>
          </cell>
          <cell r="AA29">
            <v>0.95799999999999996</v>
          </cell>
          <cell r="AB29" t="e">
            <v>#N/A</v>
          </cell>
          <cell r="AC29" t="e">
            <v>#N/A</v>
          </cell>
          <cell r="AD29">
            <v>0</v>
          </cell>
          <cell r="AE29">
            <v>5</v>
          </cell>
          <cell r="AF29" t="e">
            <v>#N/A</v>
          </cell>
          <cell r="AG29" t="e">
            <v>#N/A</v>
          </cell>
          <cell r="AI29">
            <v>25</v>
          </cell>
          <cell r="AJ29">
            <v>0.41463648602413028</v>
          </cell>
          <cell r="AK29">
            <v>0.40762849440793281</v>
          </cell>
          <cell r="AL29">
            <v>0.17773502031869792</v>
          </cell>
          <cell r="AM29" t="e">
            <v>#N/A</v>
          </cell>
          <cell r="AN29" t="e">
            <v>#N/A</v>
          </cell>
          <cell r="AO29" t="e">
            <v>#N/A</v>
          </cell>
          <cell r="AP29" t="e">
            <v>#N/A</v>
          </cell>
          <cell r="AQ29">
            <v>0.76193</v>
          </cell>
          <cell r="AR29" t="e">
            <v>#N/A</v>
          </cell>
          <cell r="AS29">
            <v>0.76205181017846391</v>
          </cell>
        </row>
        <row r="30">
          <cell r="D30" t="str">
            <v>M01</v>
          </cell>
          <cell r="E30" t="str">
            <v>아파트 급수+급탕공사</v>
          </cell>
          <cell r="F30">
            <v>921301832</v>
          </cell>
          <cell r="G30">
            <v>981501032</v>
          </cell>
          <cell r="H30">
            <v>19410127</v>
          </cell>
          <cell r="I30">
            <v>1922212330</v>
          </cell>
          <cell r="J30">
            <v>1.976051397859576E-2</v>
          </cell>
          <cell r="K30">
            <v>921301832</v>
          </cell>
          <cell r="L30">
            <v>981501032</v>
          </cell>
          <cell r="M30">
            <v>19410127</v>
          </cell>
          <cell r="N30">
            <v>1922212991</v>
          </cell>
          <cell r="O30">
            <v>1.0000003438746021</v>
          </cell>
          <cell r="P30">
            <v>681960401</v>
          </cell>
          <cell r="Q30">
            <v>716451119</v>
          </cell>
          <cell r="R30">
            <v>66626698</v>
          </cell>
          <cell r="S30">
            <v>1465038218</v>
          </cell>
          <cell r="T30">
            <v>0.46548983679823702</v>
          </cell>
          <cell r="U30">
            <v>0.48903237485371864</v>
          </cell>
          <cell r="V30">
            <v>4.5477788348044307E-2</v>
          </cell>
          <cell r="W30">
            <v>0.76216253279365864</v>
          </cell>
          <cell r="X30">
            <v>0.76184189895160415</v>
          </cell>
          <cell r="Y30">
            <v>0.76193999999999995</v>
          </cell>
          <cell r="Z30">
            <v>0.95238800000000001</v>
          </cell>
          <cell r="AA30">
            <v>0.95799999999999996</v>
          </cell>
          <cell r="AB30" t="str">
            <v/>
          </cell>
          <cell r="AC30">
            <v>69.560200000000009</v>
          </cell>
          <cell r="AD30">
            <v>0</v>
          </cell>
          <cell r="AE30">
            <v>4</v>
          </cell>
          <cell r="AF30">
            <v>73.560200000000009</v>
          </cell>
          <cell r="AG30" t="str">
            <v>NG</v>
          </cell>
          <cell r="AI30">
            <v>26</v>
          </cell>
          <cell r="AJ30">
            <v>0.4792924369598649</v>
          </cell>
          <cell r="AK30">
            <v>0.5106101010183407</v>
          </cell>
          <cell r="AL30">
            <v>1.0097805896396472E-2</v>
          </cell>
          <cell r="AM30">
            <v>0.97120213235748665</v>
          </cell>
          <cell r="AN30">
            <v>0.95774128611716003</v>
          </cell>
          <cell r="AO30">
            <v>4.5037297027340983</v>
          </cell>
          <cell r="AP30">
            <v>0.76160946398207074</v>
          </cell>
          <cell r="AQ30">
            <v>0.76193</v>
          </cell>
          <cell r="AR30">
            <v>-2.3253279365864632E-4</v>
          </cell>
          <cell r="AS30">
            <v>0.76184189895160415</v>
          </cell>
        </row>
        <row r="31">
          <cell r="D31" t="str">
            <v>M02</v>
          </cell>
          <cell r="E31" t="str">
            <v>아파트 오배수공사</v>
          </cell>
          <cell r="F31">
            <v>2966035450</v>
          </cell>
          <cell r="G31">
            <v>2430032230</v>
          </cell>
          <cell r="H31">
            <v>48441956</v>
          </cell>
          <cell r="I31">
            <v>5444509120</v>
          </cell>
          <cell r="J31">
            <v>5.5970038737787151E-2</v>
          </cell>
          <cell r="K31">
            <v>2966035450</v>
          </cell>
          <cell r="L31">
            <v>2430032230</v>
          </cell>
          <cell r="M31">
            <v>48441956</v>
          </cell>
          <cell r="N31">
            <v>5444509636</v>
          </cell>
          <cell r="O31">
            <v>1.0000000947743843</v>
          </cell>
          <cell r="P31">
            <v>2190596903</v>
          </cell>
          <cell r="Q31">
            <v>1773469974</v>
          </cell>
          <cell r="R31">
            <v>184049592</v>
          </cell>
          <cell r="S31">
            <v>4148116469</v>
          </cell>
          <cell r="T31">
            <v>0.52809435785396219</v>
          </cell>
          <cell r="U31">
            <v>0.42753620522799257</v>
          </cell>
          <cell r="V31">
            <v>4.4369436918045221E-2</v>
          </cell>
          <cell r="W31">
            <v>0.76188989265574047</v>
          </cell>
          <cell r="X31">
            <v>0.76177179623274793</v>
          </cell>
          <cell r="Y31">
            <v>0.76193999999999995</v>
          </cell>
          <cell r="Z31">
            <v>0.95238800000000001</v>
          </cell>
          <cell r="AA31">
            <v>0.95799999999999996</v>
          </cell>
          <cell r="AB31" t="str">
            <v>부적정</v>
          </cell>
          <cell r="AC31">
            <v>65.999700000000004</v>
          </cell>
          <cell r="AD31">
            <v>0</v>
          </cell>
          <cell r="AE31">
            <v>4</v>
          </cell>
          <cell r="AF31">
            <v>69.999700000000004</v>
          </cell>
          <cell r="AG31" t="str">
            <v>NG</v>
          </cell>
          <cell r="AI31">
            <v>27</v>
          </cell>
          <cell r="AJ31">
            <v>0.54477554993975286</v>
          </cell>
          <cell r="AK31">
            <v>0.44632714840598892</v>
          </cell>
          <cell r="AL31">
            <v>8.8973964286425886E-3</v>
          </cell>
          <cell r="AM31">
            <v>0.96937969758805176</v>
          </cell>
          <cell r="AN31">
            <v>0.9578987223943104</v>
          </cell>
          <cell r="AO31">
            <v>4.9867888065783692</v>
          </cell>
          <cell r="AP31">
            <v>0.7618118973601854</v>
          </cell>
          <cell r="AQ31">
            <v>0.76193</v>
          </cell>
          <cell r="AR31">
            <v>4.0107344259521227E-5</v>
          </cell>
          <cell r="AS31">
            <v>0.76177179623274793</v>
          </cell>
        </row>
        <row r="32">
          <cell r="D32" t="str">
            <v>M03</v>
          </cell>
          <cell r="E32" t="str">
            <v>아파트 난방공사</v>
          </cell>
          <cell r="F32">
            <v>1210574942</v>
          </cell>
          <cell r="G32">
            <v>1935336088</v>
          </cell>
          <cell r="H32">
            <v>38358400</v>
          </cell>
          <cell r="I32">
            <v>3184269137</v>
          </cell>
          <cell r="J32">
            <v>3.2734570375635638E-2</v>
          </cell>
          <cell r="K32">
            <v>1210574942</v>
          </cell>
          <cell r="L32">
            <v>1935336088</v>
          </cell>
          <cell r="M32">
            <v>38358400</v>
          </cell>
          <cell r="N32">
            <v>3184269430</v>
          </cell>
          <cell r="O32">
            <v>1.0000000920148353</v>
          </cell>
          <cell r="P32">
            <v>885741655</v>
          </cell>
          <cell r="Q32">
            <v>1412662709</v>
          </cell>
          <cell r="R32">
            <v>128236618</v>
          </cell>
          <cell r="S32">
            <v>2426640982</v>
          </cell>
          <cell r="T32">
            <v>0.36500729261977</v>
          </cell>
          <cell r="U32">
            <v>0.58214738788253106</v>
          </cell>
          <cell r="V32">
            <v>5.2845319497698981E-2</v>
          </cell>
          <cell r="W32">
            <v>0.76207157045971774</v>
          </cell>
          <cell r="X32">
            <v>0.7617780601702111</v>
          </cell>
          <cell r="Y32">
            <v>0.76193999999999995</v>
          </cell>
          <cell r="Z32">
            <v>0.95238800000000001</v>
          </cell>
          <cell r="AA32">
            <v>0.95799999999999996</v>
          </cell>
          <cell r="AB32" t="str">
            <v/>
          </cell>
          <cell r="AC32">
            <v>68.590100000000007</v>
          </cell>
          <cell r="AD32">
            <v>0</v>
          </cell>
          <cell r="AE32">
            <v>4</v>
          </cell>
          <cell r="AF32">
            <v>72.590100000000007</v>
          </cell>
          <cell r="AG32" t="str">
            <v>NG</v>
          </cell>
          <cell r="AI32">
            <v>28</v>
          </cell>
          <cell r="AJ32">
            <v>0.38017356257157353</v>
          </cell>
          <cell r="AK32">
            <v>0.60778031150449208</v>
          </cell>
          <cell r="AL32">
            <v>1.2046217938769666E-2</v>
          </cell>
          <cell r="AM32">
            <v>0.96010698416477014</v>
          </cell>
          <cell r="AN32">
            <v>0.9578253471908138</v>
          </cell>
          <cell r="AO32">
            <v>4.386880576651456</v>
          </cell>
          <cell r="AP32">
            <v>0.7616365442360632</v>
          </cell>
          <cell r="AQ32">
            <v>0.76193</v>
          </cell>
          <cell r="AR32">
            <v>-1.4157045971774362E-4</v>
          </cell>
          <cell r="AS32">
            <v>0.7617780601702111</v>
          </cell>
        </row>
        <row r="33">
          <cell r="D33" t="str">
            <v>M04</v>
          </cell>
          <cell r="E33" t="str">
            <v>아파트 소화공사</v>
          </cell>
          <cell r="F33">
            <v>2300009107</v>
          </cell>
          <cell r="G33">
            <v>1747881620</v>
          </cell>
          <cell r="H33">
            <v>34327731</v>
          </cell>
          <cell r="I33">
            <v>4082217930</v>
          </cell>
          <cell r="J33">
            <v>4.1965563954861972E-2</v>
          </cell>
          <cell r="K33">
            <v>2300009107</v>
          </cell>
          <cell r="L33">
            <v>1747881620</v>
          </cell>
          <cell r="M33">
            <v>34327731</v>
          </cell>
          <cell r="N33">
            <v>4082218458</v>
          </cell>
          <cell r="O33">
            <v>1.0000001293414533</v>
          </cell>
          <cell r="P33">
            <v>1687408267</v>
          </cell>
          <cell r="Q33">
            <v>1275635328</v>
          </cell>
          <cell r="R33">
            <v>147072474</v>
          </cell>
          <cell r="S33">
            <v>3110116069</v>
          </cell>
          <cell r="T33">
            <v>0.5425547566597908</v>
          </cell>
          <cell r="U33">
            <v>0.41015682363589628</v>
          </cell>
          <cell r="V33">
            <v>4.7288419704312974E-2</v>
          </cell>
          <cell r="W33">
            <v>0.76186919031047418</v>
          </cell>
          <cell r="X33">
            <v>0.7617780601702111</v>
          </cell>
          <cell r="Y33">
            <v>0.76193999999999995</v>
          </cell>
          <cell r="Z33">
            <v>0.95238800000000001</v>
          </cell>
          <cell r="AA33">
            <v>0.95799999999999996</v>
          </cell>
          <cell r="AB33" t="str">
            <v>부적정</v>
          </cell>
          <cell r="AC33">
            <v>65.05</v>
          </cell>
          <cell r="AD33">
            <v>0</v>
          </cell>
          <cell r="AE33">
            <v>4</v>
          </cell>
          <cell r="AF33">
            <v>69.05</v>
          </cell>
          <cell r="AG33" t="str">
            <v>NG</v>
          </cell>
          <cell r="AI33">
            <v>29</v>
          </cell>
          <cell r="AJ33">
            <v>0.56342144060888</v>
          </cell>
          <cell r="AK33">
            <v>0.42816960044070945</v>
          </cell>
          <cell r="AL33">
            <v>8.4090882918639275E-3</v>
          </cell>
          <cell r="AM33">
            <v>0.9629643417074456</v>
          </cell>
          <cell r="AN33">
            <v>0.95793074336367445</v>
          </cell>
          <cell r="AO33">
            <v>5.6234894988635205</v>
          </cell>
          <cell r="AP33">
            <v>0.76183886258605316</v>
          </cell>
          <cell r="AQ33">
            <v>0.76193</v>
          </cell>
          <cell r="AR33">
            <v>6.0809689525820332E-5</v>
          </cell>
          <cell r="AS33">
            <v>0.7617780601702111</v>
          </cell>
        </row>
        <row r="34">
          <cell r="D34" t="str">
            <v>M05</v>
          </cell>
          <cell r="E34" t="str">
            <v>기타공사+위생기구공사</v>
          </cell>
          <cell r="F34">
            <v>3284590391</v>
          </cell>
          <cell r="G34">
            <v>996343849</v>
          </cell>
          <cell r="H34">
            <v>21736847</v>
          </cell>
          <cell r="I34">
            <v>4302671087</v>
          </cell>
          <cell r="J34">
            <v>4.423184204627556E-2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>
            <v>0.76163652480251698</v>
          </cell>
          <cell r="Y34">
            <v>0.76193999999999995</v>
          </cell>
          <cell r="Z34">
            <v>0.95238800000000001</v>
          </cell>
          <cell r="AA34">
            <v>0.95799999999999996</v>
          </cell>
          <cell r="AB34" t="e">
            <v>#N/A</v>
          </cell>
          <cell r="AC34" t="e">
            <v>#N/A</v>
          </cell>
          <cell r="AD34">
            <v>0</v>
          </cell>
          <cell r="AE34">
            <v>5</v>
          </cell>
          <cell r="AF34" t="e">
            <v>#N/A</v>
          </cell>
          <cell r="AG34" t="e">
            <v>#N/A</v>
          </cell>
          <cell r="AI34">
            <v>30</v>
          </cell>
          <cell r="AJ34">
            <v>0.76338402926591165</v>
          </cell>
          <cell r="AK34">
            <v>0.23156402821733976</v>
          </cell>
          <cell r="AL34">
            <v>5.0519425167485504E-3</v>
          </cell>
          <cell r="AM34" t="e">
            <v>#N/A</v>
          </cell>
          <cell r="AN34" t="e">
            <v>#N/A</v>
          </cell>
          <cell r="AO34" t="e">
            <v>#N/A</v>
          </cell>
          <cell r="AP34" t="e">
            <v>#N/A</v>
          </cell>
          <cell r="AQ34">
            <v>0.76193</v>
          </cell>
          <cell r="AR34" t="e">
            <v>#N/A</v>
          </cell>
          <cell r="AS34">
            <v>0.76163652480251698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5">
          <cell r="A15" t="str">
            <v>BGB10177</v>
          </cell>
          <cell r="D15" t="str">
            <v>A01</v>
          </cell>
        </row>
        <row r="16">
          <cell r="A16" t="str">
            <v>BGB10320</v>
          </cell>
          <cell r="D16" t="str">
            <v>A01</v>
          </cell>
        </row>
        <row r="17">
          <cell r="A17" t="str">
            <v>BGB61001</v>
          </cell>
          <cell r="D17" t="str">
            <v>A01</v>
          </cell>
        </row>
        <row r="18">
          <cell r="A18" t="str">
            <v>BGB61401</v>
          </cell>
          <cell r="D18" t="str">
            <v>A01</v>
          </cell>
        </row>
        <row r="19">
          <cell r="A19" t="str">
            <v>BGB61402</v>
          </cell>
          <cell r="D19" t="str">
            <v>A01</v>
          </cell>
        </row>
        <row r="20">
          <cell r="A20" t="str">
            <v>BGB61403</v>
          </cell>
          <cell r="D20" t="str">
            <v>A01</v>
          </cell>
        </row>
        <row r="21">
          <cell r="A21" t="str">
            <v>BGB61404</v>
          </cell>
          <cell r="D21" t="str">
            <v>A01</v>
          </cell>
        </row>
        <row r="22">
          <cell r="A22" t="str">
            <v>BGB61405</v>
          </cell>
          <cell r="D22" t="str">
            <v>A01</v>
          </cell>
        </row>
        <row r="23">
          <cell r="A23" t="str">
            <v>BGB61406</v>
          </cell>
          <cell r="D23" t="str">
            <v>A01</v>
          </cell>
        </row>
        <row r="24">
          <cell r="A24" t="str">
            <v>BGB61430</v>
          </cell>
          <cell r="D24" t="str">
            <v>A01</v>
          </cell>
        </row>
        <row r="25">
          <cell r="A25" t="str">
            <v>BGB61440</v>
          </cell>
          <cell r="D25" t="str">
            <v>A01</v>
          </cell>
        </row>
        <row r="26">
          <cell r="A26" t="str">
            <v>BGB61450</v>
          </cell>
          <cell r="D26" t="str">
            <v>A01</v>
          </cell>
        </row>
        <row r="27">
          <cell r="A27" t="str">
            <v>BGB61500</v>
          </cell>
          <cell r="D27" t="str">
            <v>A01</v>
          </cell>
        </row>
        <row r="28">
          <cell r="A28" t="str">
            <v>BGB61501</v>
          </cell>
          <cell r="D28" t="str">
            <v>A01</v>
          </cell>
        </row>
        <row r="29">
          <cell r="A29" t="str">
            <v>BGB61601</v>
          </cell>
          <cell r="D29" t="str">
            <v>A01</v>
          </cell>
        </row>
        <row r="30">
          <cell r="A30" t="str">
            <v>BGB61602</v>
          </cell>
          <cell r="D30" t="str">
            <v>A01</v>
          </cell>
        </row>
        <row r="31">
          <cell r="A31" t="str">
            <v>BGB62001</v>
          </cell>
          <cell r="D31" t="str">
            <v>A01</v>
          </cell>
        </row>
        <row r="32">
          <cell r="A32" t="str">
            <v>BGB62002</v>
          </cell>
          <cell r="D32" t="str">
            <v>A01</v>
          </cell>
        </row>
        <row r="33">
          <cell r="A33" t="str">
            <v>BGB62003</v>
          </cell>
          <cell r="D33" t="str">
            <v>A01</v>
          </cell>
        </row>
        <row r="34">
          <cell r="A34" t="str">
            <v>BGB63402</v>
          </cell>
          <cell r="D34" t="str">
            <v>A01</v>
          </cell>
        </row>
        <row r="35">
          <cell r="A35" t="str">
            <v>BGB63421</v>
          </cell>
          <cell r="D35" t="str">
            <v>A01</v>
          </cell>
        </row>
        <row r="36">
          <cell r="A36" t="str">
            <v>BGB63422</v>
          </cell>
          <cell r="D36" t="str">
            <v>A01</v>
          </cell>
        </row>
        <row r="37">
          <cell r="A37" t="str">
            <v>BGB64004</v>
          </cell>
          <cell r="D37" t="str">
            <v>A01</v>
          </cell>
        </row>
        <row r="38">
          <cell r="A38" t="str">
            <v>BGB67211</v>
          </cell>
          <cell r="D38" t="str">
            <v>A01</v>
          </cell>
        </row>
        <row r="39">
          <cell r="A39" t="str">
            <v>BGB68201</v>
          </cell>
          <cell r="D39" t="str">
            <v>A01</v>
          </cell>
        </row>
        <row r="40">
          <cell r="A40" t="str">
            <v>BGB68215</v>
          </cell>
          <cell r="D40" t="str">
            <v>A01</v>
          </cell>
        </row>
        <row r="41">
          <cell r="A41" t="str">
            <v>BGB68218</v>
          </cell>
          <cell r="D41" t="str">
            <v>A01</v>
          </cell>
        </row>
        <row r="42">
          <cell r="A42" t="str">
            <v>BGB68302</v>
          </cell>
          <cell r="D42" t="str">
            <v>A01</v>
          </cell>
        </row>
        <row r="43">
          <cell r="A43" t="str">
            <v>BGB68401</v>
          </cell>
          <cell r="D43" t="str">
            <v>A01</v>
          </cell>
        </row>
        <row r="44">
          <cell r="A44" t="str">
            <v>BGB69014</v>
          </cell>
          <cell r="D44" t="str">
            <v>A01</v>
          </cell>
        </row>
        <row r="45">
          <cell r="A45" t="str">
            <v>BGB69201</v>
          </cell>
          <cell r="D45" t="str">
            <v>A01</v>
          </cell>
        </row>
        <row r="46">
          <cell r="A46" t="str">
            <v>BGB69202</v>
          </cell>
          <cell r="D46" t="str">
            <v>A01</v>
          </cell>
        </row>
        <row r="47">
          <cell r="A47" t="str">
            <v>BGB70020</v>
          </cell>
          <cell r="D47" t="str">
            <v>A01</v>
          </cell>
        </row>
        <row r="48">
          <cell r="A48" t="str">
            <v>BGB70030</v>
          </cell>
          <cell r="D48" t="str">
            <v>A01</v>
          </cell>
        </row>
        <row r="49">
          <cell r="A49" t="str">
            <v>BGB70040</v>
          </cell>
          <cell r="D49" t="str">
            <v>A01</v>
          </cell>
        </row>
        <row r="50">
          <cell r="A50" t="str">
            <v>BGB72020</v>
          </cell>
          <cell r="D50" t="str">
            <v>A01</v>
          </cell>
        </row>
        <row r="51">
          <cell r="A51" t="str">
            <v>BGB72021</v>
          </cell>
          <cell r="D51" t="str">
            <v>A01</v>
          </cell>
        </row>
        <row r="52">
          <cell r="A52" t="str">
            <v>BGB72301</v>
          </cell>
          <cell r="D52" t="str">
            <v>A01</v>
          </cell>
        </row>
        <row r="53">
          <cell r="A53" t="str">
            <v>BGB73020</v>
          </cell>
          <cell r="D53" t="str">
            <v>A01</v>
          </cell>
        </row>
        <row r="54">
          <cell r="A54" t="str">
            <v>BGB73030</v>
          </cell>
          <cell r="D54" t="str">
            <v>A01</v>
          </cell>
        </row>
        <row r="55">
          <cell r="A55" t="str">
            <v>BGB73033</v>
          </cell>
          <cell r="D55" t="str">
            <v>A01</v>
          </cell>
        </row>
        <row r="56">
          <cell r="A56" t="str">
            <v>BGB73036</v>
          </cell>
          <cell r="D56" t="str">
            <v>A01</v>
          </cell>
        </row>
        <row r="57">
          <cell r="A57" t="str">
            <v>BGB73050</v>
          </cell>
          <cell r="D57" t="str">
            <v>A01</v>
          </cell>
        </row>
        <row r="58">
          <cell r="A58" t="str">
            <v>BGB73055</v>
          </cell>
          <cell r="D58" t="str">
            <v>A01</v>
          </cell>
        </row>
        <row r="59">
          <cell r="A59" t="str">
            <v>BGB73061</v>
          </cell>
          <cell r="D59" t="str">
            <v>A01</v>
          </cell>
        </row>
        <row r="60">
          <cell r="A60" t="str">
            <v>BGB73080</v>
          </cell>
          <cell r="D60" t="str">
            <v>A01</v>
          </cell>
        </row>
        <row r="61">
          <cell r="A61" t="str">
            <v>BGB73081</v>
          </cell>
          <cell r="D61" t="str">
            <v>A01</v>
          </cell>
        </row>
        <row r="62">
          <cell r="A62" t="str">
            <v>BGB73130</v>
          </cell>
          <cell r="D62" t="str">
            <v>A01</v>
          </cell>
        </row>
        <row r="63">
          <cell r="A63" t="str">
            <v>BGB73150</v>
          </cell>
          <cell r="D63" t="str">
            <v>A01</v>
          </cell>
        </row>
        <row r="64">
          <cell r="A64" t="str">
            <v>BGB73151</v>
          </cell>
          <cell r="D64" t="str">
            <v>A01</v>
          </cell>
        </row>
        <row r="65">
          <cell r="A65" t="str">
            <v>BGB73152</v>
          </cell>
          <cell r="D65" t="str">
            <v>A01</v>
          </cell>
        </row>
        <row r="66">
          <cell r="A66" t="str">
            <v>BGB73170</v>
          </cell>
          <cell r="D66" t="str">
            <v>A01</v>
          </cell>
        </row>
        <row r="67">
          <cell r="A67" t="str">
            <v>BGB73171</v>
          </cell>
          <cell r="D67" t="str">
            <v>A01</v>
          </cell>
        </row>
        <row r="68">
          <cell r="A68" t="str">
            <v>BGB73180</v>
          </cell>
          <cell r="D68" t="str">
            <v>A01</v>
          </cell>
        </row>
        <row r="69">
          <cell r="A69" t="str">
            <v>BGB73181</v>
          </cell>
          <cell r="D69" t="str">
            <v>A01</v>
          </cell>
        </row>
        <row r="70">
          <cell r="A70" t="str">
            <v>BGB73185</v>
          </cell>
          <cell r="D70" t="str">
            <v>A01</v>
          </cell>
        </row>
        <row r="71">
          <cell r="A71" t="str">
            <v>BGB74010</v>
          </cell>
          <cell r="D71" t="str">
            <v>A01</v>
          </cell>
        </row>
        <row r="72">
          <cell r="A72" t="str">
            <v>BGB74020</v>
          </cell>
          <cell r="D72" t="str">
            <v>A01</v>
          </cell>
        </row>
        <row r="73">
          <cell r="A73" t="str">
            <v>BGB74025</v>
          </cell>
          <cell r="D73" t="str">
            <v>A01</v>
          </cell>
        </row>
        <row r="74">
          <cell r="A74" t="str">
            <v>BGB75301</v>
          </cell>
          <cell r="D74" t="str">
            <v>A01</v>
          </cell>
        </row>
        <row r="75">
          <cell r="A75" t="str">
            <v>BGB75501</v>
          </cell>
          <cell r="D75" t="str">
            <v>A01</v>
          </cell>
        </row>
        <row r="76">
          <cell r="A76" t="str">
            <v>BGB75502</v>
          </cell>
          <cell r="D76" t="str">
            <v>A01</v>
          </cell>
        </row>
        <row r="77">
          <cell r="A77" t="str">
            <v>BGB75503</v>
          </cell>
          <cell r="D77" t="str">
            <v>A01</v>
          </cell>
        </row>
        <row r="78">
          <cell r="A78" t="str">
            <v>BGB76001</v>
          </cell>
          <cell r="D78" t="str">
            <v>A01</v>
          </cell>
        </row>
        <row r="79">
          <cell r="A79" t="str">
            <v>BGB76002</v>
          </cell>
          <cell r="D79" t="str">
            <v>A01</v>
          </cell>
        </row>
        <row r="80">
          <cell r="A80" t="str">
            <v>BGB76003</v>
          </cell>
          <cell r="D80" t="str">
            <v>A01</v>
          </cell>
        </row>
        <row r="81">
          <cell r="A81" t="str">
            <v>BGB76350</v>
          </cell>
          <cell r="D81" t="str">
            <v>A01</v>
          </cell>
        </row>
        <row r="82">
          <cell r="A82" t="str">
            <v>BGB76355</v>
          </cell>
          <cell r="D82" t="str">
            <v>A01</v>
          </cell>
        </row>
        <row r="83">
          <cell r="A83" t="str">
            <v>BGB76360</v>
          </cell>
          <cell r="D83" t="str">
            <v>A01</v>
          </cell>
        </row>
        <row r="84">
          <cell r="A84" t="str">
            <v>BGB76361</v>
          </cell>
          <cell r="D84" t="str">
            <v>A01</v>
          </cell>
        </row>
        <row r="85">
          <cell r="A85" t="str">
            <v>BGB76362</v>
          </cell>
          <cell r="D85" t="str">
            <v>A01</v>
          </cell>
        </row>
        <row r="86">
          <cell r="A86" t="str">
            <v>BGZ02001</v>
          </cell>
          <cell r="D86" t="str">
            <v>A01</v>
          </cell>
        </row>
        <row r="87">
          <cell r="A87" t="str">
            <v>BGZ02002</v>
          </cell>
          <cell r="D87" t="str">
            <v>A01</v>
          </cell>
        </row>
        <row r="88">
          <cell r="A88" t="str">
            <v>BGZ02011</v>
          </cell>
          <cell r="D88" t="str">
            <v>A01</v>
          </cell>
        </row>
        <row r="89">
          <cell r="A89" t="str">
            <v>BGZ02012</v>
          </cell>
          <cell r="D89" t="str">
            <v>A01</v>
          </cell>
        </row>
        <row r="90">
          <cell r="A90" t="str">
            <v>BGZ05040</v>
          </cell>
          <cell r="D90" t="str">
            <v>A01</v>
          </cell>
        </row>
        <row r="91">
          <cell r="A91" t="str">
            <v>HCD01020</v>
          </cell>
          <cell r="D91" t="str">
            <v>A01</v>
          </cell>
        </row>
        <row r="92">
          <cell r="A92" t="str">
            <v>HCD01022</v>
          </cell>
          <cell r="D92" t="str">
            <v>A01</v>
          </cell>
        </row>
        <row r="93">
          <cell r="A93" t="str">
            <v>HCD01025</v>
          </cell>
          <cell r="D93" t="str">
            <v>A01</v>
          </cell>
        </row>
        <row r="94">
          <cell r="A94" t="str">
            <v>HKH20000</v>
          </cell>
          <cell r="D94" t="str">
            <v>A01</v>
          </cell>
        </row>
        <row r="95">
          <cell r="A95" t="str">
            <v>HKN01000</v>
          </cell>
          <cell r="D95" t="str">
            <v>A01</v>
          </cell>
        </row>
        <row r="96">
          <cell r="A96" t="str">
            <v>MAZ20008</v>
          </cell>
          <cell r="D96" t="str">
            <v>A01</v>
          </cell>
        </row>
        <row r="97">
          <cell r="A97" t="str">
            <v>MAZ20009</v>
          </cell>
          <cell r="D97" t="str">
            <v>A01</v>
          </cell>
        </row>
        <row r="98">
          <cell r="A98" t="str">
            <v>MAZ20010</v>
          </cell>
          <cell r="D98" t="str">
            <v>A01</v>
          </cell>
        </row>
        <row r="99">
          <cell r="A99" t="str">
            <v>MAZ20261</v>
          </cell>
          <cell r="D99" t="str">
            <v>A01</v>
          </cell>
        </row>
        <row r="100">
          <cell r="A100" t="str">
            <v>MAZ21201</v>
          </cell>
          <cell r="D100" t="str">
            <v>A01</v>
          </cell>
        </row>
        <row r="101">
          <cell r="A101" t="str">
            <v>MAZ21202</v>
          </cell>
          <cell r="D101" t="str">
            <v>A01</v>
          </cell>
        </row>
        <row r="102">
          <cell r="A102" t="str">
            <v>MAZ21215</v>
          </cell>
          <cell r="D102" t="str">
            <v>A01</v>
          </cell>
        </row>
        <row r="103">
          <cell r="A103" t="str">
            <v>MAZ21218</v>
          </cell>
          <cell r="D103" t="str">
            <v>A01</v>
          </cell>
        </row>
        <row r="104">
          <cell r="A104" t="str">
            <v>MAZ21220</v>
          </cell>
          <cell r="D104" t="str">
            <v>A01</v>
          </cell>
        </row>
        <row r="105">
          <cell r="A105" t="str">
            <v>MAZ21221</v>
          </cell>
          <cell r="D105" t="str">
            <v>A01</v>
          </cell>
        </row>
        <row r="106">
          <cell r="A106" t="str">
            <v>MAZ21226</v>
          </cell>
          <cell r="D106" t="str">
            <v>A01</v>
          </cell>
        </row>
        <row r="107">
          <cell r="A107" t="str">
            <v>MAZ21227</v>
          </cell>
          <cell r="D107" t="str">
            <v>A01</v>
          </cell>
        </row>
        <row r="108">
          <cell r="A108" t="str">
            <v>MAZ21228</v>
          </cell>
          <cell r="D108" t="str">
            <v>A01</v>
          </cell>
        </row>
        <row r="109">
          <cell r="A109" t="str">
            <v>MAZ21232</v>
          </cell>
          <cell r="D109" t="str">
            <v>A01</v>
          </cell>
        </row>
        <row r="110">
          <cell r="A110" t="str">
            <v>MAZ21242</v>
          </cell>
          <cell r="D110" t="str">
            <v>A01</v>
          </cell>
        </row>
        <row r="111">
          <cell r="A111" t="str">
            <v>MAZ21264</v>
          </cell>
          <cell r="D111" t="str">
            <v>A01</v>
          </cell>
        </row>
        <row r="112">
          <cell r="A112" t="str">
            <v>MAZ21265</v>
          </cell>
          <cell r="D112" t="str">
            <v>A01</v>
          </cell>
        </row>
        <row r="113">
          <cell r="A113" t="str">
            <v>MAZ21266</v>
          </cell>
          <cell r="D113" t="str">
            <v>A01</v>
          </cell>
        </row>
        <row r="114">
          <cell r="A114" t="str">
            <v>MAZ21373</v>
          </cell>
          <cell r="D114" t="str">
            <v>A01</v>
          </cell>
        </row>
        <row r="115">
          <cell r="A115" t="str">
            <v>MAZ30007</v>
          </cell>
          <cell r="D115" t="str">
            <v>A01</v>
          </cell>
        </row>
        <row r="116">
          <cell r="A116" t="str">
            <v>MAZ30008</v>
          </cell>
          <cell r="D116" t="str">
            <v>A01</v>
          </cell>
        </row>
        <row r="117">
          <cell r="A117" t="str">
            <v>MAZ30009</v>
          </cell>
          <cell r="D117" t="str">
            <v>A01</v>
          </cell>
        </row>
        <row r="118">
          <cell r="A118" t="str">
            <v>MAZ40509</v>
          </cell>
          <cell r="D118" t="str">
            <v>A01</v>
          </cell>
        </row>
        <row r="119">
          <cell r="A119" t="str">
            <v>MAZ50010</v>
          </cell>
          <cell r="D119" t="str">
            <v>A01</v>
          </cell>
        </row>
        <row r="120">
          <cell r="A120" t="str">
            <v>MAZ50020</v>
          </cell>
          <cell r="D120" t="str">
            <v>A01</v>
          </cell>
        </row>
        <row r="121">
          <cell r="A121" t="str">
            <v>MGJ10507</v>
          </cell>
          <cell r="D121" t="str">
            <v>A01</v>
          </cell>
        </row>
        <row r="122">
          <cell r="A122" t="str">
            <v>MMZ52128</v>
          </cell>
          <cell r="D122" t="str">
            <v>A01</v>
          </cell>
        </row>
        <row r="123">
          <cell r="A123" t="str">
            <v>SAA20101</v>
          </cell>
          <cell r="D123" t="str">
            <v>A01</v>
          </cell>
        </row>
        <row r="124">
          <cell r="A124" t="str">
            <v>SAA20301</v>
          </cell>
          <cell r="D124" t="str">
            <v>A01</v>
          </cell>
        </row>
        <row r="125">
          <cell r="A125" t="str">
            <v>SAA27001</v>
          </cell>
          <cell r="D125" t="str">
            <v>A01</v>
          </cell>
        </row>
        <row r="126">
          <cell r="A126" t="str">
            <v>SAA27002</v>
          </cell>
          <cell r="D126" t="str">
            <v>A01</v>
          </cell>
        </row>
        <row r="127">
          <cell r="A127" t="str">
            <v>SAA32024</v>
          </cell>
          <cell r="D127" t="str">
            <v>A01</v>
          </cell>
        </row>
        <row r="128">
          <cell r="A128" t="str">
            <v>SAA33003</v>
          </cell>
          <cell r="D128" t="str">
            <v>A01</v>
          </cell>
        </row>
        <row r="129">
          <cell r="A129" t="str">
            <v>SAA34016</v>
          </cell>
          <cell r="D129" t="str">
            <v>A01</v>
          </cell>
        </row>
        <row r="130">
          <cell r="A130" t="str">
            <v>SAACCC03</v>
          </cell>
          <cell r="D130" t="str">
            <v>A01</v>
          </cell>
        </row>
        <row r="131">
          <cell r="A131" t="str">
            <v>SAACT227</v>
          </cell>
          <cell r="D131" t="str">
            <v>A01</v>
          </cell>
        </row>
        <row r="132">
          <cell r="A132" t="str">
            <v>SAACT316</v>
          </cell>
          <cell r="D132" t="str">
            <v>A01</v>
          </cell>
        </row>
        <row r="133">
          <cell r="A133" t="str">
            <v>SAS82005</v>
          </cell>
          <cell r="D133" t="str">
            <v>A01</v>
          </cell>
        </row>
        <row r="134">
          <cell r="A134" t="str">
            <v>SAT00121</v>
          </cell>
          <cell r="D134" t="str">
            <v>A01</v>
          </cell>
        </row>
        <row r="135">
          <cell r="A135" t="str">
            <v>SATC1504</v>
          </cell>
          <cell r="D135" t="str">
            <v>A01</v>
          </cell>
        </row>
        <row r="136">
          <cell r="A136" t="str">
            <v>SATC1508</v>
          </cell>
          <cell r="D136" t="str">
            <v>A01</v>
          </cell>
        </row>
        <row r="137">
          <cell r="A137" t="str">
            <v>SATC1512</v>
          </cell>
          <cell r="D137" t="str">
            <v>A01</v>
          </cell>
        </row>
        <row r="138">
          <cell r="A138" t="str">
            <v>SATC1521</v>
          </cell>
          <cell r="D138" t="str">
            <v>A01</v>
          </cell>
        </row>
        <row r="139">
          <cell r="A139" t="str">
            <v>SAVH5562</v>
          </cell>
          <cell r="D139" t="str">
            <v>A01</v>
          </cell>
        </row>
        <row r="140">
          <cell r="A140" t="str">
            <v>UAA15034</v>
          </cell>
          <cell r="D140" t="str">
            <v>A01</v>
          </cell>
        </row>
        <row r="141">
          <cell r="A141" t="str">
            <v>UAA15118</v>
          </cell>
          <cell r="D141" t="str">
            <v>A01</v>
          </cell>
        </row>
        <row r="142">
          <cell r="A142" t="str">
            <v>UAA15160</v>
          </cell>
          <cell r="D142" t="str">
            <v>A01</v>
          </cell>
        </row>
        <row r="143">
          <cell r="A143" t="str">
            <v>UAA15173</v>
          </cell>
          <cell r="D143" t="str">
            <v>A01</v>
          </cell>
        </row>
        <row r="144">
          <cell r="A144" t="str">
            <v>UAA15176</v>
          </cell>
          <cell r="D144" t="str">
            <v>A01</v>
          </cell>
        </row>
        <row r="145">
          <cell r="A145" t="str">
            <v>UAA15523</v>
          </cell>
          <cell r="D145" t="str">
            <v>A01</v>
          </cell>
        </row>
        <row r="146">
          <cell r="A146" t="str">
            <v>UAA15564</v>
          </cell>
          <cell r="D146" t="str">
            <v>A01</v>
          </cell>
        </row>
        <row r="147">
          <cell r="A147" t="str">
            <v>UAA15574</v>
          </cell>
          <cell r="D147" t="str">
            <v>A01</v>
          </cell>
        </row>
        <row r="148">
          <cell r="A148" t="str">
            <v>UAA15710</v>
          </cell>
          <cell r="D148" t="str">
            <v>A01</v>
          </cell>
        </row>
        <row r="149">
          <cell r="A149" t="str">
            <v>UAA21301</v>
          </cell>
          <cell r="D149" t="str">
            <v>A01</v>
          </cell>
        </row>
        <row r="150">
          <cell r="A150" t="str">
            <v>UAA25001</v>
          </cell>
          <cell r="D150" t="str">
            <v>A01</v>
          </cell>
        </row>
        <row r="151">
          <cell r="A151" t="str">
            <v>UAA25020</v>
          </cell>
          <cell r="D151" t="str">
            <v>A01</v>
          </cell>
        </row>
        <row r="152">
          <cell r="A152" t="str">
            <v>UAA25201</v>
          </cell>
          <cell r="D152" t="str">
            <v>A01</v>
          </cell>
        </row>
        <row r="153">
          <cell r="A153" t="str">
            <v>UAA35310</v>
          </cell>
          <cell r="D153" t="str">
            <v>A01</v>
          </cell>
        </row>
        <row r="154">
          <cell r="A154" t="str">
            <v>UAA40002</v>
          </cell>
          <cell r="D154" t="str">
            <v>A01</v>
          </cell>
        </row>
        <row r="155">
          <cell r="A155" t="str">
            <v>UAA40003</v>
          </cell>
          <cell r="D155" t="str">
            <v>A01</v>
          </cell>
        </row>
        <row r="156">
          <cell r="A156" t="str">
            <v>UAA45204</v>
          </cell>
          <cell r="D156" t="str">
            <v>A01</v>
          </cell>
        </row>
        <row r="157">
          <cell r="A157" t="str">
            <v>UAA45205</v>
          </cell>
          <cell r="D157" t="str">
            <v>A01</v>
          </cell>
        </row>
        <row r="158">
          <cell r="A158" t="str">
            <v>UAA50010</v>
          </cell>
          <cell r="D158" t="str">
            <v>A01</v>
          </cell>
        </row>
        <row r="159">
          <cell r="A159" t="str">
            <v>UAA50120</v>
          </cell>
          <cell r="D159" t="str">
            <v>A01</v>
          </cell>
        </row>
        <row r="160">
          <cell r="A160" t="str">
            <v>UAA50122</v>
          </cell>
          <cell r="D160" t="str">
            <v>A01</v>
          </cell>
        </row>
        <row r="161">
          <cell r="A161" t="str">
            <v>UAA50125</v>
          </cell>
          <cell r="D161" t="str">
            <v>A01</v>
          </cell>
        </row>
        <row r="162">
          <cell r="A162" t="str">
            <v>UAA55011</v>
          </cell>
          <cell r="D162" t="str">
            <v>A01</v>
          </cell>
        </row>
        <row r="163">
          <cell r="A163" t="str">
            <v>UAV10071</v>
          </cell>
          <cell r="D163" t="str">
            <v>A01</v>
          </cell>
        </row>
        <row r="164">
          <cell r="A164" t="str">
            <v>UAV30120</v>
          </cell>
          <cell r="D164" t="str">
            <v>A01</v>
          </cell>
        </row>
        <row r="165">
          <cell r="A165" t="str">
            <v>UAV30122</v>
          </cell>
          <cell r="D165" t="str">
            <v>A01</v>
          </cell>
        </row>
        <row r="166">
          <cell r="A166" t="str">
            <v>UAV30125</v>
          </cell>
          <cell r="D166" t="str">
            <v>A01</v>
          </cell>
        </row>
        <row r="167">
          <cell r="A167" t="str">
            <v>UEZ50370</v>
          </cell>
          <cell r="D167" t="str">
            <v>A01</v>
          </cell>
        </row>
        <row r="168">
          <cell r="A168" t="str">
            <v>BGC10010</v>
          </cell>
          <cell r="D168" t="str">
            <v>A02</v>
          </cell>
        </row>
        <row r="169">
          <cell r="A169" t="str">
            <v>MAZ30010</v>
          </cell>
          <cell r="D169" t="str">
            <v>A02</v>
          </cell>
        </row>
        <row r="170">
          <cell r="A170" t="str">
            <v>MGI20305</v>
          </cell>
          <cell r="D170" t="str">
            <v>A02</v>
          </cell>
        </row>
        <row r="171">
          <cell r="A171" t="str">
            <v>MGI20306</v>
          </cell>
          <cell r="D171" t="str">
            <v>A02</v>
          </cell>
        </row>
        <row r="172">
          <cell r="A172" t="str">
            <v>QEF82001</v>
          </cell>
          <cell r="D172" t="str">
            <v>A02</v>
          </cell>
        </row>
        <row r="173">
          <cell r="A173" t="str">
            <v>SAC17031</v>
          </cell>
          <cell r="D173" t="str">
            <v>A02</v>
          </cell>
        </row>
        <row r="174">
          <cell r="A174" t="str">
            <v>SAC19002</v>
          </cell>
          <cell r="D174" t="str">
            <v>A02</v>
          </cell>
        </row>
        <row r="175">
          <cell r="A175" t="str">
            <v>SAC19005</v>
          </cell>
          <cell r="D175" t="str">
            <v>A02</v>
          </cell>
        </row>
        <row r="176">
          <cell r="A176" t="str">
            <v>SACJ1007</v>
          </cell>
          <cell r="D176" t="str">
            <v>A02</v>
          </cell>
        </row>
        <row r="177">
          <cell r="A177" t="str">
            <v>SACJ3001</v>
          </cell>
          <cell r="D177" t="str">
            <v>A02</v>
          </cell>
        </row>
        <row r="178">
          <cell r="A178" t="str">
            <v>UAC11001</v>
          </cell>
          <cell r="D178" t="str">
            <v>A02</v>
          </cell>
        </row>
        <row r="179">
          <cell r="A179" t="str">
            <v>UAC11101</v>
          </cell>
          <cell r="D179" t="str">
            <v>A02</v>
          </cell>
        </row>
        <row r="180">
          <cell r="A180" t="str">
            <v>UAC11501</v>
          </cell>
          <cell r="D180" t="str">
            <v>A02</v>
          </cell>
        </row>
        <row r="181">
          <cell r="A181" t="str">
            <v>UAC11502</v>
          </cell>
          <cell r="D181" t="str">
            <v>A02</v>
          </cell>
        </row>
        <row r="182">
          <cell r="A182" t="str">
            <v>UAC12001</v>
          </cell>
          <cell r="D182" t="str">
            <v>A02</v>
          </cell>
        </row>
        <row r="183">
          <cell r="A183" t="str">
            <v>UAC20107</v>
          </cell>
          <cell r="D183" t="str">
            <v>A02</v>
          </cell>
        </row>
        <row r="184">
          <cell r="A184" t="str">
            <v>UAC30001</v>
          </cell>
          <cell r="D184" t="str">
            <v>A02</v>
          </cell>
        </row>
        <row r="185">
          <cell r="A185" t="str">
            <v>UAC30100</v>
          </cell>
          <cell r="D185" t="str">
            <v>A02</v>
          </cell>
        </row>
        <row r="186">
          <cell r="A186" t="str">
            <v>UAC30104</v>
          </cell>
          <cell r="D186" t="str">
            <v>A02</v>
          </cell>
        </row>
        <row r="187">
          <cell r="A187" t="str">
            <v>UAC30114</v>
          </cell>
          <cell r="D187" t="str">
            <v>A02</v>
          </cell>
        </row>
        <row r="188">
          <cell r="A188" t="str">
            <v>UAS80030</v>
          </cell>
          <cell r="D188" t="str">
            <v>A02</v>
          </cell>
        </row>
        <row r="189">
          <cell r="A189" t="str">
            <v>UAV10002</v>
          </cell>
          <cell r="D189" t="str">
            <v>A02</v>
          </cell>
        </row>
        <row r="190">
          <cell r="A190" t="str">
            <v>MGA21110</v>
          </cell>
          <cell r="D190" t="str">
            <v>A03</v>
          </cell>
        </row>
        <row r="191">
          <cell r="A191" t="str">
            <v>MGA21113</v>
          </cell>
          <cell r="D191" t="str">
            <v>A03</v>
          </cell>
        </row>
        <row r="192">
          <cell r="A192" t="str">
            <v>MGA22116</v>
          </cell>
          <cell r="D192" t="str">
            <v>A03</v>
          </cell>
        </row>
        <row r="193">
          <cell r="A193" t="str">
            <v>MGA22119</v>
          </cell>
          <cell r="D193" t="str">
            <v>A03</v>
          </cell>
        </row>
        <row r="194">
          <cell r="A194" t="str">
            <v>MGA22122</v>
          </cell>
          <cell r="D194" t="str">
            <v>A03</v>
          </cell>
        </row>
        <row r="195">
          <cell r="A195" t="str">
            <v>MGA22125</v>
          </cell>
          <cell r="D195" t="str">
            <v>A03</v>
          </cell>
        </row>
        <row r="196">
          <cell r="A196" t="str">
            <v>MGJ20507</v>
          </cell>
          <cell r="D196" t="str">
            <v>A04</v>
          </cell>
        </row>
        <row r="197">
          <cell r="A197" t="str">
            <v>UAC10001</v>
          </cell>
          <cell r="D197" t="str">
            <v>A04</v>
          </cell>
        </row>
        <row r="198">
          <cell r="A198" t="str">
            <v>UAC10005</v>
          </cell>
          <cell r="D198" t="str">
            <v>A04</v>
          </cell>
        </row>
        <row r="199">
          <cell r="A199" t="str">
            <v>UAC10310</v>
          </cell>
          <cell r="D199" t="str">
            <v>A04</v>
          </cell>
        </row>
        <row r="200">
          <cell r="A200" t="str">
            <v>UAC10314</v>
          </cell>
          <cell r="D200" t="str">
            <v>A04</v>
          </cell>
        </row>
        <row r="201">
          <cell r="A201" t="str">
            <v>UAC10515</v>
          </cell>
          <cell r="D201" t="str">
            <v>A04</v>
          </cell>
        </row>
        <row r="202">
          <cell r="A202" t="str">
            <v>UAC12010</v>
          </cell>
          <cell r="D202" t="str">
            <v>A04</v>
          </cell>
        </row>
        <row r="203">
          <cell r="A203" t="str">
            <v>UAC10363</v>
          </cell>
          <cell r="D203" t="str">
            <v>A05</v>
          </cell>
        </row>
        <row r="204">
          <cell r="A204" t="str">
            <v>BGC01010</v>
          </cell>
          <cell r="D204" t="str">
            <v>A06</v>
          </cell>
        </row>
        <row r="205">
          <cell r="A205" t="str">
            <v>BGZ01003</v>
          </cell>
          <cell r="D205" t="str">
            <v>A06</v>
          </cell>
        </row>
        <row r="206">
          <cell r="A206" t="str">
            <v>MAA80501</v>
          </cell>
          <cell r="D206" t="str">
            <v>A06</v>
          </cell>
        </row>
        <row r="207">
          <cell r="A207" t="str">
            <v>MAC80220</v>
          </cell>
          <cell r="D207" t="str">
            <v>A06</v>
          </cell>
        </row>
        <row r="208">
          <cell r="A208" t="str">
            <v>MGG30001</v>
          </cell>
          <cell r="D208" t="str">
            <v>A06</v>
          </cell>
        </row>
        <row r="209">
          <cell r="A209" t="str">
            <v>MGG50010</v>
          </cell>
          <cell r="D209" t="str">
            <v>A06</v>
          </cell>
        </row>
        <row r="210">
          <cell r="A210" t="str">
            <v>QAJ42670</v>
          </cell>
          <cell r="D210" t="str">
            <v>A06</v>
          </cell>
        </row>
        <row r="211">
          <cell r="A211" t="str">
            <v>QEC33001</v>
          </cell>
          <cell r="D211" t="str">
            <v>A06</v>
          </cell>
        </row>
        <row r="212">
          <cell r="A212" t="str">
            <v>QHB10001</v>
          </cell>
          <cell r="D212" t="str">
            <v>A06</v>
          </cell>
        </row>
        <row r="213">
          <cell r="A213" t="str">
            <v>QIC10001</v>
          </cell>
          <cell r="D213" t="str">
            <v>A06</v>
          </cell>
        </row>
        <row r="214">
          <cell r="A214" t="str">
            <v>SAE10101</v>
          </cell>
          <cell r="D214" t="str">
            <v>A06</v>
          </cell>
        </row>
        <row r="215">
          <cell r="A215" t="str">
            <v>SAE15020</v>
          </cell>
          <cell r="D215" t="str">
            <v>A06</v>
          </cell>
        </row>
        <row r="216">
          <cell r="A216" t="str">
            <v>SAE20101</v>
          </cell>
          <cell r="D216" t="str">
            <v>A06</v>
          </cell>
        </row>
        <row r="217">
          <cell r="A217" t="str">
            <v>SAE55108</v>
          </cell>
          <cell r="D217" t="str">
            <v>A06</v>
          </cell>
        </row>
        <row r="218">
          <cell r="A218" t="str">
            <v>SAE55109</v>
          </cell>
          <cell r="D218" t="str">
            <v>A06</v>
          </cell>
        </row>
        <row r="219">
          <cell r="A219" t="str">
            <v>SAE55110</v>
          </cell>
          <cell r="D219" t="str">
            <v>A06</v>
          </cell>
        </row>
        <row r="220">
          <cell r="A220" t="str">
            <v>SAE75010</v>
          </cell>
          <cell r="D220" t="str">
            <v>A06</v>
          </cell>
        </row>
        <row r="221">
          <cell r="A221" t="str">
            <v>SAE75030</v>
          </cell>
          <cell r="D221" t="str">
            <v>A06</v>
          </cell>
        </row>
        <row r="222">
          <cell r="A222" t="str">
            <v>SAE75040</v>
          </cell>
          <cell r="D222" t="str">
            <v>A06</v>
          </cell>
        </row>
        <row r="223">
          <cell r="A223" t="str">
            <v>SAEJ3001</v>
          </cell>
          <cell r="D223" t="str">
            <v>A06</v>
          </cell>
        </row>
        <row r="224">
          <cell r="A224" t="str">
            <v>SAEJ3002</v>
          </cell>
          <cell r="D224" t="str">
            <v>A06</v>
          </cell>
        </row>
        <row r="225">
          <cell r="A225" t="str">
            <v>SAEJ3003</v>
          </cell>
          <cell r="D225" t="str">
            <v>A06</v>
          </cell>
        </row>
        <row r="226">
          <cell r="A226" t="str">
            <v>SAEJ3004</v>
          </cell>
          <cell r="D226" t="str">
            <v>A06</v>
          </cell>
        </row>
        <row r="227">
          <cell r="A227" t="str">
            <v>SAJ24001</v>
          </cell>
          <cell r="D227" t="str">
            <v>A06</v>
          </cell>
        </row>
        <row r="228">
          <cell r="A228" t="str">
            <v>SAJ60020</v>
          </cell>
          <cell r="D228" t="str">
            <v>A06</v>
          </cell>
        </row>
        <row r="229">
          <cell r="A229" t="str">
            <v>SAJJ1001</v>
          </cell>
          <cell r="D229" t="str">
            <v>A06</v>
          </cell>
        </row>
        <row r="230">
          <cell r="A230" t="str">
            <v>SAPJG010</v>
          </cell>
          <cell r="D230" t="str">
            <v>A06</v>
          </cell>
        </row>
        <row r="231">
          <cell r="A231" t="str">
            <v>SASJ5030</v>
          </cell>
          <cell r="D231" t="str">
            <v>A06</v>
          </cell>
        </row>
        <row r="232">
          <cell r="A232" t="str">
            <v>UAD50190</v>
          </cell>
          <cell r="D232" t="str">
            <v>A06</v>
          </cell>
        </row>
        <row r="233">
          <cell r="A233" t="str">
            <v>UAE50130</v>
          </cell>
          <cell r="D233" t="str">
            <v>A06</v>
          </cell>
        </row>
        <row r="234">
          <cell r="A234" t="str">
            <v>UAJ14155</v>
          </cell>
          <cell r="D234" t="str">
            <v>A06</v>
          </cell>
        </row>
        <row r="235">
          <cell r="A235" t="str">
            <v>UAJ14217</v>
          </cell>
          <cell r="D235" t="str">
            <v>A06</v>
          </cell>
        </row>
        <row r="236">
          <cell r="A236" t="str">
            <v>UAJ15012</v>
          </cell>
          <cell r="D236" t="str">
            <v>A06</v>
          </cell>
        </row>
        <row r="237">
          <cell r="A237" t="str">
            <v>UAJ20030</v>
          </cell>
          <cell r="D237" t="str">
            <v>A06</v>
          </cell>
        </row>
        <row r="238">
          <cell r="A238" t="str">
            <v>UAJ60012</v>
          </cell>
          <cell r="D238" t="str">
            <v>A06</v>
          </cell>
        </row>
        <row r="239">
          <cell r="A239" t="str">
            <v>UAJ60040</v>
          </cell>
          <cell r="D239" t="str">
            <v>A06</v>
          </cell>
        </row>
        <row r="240">
          <cell r="A240" t="str">
            <v>UAJ60050</v>
          </cell>
          <cell r="D240" t="str">
            <v>A06</v>
          </cell>
        </row>
        <row r="241">
          <cell r="A241" t="str">
            <v>UAQ11216</v>
          </cell>
          <cell r="D241" t="str">
            <v>A06</v>
          </cell>
        </row>
        <row r="242">
          <cell r="A242" t="str">
            <v>UAQ11255</v>
          </cell>
          <cell r="D242" t="str">
            <v>A06</v>
          </cell>
        </row>
        <row r="243">
          <cell r="A243" t="str">
            <v>MAC30303</v>
          </cell>
          <cell r="D243" t="str">
            <v>A07</v>
          </cell>
        </row>
        <row r="244">
          <cell r="A244" t="str">
            <v>SAF10008</v>
          </cell>
          <cell r="D244" t="str">
            <v>A07</v>
          </cell>
        </row>
        <row r="245">
          <cell r="A245" t="str">
            <v>SAF20709</v>
          </cell>
          <cell r="D245" t="str">
            <v>A07</v>
          </cell>
        </row>
        <row r="246">
          <cell r="A246" t="str">
            <v>SAF24001</v>
          </cell>
          <cell r="D246" t="str">
            <v>A07</v>
          </cell>
        </row>
        <row r="247">
          <cell r="A247" t="str">
            <v>SAF35202</v>
          </cell>
          <cell r="D247" t="str">
            <v>A07</v>
          </cell>
        </row>
        <row r="248">
          <cell r="A248" t="str">
            <v>SAF40104</v>
          </cell>
          <cell r="D248" t="str">
            <v>A07</v>
          </cell>
        </row>
        <row r="249">
          <cell r="A249" t="str">
            <v>SAF40105</v>
          </cell>
          <cell r="D249" t="str">
            <v>A07</v>
          </cell>
        </row>
        <row r="250">
          <cell r="A250" t="str">
            <v>SAFJ3001</v>
          </cell>
          <cell r="D250" t="str">
            <v>A07</v>
          </cell>
        </row>
        <row r="251">
          <cell r="A251" t="str">
            <v>SAFJ3002</v>
          </cell>
          <cell r="D251" t="str">
            <v>A07</v>
          </cell>
        </row>
        <row r="252">
          <cell r="A252" t="str">
            <v>SAFJ3003</v>
          </cell>
          <cell r="D252" t="str">
            <v>A07</v>
          </cell>
        </row>
        <row r="253">
          <cell r="A253" t="str">
            <v>SAFJ3004</v>
          </cell>
          <cell r="D253" t="str">
            <v>A07</v>
          </cell>
        </row>
        <row r="254">
          <cell r="A254" t="str">
            <v>SAFJ3005</v>
          </cell>
          <cell r="D254" t="str">
            <v>A07</v>
          </cell>
        </row>
        <row r="255">
          <cell r="A255" t="str">
            <v>SAFJ3006</v>
          </cell>
          <cell r="D255" t="str">
            <v>A07</v>
          </cell>
        </row>
        <row r="256">
          <cell r="A256" t="str">
            <v>SAFJ3007</v>
          </cell>
          <cell r="D256" t="str">
            <v>A07</v>
          </cell>
        </row>
        <row r="257">
          <cell r="A257" t="str">
            <v>SAFJ3008</v>
          </cell>
          <cell r="D257" t="str">
            <v>A07</v>
          </cell>
        </row>
        <row r="258">
          <cell r="A258" t="str">
            <v>SAFJ3009</v>
          </cell>
          <cell r="D258" t="str">
            <v>A07</v>
          </cell>
        </row>
        <row r="259">
          <cell r="A259" t="str">
            <v>SAFJ3010</v>
          </cell>
          <cell r="D259" t="str">
            <v>A07</v>
          </cell>
        </row>
        <row r="260">
          <cell r="A260" t="str">
            <v>SAFJ3011</v>
          </cell>
          <cell r="D260" t="str">
            <v>A07</v>
          </cell>
        </row>
        <row r="261">
          <cell r="A261" t="str">
            <v>SAFJ3012</v>
          </cell>
          <cell r="D261" t="str">
            <v>A07</v>
          </cell>
        </row>
        <row r="262">
          <cell r="A262" t="str">
            <v>SARJ3021</v>
          </cell>
          <cell r="D262" t="str">
            <v>A07</v>
          </cell>
        </row>
        <row r="263">
          <cell r="A263" t="str">
            <v>UAF10215</v>
          </cell>
          <cell r="D263" t="str">
            <v>A07</v>
          </cell>
        </row>
        <row r="264">
          <cell r="A264" t="str">
            <v>UAF10235</v>
          </cell>
          <cell r="D264" t="str">
            <v>A07</v>
          </cell>
        </row>
        <row r="265">
          <cell r="A265" t="str">
            <v>UAF20037</v>
          </cell>
          <cell r="D265" t="str">
            <v>A07</v>
          </cell>
        </row>
        <row r="266">
          <cell r="A266" t="str">
            <v>SAF55101</v>
          </cell>
          <cell r="D266" t="str">
            <v>A08</v>
          </cell>
        </row>
        <row r="267">
          <cell r="A267" t="str">
            <v>SAF55102</v>
          </cell>
          <cell r="D267" t="str">
            <v>A08</v>
          </cell>
        </row>
        <row r="268">
          <cell r="A268" t="str">
            <v>SAKPK011</v>
          </cell>
          <cell r="D268" t="str">
            <v>A08</v>
          </cell>
        </row>
        <row r="269">
          <cell r="A269" t="str">
            <v>SAKPK018</v>
          </cell>
          <cell r="D269" t="str">
            <v>A08</v>
          </cell>
        </row>
        <row r="270">
          <cell r="A270" t="str">
            <v>SAR34005</v>
          </cell>
          <cell r="D270" t="str">
            <v>A08</v>
          </cell>
        </row>
        <row r="271">
          <cell r="A271" t="str">
            <v>SARJ3011</v>
          </cell>
          <cell r="D271" t="str">
            <v>A08</v>
          </cell>
        </row>
        <row r="272">
          <cell r="A272" t="str">
            <v>SARJ3017</v>
          </cell>
          <cell r="D272" t="str">
            <v>A08</v>
          </cell>
        </row>
        <row r="273">
          <cell r="A273" t="str">
            <v>SARJ3018</v>
          </cell>
          <cell r="D273" t="str">
            <v>A08</v>
          </cell>
        </row>
        <row r="274">
          <cell r="A274" t="str">
            <v>SARJ3019</v>
          </cell>
          <cell r="D274" t="str">
            <v>A08</v>
          </cell>
        </row>
        <row r="275">
          <cell r="A275" t="str">
            <v>SARJ3020</v>
          </cell>
          <cell r="D275" t="str">
            <v>A08</v>
          </cell>
        </row>
        <row r="276">
          <cell r="A276" t="str">
            <v>SARJ3022</v>
          </cell>
          <cell r="D276" t="str">
            <v>A08</v>
          </cell>
        </row>
        <row r="277">
          <cell r="A277" t="str">
            <v>SARJ3034</v>
          </cell>
          <cell r="D277" t="str">
            <v>A08</v>
          </cell>
        </row>
        <row r="278">
          <cell r="A278" t="str">
            <v>SARJ9023</v>
          </cell>
          <cell r="D278" t="str">
            <v>A08</v>
          </cell>
        </row>
        <row r="279">
          <cell r="A279" t="str">
            <v>SARJ9032</v>
          </cell>
          <cell r="D279" t="str">
            <v>A08</v>
          </cell>
        </row>
        <row r="280">
          <cell r="A280" t="str">
            <v>SARJ9066</v>
          </cell>
          <cell r="D280" t="str">
            <v>A08</v>
          </cell>
        </row>
        <row r="281">
          <cell r="A281" t="str">
            <v>SARJ9067</v>
          </cell>
          <cell r="D281" t="str">
            <v>A08</v>
          </cell>
        </row>
        <row r="282">
          <cell r="A282" t="str">
            <v>SARJ9073</v>
          </cell>
          <cell r="D282" t="str">
            <v>A08</v>
          </cell>
        </row>
        <row r="283">
          <cell r="A283" t="str">
            <v>SARJ9077</v>
          </cell>
          <cell r="D283" t="str">
            <v>A08</v>
          </cell>
        </row>
        <row r="284">
          <cell r="A284" t="str">
            <v>SARJ9078</v>
          </cell>
          <cell r="D284" t="str">
            <v>A08</v>
          </cell>
        </row>
        <row r="285">
          <cell r="A285" t="str">
            <v>SARJ9079</v>
          </cell>
          <cell r="D285" t="str">
            <v>A08</v>
          </cell>
        </row>
        <row r="286">
          <cell r="A286" t="str">
            <v>SARJ9081</v>
          </cell>
          <cell r="D286" t="str">
            <v>A08</v>
          </cell>
        </row>
        <row r="287">
          <cell r="A287" t="str">
            <v>SARJ9098</v>
          </cell>
          <cell r="D287" t="str">
            <v>A08</v>
          </cell>
        </row>
        <row r="288">
          <cell r="A288" t="str">
            <v>SAUJD104</v>
          </cell>
          <cell r="D288" t="str">
            <v>A08</v>
          </cell>
        </row>
        <row r="289">
          <cell r="A289" t="str">
            <v>SAUJD200</v>
          </cell>
          <cell r="D289" t="str">
            <v>A08</v>
          </cell>
        </row>
        <row r="290">
          <cell r="A290" t="str">
            <v>SAUJD203</v>
          </cell>
          <cell r="D290" t="str">
            <v>A08</v>
          </cell>
        </row>
        <row r="291">
          <cell r="A291" t="str">
            <v>SAUJD206</v>
          </cell>
          <cell r="D291" t="str">
            <v>A08</v>
          </cell>
        </row>
        <row r="292">
          <cell r="A292" t="str">
            <v>UAK30010</v>
          </cell>
          <cell r="D292" t="str">
            <v>A08</v>
          </cell>
        </row>
        <row r="293">
          <cell r="A293" t="str">
            <v>UCF02010</v>
          </cell>
          <cell r="D293" t="str">
            <v>A08</v>
          </cell>
        </row>
        <row r="294">
          <cell r="A294" t="str">
            <v>MAG50705</v>
          </cell>
          <cell r="D294" t="str">
            <v>A09</v>
          </cell>
        </row>
        <row r="295">
          <cell r="A295" t="str">
            <v>MAH80710</v>
          </cell>
          <cell r="D295" t="str">
            <v>A09</v>
          </cell>
        </row>
        <row r="296">
          <cell r="A296" t="str">
            <v>MAI40101</v>
          </cell>
          <cell r="D296" t="str">
            <v>A09</v>
          </cell>
        </row>
        <row r="297">
          <cell r="A297" t="str">
            <v>MAN50001</v>
          </cell>
          <cell r="D297" t="str">
            <v>A09</v>
          </cell>
        </row>
        <row r="298">
          <cell r="A298" t="str">
            <v>MAN70110</v>
          </cell>
          <cell r="D298" t="str">
            <v>A09</v>
          </cell>
        </row>
        <row r="299">
          <cell r="A299" t="str">
            <v>SAE60027</v>
          </cell>
          <cell r="D299" t="str">
            <v>A09</v>
          </cell>
        </row>
        <row r="300">
          <cell r="A300" t="str">
            <v>SAG11010</v>
          </cell>
          <cell r="D300" t="str">
            <v>A09</v>
          </cell>
        </row>
        <row r="301">
          <cell r="A301" t="str">
            <v>SAGJ3002</v>
          </cell>
          <cell r="D301" t="str">
            <v>A09</v>
          </cell>
        </row>
        <row r="302">
          <cell r="A302" t="str">
            <v>SAGJ3003</v>
          </cell>
          <cell r="D302" t="str">
            <v>A09</v>
          </cell>
        </row>
        <row r="303">
          <cell r="A303" t="str">
            <v>SAGJ3004</v>
          </cell>
          <cell r="D303" t="str">
            <v>A09</v>
          </cell>
        </row>
        <row r="304">
          <cell r="A304" t="str">
            <v>SAGJ3005</v>
          </cell>
          <cell r="D304" t="str">
            <v>A09</v>
          </cell>
        </row>
        <row r="305">
          <cell r="A305" t="str">
            <v>SAGJ3006</v>
          </cell>
          <cell r="D305" t="str">
            <v>A09</v>
          </cell>
        </row>
        <row r="306">
          <cell r="A306" t="str">
            <v>SAGJ3007</v>
          </cell>
          <cell r="D306" t="str">
            <v>A09</v>
          </cell>
        </row>
        <row r="307">
          <cell r="A307" t="str">
            <v>SAGJ3008</v>
          </cell>
          <cell r="D307" t="str">
            <v>A09</v>
          </cell>
        </row>
        <row r="308">
          <cell r="A308" t="str">
            <v>SAGJ3009</v>
          </cell>
          <cell r="D308" t="str">
            <v>A09</v>
          </cell>
        </row>
        <row r="309">
          <cell r="A309" t="str">
            <v>SAGJ3010</v>
          </cell>
          <cell r="D309" t="str">
            <v>A09</v>
          </cell>
        </row>
        <row r="310">
          <cell r="A310" t="str">
            <v>SAGJ3011</v>
          </cell>
          <cell r="D310" t="str">
            <v>A09</v>
          </cell>
        </row>
        <row r="311">
          <cell r="A311" t="str">
            <v>SAGJ3012</v>
          </cell>
          <cell r="D311" t="str">
            <v>A09</v>
          </cell>
        </row>
        <row r="312">
          <cell r="A312" t="str">
            <v>SAGJ3013</v>
          </cell>
          <cell r="D312" t="str">
            <v>A09</v>
          </cell>
        </row>
        <row r="313">
          <cell r="A313" t="str">
            <v>SAGJ3014</v>
          </cell>
          <cell r="D313" t="str">
            <v>A09</v>
          </cell>
        </row>
        <row r="314">
          <cell r="A314" t="str">
            <v>SAGJ3015</v>
          </cell>
          <cell r="D314" t="str">
            <v>A09</v>
          </cell>
        </row>
        <row r="315">
          <cell r="A315" t="str">
            <v>SAGJ3016</v>
          </cell>
          <cell r="D315" t="str">
            <v>A09</v>
          </cell>
        </row>
        <row r="316">
          <cell r="A316" t="str">
            <v>SAH41014</v>
          </cell>
          <cell r="D316" t="str">
            <v>A09</v>
          </cell>
        </row>
        <row r="317">
          <cell r="A317" t="str">
            <v>SAH47010</v>
          </cell>
          <cell r="D317" t="str">
            <v>A09</v>
          </cell>
        </row>
        <row r="318">
          <cell r="A318" t="str">
            <v>SAHJ2076</v>
          </cell>
          <cell r="D318" t="str">
            <v>A09</v>
          </cell>
        </row>
        <row r="319">
          <cell r="A319" t="str">
            <v>SAHJ2077</v>
          </cell>
          <cell r="D319" t="str">
            <v>A09</v>
          </cell>
        </row>
        <row r="320">
          <cell r="A320" t="str">
            <v>SAHJ2078</v>
          </cell>
          <cell r="D320" t="str">
            <v>A09</v>
          </cell>
        </row>
        <row r="321">
          <cell r="A321" t="str">
            <v>SAHJ2079</v>
          </cell>
          <cell r="D321" t="str">
            <v>A09</v>
          </cell>
        </row>
        <row r="322">
          <cell r="A322" t="str">
            <v>SAHJ3096</v>
          </cell>
          <cell r="D322" t="str">
            <v>A09</v>
          </cell>
        </row>
        <row r="323">
          <cell r="A323" t="str">
            <v>SAHJ3097</v>
          </cell>
          <cell r="D323" t="str">
            <v>A09</v>
          </cell>
        </row>
        <row r="324">
          <cell r="A324" t="str">
            <v>SAHJ3098</v>
          </cell>
          <cell r="D324" t="str">
            <v>A09</v>
          </cell>
        </row>
        <row r="325">
          <cell r="A325" t="str">
            <v>SAHJ3099</v>
          </cell>
          <cell r="D325" t="str">
            <v>A09</v>
          </cell>
        </row>
        <row r="326">
          <cell r="A326" t="str">
            <v>SAHJ3100</v>
          </cell>
          <cell r="D326" t="str">
            <v>A09</v>
          </cell>
        </row>
        <row r="327">
          <cell r="A327" t="str">
            <v>SAHJ3101</v>
          </cell>
          <cell r="D327" t="str">
            <v>A09</v>
          </cell>
        </row>
        <row r="328">
          <cell r="A328" t="str">
            <v>SAHJ3102</v>
          </cell>
          <cell r="D328" t="str">
            <v>A09</v>
          </cell>
        </row>
        <row r="329">
          <cell r="A329" t="str">
            <v>SAHJ3103</v>
          </cell>
          <cell r="D329" t="str">
            <v>A09</v>
          </cell>
        </row>
        <row r="330">
          <cell r="A330" t="str">
            <v>SAHJ3104</v>
          </cell>
          <cell r="D330" t="str">
            <v>A09</v>
          </cell>
        </row>
        <row r="331">
          <cell r="A331" t="str">
            <v>SAHJ3105</v>
          </cell>
          <cell r="D331" t="str">
            <v>A09</v>
          </cell>
        </row>
        <row r="332">
          <cell r="A332" t="str">
            <v>SAHJ3106</v>
          </cell>
          <cell r="D332" t="str">
            <v>A09</v>
          </cell>
        </row>
        <row r="333">
          <cell r="A333" t="str">
            <v>SAHJ3116</v>
          </cell>
          <cell r="D333" t="str">
            <v>A09</v>
          </cell>
        </row>
        <row r="334">
          <cell r="A334" t="str">
            <v>SAHJ3117</v>
          </cell>
          <cell r="D334" t="str">
            <v>A09</v>
          </cell>
        </row>
        <row r="335">
          <cell r="A335" t="str">
            <v>SAHJ3118</v>
          </cell>
          <cell r="D335" t="str">
            <v>A09</v>
          </cell>
        </row>
        <row r="336">
          <cell r="A336" t="str">
            <v>SAHJ3119</v>
          </cell>
          <cell r="D336" t="str">
            <v>A09</v>
          </cell>
        </row>
        <row r="337">
          <cell r="A337" t="str">
            <v>SAHJ3121</v>
          </cell>
          <cell r="D337" t="str">
            <v>A09</v>
          </cell>
        </row>
        <row r="338">
          <cell r="A338" t="str">
            <v>SAHJ3122</v>
          </cell>
          <cell r="D338" t="str">
            <v>A09</v>
          </cell>
        </row>
        <row r="339">
          <cell r="A339" t="str">
            <v>SAHJ3123</v>
          </cell>
          <cell r="D339" t="str">
            <v>A09</v>
          </cell>
        </row>
        <row r="340">
          <cell r="A340" t="str">
            <v>SAHJ3124</v>
          </cell>
          <cell r="D340" t="str">
            <v>A09</v>
          </cell>
        </row>
        <row r="341">
          <cell r="A341" t="str">
            <v>SAHJ3125</v>
          </cell>
          <cell r="D341" t="str">
            <v>A09</v>
          </cell>
        </row>
        <row r="342">
          <cell r="A342" t="str">
            <v>SAHJ3126</v>
          </cell>
          <cell r="D342" t="str">
            <v>A09</v>
          </cell>
        </row>
        <row r="343">
          <cell r="A343" t="str">
            <v>SAIJ3684</v>
          </cell>
          <cell r="D343" t="str">
            <v>A09</v>
          </cell>
        </row>
        <row r="344">
          <cell r="A344" t="str">
            <v>SAIJ3685</v>
          </cell>
          <cell r="D344" t="str">
            <v>A09</v>
          </cell>
        </row>
        <row r="345">
          <cell r="A345" t="str">
            <v>SAM00004</v>
          </cell>
          <cell r="D345" t="str">
            <v>A09</v>
          </cell>
        </row>
        <row r="346">
          <cell r="A346" t="str">
            <v>SAM30501</v>
          </cell>
          <cell r="D346" t="str">
            <v>A09</v>
          </cell>
        </row>
        <row r="347">
          <cell r="A347" t="str">
            <v>SAS60340</v>
          </cell>
          <cell r="D347" t="str">
            <v>A09</v>
          </cell>
        </row>
        <row r="348">
          <cell r="A348" t="str">
            <v>SAS60350</v>
          </cell>
          <cell r="D348" t="str">
            <v>A09</v>
          </cell>
        </row>
        <row r="349">
          <cell r="A349" t="str">
            <v>SASJ3020</v>
          </cell>
          <cell r="D349" t="str">
            <v>A09</v>
          </cell>
        </row>
        <row r="350">
          <cell r="A350" t="str">
            <v>UAH30001</v>
          </cell>
          <cell r="D350" t="str">
            <v>A09</v>
          </cell>
        </row>
        <row r="351">
          <cell r="A351" t="str">
            <v>UAM20020</v>
          </cell>
          <cell r="D351" t="str">
            <v>A09</v>
          </cell>
        </row>
        <row r="352">
          <cell r="A352" t="str">
            <v>UAS12212</v>
          </cell>
          <cell r="D352" t="str">
            <v>A09</v>
          </cell>
        </row>
        <row r="353">
          <cell r="A353" t="str">
            <v>UAS60010</v>
          </cell>
          <cell r="D353" t="str">
            <v>A09</v>
          </cell>
        </row>
        <row r="354">
          <cell r="A354" t="str">
            <v>MAH80353</v>
          </cell>
          <cell r="D354" t="str">
            <v>A10</v>
          </cell>
        </row>
        <row r="355">
          <cell r="A355" t="str">
            <v>MAH80820</v>
          </cell>
          <cell r="D355" t="str">
            <v>A10</v>
          </cell>
        </row>
        <row r="356">
          <cell r="A356" t="str">
            <v>MAZ20023</v>
          </cell>
          <cell r="D356" t="str">
            <v>A10</v>
          </cell>
        </row>
        <row r="357">
          <cell r="A357" t="str">
            <v>MAZ20060</v>
          </cell>
          <cell r="D357" t="str">
            <v>A10</v>
          </cell>
        </row>
        <row r="358">
          <cell r="A358" t="str">
            <v>MMA60109</v>
          </cell>
          <cell r="D358" t="str">
            <v>A10</v>
          </cell>
        </row>
        <row r="359">
          <cell r="A359" t="str">
            <v>MMA60208</v>
          </cell>
          <cell r="D359" t="str">
            <v>A10</v>
          </cell>
        </row>
        <row r="360">
          <cell r="A360" t="str">
            <v>MMA60213</v>
          </cell>
          <cell r="D360" t="str">
            <v>A10</v>
          </cell>
        </row>
        <row r="361">
          <cell r="A361" t="str">
            <v>MMJ32142</v>
          </cell>
          <cell r="D361" t="str">
            <v>A10</v>
          </cell>
        </row>
        <row r="362">
          <cell r="A362" t="str">
            <v>MMJ32143</v>
          </cell>
          <cell r="D362" t="str">
            <v>A10</v>
          </cell>
        </row>
        <row r="363">
          <cell r="A363" t="str">
            <v>MMO31916</v>
          </cell>
          <cell r="D363" t="str">
            <v>A10</v>
          </cell>
        </row>
        <row r="364">
          <cell r="A364" t="str">
            <v>SAC21800</v>
          </cell>
          <cell r="D364" t="str">
            <v>A10</v>
          </cell>
        </row>
        <row r="365">
          <cell r="A365" t="str">
            <v>SAH80006</v>
          </cell>
          <cell r="D365" t="str">
            <v>A10</v>
          </cell>
        </row>
        <row r="366">
          <cell r="A366" t="str">
            <v>SAIJ2717</v>
          </cell>
          <cell r="D366" t="str">
            <v>A10</v>
          </cell>
        </row>
        <row r="367">
          <cell r="A367" t="str">
            <v>SAIJ2719</v>
          </cell>
          <cell r="D367" t="str">
            <v>A10</v>
          </cell>
        </row>
        <row r="368">
          <cell r="A368" t="str">
            <v>SAJ80001</v>
          </cell>
          <cell r="D368" t="str">
            <v>A10</v>
          </cell>
        </row>
        <row r="369">
          <cell r="A369" t="str">
            <v>SAKPK007</v>
          </cell>
          <cell r="D369" t="str">
            <v>A10</v>
          </cell>
        </row>
        <row r="370">
          <cell r="A370" t="str">
            <v>SAKPK008</v>
          </cell>
          <cell r="D370" t="str">
            <v>A10</v>
          </cell>
        </row>
        <row r="371">
          <cell r="A371" t="str">
            <v>SAL38003</v>
          </cell>
          <cell r="D371" t="str">
            <v>A10</v>
          </cell>
        </row>
        <row r="372">
          <cell r="A372" t="str">
            <v>SAL38004</v>
          </cell>
          <cell r="D372" t="str">
            <v>A10</v>
          </cell>
        </row>
        <row r="373">
          <cell r="A373" t="str">
            <v>SAL38005</v>
          </cell>
          <cell r="D373" t="str">
            <v>A10</v>
          </cell>
        </row>
        <row r="374">
          <cell r="A374" t="str">
            <v>SAL39001</v>
          </cell>
          <cell r="D374" t="str">
            <v>A10</v>
          </cell>
        </row>
        <row r="375">
          <cell r="A375" t="str">
            <v>SAS30006</v>
          </cell>
          <cell r="D375" t="str">
            <v>A10</v>
          </cell>
        </row>
        <row r="376">
          <cell r="A376" t="str">
            <v>SAS80038</v>
          </cell>
          <cell r="D376" t="str">
            <v>A10</v>
          </cell>
        </row>
        <row r="377">
          <cell r="A377" t="str">
            <v>SAS80328</v>
          </cell>
          <cell r="D377" t="str">
            <v>A10</v>
          </cell>
        </row>
        <row r="378">
          <cell r="A378" t="str">
            <v>SAS81320</v>
          </cell>
          <cell r="D378" t="str">
            <v>A10</v>
          </cell>
        </row>
        <row r="379">
          <cell r="A379" t="str">
            <v>SAS81321</v>
          </cell>
          <cell r="D379" t="str">
            <v>A10</v>
          </cell>
        </row>
        <row r="380">
          <cell r="A380" t="str">
            <v>SAS81325</v>
          </cell>
          <cell r="D380" t="str">
            <v>A10</v>
          </cell>
        </row>
        <row r="381">
          <cell r="A381" t="str">
            <v>SAS81329</v>
          </cell>
          <cell r="D381" t="str">
            <v>A10</v>
          </cell>
        </row>
        <row r="382">
          <cell r="A382" t="str">
            <v>SASJ3011</v>
          </cell>
          <cell r="D382" t="str">
            <v>A10</v>
          </cell>
        </row>
        <row r="383">
          <cell r="A383" t="str">
            <v>SASJ3012</v>
          </cell>
          <cell r="D383" t="str">
            <v>A10</v>
          </cell>
        </row>
        <row r="384">
          <cell r="A384" t="str">
            <v>SASJ3013</v>
          </cell>
          <cell r="D384" t="str">
            <v>A10</v>
          </cell>
        </row>
        <row r="385">
          <cell r="A385" t="str">
            <v>SASJ3014</v>
          </cell>
          <cell r="D385" t="str">
            <v>A10</v>
          </cell>
        </row>
        <row r="386">
          <cell r="A386" t="str">
            <v>SASJ3015</v>
          </cell>
          <cell r="D386" t="str">
            <v>A10</v>
          </cell>
        </row>
        <row r="387">
          <cell r="A387" t="str">
            <v>SASJ3016</v>
          </cell>
          <cell r="D387" t="str">
            <v>A10</v>
          </cell>
        </row>
        <row r="388">
          <cell r="A388" t="str">
            <v>SASJ3017</v>
          </cell>
          <cell r="D388" t="str">
            <v>A10</v>
          </cell>
        </row>
        <row r="389">
          <cell r="A389" t="str">
            <v>SASJ3018</v>
          </cell>
          <cell r="D389" t="str">
            <v>A10</v>
          </cell>
        </row>
        <row r="390">
          <cell r="A390" t="str">
            <v>SASJ3019</v>
          </cell>
          <cell r="D390" t="str">
            <v>A10</v>
          </cell>
        </row>
        <row r="391">
          <cell r="A391" t="str">
            <v>SASJ3021</v>
          </cell>
          <cell r="D391" t="str">
            <v>A10</v>
          </cell>
        </row>
        <row r="392">
          <cell r="A392" t="str">
            <v>SASJ3022</v>
          </cell>
          <cell r="D392" t="str">
            <v>A10</v>
          </cell>
        </row>
        <row r="393">
          <cell r="A393" t="str">
            <v>SASJ3023</v>
          </cell>
          <cell r="D393" t="str">
            <v>A10</v>
          </cell>
        </row>
        <row r="394">
          <cell r="A394" t="str">
            <v>SASJ3046</v>
          </cell>
          <cell r="D394" t="str">
            <v>A10</v>
          </cell>
        </row>
        <row r="395">
          <cell r="A395" t="str">
            <v>SASJ3047</v>
          </cell>
          <cell r="D395" t="str">
            <v>A10</v>
          </cell>
        </row>
        <row r="396">
          <cell r="A396" t="str">
            <v>SASJ3048</v>
          </cell>
          <cell r="D396" t="str">
            <v>A10</v>
          </cell>
        </row>
        <row r="397">
          <cell r="A397" t="str">
            <v>SASJ3049</v>
          </cell>
          <cell r="D397" t="str">
            <v>A10</v>
          </cell>
        </row>
        <row r="398">
          <cell r="A398" t="str">
            <v>SASJ3050</v>
          </cell>
          <cell r="D398" t="str">
            <v>A10</v>
          </cell>
        </row>
        <row r="399">
          <cell r="A399" t="str">
            <v>SASJ3051</v>
          </cell>
          <cell r="D399" t="str">
            <v>A10</v>
          </cell>
        </row>
        <row r="400">
          <cell r="A400" t="str">
            <v>SASJ3052</v>
          </cell>
          <cell r="D400" t="str">
            <v>A10</v>
          </cell>
        </row>
        <row r="401">
          <cell r="A401" t="str">
            <v>SASJ3053</v>
          </cell>
          <cell r="D401" t="str">
            <v>A10</v>
          </cell>
        </row>
        <row r="402">
          <cell r="A402" t="str">
            <v>SASJ3054</v>
          </cell>
          <cell r="D402" t="str">
            <v>A10</v>
          </cell>
        </row>
        <row r="403">
          <cell r="A403" t="str">
            <v>SASJ3055</v>
          </cell>
          <cell r="D403" t="str">
            <v>A10</v>
          </cell>
        </row>
        <row r="404">
          <cell r="A404" t="str">
            <v>SASJ3056</v>
          </cell>
          <cell r="D404" t="str">
            <v>A10</v>
          </cell>
        </row>
        <row r="405">
          <cell r="A405" t="str">
            <v>SASJ3057</v>
          </cell>
          <cell r="D405" t="str">
            <v>A10</v>
          </cell>
        </row>
        <row r="406">
          <cell r="A406" t="str">
            <v>SASJ3058</v>
          </cell>
          <cell r="D406" t="str">
            <v>A10</v>
          </cell>
        </row>
        <row r="407">
          <cell r="A407" t="str">
            <v>SASJ3059</v>
          </cell>
          <cell r="D407" t="str">
            <v>A10</v>
          </cell>
        </row>
        <row r="408">
          <cell r="A408" t="str">
            <v>SASJ3060</v>
          </cell>
          <cell r="D408" t="str">
            <v>A10</v>
          </cell>
        </row>
        <row r="409">
          <cell r="A409" t="str">
            <v>SASJ3061</v>
          </cell>
          <cell r="D409" t="str">
            <v>A10</v>
          </cell>
        </row>
        <row r="410">
          <cell r="A410" t="str">
            <v>SASJ3062</v>
          </cell>
          <cell r="D410" t="str">
            <v>A10</v>
          </cell>
        </row>
        <row r="411">
          <cell r="A411" t="str">
            <v>SASJ3063</v>
          </cell>
          <cell r="D411" t="str">
            <v>A10</v>
          </cell>
        </row>
        <row r="412">
          <cell r="A412" t="str">
            <v>SASJ3064</v>
          </cell>
          <cell r="D412" t="str">
            <v>A10</v>
          </cell>
        </row>
        <row r="413">
          <cell r="A413" t="str">
            <v>SASJ3065</v>
          </cell>
          <cell r="D413" t="str">
            <v>A10</v>
          </cell>
        </row>
        <row r="414">
          <cell r="A414" t="str">
            <v>SASJ3066</v>
          </cell>
          <cell r="D414" t="str">
            <v>A10</v>
          </cell>
        </row>
        <row r="415">
          <cell r="A415" t="str">
            <v>SASJ3067</v>
          </cell>
          <cell r="D415" t="str">
            <v>A10</v>
          </cell>
        </row>
        <row r="416">
          <cell r="A416" t="str">
            <v>SASJ3068</v>
          </cell>
          <cell r="D416" t="str">
            <v>A10</v>
          </cell>
        </row>
        <row r="417">
          <cell r="A417" t="str">
            <v>SASJ3069</v>
          </cell>
          <cell r="D417" t="str">
            <v>A10</v>
          </cell>
        </row>
        <row r="418">
          <cell r="A418" t="str">
            <v>SASJ3070</v>
          </cell>
          <cell r="D418" t="str">
            <v>A10</v>
          </cell>
        </row>
        <row r="419">
          <cell r="A419" t="str">
            <v>SASJ3071</v>
          </cell>
          <cell r="D419" t="str">
            <v>A10</v>
          </cell>
        </row>
        <row r="420">
          <cell r="A420" t="str">
            <v>SASJ3072</v>
          </cell>
          <cell r="D420" t="str">
            <v>A10</v>
          </cell>
        </row>
        <row r="421">
          <cell r="A421" t="str">
            <v>SASJ3073</v>
          </cell>
          <cell r="D421" t="str">
            <v>A10</v>
          </cell>
        </row>
        <row r="422">
          <cell r="A422" t="str">
            <v>SASJ3074</v>
          </cell>
          <cell r="D422" t="str">
            <v>A10</v>
          </cell>
        </row>
        <row r="423">
          <cell r="A423" t="str">
            <v>SASJ8163</v>
          </cell>
          <cell r="D423" t="str">
            <v>A10</v>
          </cell>
        </row>
        <row r="424">
          <cell r="A424" t="str">
            <v>SASJ8178</v>
          </cell>
          <cell r="D424" t="str">
            <v>A10</v>
          </cell>
        </row>
        <row r="425">
          <cell r="A425" t="str">
            <v>SAUOB101</v>
          </cell>
          <cell r="D425" t="str">
            <v>A10</v>
          </cell>
        </row>
        <row r="426">
          <cell r="A426" t="str">
            <v>SAV60414</v>
          </cell>
          <cell r="D426" t="str">
            <v>A10</v>
          </cell>
        </row>
        <row r="427">
          <cell r="A427" t="str">
            <v>UAD40111</v>
          </cell>
          <cell r="D427" t="str">
            <v>A10</v>
          </cell>
        </row>
        <row r="428">
          <cell r="A428" t="str">
            <v>UAD50185</v>
          </cell>
          <cell r="D428" t="str">
            <v>A10</v>
          </cell>
        </row>
        <row r="429">
          <cell r="A429" t="str">
            <v>UAD50227</v>
          </cell>
          <cell r="D429" t="str">
            <v>A10</v>
          </cell>
        </row>
        <row r="430">
          <cell r="A430" t="str">
            <v>UAJ30230</v>
          </cell>
          <cell r="D430" t="str">
            <v>A10</v>
          </cell>
        </row>
        <row r="431">
          <cell r="A431" t="str">
            <v>UAS05001</v>
          </cell>
          <cell r="D431" t="str">
            <v>A10</v>
          </cell>
        </row>
        <row r="432">
          <cell r="A432" t="str">
            <v>UAS42616</v>
          </cell>
          <cell r="D432" t="str">
            <v>A10</v>
          </cell>
        </row>
        <row r="433">
          <cell r="A433" t="str">
            <v>UAS43014</v>
          </cell>
          <cell r="D433" t="str">
            <v>A10</v>
          </cell>
        </row>
        <row r="434">
          <cell r="A434" t="str">
            <v>UAS50350</v>
          </cell>
          <cell r="D434" t="str">
            <v>A10</v>
          </cell>
        </row>
        <row r="435">
          <cell r="A435" t="str">
            <v>UAS72001</v>
          </cell>
          <cell r="D435" t="str">
            <v>A10</v>
          </cell>
        </row>
        <row r="436">
          <cell r="A436" t="str">
            <v>UAS72003</v>
          </cell>
          <cell r="D436" t="str">
            <v>A10</v>
          </cell>
        </row>
        <row r="437">
          <cell r="A437" t="str">
            <v>UAS72005</v>
          </cell>
          <cell r="D437" t="str">
            <v>A10</v>
          </cell>
        </row>
        <row r="438">
          <cell r="A438" t="str">
            <v>UAS90002</v>
          </cell>
          <cell r="D438" t="str">
            <v>A10</v>
          </cell>
        </row>
        <row r="439">
          <cell r="A439" t="str">
            <v>MAH70755</v>
          </cell>
          <cell r="D439" t="str">
            <v>A11</v>
          </cell>
        </row>
        <row r="440">
          <cell r="A440" t="str">
            <v>MAH80716</v>
          </cell>
          <cell r="D440" t="str">
            <v>A11</v>
          </cell>
        </row>
        <row r="441">
          <cell r="A441" t="str">
            <v>MAH80830</v>
          </cell>
          <cell r="D441" t="str">
            <v>A11</v>
          </cell>
        </row>
        <row r="442">
          <cell r="A442" t="str">
            <v>MGF10180</v>
          </cell>
          <cell r="D442" t="str">
            <v>A11</v>
          </cell>
        </row>
        <row r="443">
          <cell r="A443" t="str">
            <v>SAI07001</v>
          </cell>
          <cell r="D443" t="str">
            <v>A11</v>
          </cell>
        </row>
        <row r="444">
          <cell r="A444" t="str">
            <v>SAIJ1131</v>
          </cell>
          <cell r="D444" t="str">
            <v>A11</v>
          </cell>
        </row>
        <row r="445">
          <cell r="A445" t="str">
            <v>SAIJ2312</v>
          </cell>
          <cell r="D445" t="str">
            <v>A11</v>
          </cell>
        </row>
        <row r="446">
          <cell r="A446" t="str">
            <v>SAIJ3111</v>
          </cell>
          <cell r="D446" t="str">
            <v>A11</v>
          </cell>
        </row>
        <row r="447">
          <cell r="A447" t="str">
            <v>SAIJ3203</v>
          </cell>
          <cell r="D447" t="str">
            <v>A11</v>
          </cell>
        </row>
        <row r="448">
          <cell r="A448" t="str">
            <v>SAIJ3308</v>
          </cell>
          <cell r="D448" t="str">
            <v>A11</v>
          </cell>
        </row>
        <row r="449">
          <cell r="A449" t="str">
            <v>SAIJ3699</v>
          </cell>
          <cell r="D449" t="str">
            <v>A11</v>
          </cell>
        </row>
        <row r="450">
          <cell r="A450" t="str">
            <v>SAIJ3718</v>
          </cell>
          <cell r="D450" t="str">
            <v>A11</v>
          </cell>
        </row>
        <row r="451">
          <cell r="A451" t="str">
            <v>SAIJ3719</v>
          </cell>
          <cell r="D451" t="str">
            <v>A11</v>
          </cell>
        </row>
        <row r="452">
          <cell r="A452" t="str">
            <v>SAIJ3720</v>
          </cell>
          <cell r="D452" t="str">
            <v>A11</v>
          </cell>
        </row>
        <row r="453">
          <cell r="A453" t="str">
            <v>SAIJ3721</v>
          </cell>
          <cell r="D453" t="str">
            <v>A11</v>
          </cell>
        </row>
        <row r="454">
          <cell r="A454" t="str">
            <v>SAIJ3722</v>
          </cell>
          <cell r="D454" t="str">
            <v>A11</v>
          </cell>
        </row>
        <row r="455">
          <cell r="A455" t="str">
            <v>SAIJ3723</v>
          </cell>
          <cell r="D455" t="str">
            <v>A11</v>
          </cell>
        </row>
        <row r="456">
          <cell r="A456" t="str">
            <v>SAIJ3724</v>
          </cell>
          <cell r="D456" t="str">
            <v>A11</v>
          </cell>
        </row>
        <row r="457">
          <cell r="A457" t="str">
            <v>SAIJ3725</v>
          </cell>
          <cell r="D457" t="str">
            <v>A11</v>
          </cell>
        </row>
        <row r="458">
          <cell r="A458" t="str">
            <v>SAIJ3726</v>
          </cell>
          <cell r="D458" t="str">
            <v>A11</v>
          </cell>
        </row>
        <row r="459">
          <cell r="A459" t="str">
            <v>SAIJ3727</v>
          </cell>
          <cell r="D459" t="str">
            <v>A11</v>
          </cell>
        </row>
        <row r="460">
          <cell r="A460" t="str">
            <v>SAIJ3728</v>
          </cell>
          <cell r="D460" t="str">
            <v>A11</v>
          </cell>
        </row>
        <row r="461">
          <cell r="A461" t="str">
            <v>SAIJ3729</v>
          </cell>
          <cell r="D461" t="str">
            <v>A11</v>
          </cell>
        </row>
        <row r="462">
          <cell r="A462" t="str">
            <v>SAIJ3730</v>
          </cell>
          <cell r="D462" t="str">
            <v>A11</v>
          </cell>
        </row>
        <row r="463">
          <cell r="A463" t="str">
            <v>SAIJ3731</v>
          </cell>
          <cell r="D463" t="str">
            <v>A11</v>
          </cell>
        </row>
        <row r="464">
          <cell r="A464" t="str">
            <v>SAIJ3732</v>
          </cell>
          <cell r="D464" t="str">
            <v>A11</v>
          </cell>
        </row>
        <row r="465">
          <cell r="A465" t="str">
            <v>SAIJ3733</v>
          </cell>
          <cell r="D465" t="str">
            <v>A11</v>
          </cell>
        </row>
        <row r="466">
          <cell r="A466" t="str">
            <v>SAIJ4515</v>
          </cell>
          <cell r="D466" t="str">
            <v>A11</v>
          </cell>
        </row>
        <row r="467">
          <cell r="A467" t="str">
            <v>SAIJ4756</v>
          </cell>
          <cell r="D467" t="str">
            <v>A11</v>
          </cell>
        </row>
        <row r="468">
          <cell r="A468" t="str">
            <v>SAIJ4757</v>
          </cell>
          <cell r="D468" t="str">
            <v>A11</v>
          </cell>
        </row>
        <row r="469">
          <cell r="A469" t="str">
            <v>SAIJ4758</v>
          </cell>
          <cell r="D469" t="str">
            <v>A11</v>
          </cell>
        </row>
        <row r="470">
          <cell r="A470" t="str">
            <v>SAIJ4759</v>
          </cell>
          <cell r="D470" t="str">
            <v>A11</v>
          </cell>
        </row>
        <row r="471">
          <cell r="A471" t="str">
            <v>SAIJ4760</v>
          </cell>
          <cell r="D471" t="str">
            <v>A11</v>
          </cell>
        </row>
        <row r="472">
          <cell r="A472" t="str">
            <v>SAIJ4761</v>
          </cell>
          <cell r="D472" t="str">
            <v>A11</v>
          </cell>
        </row>
        <row r="473">
          <cell r="A473" t="str">
            <v>SAIJ4762</v>
          </cell>
          <cell r="D473" t="str">
            <v>A11</v>
          </cell>
        </row>
        <row r="474">
          <cell r="A474" t="str">
            <v>SAIJ4763</v>
          </cell>
          <cell r="D474" t="str">
            <v>A11</v>
          </cell>
        </row>
        <row r="475">
          <cell r="A475" t="str">
            <v>SAIJ4764</v>
          </cell>
          <cell r="D475" t="str">
            <v>A11</v>
          </cell>
        </row>
        <row r="476">
          <cell r="A476" t="str">
            <v>SAIJ4772</v>
          </cell>
          <cell r="D476" t="str">
            <v>A11</v>
          </cell>
        </row>
        <row r="477">
          <cell r="A477" t="str">
            <v>SAIJ4773</v>
          </cell>
          <cell r="D477" t="str">
            <v>A11</v>
          </cell>
        </row>
        <row r="478">
          <cell r="A478" t="str">
            <v>SAIJ5489</v>
          </cell>
          <cell r="D478" t="str">
            <v>A11</v>
          </cell>
        </row>
        <row r="479">
          <cell r="A479" t="str">
            <v>SAIJ6378</v>
          </cell>
          <cell r="D479" t="str">
            <v>A11</v>
          </cell>
        </row>
        <row r="480">
          <cell r="A480" t="str">
            <v>SAIJ6404</v>
          </cell>
          <cell r="D480" t="str">
            <v>A11</v>
          </cell>
        </row>
        <row r="481">
          <cell r="A481" t="str">
            <v>SAIJ7645</v>
          </cell>
          <cell r="D481" t="str">
            <v>A11</v>
          </cell>
        </row>
        <row r="482">
          <cell r="A482" t="str">
            <v>SAIJ9821</v>
          </cell>
          <cell r="D482" t="str">
            <v>A11</v>
          </cell>
        </row>
        <row r="483">
          <cell r="A483" t="str">
            <v>SAIJ9822</v>
          </cell>
          <cell r="D483" t="str">
            <v>A11</v>
          </cell>
        </row>
        <row r="484">
          <cell r="A484" t="str">
            <v>SAIJ9823</v>
          </cell>
          <cell r="D484" t="str">
            <v>A11</v>
          </cell>
        </row>
        <row r="485">
          <cell r="A485" t="str">
            <v>SAIJ9824</v>
          </cell>
          <cell r="D485" t="str">
            <v>A11</v>
          </cell>
        </row>
        <row r="486">
          <cell r="A486" t="str">
            <v>SAIJ9825</v>
          </cell>
          <cell r="D486" t="str">
            <v>A11</v>
          </cell>
        </row>
        <row r="487">
          <cell r="A487" t="str">
            <v>SAIJ9826</v>
          </cell>
          <cell r="D487" t="str">
            <v>A11</v>
          </cell>
        </row>
        <row r="488">
          <cell r="A488" t="str">
            <v>SAIJ9827</v>
          </cell>
          <cell r="D488" t="str">
            <v>A11</v>
          </cell>
        </row>
        <row r="489">
          <cell r="A489" t="str">
            <v>SAIJ9828</v>
          </cell>
          <cell r="D489" t="str">
            <v>A11</v>
          </cell>
        </row>
        <row r="490">
          <cell r="A490" t="str">
            <v>SAIJ9829</v>
          </cell>
          <cell r="D490" t="str">
            <v>A11</v>
          </cell>
        </row>
        <row r="491">
          <cell r="A491" t="str">
            <v>SAN81005</v>
          </cell>
          <cell r="D491" t="str">
            <v>A11</v>
          </cell>
        </row>
        <row r="492">
          <cell r="A492" t="str">
            <v>SANJ3001</v>
          </cell>
          <cell r="D492" t="str">
            <v>A11</v>
          </cell>
        </row>
        <row r="493">
          <cell r="A493" t="str">
            <v>UAI10137</v>
          </cell>
          <cell r="D493" t="str">
            <v>A11</v>
          </cell>
        </row>
        <row r="494">
          <cell r="A494" t="str">
            <v>UAI12404</v>
          </cell>
          <cell r="D494" t="str">
            <v>A11</v>
          </cell>
        </row>
        <row r="495">
          <cell r="A495" t="str">
            <v>UAI20005</v>
          </cell>
          <cell r="D495" t="str">
            <v>A11</v>
          </cell>
        </row>
        <row r="496">
          <cell r="A496" t="str">
            <v>UAI59214</v>
          </cell>
          <cell r="D496" t="str">
            <v>A11</v>
          </cell>
        </row>
        <row r="497">
          <cell r="A497" t="str">
            <v>UAI59811</v>
          </cell>
          <cell r="D497" t="str">
            <v>A11</v>
          </cell>
        </row>
        <row r="498">
          <cell r="A498" t="str">
            <v>UAI59818</v>
          </cell>
          <cell r="D498" t="str">
            <v>A11</v>
          </cell>
        </row>
        <row r="499">
          <cell r="A499" t="str">
            <v>UAI59828</v>
          </cell>
          <cell r="D499" t="str">
            <v>A11</v>
          </cell>
        </row>
        <row r="500">
          <cell r="A500" t="str">
            <v>UAI59842</v>
          </cell>
          <cell r="D500" t="str">
            <v>A11</v>
          </cell>
        </row>
        <row r="501">
          <cell r="A501" t="str">
            <v>UAI59882</v>
          </cell>
          <cell r="D501" t="str">
            <v>A11</v>
          </cell>
        </row>
        <row r="502">
          <cell r="A502" t="str">
            <v>UAJ20011</v>
          </cell>
          <cell r="D502" t="str">
            <v>A11</v>
          </cell>
        </row>
        <row r="503">
          <cell r="A503" t="str">
            <v>SAIJ8835</v>
          </cell>
          <cell r="D503" t="str">
            <v>A12</v>
          </cell>
        </row>
        <row r="504">
          <cell r="A504" t="str">
            <v>SAIJ8836</v>
          </cell>
          <cell r="D504" t="str">
            <v>A12</v>
          </cell>
        </row>
        <row r="505">
          <cell r="A505" t="str">
            <v>SAIJ8845</v>
          </cell>
          <cell r="D505" t="str">
            <v>A12</v>
          </cell>
        </row>
        <row r="506">
          <cell r="A506" t="str">
            <v>SAIJ8850</v>
          </cell>
          <cell r="D506" t="str">
            <v>A12</v>
          </cell>
        </row>
        <row r="507">
          <cell r="A507" t="str">
            <v>SAIJ8851</v>
          </cell>
          <cell r="D507" t="str">
            <v>A12</v>
          </cell>
        </row>
        <row r="508">
          <cell r="A508" t="str">
            <v>SAIJ8852</v>
          </cell>
          <cell r="D508" t="str">
            <v>A12</v>
          </cell>
        </row>
        <row r="509">
          <cell r="A509" t="str">
            <v>SAIJ8853</v>
          </cell>
          <cell r="D509" t="str">
            <v>A12</v>
          </cell>
        </row>
        <row r="510">
          <cell r="A510" t="str">
            <v>SAIJ8854</v>
          </cell>
          <cell r="D510" t="str">
            <v>A12</v>
          </cell>
        </row>
        <row r="511">
          <cell r="A511" t="str">
            <v>SAIJ8855</v>
          </cell>
          <cell r="D511" t="str">
            <v>A12</v>
          </cell>
        </row>
        <row r="512">
          <cell r="A512" t="str">
            <v>SAIJ8856</v>
          </cell>
          <cell r="D512" t="str">
            <v>A12</v>
          </cell>
        </row>
        <row r="513">
          <cell r="A513" t="str">
            <v>SAIJ8857</v>
          </cell>
          <cell r="D513" t="str">
            <v>A12</v>
          </cell>
        </row>
        <row r="514">
          <cell r="A514" t="str">
            <v>SAIJ8858</v>
          </cell>
          <cell r="D514" t="str">
            <v>A12</v>
          </cell>
        </row>
        <row r="515">
          <cell r="A515" t="str">
            <v>SAIJ8859</v>
          </cell>
          <cell r="D515" t="str">
            <v>A12</v>
          </cell>
        </row>
        <row r="516">
          <cell r="A516" t="str">
            <v>SAIJ8860</v>
          </cell>
          <cell r="D516" t="str">
            <v>A12</v>
          </cell>
        </row>
        <row r="517">
          <cell r="A517" t="str">
            <v>SAIJ8861</v>
          </cell>
          <cell r="D517" t="str">
            <v>A12</v>
          </cell>
        </row>
        <row r="518">
          <cell r="A518" t="str">
            <v>SAIJ8862</v>
          </cell>
          <cell r="D518" t="str">
            <v>A12</v>
          </cell>
        </row>
        <row r="519">
          <cell r="A519" t="str">
            <v>SAIJ8863</v>
          </cell>
          <cell r="D519" t="str">
            <v>A12</v>
          </cell>
        </row>
        <row r="520">
          <cell r="A520" t="str">
            <v>SAIJ8864</v>
          </cell>
          <cell r="D520" t="str">
            <v>A12</v>
          </cell>
        </row>
        <row r="521">
          <cell r="A521" t="str">
            <v>SAIJ8865</v>
          </cell>
          <cell r="D521" t="str">
            <v>A12</v>
          </cell>
        </row>
        <row r="522">
          <cell r="A522" t="str">
            <v>SAIJ8866</v>
          </cell>
          <cell r="D522" t="str">
            <v>A12</v>
          </cell>
        </row>
        <row r="523">
          <cell r="A523" t="str">
            <v>SAIJ8867</v>
          </cell>
          <cell r="D523" t="str">
            <v>A12</v>
          </cell>
        </row>
        <row r="524">
          <cell r="A524" t="str">
            <v>SAIJ8868</v>
          </cell>
          <cell r="D524" t="str">
            <v>A12</v>
          </cell>
        </row>
        <row r="525">
          <cell r="A525" t="str">
            <v>SAIJ8869</v>
          </cell>
          <cell r="D525" t="str">
            <v>A12</v>
          </cell>
        </row>
        <row r="526">
          <cell r="A526" t="str">
            <v>SAIJ8870</v>
          </cell>
          <cell r="D526" t="str">
            <v>A12</v>
          </cell>
        </row>
        <row r="527">
          <cell r="A527" t="str">
            <v>SAIJ8871</v>
          </cell>
          <cell r="D527" t="str">
            <v>A12</v>
          </cell>
        </row>
        <row r="528">
          <cell r="A528" t="str">
            <v>SAIJ8872</v>
          </cell>
          <cell r="D528" t="str">
            <v>A12</v>
          </cell>
        </row>
        <row r="529">
          <cell r="A529" t="str">
            <v>SAIJ8873</v>
          </cell>
          <cell r="D529" t="str">
            <v>A12</v>
          </cell>
        </row>
        <row r="530">
          <cell r="A530" t="str">
            <v>SAIJ8874</v>
          </cell>
          <cell r="D530" t="str">
            <v>A12</v>
          </cell>
        </row>
        <row r="531">
          <cell r="A531" t="str">
            <v>SAIJ8875</v>
          </cell>
          <cell r="D531" t="str">
            <v>A12</v>
          </cell>
        </row>
        <row r="532">
          <cell r="A532" t="str">
            <v>SAIJ8876</v>
          </cell>
          <cell r="D532" t="str">
            <v>A12</v>
          </cell>
        </row>
        <row r="533">
          <cell r="A533" t="str">
            <v>SAIJ8877</v>
          </cell>
          <cell r="D533" t="str">
            <v>A12</v>
          </cell>
        </row>
        <row r="534">
          <cell r="A534" t="str">
            <v>SAIJ8878</v>
          </cell>
          <cell r="D534" t="str">
            <v>A12</v>
          </cell>
        </row>
        <row r="535">
          <cell r="A535" t="str">
            <v>SAIJ8879</v>
          </cell>
          <cell r="D535" t="str">
            <v>A12</v>
          </cell>
        </row>
        <row r="536">
          <cell r="A536" t="str">
            <v>SAIJ8881</v>
          </cell>
          <cell r="D536" t="str">
            <v>A12</v>
          </cell>
        </row>
        <row r="537">
          <cell r="A537" t="str">
            <v>SAIJ8882</v>
          </cell>
          <cell r="D537" t="str">
            <v>A12</v>
          </cell>
        </row>
        <row r="538">
          <cell r="A538" t="str">
            <v>SAIJ8883</v>
          </cell>
          <cell r="D538" t="str">
            <v>A12</v>
          </cell>
        </row>
        <row r="539">
          <cell r="A539" t="str">
            <v>SAIJ8884</v>
          </cell>
          <cell r="D539" t="str">
            <v>A12</v>
          </cell>
        </row>
        <row r="540">
          <cell r="A540" t="str">
            <v>SAIJ8885</v>
          </cell>
          <cell r="D540" t="str">
            <v>A12</v>
          </cell>
        </row>
        <row r="541">
          <cell r="A541" t="str">
            <v>SAIJ8886</v>
          </cell>
          <cell r="D541" t="str">
            <v>A12</v>
          </cell>
        </row>
        <row r="542">
          <cell r="A542" t="str">
            <v>UAI40030</v>
          </cell>
          <cell r="D542" t="str">
            <v>A12</v>
          </cell>
        </row>
        <row r="543">
          <cell r="A543" t="str">
            <v>MAE50323</v>
          </cell>
          <cell r="D543" t="str">
            <v>A13</v>
          </cell>
        </row>
        <row r="544">
          <cell r="A544" t="str">
            <v>SAN76002</v>
          </cell>
          <cell r="D544" t="str">
            <v>A13</v>
          </cell>
        </row>
        <row r="545">
          <cell r="A545" t="str">
            <v>SANJ4004</v>
          </cell>
          <cell r="D545" t="str">
            <v>A13</v>
          </cell>
        </row>
        <row r="546">
          <cell r="A546" t="str">
            <v>UAN40022</v>
          </cell>
          <cell r="D546" t="str">
            <v>A13</v>
          </cell>
        </row>
        <row r="547">
          <cell r="A547" t="str">
            <v>UAN40322</v>
          </cell>
          <cell r="D547" t="str">
            <v>A13</v>
          </cell>
        </row>
        <row r="548">
          <cell r="A548" t="str">
            <v>UAN41022</v>
          </cell>
          <cell r="D548" t="str">
            <v>A13</v>
          </cell>
        </row>
        <row r="549">
          <cell r="A549" t="str">
            <v>UAN46019</v>
          </cell>
          <cell r="D549" t="str">
            <v>A13</v>
          </cell>
        </row>
        <row r="550">
          <cell r="A550" t="str">
            <v>MAF40001</v>
          </cell>
          <cell r="D550" t="str">
            <v>A14</v>
          </cell>
        </row>
        <row r="551">
          <cell r="A551" t="str">
            <v>MAZ20005</v>
          </cell>
          <cell r="D551" t="str">
            <v>A14</v>
          </cell>
        </row>
        <row r="552">
          <cell r="A552" t="str">
            <v>MAZ20007</v>
          </cell>
          <cell r="D552" t="str">
            <v>A14</v>
          </cell>
        </row>
        <row r="553">
          <cell r="A553" t="str">
            <v>SAO61011</v>
          </cell>
          <cell r="D553" t="str">
            <v>A14</v>
          </cell>
        </row>
        <row r="554">
          <cell r="A554" t="str">
            <v>SAO91001</v>
          </cell>
          <cell r="D554" t="str">
            <v>A14</v>
          </cell>
        </row>
        <row r="555">
          <cell r="A555" t="str">
            <v>SAOJ3001</v>
          </cell>
          <cell r="D555" t="str">
            <v>A14</v>
          </cell>
        </row>
        <row r="556">
          <cell r="A556" t="str">
            <v>UAO11010</v>
          </cell>
          <cell r="D556" t="str">
            <v>A14</v>
          </cell>
        </row>
        <row r="557">
          <cell r="A557" t="str">
            <v>UAO30020</v>
          </cell>
          <cell r="D557" t="str">
            <v>A14</v>
          </cell>
        </row>
        <row r="558">
          <cell r="A558" t="str">
            <v>UAO30030</v>
          </cell>
          <cell r="D558" t="str">
            <v>A14</v>
          </cell>
        </row>
        <row r="559">
          <cell r="A559" t="str">
            <v>UAO35020</v>
          </cell>
          <cell r="D559" t="str">
            <v>A14</v>
          </cell>
        </row>
        <row r="560">
          <cell r="A560" t="str">
            <v>UAO35030</v>
          </cell>
          <cell r="D560" t="str">
            <v>A14</v>
          </cell>
        </row>
        <row r="561">
          <cell r="A561" t="str">
            <v>UAO60001</v>
          </cell>
          <cell r="D561" t="str">
            <v>A14</v>
          </cell>
        </row>
        <row r="562">
          <cell r="A562" t="str">
            <v>UAO61010</v>
          </cell>
          <cell r="D562" t="str">
            <v>A14</v>
          </cell>
        </row>
        <row r="563">
          <cell r="A563" t="str">
            <v>UAO70110</v>
          </cell>
          <cell r="D563" t="str">
            <v>A14</v>
          </cell>
        </row>
        <row r="564">
          <cell r="A564" t="str">
            <v>SAH73003</v>
          </cell>
          <cell r="D564" t="str">
            <v>A15</v>
          </cell>
        </row>
        <row r="565">
          <cell r="A565" t="str">
            <v>SAHJ2350</v>
          </cell>
          <cell r="D565" t="str">
            <v>A15</v>
          </cell>
        </row>
        <row r="566">
          <cell r="A566" t="str">
            <v>SAHJ3034</v>
          </cell>
          <cell r="D566" t="str">
            <v>A15</v>
          </cell>
        </row>
        <row r="567">
          <cell r="A567" t="str">
            <v>SAHJ3107</v>
          </cell>
          <cell r="D567" t="str">
            <v>A15</v>
          </cell>
        </row>
        <row r="568">
          <cell r="A568" t="str">
            <v>SAHJ3108</v>
          </cell>
          <cell r="D568" t="str">
            <v>A15</v>
          </cell>
        </row>
        <row r="569">
          <cell r="A569" t="str">
            <v>SAHJ3109</v>
          </cell>
          <cell r="D569" t="str">
            <v>A15</v>
          </cell>
        </row>
        <row r="570">
          <cell r="A570" t="str">
            <v>SAHJ3110</v>
          </cell>
          <cell r="D570" t="str">
            <v>A15</v>
          </cell>
        </row>
        <row r="571">
          <cell r="A571" t="str">
            <v>SAHJ3111</v>
          </cell>
          <cell r="D571" t="str">
            <v>A15</v>
          </cell>
        </row>
        <row r="572">
          <cell r="A572" t="str">
            <v>SAHJ3112</v>
          </cell>
          <cell r="D572" t="str">
            <v>A15</v>
          </cell>
        </row>
        <row r="573">
          <cell r="A573" t="str">
            <v>SAHJ3113</v>
          </cell>
          <cell r="D573" t="str">
            <v>A15</v>
          </cell>
        </row>
        <row r="574">
          <cell r="A574" t="str">
            <v>SAHJ3114</v>
          </cell>
          <cell r="D574" t="str">
            <v>A15</v>
          </cell>
        </row>
        <row r="575">
          <cell r="A575" t="str">
            <v>SAHJ3115</v>
          </cell>
          <cell r="D575" t="str">
            <v>A15</v>
          </cell>
        </row>
        <row r="576">
          <cell r="A576" t="str">
            <v>SAP01001</v>
          </cell>
          <cell r="D576" t="str">
            <v>A15</v>
          </cell>
        </row>
        <row r="577">
          <cell r="A577" t="str">
            <v>SAQ30100</v>
          </cell>
          <cell r="D577" t="str">
            <v>A15</v>
          </cell>
        </row>
        <row r="578">
          <cell r="A578" t="str">
            <v>SAUOB102</v>
          </cell>
          <cell r="D578" t="str">
            <v>A15</v>
          </cell>
        </row>
        <row r="579">
          <cell r="A579" t="str">
            <v>UAS11020</v>
          </cell>
          <cell r="D579" t="str">
            <v>A15</v>
          </cell>
        </row>
        <row r="580">
          <cell r="A580" t="str">
            <v>UAS12081</v>
          </cell>
          <cell r="D580" t="str">
            <v>A15</v>
          </cell>
        </row>
        <row r="581">
          <cell r="A581" t="str">
            <v>UAS12082</v>
          </cell>
          <cell r="D581" t="str">
            <v>A15</v>
          </cell>
        </row>
        <row r="582">
          <cell r="A582" t="str">
            <v>UAS16020</v>
          </cell>
          <cell r="D582" t="str">
            <v>A15</v>
          </cell>
        </row>
        <row r="583">
          <cell r="A583" t="str">
            <v>SAHJ3062</v>
          </cell>
          <cell r="D583" t="str">
            <v>A16</v>
          </cell>
        </row>
        <row r="584">
          <cell r="A584" t="str">
            <v>SAHJ3063</v>
          </cell>
          <cell r="D584" t="str">
            <v>A16</v>
          </cell>
        </row>
        <row r="585">
          <cell r="A585" t="str">
            <v>SAHJ3064</v>
          </cell>
          <cell r="D585" t="str">
            <v>A16</v>
          </cell>
        </row>
        <row r="586">
          <cell r="A586" t="str">
            <v>SAHJ3065</v>
          </cell>
          <cell r="D586" t="str">
            <v>A16</v>
          </cell>
        </row>
        <row r="587">
          <cell r="A587" t="str">
            <v>SAHJ3066</v>
          </cell>
          <cell r="D587" t="str">
            <v>A16</v>
          </cell>
        </row>
        <row r="588">
          <cell r="A588" t="str">
            <v>SAHJ3067</v>
          </cell>
          <cell r="D588" t="str">
            <v>A16</v>
          </cell>
        </row>
        <row r="589">
          <cell r="A589" t="str">
            <v>SAHJ3068</v>
          </cell>
          <cell r="D589" t="str">
            <v>A16</v>
          </cell>
        </row>
        <row r="590">
          <cell r="A590" t="str">
            <v>SAHJ3069</v>
          </cell>
          <cell r="D590" t="str">
            <v>A16</v>
          </cell>
        </row>
        <row r="591">
          <cell r="A591" t="str">
            <v>SAHJ3070</v>
          </cell>
          <cell r="D591" t="str">
            <v>A16</v>
          </cell>
        </row>
        <row r="592">
          <cell r="A592" t="str">
            <v>SAHJ3071</v>
          </cell>
          <cell r="D592" t="str">
            <v>A16</v>
          </cell>
        </row>
        <row r="593">
          <cell r="A593" t="str">
            <v>SAHJ3072</v>
          </cell>
          <cell r="D593" t="str">
            <v>A16</v>
          </cell>
        </row>
        <row r="594">
          <cell r="A594" t="str">
            <v>SAHJ3073</v>
          </cell>
          <cell r="D594" t="str">
            <v>A16</v>
          </cell>
        </row>
        <row r="595">
          <cell r="A595" t="str">
            <v>SAHJ3074</v>
          </cell>
          <cell r="D595" t="str">
            <v>A16</v>
          </cell>
        </row>
        <row r="596">
          <cell r="A596" t="str">
            <v>SAHJ3075</v>
          </cell>
          <cell r="D596" t="str">
            <v>A16</v>
          </cell>
        </row>
        <row r="597">
          <cell r="A597" t="str">
            <v>SAHJ3076</v>
          </cell>
          <cell r="D597" t="str">
            <v>A16</v>
          </cell>
        </row>
        <row r="598">
          <cell r="A598" t="str">
            <v>SAHJ3077</v>
          </cell>
          <cell r="D598" t="str">
            <v>A16</v>
          </cell>
        </row>
        <row r="599">
          <cell r="A599" t="str">
            <v>SAHJ3078</v>
          </cell>
          <cell r="D599" t="str">
            <v>A16</v>
          </cell>
        </row>
        <row r="600">
          <cell r="A600" t="str">
            <v>SAHJ3079</v>
          </cell>
          <cell r="D600" t="str">
            <v>A16</v>
          </cell>
        </row>
        <row r="601">
          <cell r="A601" t="str">
            <v>SAHJ3080</v>
          </cell>
          <cell r="D601" t="str">
            <v>A16</v>
          </cell>
        </row>
        <row r="602">
          <cell r="A602" t="str">
            <v>SAHJ3081</v>
          </cell>
          <cell r="D602" t="str">
            <v>A16</v>
          </cell>
        </row>
        <row r="603">
          <cell r="A603" t="str">
            <v>SAHJ3082</v>
          </cell>
          <cell r="D603" t="str">
            <v>A16</v>
          </cell>
        </row>
        <row r="604">
          <cell r="A604" t="str">
            <v>SAHJ3083</v>
          </cell>
          <cell r="D604" t="str">
            <v>A16</v>
          </cell>
        </row>
        <row r="605">
          <cell r="A605" t="str">
            <v>SAHJ3084</v>
          </cell>
          <cell r="D605" t="str">
            <v>A16</v>
          </cell>
        </row>
        <row r="606">
          <cell r="A606" t="str">
            <v>SAHJ3085</v>
          </cell>
          <cell r="D606" t="str">
            <v>A16</v>
          </cell>
        </row>
        <row r="607">
          <cell r="A607" t="str">
            <v>SAHJ3086</v>
          </cell>
          <cell r="D607" t="str">
            <v>A16</v>
          </cell>
        </row>
        <row r="608">
          <cell r="A608" t="str">
            <v>SAHJ3087</v>
          </cell>
          <cell r="D608" t="str">
            <v>A16</v>
          </cell>
        </row>
        <row r="609">
          <cell r="A609" t="str">
            <v>SAHJ3088</v>
          </cell>
          <cell r="D609" t="str">
            <v>A16</v>
          </cell>
        </row>
        <row r="610">
          <cell r="A610" t="str">
            <v>SAHJ3089</v>
          </cell>
          <cell r="D610" t="str">
            <v>A16</v>
          </cell>
        </row>
        <row r="611">
          <cell r="A611" t="str">
            <v>SAHJ3090</v>
          </cell>
          <cell r="D611" t="str">
            <v>A16</v>
          </cell>
        </row>
        <row r="612">
          <cell r="A612" t="str">
            <v>SAHJ3091</v>
          </cell>
          <cell r="D612" t="str">
            <v>A16</v>
          </cell>
        </row>
        <row r="613">
          <cell r="A613" t="str">
            <v>SAHJ3092</v>
          </cell>
          <cell r="D613" t="str">
            <v>A16</v>
          </cell>
        </row>
        <row r="614">
          <cell r="A614" t="str">
            <v>SAHJ3093</v>
          </cell>
          <cell r="D614" t="str">
            <v>A16</v>
          </cell>
        </row>
        <row r="615">
          <cell r="A615" t="str">
            <v>SAHJ3094</v>
          </cell>
          <cell r="D615" t="str">
            <v>A16</v>
          </cell>
        </row>
        <row r="616">
          <cell r="A616" t="str">
            <v>SAHJ3095</v>
          </cell>
          <cell r="D616" t="str">
            <v>A16</v>
          </cell>
        </row>
        <row r="617">
          <cell r="A617" t="str">
            <v>SANJ3002</v>
          </cell>
          <cell r="D617" t="str">
            <v>A16</v>
          </cell>
        </row>
        <row r="618">
          <cell r="A618" t="str">
            <v>SAHJ3037</v>
          </cell>
          <cell r="D618" t="str">
            <v>A17</v>
          </cell>
        </row>
        <row r="619">
          <cell r="A619" t="str">
            <v>SAHJ3038</v>
          </cell>
          <cell r="D619" t="str">
            <v>A17</v>
          </cell>
        </row>
        <row r="620">
          <cell r="A620" t="str">
            <v>SAHJ3039</v>
          </cell>
          <cell r="D620" t="str">
            <v>A17</v>
          </cell>
        </row>
        <row r="621">
          <cell r="A621" t="str">
            <v>SAHJ3040</v>
          </cell>
          <cell r="D621" t="str">
            <v>A17</v>
          </cell>
        </row>
        <row r="622">
          <cell r="A622" t="str">
            <v>SAHJ3041</v>
          </cell>
          <cell r="D622" t="str">
            <v>A17</v>
          </cell>
        </row>
        <row r="623">
          <cell r="A623" t="str">
            <v>SAHJ3042</v>
          </cell>
          <cell r="D623" t="str">
            <v>A17</v>
          </cell>
        </row>
        <row r="624">
          <cell r="A624" t="str">
            <v>SAHJ3043</v>
          </cell>
          <cell r="D624" t="str">
            <v>A17</v>
          </cell>
        </row>
        <row r="625">
          <cell r="A625" t="str">
            <v>SAHJ3044</v>
          </cell>
          <cell r="D625" t="str">
            <v>A17</v>
          </cell>
        </row>
        <row r="626">
          <cell r="A626" t="str">
            <v>SAHJ3045</v>
          </cell>
          <cell r="D626" t="str">
            <v>A17</v>
          </cell>
        </row>
        <row r="627">
          <cell r="A627" t="str">
            <v>SAHJ3046</v>
          </cell>
          <cell r="D627" t="str">
            <v>A17</v>
          </cell>
        </row>
        <row r="628">
          <cell r="A628" t="str">
            <v>SAHJ3047</v>
          </cell>
          <cell r="D628" t="str">
            <v>A17</v>
          </cell>
        </row>
        <row r="629">
          <cell r="A629" t="str">
            <v>SAHJ3048</v>
          </cell>
          <cell r="D629" t="str">
            <v>A17</v>
          </cell>
        </row>
        <row r="630">
          <cell r="A630" t="str">
            <v>SAHJ3049</v>
          </cell>
          <cell r="D630" t="str">
            <v>A17</v>
          </cell>
        </row>
        <row r="631">
          <cell r="A631" t="str">
            <v>SAHJ3050</v>
          </cell>
          <cell r="D631" t="str">
            <v>A17</v>
          </cell>
        </row>
        <row r="632">
          <cell r="A632" t="str">
            <v>SAHJ3051</v>
          </cell>
          <cell r="D632" t="str">
            <v>A17</v>
          </cell>
        </row>
        <row r="633">
          <cell r="A633" t="str">
            <v>SAHJ3052</v>
          </cell>
          <cell r="D633" t="str">
            <v>A17</v>
          </cell>
        </row>
        <row r="634">
          <cell r="A634" t="str">
            <v>SAHJ3053</v>
          </cell>
          <cell r="D634" t="str">
            <v>A17</v>
          </cell>
        </row>
        <row r="635">
          <cell r="A635" t="str">
            <v>SAHJ3054</v>
          </cell>
          <cell r="D635" t="str">
            <v>A17</v>
          </cell>
        </row>
        <row r="636">
          <cell r="A636" t="str">
            <v>SAHJ3055</v>
          </cell>
          <cell r="D636" t="str">
            <v>A17</v>
          </cell>
        </row>
        <row r="637">
          <cell r="A637" t="str">
            <v>SAHJ3056</v>
          </cell>
          <cell r="D637" t="str">
            <v>A17</v>
          </cell>
        </row>
        <row r="638">
          <cell r="A638" t="str">
            <v>SAHJ3057</v>
          </cell>
          <cell r="D638" t="str">
            <v>A17</v>
          </cell>
        </row>
        <row r="639">
          <cell r="A639" t="str">
            <v>SAHJ3058</v>
          </cell>
          <cell r="D639" t="str">
            <v>A17</v>
          </cell>
        </row>
        <row r="640">
          <cell r="A640" t="str">
            <v>SAHJ3059</v>
          </cell>
          <cell r="D640" t="str">
            <v>A17</v>
          </cell>
        </row>
        <row r="641">
          <cell r="A641" t="str">
            <v>SAHJ3060</v>
          </cell>
          <cell r="D641" t="str">
            <v>A17</v>
          </cell>
        </row>
        <row r="642">
          <cell r="A642" t="str">
            <v>SAHJ3061</v>
          </cell>
          <cell r="D642" t="str">
            <v>A17</v>
          </cell>
        </row>
        <row r="643">
          <cell r="A643" t="str">
            <v>MAF60384</v>
          </cell>
          <cell r="D643" t="str">
            <v>A18</v>
          </cell>
        </row>
        <row r="644">
          <cell r="A644" t="str">
            <v>SAG10133</v>
          </cell>
          <cell r="D644" t="str">
            <v>A18</v>
          </cell>
        </row>
        <row r="645">
          <cell r="A645" t="str">
            <v>SAG15015</v>
          </cell>
          <cell r="D645" t="str">
            <v>A18</v>
          </cell>
        </row>
        <row r="646">
          <cell r="A646" t="str">
            <v>SAG50062</v>
          </cell>
          <cell r="D646" t="str">
            <v>A18</v>
          </cell>
        </row>
        <row r="647">
          <cell r="A647" t="str">
            <v>SAG50063</v>
          </cell>
          <cell r="D647" t="str">
            <v>A18</v>
          </cell>
        </row>
        <row r="648">
          <cell r="A648" t="str">
            <v>SAG50067</v>
          </cell>
          <cell r="D648" t="str">
            <v>A18</v>
          </cell>
        </row>
        <row r="649">
          <cell r="A649" t="str">
            <v>SAG81152</v>
          </cell>
          <cell r="D649" t="str">
            <v>A18</v>
          </cell>
        </row>
        <row r="650">
          <cell r="A650" t="str">
            <v>SAG81161</v>
          </cell>
          <cell r="D650" t="str">
            <v>A18</v>
          </cell>
        </row>
        <row r="651">
          <cell r="A651" t="str">
            <v>SAG81162</v>
          </cell>
          <cell r="D651" t="str">
            <v>A18</v>
          </cell>
        </row>
        <row r="652">
          <cell r="A652" t="str">
            <v>SAG81182</v>
          </cell>
          <cell r="D652" t="str">
            <v>A18</v>
          </cell>
        </row>
        <row r="653">
          <cell r="A653" t="str">
            <v>SAG81194</v>
          </cell>
          <cell r="D653" t="str">
            <v>A18</v>
          </cell>
        </row>
        <row r="654">
          <cell r="A654" t="str">
            <v>SAGJ1024</v>
          </cell>
          <cell r="D654" t="str">
            <v>A18</v>
          </cell>
        </row>
        <row r="655">
          <cell r="A655" t="str">
            <v>SAP21001</v>
          </cell>
          <cell r="D655" t="str">
            <v>A18</v>
          </cell>
        </row>
        <row r="656">
          <cell r="A656" t="str">
            <v>SAP21002</v>
          </cell>
          <cell r="D656" t="str">
            <v>A18</v>
          </cell>
        </row>
        <row r="657">
          <cell r="A657" t="str">
            <v>SAPJ3002</v>
          </cell>
          <cell r="D657" t="str">
            <v>A18</v>
          </cell>
        </row>
        <row r="658">
          <cell r="A658" t="str">
            <v>SAPJ3003</v>
          </cell>
          <cell r="D658" t="str">
            <v>A18</v>
          </cell>
        </row>
        <row r="659">
          <cell r="A659" t="str">
            <v>SAPJ3004</v>
          </cell>
          <cell r="D659" t="str">
            <v>A18</v>
          </cell>
        </row>
        <row r="660">
          <cell r="A660" t="str">
            <v>UAG10396</v>
          </cell>
          <cell r="D660" t="str">
            <v>A18</v>
          </cell>
        </row>
        <row r="661">
          <cell r="A661" t="str">
            <v>UAG12203</v>
          </cell>
          <cell r="D661" t="str">
            <v>A18</v>
          </cell>
        </row>
        <row r="662">
          <cell r="A662" t="str">
            <v>UAG12207</v>
          </cell>
          <cell r="D662" t="str">
            <v>A18</v>
          </cell>
        </row>
        <row r="663">
          <cell r="A663" t="str">
            <v>UAG20012</v>
          </cell>
          <cell r="D663" t="str">
            <v>A18</v>
          </cell>
        </row>
        <row r="664">
          <cell r="A664" t="str">
            <v>UAG22032</v>
          </cell>
          <cell r="D664" t="str">
            <v>A18</v>
          </cell>
        </row>
        <row r="665">
          <cell r="A665" t="str">
            <v>UAG50012</v>
          </cell>
          <cell r="D665" t="str">
            <v>A18</v>
          </cell>
        </row>
        <row r="666">
          <cell r="A666" t="str">
            <v>UAP10120</v>
          </cell>
          <cell r="D666" t="str">
            <v>A18</v>
          </cell>
        </row>
        <row r="667">
          <cell r="A667" t="str">
            <v>MCA50422</v>
          </cell>
          <cell r="D667" t="str">
            <v>A19</v>
          </cell>
        </row>
        <row r="668">
          <cell r="A668" t="str">
            <v>SAB84005</v>
          </cell>
          <cell r="D668" t="str">
            <v>A19</v>
          </cell>
        </row>
        <row r="669">
          <cell r="A669" t="str">
            <v>SAB84006</v>
          </cell>
          <cell r="D669" t="str">
            <v>A19</v>
          </cell>
        </row>
        <row r="670">
          <cell r="A670" t="str">
            <v>SAB84007</v>
          </cell>
          <cell r="D670" t="str">
            <v>A19</v>
          </cell>
        </row>
        <row r="671">
          <cell r="A671" t="str">
            <v>SAB84008</v>
          </cell>
          <cell r="D671" t="str">
            <v>A19</v>
          </cell>
        </row>
        <row r="672">
          <cell r="A672" t="str">
            <v>SAB84009</v>
          </cell>
          <cell r="D672" t="str">
            <v>A19</v>
          </cell>
        </row>
        <row r="673">
          <cell r="A673" t="str">
            <v>SAB84010</v>
          </cell>
          <cell r="D673" t="str">
            <v>A19</v>
          </cell>
        </row>
        <row r="674">
          <cell r="A674" t="str">
            <v>SAB84011</v>
          </cell>
          <cell r="D674" t="str">
            <v>A19</v>
          </cell>
        </row>
        <row r="675">
          <cell r="A675" t="str">
            <v>SAB84012</v>
          </cell>
          <cell r="D675" t="str">
            <v>A19</v>
          </cell>
        </row>
        <row r="676">
          <cell r="A676" t="str">
            <v>SAB84013</v>
          </cell>
          <cell r="D676" t="str">
            <v>A19</v>
          </cell>
        </row>
        <row r="677">
          <cell r="A677" t="str">
            <v>SAB84014</v>
          </cell>
          <cell r="D677" t="str">
            <v>A19</v>
          </cell>
        </row>
        <row r="678">
          <cell r="A678" t="str">
            <v>SAB84015</v>
          </cell>
          <cell r="D678" t="str">
            <v>A19</v>
          </cell>
        </row>
        <row r="679">
          <cell r="A679" t="str">
            <v>UAC10025</v>
          </cell>
          <cell r="D679" t="str">
            <v>A19</v>
          </cell>
        </row>
        <row r="680">
          <cell r="A680" t="str">
            <v>UAC10152</v>
          </cell>
          <cell r="D680" t="str">
            <v>A19</v>
          </cell>
        </row>
        <row r="681">
          <cell r="A681" t="str">
            <v>UAC20106</v>
          </cell>
          <cell r="D681" t="str">
            <v>A19</v>
          </cell>
        </row>
        <row r="682">
          <cell r="A682" t="str">
            <v>UAC30103</v>
          </cell>
          <cell r="D682" t="str">
            <v>A19</v>
          </cell>
        </row>
        <row r="683">
          <cell r="A683" t="str">
            <v>UAC30111</v>
          </cell>
          <cell r="D683" t="str">
            <v>A19</v>
          </cell>
        </row>
        <row r="684">
          <cell r="A684" t="str">
            <v>MGI20307</v>
          </cell>
          <cell r="D684" t="str">
            <v>A20</v>
          </cell>
        </row>
        <row r="685">
          <cell r="A685" t="str">
            <v>SAC15401</v>
          </cell>
          <cell r="D685" t="str">
            <v>A20</v>
          </cell>
        </row>
        <row r="686">
          <cell r="A686" t="str">
            <v>SAC15402</v>
          </cell>
          <cell r="D686" t="str">
            <v>A20</v>
          </cell>
        </row>
        <row r="687">
          <cell r="A687" t="str">
            <v>SAC15403</v>
          </cell>
          <cell r="D687" t="str">
            <v>A20</v>
          </cell>
        </row>
        <row r="688">
          <cell r="A688" t="str">
            <v>SAC15405</v>
          </cell>
          <cell r="D688" t="str">
            <v>A20</v>
          </cell>
        </row>
        <row r="689">
          <cell r="A689" t="str">
            <v>SAC15406</v>
          </cell>
          <cell r="D689" t="str">
            <v>A20</v>
          </cell>
        </row>
        <row r="690">
          <cell r="A690" t="str">
            <v>UAC10401</v>
          </cell>
          <cell r="D690" t="str">
            <v>A20</v>
          </cell>
        </row>
        <row r="691">
          <cell r="A691" t="str">
            <v>UAC30106</v>
          </cell>
          <cell r="D691" t="str">
            <v>A20</v>
          </cell>
        </row>
        <row r="692">
          <cell r="A692" t="str">
            <v>UAC30116</v>
          </cell>
          <cell r="D692" t="str">
            <v>A20</v>
          </cell>
        </row>
        <row r="693">
          <cell r="A693" t="str">
            <v>MAA80520</v>
          </cell>
          <cell r="D693" t="str">
            <v>A21</v>
          </cell>
        </row>
        <row r="694">
          <cell r="A694" t="str">
            <v>MAZ50100</v>
          </cell>
          <cell r="D694" t="str">
            <v>A21</v>
          </cell>
        </row>
        <row r="695">
          <cell r="A695" t="str">
            <v>MAZ50500</v>
          </cell>
          <cell r="D695" t="str">
            <v>A21</v>
          </cell>
        </row>
        <row r="696">
          <cell r="A696" t="str">
            <v>MAZ50510</v>
          </cell>
          <cell r="D696" t="str">
            <v>A21</v>
          </cell>
        </row>
        <row r="697">
          <cell r="A697" t="str">
            <v>MAZ50520</v>
          </cell>
          <cell r="D697" t="str">
            <v>A21</v>
          </cell>
        </row>
        <row r="698">
          <cell r="A698" t="str">
            <v>MAZ50530</v>
          </cell>
          <cell r="D698" t="str">
            <v>A21</v>
          </cell>
        </row>
        <row r="699">
          <cell r="A699" t="str">
            <v>MAZ50560</v>
          </cell>
          <cell r="D699" t="str">
            <v>A21</v>
          </cell>
        </row>
        <row r="700">
          <cell r="A700" t="str">
            <v>MAZ50570</v>
          </cell>
          <cell r="D700" t="str">
            <v>A21</v>
          </cell>
        </row>
        <row r="701">
          <cell r="A701" t="str">
            <v>MMC37748</v>
          </cell>
          <cell r="D701" t="str">
            <v>A21</v>
          </cell>
        </row>
        <row r="702">
          <cell r="A702" t="str">
            <v>SACCRX01</v>
          </cell>
          <cell r="D702" t="str">
            <v>A21</v>
          </cell>
        </row>
        <row r="703">
          <cell r="A703" t="str">
            <v>SAIJ2066</v>
          </cell>
          <cell r="D703" t="str">
            <v>A21</v>
          </cell>
        </row>
        <row r="704">
          <cell r="A704" t="str">
            <v>SAIJ2067</v>
          </cell>
          <cell r="D704" t="str">
            <v>A21</v>
          </cell>
        </row>
        <row r="705">
          <cell r="A705" t="str">
            <v>SAIJ3610</v>
          </cell>
          <cell r="D705" t="str">
            <v>A21</v>
          </cell>
        </row>
        <row r="706">
          <cell r="A706" t="str">
            <v>SAJ14001</v>
          </cell>
          <cell r="D706" t="str">
            <v>A21</v>
          </cell>
        </row>
        <row r="707">
          <cell r="A707" t="str">
            <v>SAK75001</v>
          </cell>
          <cell r="D707" t="str">
            <v>A21</v>
          </cell>
        </row>
        <row r="708">
          <cell r="A708" t="str">
            <v>SAKPK031</v>
          </cell>
          <cell r="D708" t="str">
            <v>A21</v>
          </cell>
        </row>
        <row r="709">
          <cell r="A709" t="str">
            <v>SAKPK032</v>
          </cell>
          <cell r="D709" t="str">
            <v>A21</v>
          </cell>
        </row>
        <row r="710">
          <cell r="A710" t="str">
            <v>SASJ3001</v>
          </cell>
          <cell r="D710" t="str">
            <v>A21</v>
          </cell>
        </row>
        <row r="711">
          <cell r="A711" t="str">
            <v>SASJ3003</v>
          </cell>
          <cell r="D711" t="str">
            <v>A21</v>
          </cell>
        </row>
        <row r="712">
          <cell r="A712" t="str">
            <v>SASJ3029</v>
          </cell>
          <cell r="D712" t="str">
            <v>A21</v>
          </cell>
        </row>
        <row r="713">
          <cell r="A713" t="str">
            <v>SASJ3030</v>
          </cell>
          <cell r="D713" t="str">
            <v>A21</v>
          </cell>
        </row>
        <row r="714">
          <cell r="A714" t="str">
            <v>SASJ3031</v>
          </cell>
          <cell r="D714" t="str">
            <v>A21</v>
          </cell>
        </row>
        <row r="715">
          <cell r="A715" t="str">
            <v>SASJ3032</v>
          </cell>
          <cell r="D715" t="str">
            <v>A21</v>
          </cell>
        </row>
        <row r="716">
          <cell r="A716" t="str">
            <v>SASJ3033</v>
          </cell>
          <cell r="D716" t="str">
            <v>A21</v>
          </cell>
        </row>
        <row r="717">
          <cell r="A717" t="str">
            <v>SASJ3034</v>
          </cell>
          <cell r="D717" t="str">
            <v>A21</v>
          </cell>
        </row>
        <row r="718">
          <cell r="A718" t="str">
            <v>UAA25010</v>
          </cell>
          <cell r="D718" t="str">
            <v>A21</v>
          </cell>
        </row>
        <row r="719">
          <cell r="A719" t="str">
            <v>UAD41021</v>
          </cell>
          <cell r="D719" t="str">
            <v>A21</v>
          </cell>
        </row>
        <row r="720">
          <cell r="A720" t="str">
            <v>UAD41031</v>
          </cell>
          <cell r="D720" t="str">
            <v>A21</v>
          </cell>
        </row>
        <row r="721">
          <cell r="A721" t="str">
            <v>UAD41051</v>
          </cell>
          <cell r="D721" t="str">
            <v>A21</v>
          </cell>
        </row>
        <row r="722">
          <cell r="A722" t="str">
            <v>UAE50220</v>
          </cell>
          <cell r="D722" t="str">
            <v>A21</v>
          </cell>
        </row>
        <row r="723">
          <cell r="A723" t="str">
            <v>UAK40090</v>
          </cell>
          <cell r="D723" t="str">
            <v>A21</v>
          </cell>
        </row>
        <row r="724">
          <cell r="A724" t="str">
            <v>UAK80090</v>
          </cell>
          <cell r="D724" t="str">
            <v>A21</v>
          </cell>
        </row>
        <row r="725">
          <cell r="A725" t="str">
            <v>UAK80100</v>
          </cell>
          <cell r="D725" t="str">
            <v>A21</v>
          </cell>
        </row>
        <row r="726">
          <cell r="A726" t="str">
            <v>UAO30040</v>
          </cell>
          <cell r="D726" t="str">
            <v>A21</v>
          </cell>
        </row>
        <row r="727">
          <cell r="A727" t="str">
            <v>UAO35025</v>
          </cell>
          <cell r="D727" t="str">
            <v>A21</v>
          </cell>
        </row>
        <row r="728">
          <cell r="A728" t="str">
            <v>UAO90310</v>
          </cell>
          <cell r="D728" t="str">
            <v>A21</v>
          </cell>
        </row>
        <row r="729">
          <cell r="A729" t="str">
            <v>UAO90410</v>
          </cell>
          <cell r="D729" t="str">
            <v>A21</v>
          </cell>
        </row>
        <row r="730">
          <cell r="A730" t="str">
            <v>UAS40250</v>
          </cell>
          <cell r="D730" t="str">
            <v>A21</v>
          </cell>
        </row>
        <row r="731">
          <cell r="A731" t="str">
            <v>UAS42440</v>
          </cell>
          <cell r="D731" t="str">
            <v>A21</v>
          </cell>
        </row>
        <row r="732">
          <cell r="A732" t="str">
            <v>UAT10020</v>
          </cell>
          <cell r="D732" t="str">
            <v>A21</v>
          </cell>
        </row>
        <row r="733">
          <cell r="A733" t="str">
            <v>UAT10021</v>
          </cell>
          <cell r="D733" t="str">
            <v>A21</v>
          </cell>
        </row>
        <row r="734">
          <cell r="A734" t="str">
            <v>UCL02012</v>
          </cell>
          <cell r="D734" t="str">
            <v>A21</v>
          </cell>
        </row>
        <row r="735">
          <cell r="A735" t="str">
            <v>UMB30316</v>
          </cell>
          <cell r="D735" t="str">
            <v>A21</v>
          </cell>
        </row>
        <row r="736">
          <cell r="A736" t="str">
            <v>QBG15035</v>
          </cell>
          <cell r="D736" t="str">
            <v>A22</v>
          </cell>
        </row>
        <row r="737">
          <cell r="A737" t="str">
            <v>UAC30105</v>
          </cell>
          <cell r="D737" t="str">
            <v>A22</v>
          </cell>
        </row>
        <row r="738">
          <cell r="A738" t="str">
            <v>UAC30115</v>
          </cell>
          <cell r="D738" t="str">
            <v>A22</v>
          </cell>
        </row>
        <row r="739">
          <cell r="A739" t="str">
            <v>MAA80510</v>
          </cell>
          <cell r="D739" t="str">
            <v>A23</v>
          </cell>
        </row>
        <row r="740">
          <cell r="A740" t="str">
            <v>MAF60301</v>
          </cell>
          <cell r="D740" t="str">
            <v>A23</v>
          </cell>
        </row>
        <row r="741">
          <cell r="A741" t="str">
            <v>MAF60351</v>
          </cell>
          <cell r="D741" t="str">
            <v>A23</v>
          </cell>
        </row>
        <row r="742">
          <cell r="A742" t="str">
            <v>MAF60352</v>
          </cell>
          <cell r="D742" t="str">
            <v>A23</v>
          </cell>
        </row>
        <row r="743">
          <cell r="A743" t="str">
            <v>MAH80705</v>
          </cell>
          <cell r="D743" t="str">
            <v>A23</v>
          </cell>
        </row>
        <row r="744">
          <cell r="A744" t="str">
            <v>MAM70101</v>
          </cell>
          <cell r="D744" t="str">
            <v>A23</v>
          </cell>
        </row>
        <row r="745">
          <cell r="A745" t="str">
            <v>MAN30001</v>
          </cell>
          <cell r="D745" t="str">
            <v>A23</v>
          </cell>
        </row>
        <row r="746">
          <cell r="A746" t="str">
            <v>MAO70001</v>
          </cell>
          <cell r="D746" t="str">
            <v>A23</v>
          </cell>
        </row>
        <row r="747">
          <cell r="A747" t="str">
            <v>MAZ10021</v>
          </cell>
          <cell r="D747" t="str">
            <v>A23</v>
          </cell>
        </row>
        <row r="748">
          <cell r="A748" t="str">
            <v>MGD20230</v>
          </cell>
          <cell r="D748" t="str">
            <v>A23</v>
          </cell>
        </row>
        <row r="749">
          <cell r="A749" t="str">
            <v>QEC33000</v>
          </cell>
          <cell r="D749" t="str">
            <v>A23</v>
          </cell>
        </row>
        <row r="750">
          <cell r="A750" t="str">
            <v>SAC16001</v>
          </cell>
          <cell r="D750" t="str">
            <v>A23</v>
          </cell>
        </row>
        <row r="751">
          <cell r="A751" t="str">
            <v>SAE11120</v>
          </cell>
          <cell r="D751" t="str">
            <v>A23</v>
          </cell>
        </row>
        <row r="752">
          <cell r="A752" t="str">
            <v>SAGJ0301</v>
          </cell>
          <cell r="D752" t="str">
            <v>A23</v>
          </cell>
        </row>
        <row r="753">
          <cell r="A753" t="str">
            <v>SAGJ3000</v>
          </cell>
          <cell r="D753" t="str">
            <v>A23</v>
          </cell>
        </row>
        <row r="754">
          <cell r="A754" t="str">
            <v>SAGJ3001</v>
          </cell>
          <cell r="D754" t="str">
            <v>A23</v>
          </cell>
        </row>
        <row r="755">
          <cell r="A755" t="str">
            <v>SAH41120</v>
          </cell>
          <cell r="D755" t="str">
            <v>A23</v>
          </cell>
        </row>
        <row r="756">
          <cell r="A756" t="str">
            <v>SAHCKA31</v>
          </cell>
          <cell r="D756" t="str">
            <v>A23</v>
          </cell>
        </row>
        <row r="757">
          <cell r="A757" t="str">
            <v>SAHJ3024</v>
          </cell>
          <cell r="D757" t="str">
            <v>A23</v>
          </cell>
        </row>
        <row r="758">
          <cell r="A758" t="str">
            <v>SAHJ3025</v>
          </cell>
          <cell r="D758" t="str">
            <v>A23</v>
          </cell>
        </row>
        <row r="759">
          <cell r="A759" t="str">
            <v>SAHJ3026</v>
          </cell>
          <cell r="D759" t="str">
            <v>A23</v>
          </cell>
        </row>
        <row r="760">
          <cell r="A760" t="str">
            <v>SAHJ3027</v>
          </cell>
          <cell r="D760" t="str">
            <v>A23</v>
          </cell>
        </row>
        <row r="761">
          <cell r="A761" t="str">
            <v>SAHJ3028</v>
          </cell>
          <cell r="D761" t="str">
            <v>A23</v>
          </cell>
        </row>
        <row r="762">
          <cell r="A762" t="str">
            <v>SAHJ3029</v>
          </cell>
          <cell r="D762" t="str">
            <v>A23</v>
          </cell>
        </row>
        <row r="763">
          <cell r="A763" t="str">
            <v>SAHJ3030</v>
          </cell>
          <cell r="D763" t="str">
            <v>A23</v>
          </cell>
        </row>
        <row r="764">
          <cell r="A764" t="str">
            <v>SAHJ3031</v>
          </cell>
          <cell r="D764" t="str">
            <v>A23</v>
          </cell>
        </row>
        <row r="765">
          <cell r="A765" t="str">
            <v>SAHJ3032</v>
          </cell>
          <cell r="D765" t="str">
            <v>A23</v>
          </cell>
        </row>
        <row r="766">
          <cell r="A766" t="str">
            <v>SAHJ3033</v>
          </cell>
          <cell r="D766" t="str">
            <v>A23</v>
          </cell>
        </row>
        <row r="767">
          <cell r="A767" t="str">
            <v>SAHJ3035</v>
          </cell>
          <cell r="D767" t="str">
            <v>A23</v>
          </cell>
        </row>
        <row r="768">
          <cell r="A768" t="str">
            <v>SAHJ3036</v>
          </cell>
          <cell r="D768" t="str">
            <v>A23</v>
          </cell>
        </row>
        <row r="769">
          <cell r="A769" t="str">
            <v>SAIJ2065</v>
          </cell>
          <cell r="D769" t="str">
            <v>A23</v>
          </cell>
        </row>
        <row r="770">
          <cell r="A770" t="str">
            <v>SAIJ2529</v>
          </cell>
          <cell r="D770" t="str">
            <v>A23</v>
          </cell>
        </row>
        <row r="771">
          <cell r="A771" t="str">
            <v>SAIJ3071</v>
          </cell>
          <cell r="D771" t="str">
            <v>A23</v>
          </cell>
        </row>
        <row r="772">
          <cell r="A772" t="str">
            <v>SAIJ3494</v>
          </cell>
          <cell r="D772" t="str">
            <v>A23</v>
          </cell>
        </row>
        <row r="773">
          <cell r="A773" t="str">
            <v>SAIJ3611</v>
          </cell>
          <cell r="D773" t="str">
            <v>A23</v>
          </cell>
        </row>
        <row r="774">
          <cell r="A774" t="str">
            <v>SAIJ3612</v>
          </cell>
          <cell r="D774" t="str">
            <v>A23</v>
          </cell>
        </row>
        <row r="775">
          <cell r="A775" t="str">
            <v>SAIJ3615</v>
          </cell>
          <cell r="D775" t="str">
            <v>A23</v>
          </cell>
        </row>
        <row r="776">
          <cell r="A776" t="str">
            <v>SAIJ3616</v>
          </cell>
          <cell r="D776" t="str">
            <v>A23</v>
          </cell>
        </row>
        <row r="777">
          <cell r="A777" t="str">
            <v>SAIJ3617</v>
          </cell>
          <cell r="D777" t="str">
            <v>A23</v>
          </cell>
        </row>
        <row r="778">
          <cell r="A778" t="str">
            <v>SAIJ3618</v>
          </cell>
          <cell r="D778" t="str">
            <v>A23</v>
          </cell>
        </row>
        <row r="779">
          <cell r="A779" t="str">
            <v>SAIJ3620</v>
          </cell>
          <cell r="D779" t="str">
            <v>A23</v>
          </cell>
        </row>
        <row r="780">
          <cell r="A780" t="str">
            <v>SAIJ3621</v>
          </cell>
          <cell r="D780" t="str">
            <v>A23</v>
          </cell>
        </row>
        <row r="781">
          <cell r="A781" t="str">
            <v>SAIJ3622</v>
          </cell>
          <cell r="D781" t="str">
            <v>A23</v>
          </cell>
        </row>
        <row r="782">
          <cell r="A782" t="str">
            <v>SAIJ3623</v>
          </cell>
          <cell r="D782" t="str">
            <v>A23</v>
          </cell>
        </row>
        <row r="783">
          <cell r="A783" t="str">
            <v>SAIJ3624</v>
          </cell>
          <cell r="D783" t="str">
            <v>A23</v>
          </cell>
        </row>
        <row r="784">
          <cell r="A784" t="str">
            <v>SAIJ3625</v>
          </cell>
          <cell r="D784" t="str">
            <v>A23</v>
          </cell>
        </row>
        <row r="785">
          <cell r="A785" t="str">
            <v>SAIJ3626</v>
          </cell>
          <cell r="D785" t="str">
            <v>A23</v>
          </cell>
        </row>
        <row r="786">
          <cell r="A786" t="str">
            <v>SAIJ3627</v>
          </cell>
          <cell r="D786" t="str">
            <v>A23</v>
          </cell>
        </row>
        <row r="787">
          <cell r="A787" t="str">
            <v>SAIJ3628</v>
          </cell>
          <cell r="D787" t="str">
            <v>A23</v>
          </cell>
        </row>
        <row r="788">
          <cell r="A788" t="str">
            <v>SAIJ3629</v>
          </cell>
          <cell r="D788" t="str">
            <v>A23</v>
          </cell>
        </row>
        <row r="789">
          <cell r="A789" t="str">
            <v>SAIJ3630</v>
          </cell>
          <cell r="D789" t="str">
            <v>A23</v>
          </cell>
        </row>
        <row r="790">
          <cell r="A790" t="str">
            <v>SAIJ3631</v>
          </cell>
          <cell r="D790" t="str">
            <v>A23</v>
          </cell>
        </row>
        <row r="791">
          <cell r="A791" t="str">
            <v>SAIJ3632</v>
          </cell>
          <cell r="D791" t="str">
            <v>A23</v>
          </cell>
        </row>
        <row r="792">
          <cell r="A792" t="str">
            <v>SAIJ3633</v>
          </cell>
          <cell r="D792" t="str">
            <v>A23</v>
          </cell>
        </row>
        <row r="793">
          <cell r="A793" t="str">
            <v>SAIJ3634</v>
          </cell>
          <cell r="D793" t="str">
            <v>A23</v>
          </cell>
        </row>
        <row r="794">
          <cell r="A794" t="str">
            <v>SAIJ3635</v>
          </cell>
          <cell r="D794" t="str">
            <v>A23</v>
          </cell>
        </row>
        <row r="795">
          <cell r="A795" t="str">
            <v>SAIJ3636</v>
          </cell>
          <cell r="D795" t="str">
            <v>A23</v>
          </cell>
        </row>
        <row r="796">
          <cell r="A796" t="str">
            <v>SAIJ3637</v>
          </cell>
          <cell r="D796" t="str">
            <v>A23</v>
          </cell>
        </row>
        <row r="797">
          <cell r="A797" t="str">
            <v>SAIJ3638</v>
          </cell>
          <cell r="D797" t="str">
            <v>A23</v>
          </cell>
        </row>
        <row r="798">
          <cell r="A798" t="str">
            <v>SAIJ3639</v>
          </cell>
          <cell r="D798" t="str">
            <v>A23</v>
          </cell>
        </row>
        <row r="799">
          <cell r="A799" t="str">
            <v>SAIJ3640</v>
          </cell>
          <cell r="D799" t="str">
            <v>A23</v>
          </cell>
        </row>
        <row r="800">
          <cell r="A800" t="str">
            <v>SAIJ3641</v>
          </cell>
          <cell r="D800" t="str">
            <v>A23</v>
          </cell>
        </row>
        <row r="801">
          <cell r="A801" t="str">
            <v>SAIJ3642</v>
          </cell>
          <cell r="D801" t="str">
            <v>A23</v>
          </cell>
        </row>
        <row r="802">
          <cell r="A802" t="str">
            <v>SAIJ3643</v>
          </cell>
          <cell r="D802" t="str">
            <v>A23</v>
          </cell>
        </row>
        <row r="803">
          <cell r="A803" t="str">
            <v>SAIJ3644</v>
          </cell>
          <cell r="D803" t="str">
            <v>A23</v>
          </cell>
        </row>
        <row r="804">
          <cell r="A804" t="str">
            <v>SAIJ3645</v>
          </cell>
          <cell r="D804" t="str">
            <v>A23</v>
          </cell>
        </row>
        <row r="805">
          <cell r="A805" t="str">
            <v>SAIJ3646</v>
          </cell>
          <cell r="D805" t="str">
            <v>A23</v>
          </cell>
        </row>
        <row r="806">
          <cell r="A806" t="str">
            <v>SAIJ3647</v>
          </cell>
          <cell r="D806" t="str">
            <v>A23</v>
          </cell>
        </row>
        <row r="807">
          <cell r="A807" t="str">
            <v>SAIJ3648</v>
          </cell>
          <cell r="D807" t="str">
            <v>A23</v>
          </cell>
        </row>
        <row r="808">
          <cell r="A808" t="str">
            <v>SAIJ3649</v>
          </cell>
          <cell r="D808" t="str">
            <v>A23</v>
          </cell>
        </row>
        <row r="809">
          <cell r="A809" t="str">
            <v>SAIJ3650</v>
          </cell>
          <cell r="D809" t="str">
            <v>A23</v>
          </cell>
        </row>
        <row r="810">
          <cell r="A810" t="str">
            <v>SAIJ3651</v>
          </cell>
          <cell r="D810" t="str">
            <v>A23</v>
          </cell>
        </row>
        <row r="811">
          <cell r="A811" t="str">
            <v>SAIJ3652</v>
          </cell>
          <cell r="D811" t="str">
            <v>A23</v>
          </cell>
        </row>
        <row r="812">
          <cell r="A812" t="str">
            <v>SAIJ3653</v>
          </cell>
          <cell r="D812" t="str">
            <v>A23</v>
          </cell>
        </row>
        <row r="813">
          <cell r="A813" t="str">
            <v>SAIJ3654</v>
          </cell>
          <cell r="D813" t="str">
            <v>A23</v>
          </cell>
        </row>
        <row r="814">
          <cell r="A814" t="str">
            <v>SAIJ3655</v>
          </cell>
          <cell r="D814" t="str">
            <v>A23</v>
          </cell>
        </row>
        <row r="815">
          <cell r="A815" t="str">
            <v>SAIJ3656</v>
          </cell>
          <cell r="D815" t="str">
            <v>A23</v>
          </cell>
        </row>
        <row r="816">
          <cell r="A816" t="str">
            <v>SAIJ3657</v>
          </cell>
          <cell r="D816" t="str">
            <v>A23</v>
          </cell>
        </row>
        <row r="817">
          <cell r="A817" t="str">
            <v>SAIJ3658</v>
          </cell>
          <cell r="D817" t="str">
            <v>A23</v>
          </cell>
        </row>
        <row r="818">
          <cell r="A818" t="str">
            <v>SAIJ3659</v>
          </cell>
          <cell r="D818" t="str">
            <v>A23</v>
          </cell>
        </row>
        <row r="819">
          <cell r="A819" t="str">
            <v>SAIJ3660</v>
          </cell>
          <cell r="D819" t="str">
            <v>A23</v>
          </cell>
        </row>
        <row r="820">
          <cell r="A820" t="str">
            <v>SAIJ3661</v>
          </cell>
          <cell r="D820" t="str">
            <v>A23</v>
          </cell>
        </row>
        <row r="821">
          <cell r="A821" t="str">
            <v>SAIJ3662</v>
          </cell>
          <cell r="D821" t="str">
            <v>A23</v>
          </cell>
        </row>
        <row r="822">
          <cell r="A822" t="str">
            <v>SAIJ3663</v>
          </cell>
          <cell r="D822" t="str">
            <v>A23</v>
          </cell>
        </row>
        <row r="823">
          <cell r="A823" t="str">
            <v>SAIJ3664</v>
          </cell>
          <cell r="D823" t="str">
            <v>A23</v>
          </cell>
        </row>
        <row r="824">
          <cell r="A824" t="str">
            <v>SAIJ3665</v>
          </cell>
          <cell r="D824" t="str">
            <v>A23</v>
          </cell>
        </row>
        <row r="825">
          <cell r="A825" t="str">
            <v>SAIJ3666</v>
          </cell>
          <cell r="D825" t="str">
            <v>A23</v>
          </cell>
        </row>
        <row r="826">
          <cell r="A826" t="str">
            <v>SAIJ3667</v>
          </cell>
          <cell r="D826" t="str">
            <v>A23</v>
          </cell>
        </row>
        <row r="827">
          <cell r="A827" t="str">
            <v>SAIJ3668</v>
          </cell>
          <cell r="D827" t="str">
            <v>A23</v>
          </cell>
        </row>
        <row r="828">
          <cell r="A828" t="str">
            <v>SAIJ3669</v>
          </cell>
          <cell r="D828" t="str">
            <v>A23</v>
          </cell>
        </row>
        <row r="829">
          <cell r="A829" t="str">
            <v>SAIJ3670</v>
          </cell>
          <cell r="D829" t="str">
            <v>A23</v>
          </cell>
        </row>
        <row r="830">
          <cell r="A830" t="str">
            <v>SAIJ3671</v>
          </cell>
          <cell r="D830" t="str">
            <v>A23</v>
          </cell>
        </row>
        <row r="831">
          <cell r="A831" t="str">
            <v>SAIJ3672</v>
          </cell>
          <cell r="D831" t="str">
            <v>A23</v>
          </cell>
        </row>
        <row r="832">
          <cell r="A832" t="str">
            <v>SAIJ3673</v>
          </cell>
          <cell r="D832" t="str">
            <v>A23</v>
          </cell>
        </row>
        <row r="833">
          <cell r="A833" t="str">
            <v>SAIJ3770</v>
          </cell>
          <cell r="D833" t="str">
            <v>A23</v>
          </cell>
        </row>
        <row r="834">
          <cell r="A834" t="str">
            <v>SAIJ9726</v>
          </cell>
          <cell r="D834" t="str">
            <v>A23</v>
          </cell>
        </row>
        <row r="835">
          <cell r="A835" t="str">
            <v>SAIJ9727</v>
          </cell>
          <cell r="D835" t="str">
            <v>A23</v>
          </cell>
        </row>
        <row r="836">
          <cell r="A836" t="str">
            <v>SAKPK017</v>
          </cell>
          <cell r="D836" t="str">
            <v>A23</v>
          </cell>
        </row>
        <row r="837">
          <cell r="A837" t="str">
            <v>SAL55001</v>
          </cell>
          <cell r="D837" t="str">
            <v>A23</v>
          </cell>
        </row>
        <row r="838">
          <cell r="A838" t="str">
            <v>SAM20510</v>
          </cell>
          <cell r="D838" t="str">
            <v>A23</v>
          </cell>
        </row>
        <row r="839">
          <cell r="A839" t="str">
            <v>SAN38001</v>
          </cell>
          <cell r="D839" t="str">
            <v>A23</v>
          </cell>
        </row>
        <row r="840">
          <cell r="A840" t="str">
            <v>SAN81003</v>
          </cell>
          <cell r="D840" t="str">
            <v>A23</v>
          </cell>
        </row>
        <row r="841">
          <cell r="A841" t="str">
            <v>SANJ1003</v>
          </cell>
          <cell r="D841" t="str">
            <v>A23</v>
          </cell>
        </row>
        <row r="842">
          <cell r="A842" t="str">
            <v>SAO10021</v>
          </cell>
          <cell r="D842" t="str">
            <v>A23</v>
          </cell>
        </row>
        <row r="843">
          <cell r="A843" t="str">
            <v>SAO40115</v>
          </cell>
          <cell r="D843" t="str">
            <v>A23</v>
          </cell>
        </row>
        <row r="844">
          <cell r="A844" t="str">
            <v>SAPJGC16</v>
          </cell>
          <cell r="D844" t="str">
            <v>A23</v>
          </cell>
        </row>
        <row r="845">
          <cell r="A845" t="str">
            <v>SAPJGC18</v>
          </cell>
          <cell r="D845" t="str">
            <v>A23</v>
          </cell>
        </row>
        <row r="846">
          <cell r="A846" t="str">
            <v>SARJ3012</v>
          </cell>
          <cell r="D846" t="str">
            <v>A23</v>
          </cell>
        </row>
        <row r="847">
          <cell r="A847" t="str">
            <v>SARJ3013</v>
          </cell>
          <cell r="D847" t="str">
            <v>A23</v>
          </cell>
        </row>
        <row r="848">
          <cell r="A848" t="str">
            <v>SARJ9027</v>
          </cell>
          <cell r="D848" t="str">
            <v>A23</v>
          </cell>
        </row>
        <row r="849">
          <cell r="A849" t="str">
            <v>SARJ9028</v>
          </cell>
          <cell r="D849" t="str">
            <v>A23</v>
          </cell>
        </row>
        <row r="850">
          <cell r="A850" t="str">
            <v>SARJ9083</v>
          </cell>
          <cell r="D850" t="str">
            <v>A23</v>
          </cell>
        </row>
        <row r="851">
          <cell r="A851" t="str">
            <v>SARJ9084</v>
          </cell>
          <cell r="D851" t="str">
            <v>A23</v>
          </cell>
        </row>
        <row r="852">
          <cell r="A852" t="str">
            <v>SARJ9085</v>
          </cell>
          <cell r="D852" t="str">
            <v>A23</v>
          </cell>
        </row>
        <row r="853">
          <cell r="A853" t="str">
            <v>SARJ9086</v>
          </cell>
          <cell r="D853" t="str">
            <v>A23</v>
          </cell>
        </row>
        <row r="854">
          <cell r="A854" t="str">
            <v>SARJ9087</v>
          </cell>
          <cell r="D854" t="str">
            <v>A23</v>
          </cell>
        </row>
        <row r="855">
          <cell r="A855" t="str">
            <v>SARJ9088</v>
          </cell>
          <cell r="D855" t="str">
            <v>A23</v>
          </cell>
        </row>
        <row r="856">
          <cell r="A856" t="str">
            <v>SARJ9089</v>
          </cell>
          <cell r="D856" t="str">
            <v>A23</v>
          </cell>
        </row>
        <row r="857">
          <cell r="A857" t="str">
            <v>SARJ9090</v>
          </cell>
          <cell r="D857" t="str">
            <v>A23</v>
          </cell>
        </row>
        <row r="858">
          <cell r="A858" t="str">
            <v>SARJ9091</v>
          </cell>
          <cell r="D858" t="str">
            <v>A23</v>
          </cell>
        </row>
        <row r="859">
          <cell r="A859" t="str">
            <v>SARJ9095</v>
          </cell>
          <cell r="D859" t="str">
            <v>A23</v>
          </cell>
        </row>
        <row r="860">
          <cell r="A860" t="str">
            <v>SARJ9096</v>
          </cell>
          <cell r="D860" t="str">
            <v>A23</v>
          </cell>
        </row>
        <row r="861">
          <cell r="A861" t="str">
            <v>SARJ9097</v>
          </cell>
          <cell r="D861" t="str">
            <v>A23</v>
          </cell>
        </row>
        <row r="862">
          <cell r="A862" t="str">
            <v>SARJ9099</v>
          </cell>
          <cell r="D862" t="str">
            <v>A23</v>
          </cell>
        </row>
        <row r="863">
          <cell r="A863" t="str">
            <v>SAS60410</v>
          </cell>
          <cell r="D863" t="str">
            <v>A23</v>
          </cell>
        </row>
        <row r="864">
          <cell r="A864" t="str">
            <v>SAS81326</v>
          </cell>
          <cell r="D864" t="str">
            <v>A23</v>
          </cell>
        </row>
        <row r="865">
          <cell r="A865" t="str">
            <v>SAS86200</v>
          </cell>
          <cell r="D865" t="str">
            <v>A23</v>
          </cell>
        </row>
        <row r="866">
          <cell r="A866" t="str">
            <v>SAS87063</v>
          </cell>
          <cell r="D866" t="str">
            <v>A23</v>
          </cell>
        </row>
        <row r="867">
          <cell r="A867" t="str">
            <v>SASJ3000</v>
          </cell>
          <cell r="D867" t="str">
            <v>A23</v>
          </cell>
        </row>
        <row r="868">
          <cell r="A868" t="str">
            <v>SASJ3002</v>
          </cell>
          <cell r="D868" t="str">
            <v>A23</v>
          </cell>
        </row>
        <row r="869">
          <cell r="A869" t="str">
            <v>SASJ3005</v>
          </cell>
          <cell r="D869" t="str">
            <v>A23</v>
          </cell>
        </row>
        <row r="870">
          <cell r="A870" t="str">
            <v>SASJ3006</v>
          </cell>
          <cell r="D870" t="str">
            <v>A23</v>
          </cell>
        </row>
        <row r="871">
          <cell r="A871" t="str">
            <v>SASJ3007</v>
          </cell>
          <cell r="D871" t="str">
            <v>A23</v>
          </cell>
        </row>
        <row r="872">
          <cell r="A872" t="str">
            <v>SASJ3008</v>
          </cell>
          <cell r="D872" t="str">
            <v>A23</v>
          </cell>
        </row>
        <row r="873">
          <cell r="A873" t="str">
            <v>SASJ3009</v>
          </cell>
          <cell r="D873" t="str">
            <v>A23</v>
          </cell>
        </row>
        <row r="874">
          <cell r="A874" t="str">
            <v>SASJ3010</v>
          </cell>
          <cell r="D874" t="str">
            <v>A23</v>
          </cell>
        </row>
        <row r="875">
          <cell r="A875" t="str">
            <v>SASJ3024</v>
          </cell>
          <cell r="D875" t="str">
            <v>A23</v>
          </cell>
        </row>
        <row r="876">
          <cell r="A876" t="str">
            <v>SASJ3025</v>
          </cell>
          <cell r="D876" t="str">
            <v>A23</v>
          </cell>
        </row>
        <row r="877">
          <cell r="A877" t="str">
            <v>SASJ3026</v>
          </cell>
          <cell r="D877" t="str">
            <v>A23</v>
          </cell>
        </row>
        <row r="878">
          <cell r="A878" t="str">
            <v>SASJ3027</v>
          </cell>
          <cell r="D878" t="str">
            <v>A23</v>
          </cell>
        </row>
        <row r="879">
          <cell r="A879" t="str">
            <v>SASJ3028</v>
          </cell>
          <cell r="D879" t="str">
            <v>A23</v>
          </cell>
        </row>
        <row r="880">
          <cell r="A880" t="str">
            <v>SASJ3035</v>
          </cell>
          <cell r="D880" t="str">
            <v>A23</v>
          </cell>
        </row>
        <row r="881">
          <cell r="A881" t="str">
            <v>SASJ3036</v>
          </cell>
          <cell r="D881" t="str">
            <v>A23</v>
          </cell>
        </row>
        <row r="882">
          <cell r="A882" t="str">
            <v>SASJ3037</v>
          </cell>
          <cell r="D882" t="str">
            <v>A23</v>
          </cell>
        </row>
        <row r="883">
          <cell r="A883" t="str">
            <v>SASJ3038</v>
          </cell>
          <cell r="D883" t="str">
            <v>A23</v>
          </cell>
        </row>
        <row r="884">
          <cell r="A884" t="str">
            <v>SASJ3039</v>
          </cell>
          <cell r="D884" t="str">
            <v>A23</v>
          </cell>
        </row>
        <row r="885">
          <cell r="A885" t="str">
            <v>SASJ3040</v>
          </cell>
          <cell r="D885" t="str">
            <v>A23</v>
          </cell>
        </row>
        <row r="886">
          <cell r="A886" t="str">
            <v>SASJ3041</v>
          </cell>
          <cell r="D886" t="str">
            <v>A23</v>
          </cell>
        </row>
        <row r="887">
          <cell r="A887" t="str">
            <v>SASJ3042</v>
          </cell>
          <cell r="D887" t="str">
            <v>A23</v>
          </cell>
        </row>
        <row r="888">
          <cell r="A888" t="str">
            <v>SASJ3043</v>
          </cell>
          <cell r="D888" t="str">
            <v>A23</v>
          </cell>
        </row>
        <row r="889">
          <cell r="A889" t="str">
            <v>SASJ3044</v>
          </cell>
          <cell r="D889" t="str">
            <v>A23</v>
          </cell>
        </row>
        <row r="890">
          <cell r="A890" t="str">
            <v>SASJ3045</v>
          </cell>
          <cell r="D890" t="str">
            <v>A23</v>
          </cell>
        </row>
        <row r="891">
          <cell r="A891" t="str">
            <v>SAUJD205</v>
          </cell>
          <cell r="D891" t="str">
            <v>A23</v>
          </cell>
        </row>
        <row r="892">
          <cell r="A892" t="str">
            <v>SAULC100</v>
          </cell>
          <cell r="D892" t="str">
            <v>A23</v>
          </cell>
        </row>
        <row r="893">
          <cell r="A893" t="str">
            <v>SAULC101</v>
          </cell>
          <cell r="D893" t="str">
            <v>A23</v>
          </cell>
        </row>
        <row r="894">
          <cell r="A894" t="str">
            <v>SAULC110</v>
          </cell>
          <cell r="D894" t="str">
            <v>A23</v>
          </cell>
        </row>
        <row r="895">
          <cell r="A895" t="str">
            <v>SAULC111</v>
          </cell>
          <cell r="D895" t="str">
            <v>A23</v>
          </cell>
        </row>
        <row r="896">
          <cell r="A896" t="str">
            <v>SAULC112</v>
          </cell>
          <cell r="D896" t="str">
            <v>A23</v>
          </cell>
        </row>
        <row r="897">
          <cell r="A897" t="str">
            <v>SAULC113</v>
          </cell>
          <cell r="D897" t="str">
            <v>A23</v>
          </cell>
        </row>
        <row r="898">
          <cell r="A898" t="str">
            <v>SAULC114</v>
          </cell>
          <cell r="D898" t="str">
            <v>A23</v>
          </cell>
        </row>
        <row r="899">
          <cell r="A899" t="str">
            <v>UAA25050</v>
          </cell>
          <cell r="D899" t="str">
            <v>A23</v>
          </cell>
        </row>
        <row r="900">
          <cell r="A900" t="str">
            <v>UAC30101</v>
          </cell>
          <cell r="D900" t="str">
            <v>A23</v>
          </cell>
        </row>
        <row r="901">
          <cell r="A901" t="str">
            <v>UAC30102</v>
          </cell>
          <cell r="D901" t="str">
            <v>A23</v>
          </cell>
        </row>
        <row r="902">
          <cell r="A902" t="str">
            <v>UAC30112</v>
          </cell>
          <cell r="D902" t="str">
            <v>A23</v>
          </cell>
        </row>
        <row r="903">
          <cell r="A903" t="str">
            <v>UAD33060</v>
          </cell>
          <cell r="D903" t="str">
            <v>A23</v>
          </cell>
        </row>
        <row r="904">
          <cell r="A904" t="str">
            <v>UAD33110</v>
          </cell>
          <cell r="D904" t="str">
            <v>A23</v>
          </cell>
        </row>
        <row r="905">
          <cell r="A905" t="str">
            <v>UAD34010</v>
          </cell>
          <cell r="D905" t="str">
            <v>A23</v>
          </cell>
        </row>
        <row r="906">
          <cell r="A906" t="str">
            <v>UAD40061</v>
          </cell>
          <cell r="D906" t="str">
            <v>A23</v>
          </cell>
        </row>
        <row r="907">
          <cell r="A907" t="str">
            <v>UAD43140</v>
          </cell>
          <cell r="D907" t="str">
            <v>A23</v>
          </cell>
        </row>
        <row r="908">
          <cell r="A908" t="str">
            <v>UAD50133</v>
          </cell>
          <cell r="D908" t="str">
            <v>A23</v>
          </cell>
        </row>
        <row r="909">
          <cell r="A909" t="str">
            <v>UAI30037</v>
          </cell>
          <cell r="D909" t="str">
            <v>A23</v>
          </cell>
        </row>
        <row r="910">
          <cell r="A910" t="str">
            <v>UAI31010</v>
          </cell>
          <cell r="D910" t="str">
            <v>A23</v>
          </cell>
        </row>
        <row r="911">
          <cell r="A911" t="str">
            <v>UAJ12070</v>
          </cell>
          <cell r="D911" t="str">
            <v>A23</v>
          </cell>
        </row>
        <row r="912">
          <cell r="A912" t="str">
            <v>UAJ14010</v>
          </cell>
          <cell r="D912" t="str">
            <v>A23</v>
          </cell>
        </row>
        <row r="913">
          <cell r="A913" t="str">
            <v>UAJ14040</v>
          </cell>
          <cell r="D913" t="str">
            <v>A23</v>
          </cell>
        </row>
        <row r="914">
          <cell r="A914" t="str">
            <v>UAM25120</v>
          </cell>
          <cell r="D914" t="str">
            <v>A23</v>
          </cell>
        </row>
        <row r="915">
          <cell r="A915" t="str">
            <v>UAN30020</v>
          </cell>
          <cell r="D915" t="str">
            <v>A23</v>
          </cell>
        </row>
        <row r="916">
          <cell r="A916" t="str">
            <v>UAO85110</v>
          </cell>
          <cell r="D916" t="str">
            <v>A23</v>
          </cell>
        </row>
        <row r="917">
          <cell r="A917" t="str">
            <v>UAP10250</v>
          </cell>
          <cell r="D917" t="str">
            <v>A23</v>
          </cell>
        </row>
        <row r="918">
          <cell r="A918" t="str">
            <v>UAS80050</v>
          </cell>
          <cell r="D918" t="str">
            <v>A23</v>
          </cell>
        </row>
        <row r="919">
          <cell r="A919" t="str">
            <v>UBMB7301</v>
          </cell>
          <cell r="D919" t="str">
            <v>A23</v>
          </cell>
        </row>
        <row r="920">
          <cell r="A920" t="str">
            <v>UCA20010</v>
          </cell>
          <cell r="D920" t="str">
            <v>A23</v>
          </cell>
        </row>
        <row r="921">
          <cell r="A921" t="str">
            <v>BCB01010</v>
          </cell>
          <cell r="D921" t="str">
            <v>C01</v>
          </cell>
        </row>
        <row r="922">
          <cell r="A922" t="str">
            <v>BCB01020</v>
          </cell>
          <cell r="D922" t="str">
            <v>C01</v>
          </cell>
        </row>
        <row r="923">
          <cell r="A923" t="str">
            <v>BCB01042</v>
          </cell>
          <cell r="D923" t="str">
            <v>C01</v>
          </cell>
        </row>
        <row r="924">
          <cell r="A924" t="str">
            <v>BCB01043</v>
          </cell>
          <cell r="D924" t="str">
            <v>C01</v>
          </cell>
        </row>
        <row r="925">
          <cell r="A925" t="str">
            <v>BCB01044</v>
          </cell>
          <cell r="D925" t="str">
            <v>C01</v>
          </cell>
        </row>
        <row r="926">
          <cell r="A926" t="str">
            <v>BCB01070</v>
          </cell>
          <cell r="D926" t="str">
            <v>C01</v>
          </cell>
        </row>
        <row r="927">
          <cell r="A927" t="str">
            <v>BCB01201</v>
          </cell>
          <cell r="D927" t="str">
            <v>C01</v>
          </cell>
        </row>
        <row r="928">
          <cell r="A928" t="str">
            <v>BCB01203</v>
          </cell>
          <cell r="D928" t="str">
            <v>C01</v>
          </cell>
        </row>
        <row r="929">
          <cell r="A929" t="str">
            <v>BCB01Z01</v>
          </cell>
          <cell r="D929" t="str">
            <v>C01</v>
          </cell>
        </row>
        <row r="930">
          <cell r="A930" t="str">
            <v>BCB01Z03</v>
          </cell>
          <cell r="D930" t="str">
            <v>C01</v>
          </cell>
        </row>
        <row r="931">
          <cell r="A931" t="str">
            <v>BCB01Z04</v>
          </cell>
          <cell r="D931" t="str">
            <v>C01</v>
          </cell>
        </row>
        <row r="932">
          <cell r="A932" t="str">
            <v>BCB01Z08</v>
          </cell>
          <cell r="D932" t="str">
            <v>C01</v>
          </cell>
        </row>
        <row r="933">
          <cell r="A933" t="str">
            <v>BCB01Z10</v>
          </cell>
          <cell r="D933" t="str">
            <v>C01</v>
          </cell>
        </row>
        <row r="934">
          <cell r="A934" t="str">
            <v>BCB01Z11</v>
          </cell>
          <cell r="D934" t="str">
            <v>C01</v>
          </cell>
        </row>
        <row r="935">
          <cell r="A935" t="str">
            <v>BCB01Z23</v>
          </cell>
          <cell r="D935" t="str">
            <v>C01</v>
          </cell>
        </row>
        <row r="936">
          <cell r="A936" t="str">
            <v>BCB01Z24</v>
          </cell>
          <cell r="D936" t="str">
            <v>C01</v>
          </cell>
        </row>
        <row r="937">
          <cell r="A937" t="str">
            <v>BCB01Z25</v>
          </cell>
          <cell r="D937" t="str">
            <v>C01</v>
          </cell>
        </row>
        <row r="938">
          <cell r="A938" t="str">
            <v>BCB01Z28</v>
          </cell>
          <cell r="D938" t="str">
            <v>C01</v>
          </cell>
        </row>
        <row r="939">
          <cell r="A939" t="str">
            <v>BCB01Z29</v>
          </cell>
          <cell r="D939" t="str">
            <v>C01</v>
          </cell>
        </row>
        <row r="940">
          <cell r="A940" t="str">
            <v>BCB01Z34</v>
          </cell>
          <cell r="D940" t="str">
            <v>C01</v>
          </cell>
        </row>
        <row r="941">
          <cell r="A941" t="str">
            <v>BCB01Z55</v>
          </cell>
          <cell r="D941" t="str">
            <v>C01</v>
          </cell>
        </row>
        <row r="942">
          <cell r="A942" t="str">
            <v>BCB01Z69</v>
          </cell>
          <cell r="D942" t="str">
            <v>C01</v>
          </cell>
        </row>
        <row r="943">
          <cell r="A943" t="str">
            <v>BCB01Z70</v>
          </cell>
          <cell r="D943" t="str">
            <v>C01</v>
          </cell>
        </row>
        <row r="944">
          <cell r="A944" t="str">
            <v>BCB01Z71</v>
          </cell>
          <cell r="D944" t="str">
            <v>C01</v>
          </cell>
        </row>
        <row r="945">
          <cell r="A945" t="str">
            <v>BCB01Z72</v>
          </cell>
          <cell r="D945" t="str">
            <v>C01</v>
          </cell>
        </row>
        <row r="946">
          <cell r="A946" t="str">
            <v>BCB01Z73</v>
          </cell>
          <cell r="D946" t="str">
            <v>C01</v>
          </cell>
        </row>
        <row r="947">
          <cell r="A947" t="str">
            <v>BCB01Z74</v>
          </cell>
          <cell r="D947" t="str">
            <v>C01</v>
          </cell>
        </row>
        <row r="948">
          <cell r="A948" t="str">
            <v>BCB01Z75</v>
          </cell>
          <cell r="D948" t="str">
            <v>C01</v>
          </cell>
        </row>
        <row r="949">
          <cell r="A949" t="str">
            <v>BCB01Z95</v>
          </cell>
          <cell r="D949" t="str">
            <v>C01</v>
          </cell>
        </row>
        <row r="950">
          <cell r="A950" t="str">
            <v>BGC04140</v>
          </cell>
          <cell r="D950" t="str">
            <v>C01</v>
          </cell>
        </row>
        <row r="951">
          <cell r="A951" t="str">
            <v>BGZ05000</v>
          </cell>
          <cell r="D951" t="str">
            <v>C01</v>
          </cell>
        </row>
        <row r="952">
          <cell r="A952" t="str">
            <v>JCF22110</v>
          </cell>
          <cell r="D952" t="str">
            <v>C01</v>
          </cell>
        </row>
        <row r="953">
          <cell r="A953" t="str">
            <v>JCF22125</v>
          </cell>
          <cell r="D953" t="str">
            <v>C01</v>
          </cell>
        </row>
        <row r="954">
          <cell r="A954" t="str">
            <v>JCF22170</v>
          </cell>
          <cell r="D954" t="str">
            <v>C01</v>
          </cell>
        </row>
        <row r="955">
          <cell r="A955" t="str">
            <v>JCF22310</v>
          </cell>
          <cell r="D955" t="str">
            <v>C01</v>
          </cell>
        </row>
        <row r="956">
          <cell r="A956" t="str">
            <v>JCF22415</v>
          </cell>
          <cell r="D956" t="str">
            <v>C01</v>
          </cell>
        </row>
        <row r="957">
          <cell r="A957" t="str">
            <v>JDA00064</v>
          </cell>
          <cell r="D957" t="str">
            <v>C01</v>
          </cell>
        </row>
        <row r="958">
          <cell r="A958" t="str">
            <v>JDA00065</v>
          </cell>
          <cell r="D958" t="str">
            <v>C01</v>
          </cell>
        </row>
        <row r="959">
          <cell r="A959" t="str">
            <v>JDA00070</v>
          </cell>
          <cell r="D959" t="str">
            <v>C01</v>
          </cell>
        </row>
        <row r="960">
          <cell r="A960" t="str">
            <v>JDA00071</v>
          </cell>
          <cell r="D960" t="str">
            <v>C01</v>
          </cell>
        </row>
        <row r="961">
          <cell r="A961" t="str">
            <v>JGG20020</v>
          </cell>
          <cell r="D961" t="str">
            <v>C01</v>
          </cell>
        </row>
        <row r="962">
          <cell r="A962" t="str">
            <v>JGG20030</v>
          </cell>
          <cell r="D962" t="str">
            <v>C01</v>
          </cell>
        </row>
        <row r="963">
          <cell r="A963" t="str">
            <v>JGG30018</v>
          </cell>
          <cell r="D963" t="str">
            <v>C01</v>
          </cell>
        </row>
        <row r="964">
          <cell r="A964" t="str">
            <v>JGG30370</v>
          </cell>
          <cell r="D964" t="str">
            <v>C01</v>
          </cell>
        </row>
        <row r="965">
          <cell r="A965" t="str">
            <v>JGG30458</v>
          </cell>
          <cell r="D965" t="str">
            <v>C01</v>
          </cell>
        </row>
        <row r="966">
          <cell r="A966" t="str">
            <v>JGG30502</v>
          </cell>
          <cell r="D966" t="str">
            <v>C01</v>
          </cell>
        </row>
        <row r="967">
          <cell r="A967" t="str">
            <v>JGG30546</v>
          </cell>
          <cell r="D967" t="str">
            <v>C01</v>
          </cell>
        </row>
        <row r="968">
          <cell r="A968" t="str">
            <v>JGG30590</v>
          </cell>
          <cell r="D968" t="str">
            <v>C01</v>
          </cell>
        </row>
        <row r="969">
          <cell r="A969" t="str">
            <v>JGG30634</v>
          </cell>
          <cell r="D969" t="str">
            <v>C01</v>
          </cell>
        </row>
        <row r="970">
          <cell r="A970" t="str">
            <v>JMD19112</v>
          </cell>
          <cell r="D970" t="str">
            <v>C01</v>
          </cell>
        </row>
        <row r="971">
          <cell r="A971" t="str">
            <v>JMD19113</v>
          </cell>
          <cell r="D971" t="str">
            <v>C01</v>
          </cell>
        </row>
        <row r="972">
          <cell r="A972" t="str">
            <v>JMD19115</v>
          </cell>
          <cell r="D972" t="str">
            <v>C01</v>
          </cell>
        </row>
        <row r="973">
          <cell r="A973" t="str">
            <v>JMD19117</v>
          </cell>
          <cell r="D973" t="str">
            <v>C01</v>
          </cell>
        </row>
        <row r="974">
          <cell r="A974" t="str">
            <v>JMD19119</v>
          </cell>
          <cell r="D974" t="str">
            <v>C01</v>
          </cell>
        </row>
        <row r="975">
          <cell r="A975" t="str">
            <v>JMD19124</v>
          </cell>
          <cell r="D975" t="str">
            <v>C01</v>
          </cell>
        </row>
        <row r="976">
          <cell r="A976" t="str">
            <v>LGI00003</v>
          </cell>
          <cell r="D976" t="str">
            <v>C01</v>
          </cell>
        </row>
        <row r="977">
          <cell r="A977" t="str">
            <v>MCD20924</v>
          </cell>
          <cell r="D977" t="str">
            <v>C01</v>
          </cell>
        </row>
        <row r="978">
          <cell r="A978" t="str">
            <v>MCD20930</v>
          </cell>
          <cell r="D978" t="str">
            <v>C01</v>
          </cell>
        </row>
        <row r="979">
          <cell r="A979" t="str">
            <v>MCD20938</v>
          </cell>
          <cell r="D979" t="str">
            <v>C01</v>
          </cell>
        </row>
        <row r="980">
          <cell r="A980" t="str">
            <v>MCD42415</v>
          </cell>
          <cell r="D980" t="str">
            <v>C01</v>
          </cell>
        </row>
        <row r="981">
          <cell r="A981" t="str">
            <v>MCD42420</v>
          </cell>
          <cell r="D981" t="str">
            <v>C01</v>
          </cell>
        </row>
        <row r="982">
          <cell r="A982" t="str">
            <v>MCD42430</v>
          </cell>
          <cell r="D982" t="str">
            <v>C01</v>
          </cell>
        </row>
        <row r="983">
          <cell r="A983" t="str">
            <v>MCF10313</v>
          </cell>
          <cell r="D983" t="str">
            <v>C01</v>
          </cell>
        </row>
        <row r="984">
          <cell r="A984" t="str">
            <v>MCF10315</v>
          </cell>
          <cell r="D984" t="str">
            <v>C01</v>
          </cell>
        </row>
        <row r="985">
          <cell r="A985" t="str">
            <v>MGA20213</v>
          </cell>
          <cell r="D985" t="str">
            <v>C01</v>
          </cell>
        </row>
        <row r="986">
          <cell r="A986" t="str">
            <v>MGA20216</v>
          </cell>
          <cell r="D986" t="str">
            <v>C01</v>
          </cell>
        </row>
        <row r="987">
          <cell r="A987" t="str">
            <v>MGA20219</v>
          </cell>
          <cell r="D987" t="str">
            <v>C01</v>
          </cell>
        </row>
        <row r="988">
          <cell r="A988" t="str">
            <v>MGA21213</v>
          </cell>
          <cell r="D988" t="str">
            <v>C01</v>
          </cell>
        </row>
        <row r="989">
          <cell r="A989" t="str">
            <v>MGA22216</v>
          </cell>
          <cell r="D989" t="str">
            <v>C01</v>
          </cell>
        </row>
        <row r="990">
          <cell r="A990" t="str">
            <v>MGA22219</v>
          </cell>
          <cell r="D990" t="str">
            <v>C01</v>
          </cell>
        </row>
        <row r="991">
          <cell r="A991" t="str">
            <v>MGA22222</v>
          </cell>
          <cell r="D991" t="str">
            <v>C01</v>
          </cell>
        </row>
        <row r="992">
          <cell r="A992" t="str">
            <v>MGA22225</v>
          </cell>
          <cell r="D992" t="str">
            <v>C01</v>
          </cell>
        </row>
        <row r="993">
          <cell r="A993" t="str">
            <v>MGA22229</v>
          </cell>
          <cell r="D993" t="str">
            <v>C01</v>
          </cell>
        </row>
        <row r="994">
          <cell r="A994" t="str">
            <v>MGA60556</v>
          </cell>
          <cell r="D994" t="str">
            <v>C01</v>
          </cell>
        </row>
        <row r="995">
          <cell r="A995" t="str">
            <v>MGB10105</v>
          </cell>
          <cell r="D995" t="str">
            <v>C01</v>
          </cell>
        </row>
        <row r="996">
          <cell r="A996" t="str">
            <v>MGF11506</v>
          </cell>
          <cell r="D996" t="str">
            <v>C01</v>
          </cell>
        </row>
        <row r="997">
          <cell r="A997" t="str">
            <v>MGF11508</v>
          </cell>
          <cell r="D997" t="str">
            <v>C01</v>
          </cell>
        </row>
        <row r="998">
          <cell r="A998" t="str">
            <v>MGF11509</v>
          </cell>
          <cell r="D998" t="str">
            <v>C01</v>
          </cell>
        </row>
        <row r="999">
          <cell r="A999" t="str">
            <v>MGF11514</v>
          </cell>
          <cell r="D999" t="str">
            <v>C01</v>
          </cell>
        </row>
        <row r="1000">
          <cell r="A1000" t="str">
            <v>MGF12301</v>
          </cell>
          <cell r="D1000" t="str">
            <v>C01</v>
          </cell>
        </row>
        <row r="1001">
          <cell r="A1001" t="str">
            <v>MGG25001</v>
          </cell>
          <cell r="D1001" t="str">
            <v>C01</v>
          </cell>
        </row>
        <row r="1002">
          <cell r="A1002" t="str">
            <v>MGG25101</v>
          </cell>
          <cell r="D1002" t="str">
            <v>C01</v>
          </cell>
        </row>
        <row r="1003">
          <cell r="A1003" t="str">
            <v>MGM60101</v>
          </cell>
          <cell r="D1003" t="str">
            <v>C01</v>
          </cell>
        </row>
        <row r="1004">
          <cell r="A1004" t="str">
            <v>MGM60105</v>
          </cell>
          <cell r="D1004" t="str">
            <v>C01</v>
          </cell>
        </row>
        <row r="1005">
          <cell r="A1005" t="str">
            <v>MGM60107</v>
          </cell>
          <cell r="D1005" t="str">
            <v>C01</v>
          </cell>
        </row>
        <row r="1006">
          <cell r="A1006" t="str">
            <v>MMA30113</v>
          </cell>
          <cell r="D1006" t="str">
            <v>C01</v>
          </cell>
        </row>
        <row r="1007">
          <cell r="A1007" t="str">
            <v>MMA50216</v>
          </cell>
          <cell r="D1007" t="str">
            <v>C01</v>
          </cell>
        </row>
        <row r="1008">
          <cell r="A1008" t="str">
            <v>MMA50219</v>
          </cell>
          <cell r="D1008" t="str">
            <v>C01</v>
          </cell>
        </row>
        <row r="1009">
          <cell r="A1009" t="str">
            <v>MMA50423</v>
          </cell>
          <cell r="D1009" t="str">
            <v>C01</v>
          </cell>
        </row>
        <row r="1010">
          <cell r="A1010" t="str">
            <v>MMA53219</v>
          </cell>
          <cell r="D1010" t="str">
            <v>C01</v>
          </cell>
        </row>
        <row r="1011">
          <cell r="A1011" t="str">
            <v>MMA53221</v>
          </cell>
          <cell r="D1011" t="str">
            <v>C01</v>
          </cell>
        </row>
        <row r="1012">
          <cell r="A1012" t="str">
            <v>MMA53222</v>
          </cell>
          <cell r="D1012" t="str">
            <v>C01</v>
          </cell>
        </row>
        <row r="1013">
          <cell r="A1013" t="str">
            <v>MMA60114</v>
          </cell>
          <cell r="D1013" t="str">
            <v>C01</v>
          </cell>
        </row>
        <row r="1014">
          <cell r="A1014" t="str">
            <v>MMA60116</v>
          </cell>
          <cell r="D1014" t="str">
            <v>C01</v>
          </cell>
        </row>
        <row r="1015">
          <cell r="A1015" t="str">
            <v>MMA60119</v>
          </cell>
          <cell r="D1015" t="str">
            <v>C01</v>
          </cell>
        </row>
        <row r="1016">
          <cell r="A1016" t="str">
            <v>MMA60120</v>
          </cell>
          <cell r="D1016" t="str">
            <v>C01</v>
          </cell>
        </row>
        <row r="1017">
          <cell r="A1017" t="str">
            <v>MMA60121</v>
          </cell>
          <cell r="D1017" t="str">
            <v>C01</v>
          </cell>
        </row>
        <row r="1018">
          <cell r="A1018" t="str">
            <v>MMB31110</v>
          </cell>
          <cell r="D1018" t="str">
            <v>C01</v>
          </cell>
        </row>
        <row r="1019">
          <cell r="A1019" t="str">
            <v>MMB31112</v>
          </cell>
          <cell r="D1019" t="str">
            <v>C01</v>
          </cell>
        </row>
        <row r="1020">
          <cell r="A1020" t="str">
            <v>MMB31113</v>
          </cell>
          <cell r="D1020" t="str">
            <v>C01</v>
          </cell>
        </row>
        <row r="1021">
          <cell r="A1021" t="str">
            <v>MMB31117</v>
          </cell>
          <cell r="D1021" t="str">
            <v>C01</v>
          </cell>
        </row>
        <row r="1022">
          <cell r="A1022" t="str">
            <v>MMB31119</v>
          </cell>
          <cell r="D1022" t="str">
            <v>C01</v>
          </cell>
        </row>
        <row r="1023">
          <cell r="A1023" t="str">
            <v>MMB31124</v>
          </cell>
          <cell r="D1023" t="str">
            <v>C01</v>
          </cell>
        </row>
        <row r="1024">
          <cell r="A1024" t="str">
            <v>MMB31512</v>
          </cell>
          <cell r="D1024" t="str">
            <v>C01</v>
          </cell>
        </row>
        <row r="1025">
          <cell r="A1025" t="str">
            <v>MMB31517</v>
          </cell>
          <cell r="D1025" t="str">
            <v>C01</v>
          </cell>
        </row>
        <row r="1026">
          <cell r="A1026" t="str">
            <v>MMB31519</v>
          </cell>
          <cell r="D1026" t="str">
            <v>C01</v>
          </cell>
        </row>
        <row r="1027">
          <cell r="A1027" t="str">
            <v>MMB31520</v>
          </cell>
          <cell r="D1027" t="str">
            <v>C01</v>
          </cell>
        </row>
        <row r="1028">
          <cell r="A1028" t="str">
            <v>MMB31524</v>
          </cell>
          <cell r="D1028" t="str">
            <v>C01</v>
          </cell>
        </row>
        <row r="1029">
          <cell r="A1029" t="str">
            <v>MMB32610</v>
          </cell>
          <cell r="D1029" t="str">
            <v>C01</v>
          </cell>
        </row>
        <row r="1030">
          <cell r="A1030" t="str">
            <v>MMB32612</v>
          </cell>
          <cell r="D1030" t="str">
            <v>C01</v>
          </cell>
        </row>
        <row r="1031">
          <cell r="A1031" t="str">
            <v>MMB32613</v>
          </cell>
          <cell r="D1031" t="str">
            <v>C01</v>
          </cell>
        </row>
        <row r="1032">
          <cell r="A1032" t="str">
            <v>MMB32615</v>
          </cell>
          <cell r="D1032" t="str">
            <v>C01</v>
          </cell>
        </row>
        <row r="1033">
          <cell r="A1033" t="str">
            <v>MMB32617</v>
          </cell>
          <cell r="D1033" t="str">
            <v>C01</v>
          </cell>
        </row>
        <row r="1034">
          <cell r="A1034" t="str">
            <v>MMB32619</v>
          </cell>
          <cell r="D1034" t="str">
            <v>C01</v>
          </cell>
        </row>
        <row r="1035">
          <cell r="A1035" t="str">
            <v>MMB32620</v>
          </cell>
          <cell r="D1035" t="str">
            <v>C01</v>
          </cell>
        </row>
        <row r="1036">
          <cell r="A1036" t="str">
            <v>MMB32621</v>
          </cell>
          <cell r="D1036" t="str">
            <v>C01</v>
          </cell>
        </row>
        <row r="1037">
          <cell r="A1037" t="str">
            <v>MMB32624</v>
          </cell>
          <cell r="D1037" t="str">
            <v>C01</v>
          </cell>
        </row>
        <row r="1038">
          <cell r="A1038" t="str">
            <v>MMB32717</v>
          </cell>
          <cell r="D1038" t="str">
            <v>C01</v>
          </cell>
        </row>
        <row r="1039">
          <cell r="A1039" t="str">
            <v>MMB32719</v>
          </cell>
          <cell r="D1039" t="str">
            <v>C01</v>
          </cell>
        </row>
        <row r="1040">
          <cell r="A1040" t="str">
            <v>MMB32720</v>
          </cell>
          <cell r="D1040" t="str">
            <v>C01</v>
          </cell>
        </row>
        <row r="1041">
          <cell r="A1041" t="str">
            <v>MMB36813</v>
          </cell>
          <cell r="D1041" t="str">
            <v>C01</v>
          </cell>
        </row>
        <row r="1042">
          <cell r="A1042" t="str">
            <v>MMC13923</v>
          </cell>
          <cell r="D1042" t="str">
            <v>C01</v>
          </cell>
        </row>
        <row r="1043">
          <cell r="A1043" t="str">
            <v>MMC13924</v>
          </cell>
          <cell r="D1043" t="str">
            <v>C01</v>
          </cell>
        </row>
        <row r="1044">
          <cell r="A1044" t="str">
            <v>MMD13717</v>
          </cell>
          <cell r="D1044" t="str">
            <v>C01</v>
          </cell>
        </row>
        <row r="1045">
          <cell r="A1045" t="str">
            <v>MMD13723</v>
          </cell>
          <cell r="D1045" t="str">
            <v>C01</v>
          </cell>
        </row>
        <row r="1046">
          <cell r="A1046" t="str">
            <v>MMD46205</v>
          </cell>
          <cell r="D1046" t="str">
            <v>C01</v>
          </cell>
        </row>
        <row r="1047">
          <cell r="A1047" t="str">
            <v>MMN10168</v>
          </cell>
          <cell r="D1047" t="str">
            <v>C01</v>
          </cell>
        </row>
        <row r="1048">
          <cell r="A1048" t="str">
            <v>MMN10172</v>
          </cell>
          <cell r="D1048" t="str">
            <v>C01</v>
          </cell>
        </row>
        <row r="1049">
          <cell r="A1049" t="str">
            <v>MMN10176</v>
          </cell>
          <cell r="D1049" t="str">
            <v>C01</v>
          </cell>
        </row>
        <row r="1050">
          <cell r="A1050" t="str">
            <v>QAA31210</v>
          </cell>
          <cell r="D1050" t="str">
            <v>C01</v>
          </cell>
        </row>
        <row r="1051">
          <cell r="A1051" t="str">
            <v>QAA32220</v>
          </cell>
          <cell r="D1051" t="str">
            <v>C01</v>
          </cell>
        </row>
        <row r="1052">
          <cell r="A1052" t="str">
            <v>QAA36210</v>
          </cell>
          <cell r="D1052" t="str">
            <v>C01</v>
          </cell>
        </row>
        <row r="1053">
          <cell r="A1053" t="str">
            <v>QAA37210</v>
          </cell>
          <cell r="D1053" t="str">
            <v>C01</v>
          </cell>
        </row>
        <row r="1054">
          <cell r="A1054" t="str">
            <v>QAD31222</v>
          </cell>
          <cell r="D1054" t="str">
            <v>C01</v>
          </cell>
        </row>
        <row r="1055">
          <cell r="A1055" t="str">
            <v>QAD32222</v>
          </cell>
          <cell r="D1055" t="str">
            <v>C01</v>
          </cell>
        </row>
        <row r="1056">
          <cell r="A1056" t="str">
            <v>QAD35833</v>
          </cell>
          <cell r="D1056" t="str">
            <v>C01</v>
          </cell>
        </row>
        <row r="1057">
          <cell r="A1057" t="str">
            <v>QAJ12721</v>
          </cell>
          <cell r="D1057" t="str">
            <v>C01</v>
          </cell>
        </row>
        <row r="1058">
          <cell r="A1058" t="str">
            <v>QAJ42671</v>
          </cell>
          <cell r="D1058" t="str">
            <v>C01</v>
          </cell>
        </row>
        <row r="1059">
          <cell r="A1059" t="str">
            <v>QAJ43671</v>
          </cell>
          <cell r="D1059" t="str">
            <v>C01</v>
          </cell>
        </row>
        <row r="1060">
          <cell r="A1060" t="str">
            <v>QAJ45675</v>
          </cell>
          <cell r="D1060" t="str">
            <v>C01</v>
          </cell>
        </row>
        <row r="1061">
          <cell r="A1061" t="str">
            <v>QBD18033</v>
          </cell>
          <cell r="D1061" t="str">
            <v>C01</v>
          </cell>
        </row>
        <row r="1062">
          <cell r="A1062" t="str">
            <v>QCZ10010</v>
          </cell>
          <cell r="D1062" t="str">
            <v>C01</v>
          </cell>
        </row>
        <row r="1063">
          <cell r="A1063" t="str">
            <v>QCZZ0001</v>
          </cell>
          <cell r="D1063" t="str">
            <v>C01</v>
          </cell>
        </row>
        <row r="1064">
          <cell r="A1064" t="str">
            <v>QCZZ0021</v>
          </cell>
          <cell r="D1064" t="str">
            <v>C01</v>
          </cell>
        </row>
        <row r="1065">
          <cell r="A1065" t="str">
            <v>QJC10010</v>
          </cell>
          <cell r="D1065" t="str">
            <v>C01</v>
          </cell>
        </row>
        <row r="1066">
          <cell r="A1066" t="str">
            <v>SCZ00001</v>
          </cell>
          <cell r="D1066" t="str">
            <v>C01</v>
          </cell>
        </row>
        <row r="1067">
          <cell r="A1067" t="str">
            <v>SCZ00012</v>
          </cell>
          <cell r="D1067" t="str">
            <v>C01</v>
          </cell>
        </row>
        <row r="1068">
          <cell r="A1068" t="str">
            <v>SCZ20000</v>
          </cell>
          <cell r="D1068" t="str">
            <v>C01</v>
          </cell>
        </row>
        <row r="1069">
          <cell r="A1069" t="str">
            <v>SCZ20001</v>
          </cell>
          <cell r="D1069" t="str">
            <v>C01</v>
          </cell>
        </row>
        <row r="1070">
          <cell r="A1070" t="str">
            <v>SCZ20002</v>
          </cell>
          <cell r="D1070" t="str">
            <v>C01</v>
          </cell>
        </row>
        <row r="1071">
          <cell r="A1071" t="str">
            <v>SCZBM200</v>
          </cell>
          <cell r="D1071" t="str">
            <v>C01</v>
          </cell>
        </row>
        <row r="1072">
          <cell r="A1072" t="str">
            <v>SCZBM201</v>
          </cell>
          <cell r="D1072" t="str">
            <v>C01</v>
          </cell>
        </row>
        <row r="1073">
          <cell r="A1073" t="str">
            <v>SCZBM205</v>
          </cell>
          <cell r="D1073" t="str">
            <v>C01</v>
          </cell>
        </row>
        <row r="1074">
          <cell r="A1074" t="str">
            <v>SCZBS020</v>
          </cell>
          <cell r="D1074" t="str">
            <v>C01</v>
          </cell>
        </row>
        <row r="1075">
          <cell r="A1075" t="str">
            <v>SCZBS105</v>
          </cell>
          <cell r="D1075" t="str">
            <v>C01</v>
          </cell>
        </row>
        <row r="1076">
          <cell r="A1076" t="str">
            <v>SCZBS120</v>
          </cell>
          <cell r="D1076" t="str">
            <v>C01</v>
          </cell>
        </row>
        <row r="1077">
          <cell r="A1077" t="str">
            <v>SCZBS160</v>
          </cell>
          <cell r="D1077" t="str">
            <v>C01</v>
          </cell>
        </row>
        <row r="1078">
          <cell r="A1078" t="str">
            <v>SCZBS165</v>
          </cell>
          <cell r="D1078" t="str">
            <v>C01</v>
          </cell>
        </row>
        <row r="1079">
          <cell r="A1079" t="str">
            <v>SCZBS250</v>
          </cell>
          <cell r="D1079" t="str">
            <v>C01</v>
          </cell>
        </row>
        <row r="1080">
          <cell r="A1080" t="str">
            <v>SCZBS270</v>
          </cell>
          <cell r="D1080" t="str">
            <v>C01</v>
          </cell>
        </row>
        <row r="1081">
          <cell r="A1081" t="str">
            <v>SCZBS361</v>
          </cell>
          <cell r="D1081" t="str">
            <v>C01</v>
          </cell>
        </row>
        <row r="1082">
          <cell r="A1082" t="str">
            <v>SCZBS365</v>
          </cell>
          <cell r="D1082" t="str">
            <v>C01</v>
          </cell>
        </row>
        <row r="1083">
          <cell r="A1083" t="str">
            <v>SCZBS400</v>
          </cell>
          <cell r="D1083" t="str">
            <v>C01</v>
          </cell>
        </row>
        <row r="1084">
          <cell r="A1084" t="str">
            <v>SCZBS410</v>
          </cell>
          <cell r="D1084" t="str">
            <v>C01</v>
          </cell>
        </row>
        <row r="1085">
          <cell r="A1085" t="str">
            <v>SCZBS415</v>
          </cell>
          <cell r="D1085" t="str">
            <v>C01</v>
          </cell>
        </row>
        <row r="1086">
          <cell r="A1086" t="str">
            <v>SCZBS418</v>
          </cell>
          <cell r="D1086" t="str">
            <v>C01</v>
          </cell>
        </row>
        <row r="1087">
          <cell r="A1087" t="str">
            <v>SCZBS420</v>
          </cell>
          <cell r="D1087" t="str">
            <v>C01</v>
          </cell>
        </row>
        <row r="1088">
          <cell r="A1088" t="str">
            <v>SCZBS423</v>
          </cell>
          <cell r="D1088" t="str">
            <v>C01</v>
          </cell>
        </row>
        <row r="1089">
          <cell r="A1089" t="str">
            <v>SCZBS425</v>
          </cell>
          <cell r="D1089" t="str">
            <v>C01</v>
          </cell>
        </row>
        <row r="1090">
          <cell r="A1090" t="str">
            <v>SCZBS440</v>
          </cell>
          <cell r="D1090" t="str">
            <v>C01</v>
          </cell>
        </row>
        <row r="1091">
          <cell r="A1091" t="str">
            <v>SCZBS450</v>
          </cell>
          <cell r="D1091" t="str">
            <v>C01</v>
          </cell>
        </row>
        <row r="1092">
          <cell r="A1092" t="str">
            <v>SCZBS460</v>
          </cell>
          <cell r="D1092" t="str">
            <v>C01</v>
          </cell>
        </row>
        <row r="1093">
          <cell r="A1093" t="str">
            <v>SCZBS470</v>
          </cell>
          <cell r="D1093" t="str">
            <v>C01</v>
          </cell>
        </row>
        <row r="1094">
          <cell r="A1094" t="str">
            <v>SCZBS475</v>
          </cell>
          <cell r="D1094" t="str">
            <v>C01</v>
          </cell>
        </row>
        <row r="1095">
          <cell r="A1095" t="str">
            <v>SCZBS485</v>
          </cell>
          <cell r="D1095" t="str">
            <v>C01</v>
          </cell>
        </row>
        <row r="1096">
          <cell r="A1096" t="str">
            <v>SCZBS486</v>
          </cell>
          <cell r="D1096" t="str">
            <v>C01</v>
          </cell>
        </row>
        <row r="1097">
          <cell r="A1097" t="str">
            <v>SCZBS500</v>
          </cell>
          <cell r="D1097" t="str">
            <v>C01</v>
          </cell>
        </row>
        <row r="1098">
          <cell r="A1098" t="str">
            <v>SCZBS510</v>
          </cell>
          <cell r="D1098" t="str">
            <v>C01</v>
          </cell>
        </row>
        <row r="1099">
          <cell r="A1099" t="str">
            <v>SCZBS511</v>
          </cell>
          <cell r="D1099" t="str">
            <v>C01</v>
          </cell>
        </row>
        <row r="1100">
          <cell r="A1100" t="str">
            <v>SCZBS520</v>
          </cell>
          <cell r="D1100" t="str">
            <v>C01</v>
          </cell>
        </row>
        <row r="1101">
          <cell r="A1101" t="str">
            <v>SCZBS530</v>
          </cell>
          <cell r="D1101" t="str">
            <v>C01</v>
          </cell>
        </row>
        <row r="1102">
          <cell r="A1102" t="str">
            <v>SCZBS531</v>
          </cell>
          <cell r="D1102" t="str">
            <v>C01</v>
          </cell>
        </row>
        <row r="1103">
          <cell r="A1103" t="str">
            <v>SCZBS532</v>
          </cell>
          <cell r="D1103" t="str">
            <v>C01</v>
          </cell>
        </row>
        <row r="1104">
          <cell r="A1104" t="str">
            <v>SCZBS535</v>
          </cell>
          <cell r="D1104" t="str">
            <v>C01</v>
          </cell>
        </row>
        <row r="1105">
          <cell r="A1105" t="str">
            <v>SCZBS536</v>
          </cell>
          <cell r="D1105" t="str">
            <v>C01</v>
          </cell>
        </row>
        <row r="1106">
          <cell r="A1106" t="str">
            <v>SCZBS537</v>
          </cell>
          <cell r="D1106" t="str">
            <v>C01</v>
          </cell>
        </row>
        <row r="1107">
          <cell r="A1107" t="str">
            <v>SCZBS538</v>
          </cell>
          <cell r="D1107" t="str">
            <v>C01</v>
          </cell>
        </row>
        <row r="1108">
          <cell r="A1108" t="str">
            <v>SCZBS540</v>
          </cell>
          <cell r="D1108" t="str">
            <v>C01</v>
          </cell>
        </row>
        <row r="1109">
          <cell r="A1109" t="str">
            <v>SCZBS541</v>
          </cell>
          <cell r="D1109" t="str">
            <v>C01</v>
          </cell>
        </row>
        <row r="1110">
          <cell r="A1110" t="str">
            <v>SCZBS542</v>
          </cell>
          <cell r="D1110" t="str">
            <v>C01</v>
          </cell>
        </row>
        <row r="1111">
          <cell r="A1111" t="str">
            <v>SCZBS543</v>
          </cell>
          <cell r="D1111" t="str">
            <v>C01</v>
          </cell>
        </row>
        <row r="1112">
          <cell r="A1112" t="str">
            <v>SCZBS549</v>
          </cell>
          <cell r="D1112" t="str">
            <v>C01</v>
          </cell>
        </row>
        <row r="1113">
          <cell r="A1113" t="str">
            <v>SCZBS550</v>
          </cell>
          <cell r="D1113" t="str">
            <v>C01</v>
          </cell>
        </row>
        <row r="1114">
          <cell r="A1114" t="str">
            <v>SCZBS560</v>
          </cell>
          <cell r="D1114" t="str">
            <v>C01</v>
          </cell>
        </row>
        <row r="1115">
          <cell r="A1115" t="str">
            <v>SCZBS561</v>
          </cell>
          <cell r="D1115" t="str">
            <v>C01</v>
          </cell>
        </row>
        <row r="1116">
          <cell r="A1116" t="str">
            <v>SCZBS570</v>
          </cell>
          <cell r="D1116" t="str">
            <v>C01</v>
          </cell>
        </row>
        <row r="1117">
          <cell r="A1117" t="str">
            <v>SCZBS580</v>
          </cell>
          <cell r="D1117" t="str">
            <v>C01</v>
          </cell>
        </row>
        <row r="1118">
          <cell r="A1118" t="str">
            <v>SCZBS581</v>
          </cell>
          <cell r="D1118" t="str">
            <v>C01</v>
          </cell>
        </row>
        <row r="1119">
          <cell r="A1119" t="str">
            <v>SCZBS582</v>
          </cell>
          <cell r="D1119" t="str">
            <v>C01</v>
          </cell>
        </row>
        <row r="1120">
          <cell r="A1120" t="str">
            <v>SCZBS583</v>
          </cell>
          <cell r="D1120" t="str">
            <v>C01</v>
          </cell>
        </row>
        <row r="1121">
          <cell r="A1121" t="str">
            <v>SCZBS590</v>
          </cell>
          <cell r="D1121" t="str">
            <v>C01</v>
          </cell>
        </row>
        <row r="1122">
          <cell r="A1122" t="str">
            <v>SCZBS700</v>
          </cell>
          <cell r="D1122" t="str">
            <v>C01</v>
          </cell>
        </row>
        <row r="1123">
          <cell r="A1123" t="str">
            <v>SCZBS701</v>
          </cell>
          <cell r="D1123" t="str">
            <v>C01</v>
          </cell>
        </row>
        <row r="1124">
          <cell r="A1124" t="str">
            <v>SCZBS702</v>
          </cell>
          <cell r="D1124" t="str">
            <v>C01</v>
          </cell>
        </row>
        <row r="1125">
          <cell r="A1125" t="str">
            <v>SCZGS001</v>
          </cell>
          <cell r="D1125" t="str">
            <v>C01</v>
          </cell>
        </row>
        <row r="1126">
          <cell r="A1126" t="str">
            <v>SCZGS016</v>
          </cell>
          <cell r="D1126" t="str">
            <v>C01</v>
          </cell>
        </row>
        <row r="1127">
          <cell r="A1127" t="str">
            <v>SCZGS018</v>
          </cell>
          <cell r="D1127" t="str">
            <v>C01</v>
          </cell>
        </row>
        <row r="1128">
          <cell r="A1128" t="str">
            <v>SCZGS020</v>
          </cell>
          <cell r="D1128" t="str">
            <v>C01</v>
          </cell>
        </row>
        <row r="1129">
          <cell r="A1129" t="str">
            <v>SCZJJ800</v>
          </cell>
          <cell r="D1129" t="str">
            <v>C01</v>
          </cell>
        </row>
        <row r="1130">
          <cell r="A1130" t="str">
            <v>SCZJJ810</v>
          </cell>
          <cell r="D1130" t="str">
            <v>C01</v>
          </cell>
        </row>
        <row r="1131">
          <cell r="A1131" t="str">
            <v>SCZJJ820</v>
          </cell>
          <cell r="D1131" t="str">
            <v>C01</v>
          </cell>
        </row>
        <row r="1132">
          <cell r="A1132" t="str">
            <v>SCZJJ830</v>
          </cell>
          <cell r="D1132" t="str">
            <v>C01</v>
          </cell>
        </row>
        <row r="1133">
          <cell r="A1133" t="str">
            <v>SCZJJ840</v>
          </cell>
          <cell r="D1133" t="str">
            <v>C01</v>
          </cell>
        </row>
        <row r="1134">
          <cell r="A1134" t="str">
            <v>SCZJJ900</v>
          </cell>
          <cell r="D1134" t="str">
            <v>C01</v>
          </cell>
        </row>
        <row r="1135">
          <cell r="A1135" t="str">
            <v>SCZJJ910</v>
          </cell>
          <cell r="D1135" t="str">
            <v>C01</v>
          </cell>
        </row>
        <row r="1136">
          <cell r="A1136" t="str">
            <v>SCZJJ920</v>
          </cell>
          <cell r="D1136" t="str">
            <v>C01</v>
          </cell>
        </row>
        <row r="1137">
          <cell r="A1137" t="str">
            <v>SCZJJ930</v>
          </cell>
          <cell r="D1137" t="str">
            <v>C01</v>
          </cell>
        </row>
        <row r="1138">
          <cell r="A1138" t="str">
            <v>SCZJJ940</v>
          </cell>
          <cell r="D1138" t="str">
            <v>C01</v>
          </cell>
        </row>
        <row r="1139">
          <cell r="A1139" t="str">
            <v>SCZJJ950</v>
          </cell>
          <cell r="D1139" t="str">
            <v>C01</v>
          </cell>
        </row>
        <row r="1140">
          <cell r="A1140" t="str">
            <v>SCZJJ960</v>
          </cell>
          <cell r="D1140" t="str">
            <v>C01</v>
          </cell>
        </row>
        <row r="1141">
          <cell r="A1141" t="str">
            <v>SCZKS100</v>
          </cell>
          <cell r="D1141" t="str">
            <v>C01</v>
          </cell>
        </row>
        <row r="1142">
          <cell r="A1142" t="str">
            <v>SCZOS006</v>
          </cell>
          <cell r="D1142" t="str">
            <v>C01</v>
          </cell>
        </row>
        <row r="1143">
          <cell r="A1143" t="str">
            <v>SCZOS010</v>
          </cell>
          <cell r="D1143" t="str">
            <v>C01</v>
          </cell>
        </row>
        <row r="1144">
          <cell r="A1144" t="str">
            <v>SCZOS012</v>
          </cell>
          <cell r="D1144" t="str">
            <v>C01</v>
          </cell>
        </row>
        <row r="1145">
          <cell r="A1145" t="str">
            <v>SCZOS015</v>
          </cell>
          <cell r="D1145" t="str">
            <v>C01</v>
          </cell>
        </row>
        <row r="1146">
          <cell r="A1146" t="str">
            <v>SCZOS029</v>
          </cell>
          <cell r="D1146" t="str">
            <v>C01</v>
          </cell>
        </row>
        <row r="1147">
          <cell r="A1147" t="str">
            <v>SCZOS030</v>
          </cell>
          <cell r="D1147" t="str">
            <v>C01</v>
          </cell>
        </row>
        <row r="1148">
          <cell r="A1148" t="str">
            <v>SCZOS032</v>
          </cell>
          <cell r="D1148" t="str">
            <v>C01</v>
          </cell>
        </row>
        <row r="1149">
          <cell r="A1149" t="str">
            <v>SCZOS034</v>
          </cell>
          <cell r="D1149" t="str">
            <v>C01</v>
          </cell>
        </row>
        <row r="1150">
          <cell r="A1150" t="str">
            <v>SCZOS036</v>
          </cell>
          <cell r="D1150" t="str">
            <v>C01</v>
          </cell>
        </row>
        <row r="1151">
          <cell r="A1151" t="str">
            <v>SCZOS040</v>
          </cell>
          <cell r="D1151" t="str">
            <v>C01</v>
          </cell>
        </row>
        <row r="1152">
          <cell r="A1152" t="str">
            <v>SCZOS046</v>
          </cell>
          <cell r="D1152" t="str">
            <v>C01</v>
          </cell>
        </row>
        <row r="1153">
          <cell r="A1153" t="str">
            <v>SCZOS047</v>
          </cell>
          <cell r="D1153" t="str">
            <v>C01</v>
          </cell>
        </row>
        <row r="1154">
          <cell r="A1154" t="str">
            <v>SCZOS095</v>
          </cell>
          <cell r="D1154" t="str">
            <v>C01</v>
          </cell>
        </row>
        <row r="1155">
          <cell r="A1155" t="str">
            <v>SCZOS100</v>
          </cell>
          <cell r="D1155" t="str">
            <v>C01</v>
          </cell>
        </row>
        <row r="1156">
          <cell r="A1156" t="str">
            <v>SCZOS120</v>
          </cell>
          <cell r="D1156" t="str">
            <v>C01</v>
          </cell>
        </row>
        <row r="1157">
          <cell r="A1157" t="str">
            <v>SCZOS130</v>
          </cell>
          <cell r="D1157" t="str">
            <v>C01</v>
          </cell>
        </row>
        <row r="1158">
          <cell r="A1158" t="str">
            <v>SCZOS155</v>
          </cell>
          <cell r="D1158" t="str">
            <v>C01</v>
          </cell>
        </row>
        <row r="1159">
          <cell r="A1159" t="str">
            <v>SCZPN415</v>
          </cell>
          <cell r="D1159" t="str">
            <v>C01</v>
          </cell>
        </row>
        <row r="1160">
          <cell r="A1160" t="str">
            <v>SCZPN620</v>
          </cell>
          <cell r="D1160" t="str">
            <v>C01</v>
          </cell>
        </row>
        <row r="1161">
          <cell r="A1161" t="str">
            <v>SCZPN660</v>
          </cell>
          <cell r="D1161" t="str">
            <v>C01</v>
          </cell>
        </row>
        <row r="1162">
          <cell r="A1162" t="str">
            <v>SCZPN701</v>
          </cell>
          <cell r="D1162" t="str">
            <v>C01</v>
          </cell>
        </row>
        <row r="1163">
          <cell r="A1163" t="str">
            <v>SCZPN702</v>
          </cell>
          <cell r="D1163" t="str">
            <v>C01</v>
          </cell>
        </row>
        <row r="1164">
          <cell r="A1164" t="str">
            <v>SCZPN703</v>
          </cell>
          <cell r="D1164" t="str">
            <v>C01</v>
          </cell>
        </row>
        <row r="1165">
          <cell r="A1165" t="str">
            <v>UAA20360</v>
          </cell>
          <cell r="D1165" t="str">
            <v>C01</v>
          </cell>
        </row>
        <row r="1166">
          <cell r="A1166" t="str">
            <v>UAA25410</v>
          </cell>
          <cell r="D1166" t="str">
            <v>C01</v>
          </cell>
        </row>
        <row r="1167">
          <cell r="A1167" t="str">
            <v>UAC20045</v>
          </cell>
          <cell r="D1167" t="str">
            <v>C01</v>
          </cell>
        </row>
        <row r="1168">
          <cell r="A1168" t="str">
            <v>UAC20073</v>
          </cell>
          <cell r="D1168" t="str">
            <v>C01</v>
          </cell>
        </row>
        <row r="1169">
          <cell r="A1169" t="str">
            <v>UAD20120</v>
          </cell>
          <cell r="D1169" t="str">
            <v>C01</v>
          </cell>
        </row>
        <row r="1170">
          <cell r="A1170" t="str">
            <v>UAJ11620</v>
          </cell>
          <cell r="D1170" t="str">
            <v>C01</v>
          </cell>
        </row>
        <row r="1171">
          <cell r="A1171" t="str">
            <v>UAJ11630</v>
          </cell>
          <cell r="D1171" t="str">
            <v>C01</v>
          </cell>
        </row>
        <row r="1172">
          <cell r="A1172" t="str">
            <v>UAJ14481</v>
          </cell>
          <cell r="D1172" t="str">
            <v>C01</v>
          </cell>
        </row>
        <row r="1173">
          <cell r="A1173" t="str">
            <v>UAK20510</v>
          </cell>
          <cell r="D1173" t="str">
            <v>C01</v>
          </cell>
        </row>
        <row r="1174">
          <cell r="A1174" t="str">
            <v>UAO35520</v>
          </cell>
          <cell r="D1174" t="str">
            <v>C01</v>
          </cell>
        </row>
        <row r="1175">
          <cell r="A1175" t="str">
            <v>UCA02010</v>
          </cell>
          <cell r="D1175" t="str">
            <v>C01</v>
          </cell>
        </row>
        <row r="1176">
          <cell r="A1176" t="str">
            <v>UCA64320</v>
          </cell>
          <cell r="D1176" t="str">
            <v>C01</v>
          </cell>
        </row>
        <row r="1177">
          <cell r="A1177" t="str">
            <v>UCA64422</v>
          </cell>
          <cell r="D1177" t="str">
            <v>C01</v>
          </cell>
        </row>
        <row r="1178">
          <cell r="A1178" t="str">
            <v>UCA64820</v>
          </cell>
          <cell r="D1178" t="str">
            <v>C01</v>
          </cell>
        </row>
        <row r="1179">
          <cell r="A1179" t="str">
            <v>UCB03110</v>
          </cell>
          <cell r="D1179" t="str">
            <v>C01</v>
          </cell>
        </row>
        <row r="1180">
          <cell r="A1180" t="str">
            <v>UCB03115</v>
          </cell>
          <cell r="D1180" t="str">
            <v>C01</v>
          </cell>
        </row>
        <row r="1181">
          <cell r="A1181" t="str">
            <v>UCB03120</v>
          </cell>
          <cell r="D1181" t="str">
            <v>C01</v>
          </cell>
        </row>
        <row r="1182">
          <cell r="A1182" t="str">
            <v>UCB03310</v>
          </cell>
          <cell r="D1182" t="str">
            <v>C01</v>
          </cell>
        </row>
        <row r="1183">
          <cell r="A1183" t="str">
            <v>UCB03312</v>
          </cell>
          <cell r="D1183" t="str">
            <v>C01</v>
          </cell>
        </row>
        <row r="1184">
          <cell r="A1184" t="str">
            <v>UCB03407</v>
          </cell>
          <cell r="D1184" t="str">
            <v>C01</v>
          </cell>
        </row>
        <row r="1185">
          <cell r="A1185" t="str">
            <v>UCB03410</v>
          </cell>
          <cell r="D1185" t="str">
            <v>C01</v>
          </cell>
        </row>
        <row r="1186">
          <cell r="A1186" t="str">
            <v>UCB04010</v>
          </cell>
          <cell r="D1186" t="str">
            <v>C01</v>
          </cell>
        </row>
        <row r="1187">
          <cell r="A1187" t="str">
            <v>UCB36218</v>
          </cell>
          <cell r="D1187" t="str">
            <v>C01</v>
          </cell>
        </row>
        <row r="1188">
          <cell r="A1188" t="str">
            <v>UCB36225</v>
          </cell>
          <cell r="D1188" t="str">
            <v>C01</v>
          </cell>
        </row>
        <row r="1189">
          <cell r="A1189" t="str">
            <v>UCB36640</v>
          </cell>
          <cell r="D1189" t="str">
            <v>C01</v>
          </cell>
        </row>
        <row r="1190">
          <cell r="A1190" t="str">
            <v>UCB42210</v>
          </cell>
          <cell r="D1190" t="str">
            <v>C01</v>
          </cell>
        </row>
        <row r="1191">
          <cell r="A1191" t="str">
            <v>UCB42215</v>
          </cell>
          <cell r="D1191" t="str">
            <v>C01</v>
          </cell>
        </row>
        <row r="1192">
          <cell r="A1192" t="str">
            <v>UCB42220</v>
          </cell>
          <cell r="D1192" t="str">
            <v>C01</v>
          </cell>
        </row>
        <row r="1193">
          <cell r="A1193" t="str">
            <v>UCB42225</v>
          </cell>
          <cell r="D1193" t="str">
            <v>C01</v>
          </cell>
        </row>
        <row r="1194">
          <cell r="A1194" t="str">
            <v>UCB42230</v>
          </cell>
          <cell r="D1194" t="str">
            <v>C01</v>
          </cell>
        </row>
        <row r="1195">
          <cell r="A1195" t="str">
            <v>UCB52110</v>
          </cell>
          <cell r="D1195" t="str">
            <v>C01</v>
          </cell>
        </row>
        <row r="1196">
          <cell r="A1196" t="str">
            <v>UCB52310</v>
          </cell>
          <cell r="D1196" t="str">
            <v>C01</v>
          </cell>
        </row>
        <row r="1197">
          <cell r="A1197" t="str">
            <v>UCB52315</v>
          </cell>
          <cell r="D1197" t="str">
            <v>C01</v>
          </cell>
        </row>
        <row r="1198">
          <cell r="A1198" t="str">
            <v>UCB56452</v>
          </cell>
          <cell r="D1198" t="str">
            <v>C01</v>
          </cell>
        </row>
        <row r="1199">
          <cell r="A1199" t="str">
            <v>UCB56455</v>
          </cell>
          <cell r="D1199" t="str">
            <v>C01</v>
          </cell>
        </row>
        <row r="1200">
          <cell r="A1200" t="str">
            <v>UCB58345</v>
          </cell>
          <cell r="D1200" t="str">
            <v>C01</v>
          </cell>
        </row>
        <row r="1201">
          <cell r="A1201" t="str">
            <v>UCB58445</v>
          </cell>
          <cell r="D1201" t="str">
            <v>C01</v>
          </cell>
        </row>
        <row r="1202">
          <cell r="A1202" t="str">
            <v>UCF06030</v>
          </cell>
          <cell r="D1202" t="str">
            <v>C01</v>
          </cell>
        </row>
        <row r="1203">
          <cell r="A1203" t="str">
            <v>UCH20080</v>
          </cell>
          <cell r="D1203" t="str">
            <v>C01</v>
          </cell>
        </row>
        <row r="1204">
          <cell r="A1204" t="str">
            <v>UCH20440</v>
          </cell>
          <cell r="D1204" t="str">
            <v>C01</v>
          </cell>
        </row>
        <row r="1205">
          <cell r="A1205" t="str">
            <v>UCH20722</v>
          </cell>
          <cell r="D1205" t="str">
            <v>C01</v>
          </cell>
        </row>
        <row r="1206">
          <cell r="A1206" t="str">
            <v>UCH50110</v>
          </cell>
          <cell r="D1206" t="str">
            <v>C01</v>
          </cell>
        </row>
        <row r="1207">
          <cell r="A1207" t="str">
            <v>UCJ36010</v>
          </cell>
          <cell r="D1207" t="str">
            <v>C01</v>
          </cell>
        </row>
        <row r="1208">
          <cell r="A1208" t="str">
            <v>UCP02200</v>
          </cell>
          <cell r="D1208" t="str">
            <v>C01</v>
          </cell>
        </row>
        <row r="1209">
          <cell r="A1209" t="str">
            <v>UCP04050</v>
          </cell>
          <cell r="D1209" t="str">
            <v>C01</v>
          </cell>
        </row>
        <row r="1210">
          <cell r="A1210" t="str">
            <v>UCP04100</v>
          </cell>
          <cell r="D1210" t="str">
            <v>C01</v>
          </cell>
        </row>
        <row r="1211">
          <cell r="A1211" t="str">
            <v>UCP04300</v>
          </cell>
          <cell r="D1211" t="str">
            <v>C01</v>
          </cell>
        </row>
        <row r="1212">
          <cell r="A1212" t="str">
            <v>UCP06100</v>
          </cell>
          <cell r="D1212" t="str">
            <v>C01</v>
          </cell>
        </row>
        <row r="1213">
          <cell r="A1213" t="str">
            <v>UCP10510</v>
          </cell>
          <cell r="D1213" t="str">
            <v>C01</v>
          </cell>
        </row>
        <row r="1214">
          <cell r="A1214" t="str">
            <v>UCP10530</v>
          </cell>
          <cell r="D1214" t="str">
            <v>C01</v>
          </cell>
        </row>
        <row r="1215">
          <cell r="A1215" t="str">
            <v>UCP24300</v>
          </cell>
          <cell r="D1215" t="str">
            <v>C01</v>
          </cell>
        </row>
        <row r="1216">
          <cell r="A1216" t="str">
            <v>UCP24350</v>
          </cell>
          <cell r="D1216" t="str">
            <v>C01</v>
          </cell>
        </row>
        <row r="1217">
          <cell r="A1217" t="str">
            <v>UMA46212</v>
          </cell>
          <cell r="D1217" t="str">
            <v>C01</v>
          </cell>
        </row>
        <row r="1218">
          <cell r="A1218" t="str">
            <v>UMA46213</v>
          </cell>
          <cell r="D1218" t="str">
            <v>C01</v>
          </cell>
        </row>
        <row r="1219">
          <cell r="A1219" t="str">
            <v>UMA46214</v>
          </cell>
          <cell r="D1219" t="str">
            <v>C01</v>
          </cell>
        </row>
        <row r="1220">
          <cell r="A1220" t="str">
            <v>UMA46216</v>
          </cell>
          <cell r="D1220" t="str">
            <v>C01</v>
          </cell>
        </row>
        <row r="1221">
          <cell r="A1221" t="str">
            <v>UMA46217</v>
          </cell>
          <cell r="D1221" t="str">
            <v>C01</v>
          </cell>
        </row>
        <row r="1222">
          <cell r="A1222" t="str">
            <v>UMA46219</v>
          </cell>
          <cell r="D1222" t="str">
            <v>C01</v>
          </cell>
        </row>
        <row r="1223">
          <cell r="A1223" t="str">
            <v>UMA46220</v>
          </cell>
          <cell r="D1223" t="str">
            <v>C01</v>
          </cell>
        </row>
        <row r="1224">
          <cell r="A1224" t="str">
            <v>UMA46221</v>
          </cell>
          <cell r="D1224" t="str">
            <v>C01</v>
          </cell>
        </row>
        <row r="1225">
          <cell r="A1225" t="str">
            <v>UMA46224</v>
          </cell>
          <cell r="D1225" t="str">
            <v>C01</v>
          </cell>
        </row>
        <row r="1226">
          <cell r="A1226" t="str">
            <v>UMC10626</v>
          </cell>
          <cell r="D1226" t="str">
            <v>C01</v>
          </cell>
        </row>
        <row r="1227">
          <cell r="A1227" t="str">
            <v>UMC36220</v>
          </cell>
          <cell r="D1227" t="str">
            <v>C01</v>
          </cell>
        </row>
        <row r="1228">
          <cell r="A1228" t="str">
            <v>UMC36221</v>
          </cell>
          <cell r="D1228" t="str">
            <v>C01</v>
          </cell>
        </row>
        <row r="1229">
          <cell r="A1229" t="str">
            <v>UMC38823</v>
          </cell>
          <cell r="D1229" t="str">
            <v>C01</v>
          </cell>
        </row>
        <row r="1230">
          <cell r="A1230" t="str">
            <v>UMC46513</v>
          </cell>
          <cell r="D1230" t="str">
            <v>C01</v>
          </cell>
        </row>
        <row r="1231">
          <cell r="A1231" t="str">
            <v>UMD90105</v>
          </cell>
          <cell r="D1231" t="str">
            <v>C01</v>
          </cell>
        </row>
        <row r="1232">
          <cell r="A1232" t="str">
            <v>UMD90115</v>
          </cell>
          <cell r="D1232" t="str">
            <v>C01</v>
          </cell>
        </row>
        <row r="1233">
          <cell r="A1233" t="str">
            <v>UMD90124</v>
          </cell>
          <cell r="D1233" t="str">
            <v>C01</v>
          </cell>
        </row>
        <row r="1234">
          <cell r="A1234" t="str">
            <v>UMN10251</v>
          </cell>
          <cell r="D1234" t="str">
            <v>C01</v>
          </cell>
        </row>
        <row r="1235">
          <cell r="A1235" t="str">
            <v>UMN10255</v>
          </cell>
          <cell r="D1235" t="str">
            <v>C01</v>
          </cell>
        </row>
        <row r="1236">
          <cell r="A1236" t="str">
            <v>UMN34512</v>
          </cell>
          <cell r="D1236" t="str">
            <v>C01</v>
          </cell>
        </row>
        <row r="1237">
          <cell r="A1237" t="str">
            <v>UMN34513</v>
          </cell>
          <cell r="D1237" t="str">
            <v>C01</v>
          </cell>
        </row>
        <row r="1238">
          <cell r="A1238" t="str">
            <v>UMN34515</v>
          </cell>
          <cell r="D1238" t="str">
            <v>C01</v>
          </cell>
        </row>
        <row r="1239">
          <cell r="A1239" t="str">
            <v>UMN34517</v>
          </cell>
          <cell r="D1239" t="str">
            <v>C01</v>
          </cell>
        </row>
        <row r="1240">
          <cell r="A1240" t="str">
            <v>UMN34519</v>
          </cell>
          <cell r="D1240" t="str">
            <v>C01</v>
          </cell>
        </row>
        <row r="1241">
          <cell r="A1241" t="str">
            <v>UMO33113</v>
          </cell>
          <cell r="D1241" t="str">
            <v>C01</v>
          </cell>
        </row>
        <row r="1242">
          <cell r="A1242" t="str">
            <v>UMO33117</v>
          </cell>
          <cell r="D1242" t="str">
            <v>C01</v>
          </cell>
        </row>
        <row r="1243">
          <cell r="A1243" t="str">
            <v>UMO33119</v>
          </cell>
          <cell r="D1243" t="str">
            <v>C01</v>
          </cell>
        </row>
        <row r="1244">
          <cell r="A1244" t="str">
            <v>UMO33124</v>
          </cell>
          <cell r="D1244" t="str">
            <v>C01</v>
          </cell>
        </row>
        <row r="1245">
          <cell r="A1245" t="str">
            <v>UMP20522</v>
          </cell>
          <cell r="D1245" t="str">
            <v>C01</v>
          </cell>
        </row>
        <row r="1246">
          <cell r="A1246" t="str">
            <v>BCB01Z02</v>
          </cell>
          <cell r="D1246" t="str">
            <v>C02</v>
          </cell>
        </row>
        <row r="1247">
          <cell r="A1247" t="str">
            <v>BCB01Z26</v>
          </cell>
          <cell r="D1247" t="str">
            <v>C02</v>
          </cell>
        </row>
        <row r="1248">
          <cell r="A1248" t="str">
            <v>BCB01Z31</v>
          </cell>
          <cell r="D1248" t="str">
            <v>C02</v>
          </cell>
        </row>
        <row r="1249">
          <cell r="A1249" t="str">
            <v>BCB01Z40</v>
          </cell>
          <cell r="D1249" t="str">
            <v>C02</v>
          </cell>
        </row>
        <row r="1250">
          <cell r="A1250" t="str">
            <v>BCB01Z41</v>
          </cell>
          <cell r="D1250" t="str">
            <v>C02</v>
          </cell>
        </row>
        <row r="1251">
          <cell r="A1251" t="str">
            <v>BCB01Z42</v>
          </cell>
          <cell r="D1251" t="str">
            <v>C02</v>
          </cell>
        </row>
        <row r="1252">
          <cell r="A1252" t="str">
            <v>BCB01Z43</v>
          </cell>
          <cell r="D1252" t="str">
            <v>C02</v>
          </cell>
        </row>
        <row r="1253">
          <cell r="A1253" t="str">
            <v>BCB01Z44</v>
          </cell>
          <cell r="D1253" t="str">
            <v>C02</v>
          </cell>
        </row>
        <row r="1254">
          <cell r="A1254" t="str">
            <v>BCB01Z45</v>
          </cell>
          <cell r="D1254" t="str">
            <v>C02</v>
          </cell>
        </row>
        <row r="1255">
          <cell r="A1255" t="str">
            <v>BCB01Z66</v>
          </cell>
          <cell r="D1255" t="str">
            <v>C02</v>
          </cell>
        </row>
        <row r="1256">
          <cell r="A1256" t="str">
            <v>BGB10101</v>
          </cell>
          <cell r="D1256" t="str">
            <v>C02</v>
          </cell>
        </row>
        <row r="1257">
          <cell r="A1257" t="str">
            <v>BGB10121</v>
          </cell>
          <cell r="D1257" t="str">
            <v>C02</v>
          </cell>
        </row>
        <row r="1258">
          <cell r="A1258" t="str">
            <v>BGB10123</v>
          </cell>
          <cell r="D1258" t="str">
            <v>C02</v>
          </cell>
        </row>
        <row r="1259">
          <cell r="A1259" t="str">
            <v>BGB10144</v>
          </cell>
          <cell r="D1259" t="str">
            <v>C02</v>
          </cell>
        </row>
        <row r="1260">
          <cell r="A1260" t="str">
            <v>BGB10161</v>
          </cell>
          <cell r="D1260" t="str">
            <v>C02</v>
          </cell>
        </row>
        <row r="1261">
          <cell r="A1261" t="str">
            <v>BGB10166</v>
          </cell>
          <cell r="D1261" t="str">
            <v>C02</v>
          </cell>
        </row>
        <row r="1262">
          <cell r="A1262" t="str">
            <v>BGB10167</v>
          </cell>
          <cell r="D1262" t="str">
            <v>C02</v>
          </cell>
        </row>
        <row r="1263">
          <cell r="A1263" t="str">
            <v>BGB10173</v>
          </cell>
          <cell r="D1263" t="str">
            <v>C02</v>
          </cell>
        </row>
        <row r="1264">
          <cell r="A1264" t="str">
            <v>BGB10174</v>
          </cell>
          <cell r="D1264" t="str">
            <v>C02</v>
          </cell>
        </row>
        <row r="1265">
          <cell r="A1265" t="str">
            <v>BGB10175</v>
          </cell>
          <cell r="D1265" t="str">
            <v>C02</v>
          </cell>
        </row>
        <row r="1266">
          <cell r="A1266" t="str">
            <v>BGB10176</v>
          </cell>
          <cell r="D1266" t="str">
            <v>C02</v>
          </cell>
        </row>
        <row r="1267">
          <cell r="A1267" t="str">
            <v>BGB10285</v>
          </cell>
          <cell r="D1267" t="str">
            <v>C02</v>
          </cell>
        </row>
        <row r="1268">
          <cell r="A1268" t="str">
            <v>BGB10290</v>
          </cell>
          <cell r="D1268" t="str">
            <v>C02</v>
          </cell>
        </row>
        <row r="1269">
          <cell r="A1269" t="str">
            <v>BGB10310</v>
          </cell>
          <cell r="D1269" t="str">
            <v>C02</v>
          </cell>
        </row>
        <row r="1270">
          <cell r="A1270" t="str">
            <v>BGB10422</v>
          </cell>
          <cell r="D1270" t="str">
            <v>C02</v>
          </cell>
        </row>
        <row r="1271">
          <cell r="A1271" t="str">
            <v>BGB10441</v>
          </cell>
          <cell r="D1271" t="str">
            <v>C02</v>
          </cell>
        </row>
        <row r="1272">
          <cell r="A1272" t="str">
            <v>BGB10442</v>
          </cell>
          <cell r="D1272" t="str">
            <v>C02</v>
          </cell>
        </row>
        <row r="1273">
          <cell r="A1273" t="str">
            <v>BGB10443</v>
          </cell>
          <cell r="D1273" t="str">
            <v>C02</v>
          </cell>
        </row>
        <row r="1274">
          <cell r="A1274" t="str">
            <v>BGB10444</v>
          </cell>
          <cell r="D1274" t="str">
            <v>C02</v>
          </cell>
        </row>
        <row r="1275">
          <cell r="A1275" t="str">
            <v>BGB10910</v>
          </cell>
          <cell r="D1275" t="str">
            <v>C02</v>
          </cell>
        </row>
        <row r="1276">
          <cell r="A1276" t="str">
            <v>JDA00068</v>
          </cell>
          <cell r="D1276" t="str">
            <v>C02</v>
          </cell>
        </row>
        <row r="1277">
          <cell r="A1277" t="str">
            <v>JDA00073</v>
          </cell>
          <cell r="D1277" t="str">
            <v>C02</v>
          </cell>
        </row>
        <row r="1278">
          <cell r="A1278" t="str">
            <v>JGG30678</v>
          </cell>
          <cell r="D1278" t="str">
            <v>C02</v>
          </cell>
        </row>
        <row r="1279">
          <cell r="A1279" t="str">
            <v>MGA20210</v>
          </cell>
          <cell r="D1279" t="str">
            <v>C02</v>
          </cell>
        </row>
        <row r="1280">
          <cell r="A1280" t="str">
            <v>MGB10110</v>
          </cell>
          <cell r="D1280" t="str">
            <v>C02</v>
          </cell>
        </row>
        <row r="1281">
          <cell r="A1281" t="str">
            <v>QAA31230</v>
          </cell>
          <cell r="D1281" t="str">
            <v>C02</v>
          </cell>
        </row>
        <row r="1282">
          <cell r="A1282" t="str">
            <v>QAA35230</v>
          </cell>
          <cell r="D1282" t="str">
            <v>C02</v>
          </cell>
        </row>
        <row r="1283">
          <cell r="A1283" t="str">
            <v>QAA36220</v>
          </cell>
          <cell r="D1283" t="str">
            <v>C02</v>
          </cell>
        </row>
        <row r="1284">
          <cell r="A1284" t="str">
            <v>QAD33222</v>
          </cell>
          <cell r="D1284" t="str">
            <v>C02</v>
          </cell>
        </row>
        <row r="1285">
          <cell r="A1285" t="str">
            <v>QAD34222</v>
          </cell>
          <cell r="D1285" t="str">
            <v>C02</v>
          </cell>
        </row>
        <row r="1286">
          <cell r="A1286" t="str">
            <v>QAD34232</v>
          </cell>
          <cell r="D1286" t="str">
            <v>C02</v>
          </cell>
        </row>
        <row r="1287">
          <cell r="A1287" t="str">
            <v>QAD34233</v>
          </cell>
          <cell r="D1287" t="str">
            <v>C02</v>
          </cell>
        </row>
        <row r="1288">
          <cell r="A1288" t="str">
            <v>QAH42210</v>
          </cell>
          <cell r="D1288" t="str">
            <v>C02</v>
          </cell>
        </row>
        <row r="1289">
          <cell r="A1289" t="str">
            <v>QAJ22171</v>
          </cell>
          <cell r="D1289" t="str">
            <v>C02</v>
          </cell>
        </row>
        <row r="1290">
          <cell r="A1290" t="str">
            <v>QAJ22671</v>
          </cell>
          <cell r="D1290" t="str">
            <v>C02</v>
          </cell>
        </row>
        <row r="1291">
          <cell r="A1291" t="str">
            <v>QAJ32221</v>
          </cell>
          <cell r="D1291" t="str">
            <v>C02</v>
          </cell>
        </row>
        <row r="1292">
          <cell r="A1292" t="str">
            <v>QAJ32721</v>
          </cell>
          <cell r="D1292" t="str">
            <v>C02</v>
          </cell>
        </row>
        <row r="1293">
          <cell r="A1293" t="str">
            <v>QBG15042</v>
          </cell>
          <cell r="D1293" t="str">
            <v>C02</v>
          </cell>
        </row>
        <row r="1294">
          <cell r="A1294" t="str">
            <v>QBG15043</v>
          </cell>
          <cell r="D1294" t="str">
            <v>C02</v>
          </cell>
        </row>
        <row r="1295">
          <cell r="A1295" t="str">
            <v>QCZ10101</v>
          </cell>
          <cell r="D1295" t="str">
            <v>C02</v>
          </cell>
        </row>
        <row r="1296">
          <cell r="A1296" t="str">
            <v>QCZ35222</v>
          </cell>
          <cell r="D1296" t="str">
            <v>C02</v>
          </cell>
        </row>
        <row r="1297">
          <cell r="A1297" t="str">
            <v>QCZ35230</v>
          </cell>
          <cell r="D1297" t="str">
            <v>C02</v>
          </cell>
        </row>
        <row r="1298">
          <cell r="A1298" t="str">
            <v>QCZ35232</v>
          </cell>
          <cell r="D1298" t="str">
            <v>C02</v>
          </cell>
        </row>
        <row r="1299">
          <cell r="A1299" t="str">
            <v>QCZ42210</v>
          </cell>
          <cell r="D1299" t="str">
            <v>C02</v>
          </cell>
        </row>
        <row r="1300">
          <cell r="A1300" t="str">
            <v>SCZ00003</v>
          </cell>
          <cell r="D1300" t="str">
            <v>C02</v>
          </cell>
        </row>
        <row r="1301">
          <cell r="A1301" t="str">
            <v>SCZ00004</v>
          </cell>
          <cell r="D1301" t="str">
            <v>C02</v>
          </cell>
        </row>
        <row r="1302">
          <cell r="A1302" t="str">
            <v>SCZ00005</v>
          </cell>
          <cell r="D1302" t="str">
            <v>C02</v>
          </cell>
        </row>
        <row r="1303">
          <cell r="A1303" t="str">
            <v>SCZ00070</v>
          </cell>
          <cell r="D1303" t="str">
            <v>C02</v>
          </cell>
        </row>
        <row r="1304">
          <cell r="A1304" t="str">
            <v>SCZ00072</v>
          </cell>
          <cell r="D1304" t="str">
            <v>C02</v>
          </cell>
        </row>
        <row r="1305">
          <cell r="A1305" t="str">
            <v>SCZ00080</v>
          </cell>
          <cell r="D1305" t="str">
            <v>C02</v>
          </cell>
        </row>
        <row r="1306">
          <cell r="A1306" t="str">
            <v>SCZ00082</v>
          </cell>
          <cell r="D1306" t="str">
            <v>C02</v>
          </cell>
        </row>
        <row r="1307">
          <cell r="A1307" t="str">
            <v>SCZ00084</v>
          </cell>
          <cell r="D1307" t="str">
            <v>C02</v>
          </cell>
        </row>
        <row r="1308">
          <cell r="A1308" t="str">
            <v>SCZ00085</v>
          </cell>
          <cell r="D1308" t="str">
            <v>C02</v>
          </cell>
        </row>
        <row r="1309">
          <cell r="A1309" t="str">
            <v>SCZ00086</v>
          </cell>
          <cell r="D1309" t="str">
            <v>C02</v>
          </cell>
        </row>
        <row r="1310">
          <cell r="A1310" t="str">
            <v>SCZ00087</v>
          </cell>
          <cell r="D1310" t="str">
            <v>C02</v>
          </cell>
        </row>
        <row r="1311">
          <cell r="A1311" t="str">
            <v>SCZ00088</v>
          </cell>
          <cell r="D1311" t="str">
            <v>C02</v>
          </cell>
        </row>
        <row r="1312">
          <cell r="A1312" t="str">
            <v>SCZ00090</v>
          </cell>
          <cell r="D1312" t="str">
            <v>C02</v>
          </cell>
        </row>
        <row r="1313">
          <cell r="A1313" t="str">
            <v>SCZ00091</v>
          </cell>
          <cell r="D1313" t="str">
            <v>C02</v>
          </cell>
        </row>
        <row r="1314">
          <cell r="A1314" t="str">
            <v>SCZ00093</v>
          </cell>
          <cell r="D1314" t="str">
            <v>C02</v>
          </cell>
        </row>
        <row r="1315">
          <cell r="A1315" t="str">
            <v>SCZ00095</v>
          </cell>
          <cell r="D1315" t="str">
            <v>C02</v>
          </cell>
        </row>
        <row r="1316">
          <cell r="A1316" t="str">
            <v>SCZ00096</v>
          </cell>
          <cell r="D1316" t="str">
            <v>C02</v>
          </cell>
        </row>
        <row r="1317">
          <cell r="A1317" t="str">
            <v>SCZ00103</v>
          </cell>
          <cell r="D1317" t="str">
            <v>C02</v>
          </cell>
        </row>
        <row r="1318">
          <cell r="A1318" t="str">
            <v>SCZ00111</v>
          </cell>
          <cell r="D1318" t="str">
            <v>C02</v>
          </cell>
        </row>
        <row r="1319">
          <cell r="A1319" t="str">
            <v>SCZ00115</v>
          </cell>
          <cell r="D1319" t="str">
            <v>C02</v>
          </cell>
        </row>
        <row r="1320">
          <cell r="A1320" t="str">
            <v>SCZ00120</v>
          </cell>
          <cell r="D1320" t="str">
            <v>C02</v>
          </cell>
        </row>
        <row r="1321">
          <cell r="A1321" t="str">
            <v>SCZ00128</v>
          </cell>
          <cell r="D1321" t="str">
            <v>C02</v>
          </cell>
        </row>
        <row r="1322">
          <cell r="A1322" t="str">
            <v>SCZ00140</v>
          </cell>
          <cell r="D1322" t="str">
            <v>C02</v>
          </cell>
        </row>
        <row r="1323">
          <cell r="A1323" t="str">
            <v>SCZ00146</v>
          </cell>
          <cell r="D1323" t="str">
            <v>C02</v>
          </cell>
        </row>
        <row r="1324">
          <cell r="A1324" t="str">
            <v>SCZ00147</v>
          </cell>
          <cell r="D1324" t="str">
            <v>C02</v>
          </cell>
        </row>
        <row r="1325">
          <cell r="A1325" t="str">
            <v>SCZ00149</v>
          </cell>
          <cell r="D1325" t="str">
            <v>C02</v>
          </cell>
        </row>
        <row r="1326">
          <cell r="A1326" t="str">
            <v>SCZ00150</v>
          </cell>
          <cell r="D1326" t="str">
            <v>C02</v>
          </cell>
        </row>
        <row r="1327">
          <cell r="A1327" t="str">
            <v>SCZ00152</v>
          </cell>
          <cell r="D1327" t="str">
            <v>C02</v>
          </cell>
        </row>
        <row r="1328">
          <cell r="A1328" t="str">
            <v>SCZ00170</v>
          </cell>
          <cell r="D1328" t="str">
            <v>C02</v>
          </cell>
        </row>
        <row r="1329">
          <cell r="A1329" t="str">
            <v>SCZ00180</v>
          </cell>
          <cell r="D1329" t="str">
            <v>C02</v>
          </cell>
        </row>
        <row r="1330">
          <cell r="A1330" t="str">
            <v>SCZ00200</v>
          </cell>
          <cell r="D1330" t="str">
            <v>C02</v>
          </cell>
        </row>
        <row r="1331">
          <cell r="A1331" t="str">
            <v>SCZ00210</v>
          </cell>
          <cell r="D1331" t="str">
            <v>C02</v>
          </cell>
        </row>
        <row r="1332">
          <cell r="A1332" t="str">
            <v>SCZ00250</v>
          </cell>
          <cell r="D1332" t="str">
            <v>C02</v>
          </cell>
        </row>
        <row r="1333">
          <cell r="A1333" t="str">
            <v>SCZ00251</v>
          </cell>
          <cell r="D1333" t="str">
            <v>C02</v>
          </cell>
        </row>
        <row r="1334">
          <cell r="A1334" t="str">
            <v>SCZ00256</v>
          </cell>
          <cell r="D1334" t="str">
            <v>C02</v>
          </cell>
        </row>
        <row r="1335">
          <cell r="A1335" t="str">
            <v>SCZBD181</v>
          </cell>
          <cell r="D1335" t="str">
            <v>C02</v>
          </cell>
        </row>
        <row r="1336">
          <cell r="A1336" t="str">
            <v>SCZGB020</v>
          </cell>
          <cell r="D1336" t="str">
            <v>C02</v>
          </cell>
        </row>
        <row r="1337">
          <cell r="A1337" t="str">
            <v>SCZGB025</v>
          </cell>
          <cell r="D1337" t="str">
            <v>C02</v>
          </cell>
        </row>
        <row r="1338">
          <cell r="A1338" t="str">
            <v>SCZGB027</v>
          </cell>
          <cell r="D1338" t="str">
            <v>C02</v>
          </cell>
        </row>
        <row r="1339">
          <cell r="A1339" t="str">
            <v>SCZGB030</v>
          </cell>
          <cell r="D1339" t="str">
            <v>C02</v>
          </cell>
        </row>
        <row r="1340">
          <cell r="A1340" t="str">
            <v>SCZGB080</v>
          </cell>
          <cell r="D1340" t="str">
            <v>C02</v>
          </cell>
        </row>
        <row r="1341">
          <cell r="A1341" t="str">
            <v>SCZGB085</v>
          </cell>
          <cell r="D1341" t="str">
            <v>C02</v>
          </cell>
        </row>
        <row r="1342">
          <cell r="A1342" t="str">
            <v>SCZGB087</v>
          </cell>
          <cell r="D1342" t="str">
            <v>C02</v>
          </cell>
        </row>
        <row r="1343">
          <cell r="A1343" t="str">
            <v>SCZGB090</v>
          </cell>
          <cell r="D1343" t="str">
            <v>C02</v>
          </cell>
        </row>
        <row r="1344">
          <cell r="A1344" t="str">
            <v>SCZGB095</v>
          </cell>
          <cell r="D1344" t="str">
            <v>C02</v>
          </cell>
        </row>
        <row r="1345">
          <cell r="A1345" t="str">
            <v>SCZGT001</v>
          </cell>
          <cell r="D1345" t="str">
            <v>C02</v>
          </cell>
        </row>
        <row r="1346">
          <cell r="A1346" t="str">
            <v>SCZI0100</v>
          </cell>
          <cell r="D1346" t="str">
            <v>C02</v>
          </cell>
        </row>
        <row r="1347">
          <cell r="A1347" t="str">
            <v>SCZI0110</v>
          </cell>
          <cell r="D1347" t="str">
            <v>C02</v>
          </cell>
        </row>
        <row r="1348">
          <cell r="A1348" t="str">
            <v>SCZI0120</v>
          </cell>
          <cell r="D1348" t="str">
            <v>C02</v>
          </cell>
        </row>
        <row r="1349">
          <cell r="A1349" t="str">
            <v>SCZJJ850</v>
          </cell>
          <cell r="D1349" t="str">
            <v>C02</v>
          </cell>
        </row>
        <row r="1350">
          <cell r="A1350" t="str">
            <v>SCZPN305</v>
          </cell>
          <cell r="D1350" t="str">
            <v>C02</v>
          </cell>
        </row>
        <row r="1351">
          <cell r="A1351" t="str">
            <v>SCZPN306</v>
          </cell>
          <cell r="D1351" t="str">
            <v>C02</v>
          </cell>
        </row>
        <row r="1352">
          <cell r="A1352" t="str">
            <v>UAB50030</v>
          </cell>
          <cell r="D1352" t="str">
            <v>C02</v>
          </cell>
        </row>
        <row r="1353">
          <cell r="A1353" t="str">
            <v>UAB60116</v>
          </cell>
          <cell r="D1353" t="str">
            <v>C02</v>
          </cell>
        </row>
        <row r="1354">
          <cell r="A1354" t="str">
            <v>UAB60118</v>
          </cell>
          <cell r="D1354" t="str">
            <v>C02</v>
          </cell>
        </row>
        <row r="1355">
          <cell r="A1355" t="str">
            <v>UAB60216</v>
          </cell>
          <cell r="D1355" t="str">
            <v>C02</v>
          </cell>
        </row>
        <row r="1356">
          <cell r="A1356" t="str">
            <v>UAB60218</v>
          </cell>
          <cell r="D1356" t="str">
            <v>C02</v>
          </cell>
        </row>
        <row r="1357">
          <cell r="A1357" t="str">
            <v>UAB60318</v>
          </cell>
          <cell r="D1357" t="str">
            <v>C02</v>
          </cell>
        </row>
        <row r="1358">
          <cell r="A1358" t="str">
            <v>UAB80105</v>
          </cell>
          <cell r="D1358" t="str">
            <v>C02</v>
          </cell>
        </row>
        <row r="1359">
          <cell r="A1359" t="str">
            <v>UAB80115</v>
          </cell>
          <cell r="D1359" t="str">
            <v>C02</v>
          </cell>
        </row>
        <row r="1360">
          <cell r="A1360" t="str">
            <v>UAB80200</v>
          </cell>
          <cell r="D1360" t="str">
            <v>C02</v>
          </cell>
        </row>
        <row r="1361">
          <cell r="A1361" t="str">
            <v>UAB80205</v>
          </cell>
          <cell r="D1361" t="str">
            <v>C02</v>
          </cell>
        </row>
        <row r="1362">
          <cell r="A1362" t="str">
            <v>UAB80305</v>
          </cell>
          <cell r="D1362" t="str">
            <v>C02</v>
          </cell>
        </row>
        <row r="1363">
          <cell r="A1363" t="str">
            <v>UAB80330</v>
          </cell>
          <cell r="D1363" t="str">
            <v>C02</v>
          </cell>
        </row>
        <row r="1364">
          <cell r="A1364" t="str">
            <v>UAB80504</v>
          </cell>
          <cell r="D1364" t="str">
            <v>C02</v>
          </cell>
        </row>
        <row r="1365">
          <cell r="A1365" t="str">
            <v>UAB80510</v>
          </cell>
          <cell r="D1365" t="str">
            <v>C02</v>
          </cell>
        </row>
        <row r="1366">
          <cell r="A1366" t="str">
            <v>UAB80520</v>
          </cell>
          <cell r="D1366" t="str">
            <v>C02</v>
          </cell>
        </row>
        <row r="1367">
          <cell r="A1367" t="str">
            <v>UAD10505</v>
          </cell>
          <cell r="D1367" t="str">
            <v>C02</v>
          </cell>
        </row>
        <row r="1368">
          <cell r="A1368" t="str">
            <v>UCA40010</v>
          </cell>
          <cell r="D1368" t="str">
            <v>C02</v>
          </cell>
        </row>
        <row r="1369">
          <cell r="A1369" t="str">
            <v>UCE42115</v>
          </cell>
          <cell r="D1369" t="str">
            <v>C02</v>
          </cell>
        </row>
        <row r="1370">
          <cell r="A1370" t="str">
            <v>UCL04324</v>
          </cell>
          <cell r="D1370" t="str">
            <v>C02</v>
          </cell>
        </row>
        <row r="1371">
          <cell r="A1371" t="str">
            <v>UCL12103</v>
          </cell>
          <cell r="D1371" t="str">
            <v>C02</v>
          </cell>
        </row>
        <row r="1372">
          <cell r="A1372" t="str">
            <v>UCP14255</v>
          </cell>
          <cell r="D1372" t="str">
            <v>C02</v>
          </cell>
        </row>
        <row r="1373">
          <cell r="A1373" t="str">
            <v>UCP28150</v>
          </cell>
          <cell r="D1373" t="str">
            <v>C02</v>
          </cell>
        </row>
        <row r="1374">
          <cell r="A1374" t="str">
            <v>UCP28620</v>
          </cell>
          <cell r="D1374" t="str">
            <v>C02</v>
          </cell>
        </row>
        <row r="1375">
          <cell r="A1375" t="str">
            <v>UCP28910</v>
          </cell>
          <cell r="D1375" t="str">
            <v>C02</v>
          </cell>
        </row>
        <row r="1376">
          <cell r="A1376" t="str">
            <v>UCZ11020</v>
          </cell>
          <cell r="D1376" t="str">
            <v>C02</v>
          </cell>
        </row>
        <row r="1377">
          <cell r="A1377" t="str">
            <v>UCZ12010</v>
          </cell>
          <cell r="D1377" t="str">
            <v>C02</v>
          </cell>
        </row>
        <row r="1378">
          <cell r="A1378" t="str">
            <v>UCZ12020</v>
          </cell>
          <cell r="D1378" t="str">
            <v>C02</v>
          </cell>
        </row>
        <row r="1379">
          <cell r="A1379" t="str">
            <v>UCZ12060</v>
          </cell>
          <cell r="D1379" t="str">
            <v>C02</v>
          </cell>
        </row>
        <row r="1380">
          <cell r="A1380" t="str">
            <v>UCZ12070</v>
          </cell>
          <cell r="D1380" t="str">
            <v>C02</v>
          </cell>
        </row>
        <row r="1381">
          <cell r="A1381" t="str">
            <v>UCZ16010</v>
          </cell>
          <cell r="D1381" t="str">
            <v>C02</v>
          </cell>
        </row>
        <row r="1382">
          <cell r="A1382" t="str">
            <v>UCZ16020</v>
          </cell>
          <cell r="D1382" t="str">
            <v>C02</v>
          </cell>
        </row>
        <row r="1383">
          <cell r="A1383" t="str">
            <v>UCZ16030</v>
          </cell>
          <cell r="D1383" t="str">
            <v>C02</v>
          </cell>
        </row>
        <row r="1384">
          <cell r="A1384" t="str">
            <v>UMC15106</v>
          </cell>
          <cell r="D1384" t="str">
            <v>C02</v>
          </cell>
        </row>
        <row r="1385">
          <cell r="A1385" t="str">
            <v>UMC15109</v>
          </cell>
          <cell r="D1385" t="str">
            <v>C02</v>
          </cell>
        </row>
        <row r="1386">
          <cell r="A1386" t="str">
            <v>UMC15110</v>
          </cell>
          <cell r="D1386" t="str">
            <v>C02</v>
          </cell>
        </row>
        <row r="1387">
          <cell r="A1387" t="str">
            <v>UMC15112</v>
          </cell>
          <cell r="D1387" t="str">
            <v>C02</v>
          </cell>
        </row>
        <row r="1388">
          <cell r="A1388" t="str">
            <v>UMC15114</v>
          </cell>
          <cell r="D1388" t="str">
            <v>C02</v>
          </cell>
        </row>
        <row r="1389">
          <cell r="A1389" t="str">
            <v>UMC15115</v>
          </cell>
          <cell r="D1389" t="str">
            <v>C02</v>
          </cell>
        </row>
        <row r="1390">
          <cell r="A1390" t="str">
            <v>UMC28606</v>
          </cell>
          <cell r="D1390" t="str">
            <v>C02</v>
          </cell>
        </row>
        <row r="1391">
          <cell r="A1391" t="str">
            <v>UMC90426</v>
          </cell>
          <cell r="D1391" t="str">
            <v>C02</v>
          </cell>
        </row>
        <row r="1392">
          <cell r="A1392" t="str">
            <v>UMC90430</v>
          </cell>
          <cell r="D1392" t="str">
            <v>C02</v>
          </cell>
        </row>
        <row r="1393">
          <cell r="A1393" t="str">
            <v>UMC90432</v>
          </cell>
          <cell r="D1393" t="str">
            <v>C02</v>
          </cell>
        </row>
        <row r="1394">
          <cell r="A1394" t="str">
            <v>UMC90434</v>
          </cell>
          <cell r="D1394" t="str">
            <v>C02</v>
          </cell>
        </row>
        <row r="1395">
          <cell r="A1395" t="str">
            <v>UMC90435</v>
          </cell>
          <cell r="D1395" t="str">
            <v>C02</v>
          </cell>
        </row>
        <row r="1396">
          <cell r="A1396" t="str">
            <v>MGF11251</v>
          </cell>
          <cell r="D1396" t="str">
            <v>M01</v>
          </cell>
        </row>
        <row r="1397">
          <cell r="A1397" t="str">
            <v>MGF11543</v>
          </cell>
          <cell r="D1397" t="str">
            <v>M01</v>
          </cell>
        </row>
        <row r="1398">
          <cell r="A1398" t="str">
            <v>MGF11544</v>
          </cell>
          <cell r="D1398" t="str">
            <v>M01</v>
          </cell>
        </row>
        <row r="1399">
          <cell r="A1399" t="str">
            <v>MGF11546</v>
          </cell>
          <cell r="D1399" t="str">
            <v>M01</v>
          </cell>
        </row>
        <row r="1400">
          <cell r="A1400" t="str">
            <v>MGF11547</v>
          </cell>
          <cell r="D1400" t="str">
            <v>M01</v>
          </cell>
        </row>
        <row r="1401">
          <cell r="A1401" t="str">
            <v>MGF11548</v>
          </cell>
          <cell r="D1401" t="str">
            <v>M01</v>
          </cell>
        </row>
        <row r="1402">
          <cell r="A1402" t="str">
            <v>MGF30505</v>
          </cell>
          <cell r="D1402" t="str">
            <v>M01</v>
          </cell>
        </row>
        <row r="1403">
          <cell r="A1403" t="str">
            <v>MMB18133</v>
          </cell>
          <cell r="D1403" t="str">
            <v>M01</v>
          </cell>
        </row>
        <row r="1404">
          <cell r="A1404" t="str">
            <v>MMB18134</v>
          </cell>
          <cell r="D1404" t="str">
            <v>M01</v>
          </cell>
        </row>
        <row r="1405">
          <cell r="A1405" t="str">
            <v>MMB33011</v>
          </cell>
          <cell r="D1405" t="str">
            <v>M01</v>
          </cell>
        </row>
        <row r="1406">
          <cell r="A1406" t="str">
            <v>MMB33012</v>
          </cell>
          <cell r="D1406" t="str">
            <v>M01</v>
          </cell>
        </row>
        <row r="1407">
          <cell r="A1407" t="str">
            <v>MMB33031</v>
          </cell>
          <cell r="D1407" t="str">
            <v>M01</v>
          </cell>
        </row>
        <row r="1408">
          <cell r="A1408" t="str">
            <v>MMB33032</v>
          </cell>
          <cell r="D1408" t="str">
            <v>M01</v>
          </cell>
        </row>
        <row r="1409">
          <cell r="A1409" t="str">
            <v>MMB33051</v>
          </cell>
          <cell r="D1409" t="str">
            <v>M01</v>
          </cell>
        </row>
        <row r="1410">
          <cell r="A1410" t="str">
            <v>MMB33052</v>
          </cell>
          <cell r="D1410" t="str">
            <v>M01</v>
          </cell>
        </row>
        <row r="1411">
          <cell r="A1411" t="str">
            <v>MMB33071</v>
          </cell>
          <cell r="D1411" t="str">
            <v>M01</v>
          </cell>
        </row>
        <row r="1412">
          <cell r="A1412" t="str">
            <v>MMB35001</v>
          </cell>
          <cell r="D1412" t="str">
            <v>M01</v>
          </cell>
        </row>
        <row r="1413">
          <cell r="A1413" t="str">
            <v>MMB35003</v>
          </cell>
          <cell r="D1413" t="str">
            <v>M01</v>
          </cell>
        </row>
        <row r="1414">
          <cell r="A1414" t="str">
            <v>MMB35005</v>
          </cell>
          <cell r="D1414" t="str">
            <v>M01</v>
          </cell>
        </row>
        <row r="1415">
          <cell r="A1415" t="str">
            <v>MMB35007</v>
          </cell>
          <cell r="D1415" t="str">
            <v>M01</v>
          </cell>
        </row>
        <row r="1416">
          <cell r="A1416" t="str">
            <v>MMB35009</v>
          </cell>
          <cell r="D1416" t="str">
            <v>M01</v>
          </cell>
        </row>
        <row r="1417">
          <cell r="A1417" t="str">
            <v>MMB35011</v>
          </cell>
          <cell r="D1417" t="str">
            <v>M01</v>
          </cell>
        </row>
        <row r="1418">
          <cell r="A1418" t="str">
            <v>MMB35021</v>
          </cell>
          <cell r="D1418" t="str">
            <v>M01</v>
          </cell>
        </row>
        <row r="1419">
          <cell r="A1419" t="str">
            <v>MMB35023</v>
          </cell>
          <cell r="D1419" t="str">
            <v>M01</v>
          </cell>
        </row>
        <row r="1420">
          <cell r="A1420" t="str">
            <v>MMB35025</v>
          </cell>
          <cell r="D1420" t="str">
            <v>M01</v>
          </cell>
        </row>
        <row r="1421">
          <cell r="A1421" t="str">
            <v>MMB35027</v>
          </cell>
          <cell r="D1421" t="str">
            <v>M01</v>
          </cell>
        </row>
        <row r="1422">
          <cell r="A1422" t="str">
            <v>MMB35029</v>
          </cell>
          <cell r="D1422" t="str">
            <v>M01</v>
          </cell>
        </row>
        <row r="1423">
          <cell r="A1423" t="str">
            <v>MMB35031</v>
          </cell>
          <cell r="D1423" t="str">
            <v>M01</v>
          </cell>
        </row>
        <row r="1424">
          <cell r="A1424" t="str">
            <v>MMB35043</v>
          </cell>
          <cell r="D1424" t="str">
            <v>M01</v>
          </cell>
        </row>
        <row r="1425">
          <cell r="A1425" t="str">
            <v>MMB35045</v>
          </cell>
          <cell r="D1425" t="str">
            <v>M01</v>
          </cell>
        </row>
        <row r="1426">
          <cell r="A1426" t="str">
            <v>MMB35047</v>
          </cell>
          <cell r="D1426" t="str">
            <v>M01</v>
          </cell>
        </row>
        <row r="1427">
          <cell r="A1427" t="str">
            <v>MMB35053</v>
          </cell>
          <cell r="D1427" t="str">
            <v>M01</v>
          </cell>
        </row>
        <row r="1428">
          <cell r="A1428" t="str">
            <v>MMB35055</v>
          </cell>
          <cell r="D1428" t="str">
            <v>M01</v>
          </cell>
        </row>
        <row r="1429">
          <cell r="A1429" t="str">
            <v>MMB35081</v>
          </cell>
          <cell r="D1429" t="str">
            <v>M01</v>
          </cell>
        </row>
        <row r="1430">
          <cell r="A1430" t="str">
            <v>MMB35082</v>
          </cell>
          <cell r="D1430" t="str">
            <v>M01</v>
          </cell>
        </row>
        <row r="1431">
          <cell r="A1431" t="str">
            <v>MMB35091</v>
          </cell>
          <cell r="D1431" t="str">
            <v>M01</v>
          </cell>
        </row>
        <row r="1432">
          <cell r="A1432" t="str">
            <v>MMB35095</v>
          </cell>
          <cell r="D1432" t="str">
            <v>M01</v>
          </cell>
        </row>
        <row r="1433">
          <cell r="A1433" t="str">
            <v>MMB35097</v>
          </cell>
          <cell r="D1433" t="str">
            <v>M01</v>
          </cell>
        </row>
        <row r="1434">
          <cell r="A1434" t="str">
            <v>MMB35105</v>
          </cell>
          <cell r="D1434" t="str">
            <v>M01</v>
          </cell>
        </row>
        <row r="1435">
          <cell r="A1435" t="str">
            <v>MMB35109</v>
          </cell>
          <cell r="D1435" t="str">
            <v>M01</v>
          </cell>
        </row>
        <row r="1436">
          <cell r="A1436" t="str">
            <v>MMB35151</v>
          </cell>
          <cell r="D1436" t="str">
            <v>M01</v>
          </cell>
        </row>
        <row r="1437">
          <cell r="A1437" t="str">
            <v>MMB35153</v>
          </cell>
          <cell r="D1437" t="str">
            <v>M01</v>
          </cell>
        </row>
        <row r="1438">
          <cell r="A1438" t="str">
            <v>MMB35155</v>
          </cell>
          <cell r="D1438" t="str">
            <v>M01</v>
          </cell>
        </row>
        <row r="1439">
          <cell r="A1439" t="str">
            <v>MMB35157</v>
          </cell>
          <cell r="D1439" t="str">
            <v>M01</v>
          </cell>
        </row>
        <row r="1440">
          <cell r="A1440" t="str">
            <v>MMB35159</v>
          </cell>
          <cell r="D1440" t="str">
            <v>M01</v>
          </cell>
        </row>
        <row r="1441">
          <cell r="A1441" t="str">
            <v>MMB35161</v>
          </cell>
          <cell r="D1441" t="str">
            <v>M01</v>
          </cell>
        </row>
        <row r="1442">
          <cell r="A1442" t="str">
            <v>MMB35191</v>
          </cell>
          <cell r="D1442" t="str">
            <v>M01</v>
          </cell>
        </row>
        <row r="1443">
          <cell r="A1443" t="str">
            <v>MMB35193</v>
          </cell>
          <cell r="D1443" t="str">
            <v>M01</v>
          </cell>
        </row>
        <row r="1444">
          <cell r="A1444" t="str">
            <v>MMB35195</v>
          </cell>
          <cell r="D1444" t="str">
            <v>M01</v>
          </cell>
        </row>
        <row r="1445">
          <cell r="A1445" t="str">
            <v>MMB35197</v>
          </cell>
          <cell r="D1445" t="str">
            <v>M01</v>
          </cell>
        </row>
        <row r="1446">
          <cell r="A1446" t="str">
            <v>MMB35205</v>
          </cell>
          <cell r="D1446" t="str">
            <v>M01</v>
          </cell>
        </row>
        <row r="1447">
          <cell r="A1447" t="str">
            <v>MMB35209</v>
          </cell>
          <cell r="D1447" t="str">
            <v>M01</v>
          </cell>
        </row>
        <row r="1448">
          <cell r="A1448" t="str">
            <v>MMB35225</v>
          </cell>
          <cell r="D1448" t="str">
            <v>M01</v>
          </cell>
        </row>
        <row r="1449">
          <cell r="A1449" t="str">
            <v>MMB35282</v>
          </cell>
          <cell r="D1449" t="str">
            <v>M01</v>
          </cell>
        </row>
        <row r="1450">
          <cell r="A1450" t="str">
            <v>MMB35305</v>
          </cell>
          <cell r="D1450" t="str">
            <v>M01</v>
          </cell>
        </row>
        <row r="1451">
          <cell r="A1451" t="str">
            <v>MMB35315</v>
          </cell>
          <cell r="D1451" t="str">
            <v>M01</v>
          </cell>
        </row>
        <row r="1452">
          <cell r="A1452" t="str">
            <v>MMB35360</v>
          </cell>
          <cell r="D1452" t="str">
            <v>M01</v>
          </cell>
        </row>
        <row r="1453">
          <cell r="A1453" t="str">
            <v>MMB35361</v>
          </cell>
          <cell r="D1453" t="str">
            <v>M01</v>
          </cell>
        </row>
        <row r="1454">
          <cell r="A1454" t="str">
            <v>MMB35364</v>
          </cell>
          <cell r="D1454" t="str">
            <v>M01</v>
          </cell>
        </row>
        <row r="1455">
          <cell r="A1455" t="str">
            <v>MMB35372</v>
          </cell>
          <cell r="D1455" t="str">
            <v>M01</v>
          </cell>
        </row>
        <row r="1456">
          <cell r="A1456" t="str">
            <v>MMB35411</v>
          </cell>
          <cell r="D1456" t="str">
            <v>M01</v>
          </cell>
        </row>
        <row r="1457">
          <cell r="A1457" t="str">
            <v>MMB35418</v>
          </cell>
          <cell r="D1457" t="str">
            <v>M01</v>
          </cell>
        </row>
        <row r="1458">
          <cell r="A1458" t="str">
            <v>MMB35420</v>
          </cell>
          <cell r="D1458" t="str">
            <v>M01</v>
          </cell>
        </row>
        <row r="1459">
          <cell r="A1459" t="str">
            <v>MMC40224</v>
          </cell>
          <cell r="D1459" t="str">
            <v>M01</v>
          </cell>
        </row>
        <row r="1460">
          <cell r="A1460" t="str">
            <v>MMC40230</v>
          </cell>
          <cell r="D1460" t="str">
            <v>M01</v>
          </cell>
        </row>
        <row r="1461">
          <cell r="A1461" t="str">
            <v>MMC40422</v>
          </cell>
          <cell r="D1461" t="str">
            <v>M01</v>
          </cell>
        </row>
        <row r="1462">
          <cell r="A1462" t="str">
            <v>MMC40511</v>
          </cell>
          <cell r="D1462" t="str">
            <v>M01</v>
          </cell>
        </row>
        <row r="1463">
          <cell r="A1463" t="str">
            <v>MMC40512</v>
          </cell>
          <cell r="D1463" t="str">
            <v>M01</v>
          </cell>
        </row>
        <row r="1464">
          <cell r="A1464" t="str">
            <v>MMC40521</v>
          </cell>
          <cell r="D1464" t="str">
            <v>M01</v>
          </cell>
        </row>
        <row r="1465">
          <cell r="A1465" t="str">
            <v>MMC40522</v>
          </cell>
          <cell r="D1465" t="str">
            <v>M01</v>
          </cell>
        </row>
        <row r="1466">
          <cell r="A1466" t="str">
            <v>MMC40526</v>
          </cell>
          <cell r="D1466" t="str">
            <v>M01</v>
          </cell>
        </row>
        <row r="1467">
          <cell r="A1467" t="str">
            <v>MMC40527</v>
          </cell>
          <cell r="D1467" t="str">
            <v>M01</v>
          </cell>
        </row>
        <row r="1468">
          <cell r="A1468" t="str">
            <v>MMC40531</v>
          </cell>
          <cell r="D1468" t="str">
            <v>M01</v>
          </cell>
        </row>
        <row r="1469">
          <cell r="A1469" t="str">
            <v>MMC40532</v>
          </cell>
          <cell r="D1469" t="str">
            <v>M01</v>
          </cell>
        </row>
        <row r="1470">
          <cell r="A1470" t="str">
            <v>MMC40538</v>
          </cell>
          <cell r="D1470" t="str">
            <v>M01</v>
          </cell>
        </row>
        <row r="1471">
          <cell r="A1471" t="str">
            <v>MMO10505</v>
          </cell>
          <cell r="D1471" t="str">
            <v>M01</v>
          </cell>
        </row>
        <row r="1472">
          <cell r="A1472" t="str">
            <v>MMO10507</v>
          </cell>
          <cell r="D1472" t="str">
            <v>M01</v>
          </cell>
        </row>
        <row r="1473">
          <cell r="A1473" t="str">
            <v>MMO10508</v>
          </cell>
          <cell r="D1473" t="str">
            <v>M01</v>
          </cell>
        </row>
        <row r="1474">
          <cell r="A1474" t="str">
            <v>MMO10510</v>
          </cell>
          <cell r="D1474" t="str">
            <v>M01</v>
          </cell>
        </row>
        <row r="1475">
          <cell r="A1475" t="str">
            <v>MMO10512</v>
          </cell>
          <cell r="D1475" t="str">
            <v>M01</v>
          </cell>
        </row>
        <row r="1476">
          <cell r="A1476" t="str">
            <v>MMO10513</v>
          </cell>
          <cell r="D1476" t="str">
            <v>M01</v>
          </cell>
        </row>
        <row r="1477">
          <cell r="A1477" t="str">
            <v>MMO25007</v>
          </cell>
          <cell r="D1477" t="str">
            <v>M01</v>
          </cell>
        </row>
        <row r="1478">
          <cell r="A1478" t="str">
            <v>MMO25008</v>
          </cell>
          <cell r="D1478" t="str">
            <v>M01</v>
          </cell>
        </row>
        <row r="1479">
          <cell r="A1479" t="str">
            <v>MMO25028</v>
          </cell>
          <cell r="D1479" t="str">
            <v>M01</v>
          </cell>
        </row>
        <row r="1480">
          <cell r="A1480" t="str">
            <v>MMO25030</v>
          </cell>
          <cell r="D1480" t="str">
            <v>M01</v>
          </cell>
        </row>
        <row r="1481">
          <cell r="A1481" t="str">
            <v>MMO25032</v>
          </cell>
          <cell r="D1481" t="str">
            <v>M01</v>
          </cell>
        </row>
        <row r="1482">
          <cell r="A1482" t="str">
            <v>MMO25134</v>
          </cell>
          <cell r="D1482" t="str">
            <v>M01</v>
          </cell>
        </row>
        <row r="1483">
          <cell r="A1483" t="str">
            <v>MMO25135</v>
          </cell>
          <cell r="D1483" t="str">
            <v>M01</v>
          </cell>
        </row>
        <row r="1484">
          <cell r="A1484" t="str">
            <v>MMO25136</v>
          </cell>
          <cell r="D1484" t="str">
            <v>M01</v>
          </cell>
        </row>
        <row r="1485">
          <cell r="A1485" t="str">
            <v>MMO25137</v>
          </cell>
          <cell r="D1485" t="str">
            <v>M01</v>
          </cell>
        </row>
        <row r="1486">
          <cell r="A1486" t="str">
            <v>MMO31211</v>
          </cell>
          <cell r="D1486" t="str">
            <v>M01</v>
          </cell>
        </row>
        <row r="1487">
          <cell r="A1487" t="str">
            <v>MMO31917</v>
          </cell>
          <cell r="D1487" t="str">
            <v>M01</v>
          </cell>
        </row>
        <row r="1488">
          <cell r="A1488" t="str">
            <v>MMO31918</v>
          </cell>
          <cell r="D1488" t="str">
            <v>M01</v>
          </cell>
        </row>
        <row r="1489">
          <cell r="A1489" t="str">
            <v>MMO31921</v>
          </cell>
          <cell r="D1489" t="str">
            <v>M01</v>
          </cell>
        </row>
        <row r="1490">
          <cell r="A1490" t="str">
            <v>MMO53104</v>
          </cell>
          <cell r="D1490" t="str">
            <v>M01</v>
          </cell>
        </row>
        <row r="1491">
          <cell r="A1491" t="str">
            <v>MMO53105</v>
          </cell>
          <cell r="D1491" t="str">
            <v>M01</v>
          </cell>
        </row>
        <row r="1492">
          <cell r="A1492" t="str">
            <v>MMO53106</v>
          </cell>
          <cell r="D1492" t="str">
            <v>M01</v>
          </cell>
        </row>
        <row r="1493">
          <cell r="A1493" t="str">
            <v>MMO53124</v>
          </cell>
          <cell r="D1493" t="str">
            <v>M01</v>
          </cell>
        </row>
        <row r="1494">
          <cell r="A1494" t="str">
            <v>MMZ52110</v>
          </cell>
          <cell r="D1494" t="str">
            <v>M01</v>
          </cell>
        </row>
        <row r="1495">
          <cell r="A1495" t="str">
            <v>MMZ52112</v>
          </cell>
          <cell r="D1495" t="str">
            <v>M01</v>
          </cell>
        </row>
        <row r="1496">
          <cell r="A1496" t="str">
            <v>UAA20710</v>
          </cell>
          <cell r="D1496" t="str">
            <v>M01</v>
          </cell>
        </row>
        <row r="1497">
          <cell r="A1497" t="str">
            <v>UEA04010</v>
          </cell>
          <cell r="D1497" t="str">
            <v>M01</v>
          </cell>
        </row>
        <row r="1498">
          <cell r="A1498" t="str">
            <v>UEA04020</v>
          </cell>
          <cell r="D1498" t="str">
            <v>M01</v>
          </cell>
        </row>
        <row r="1499">
          <cell r="A1499" t="str">
            <v>UEA04030</v>
          </cell>
          <cell r="D1499" t="str">
            <v>M01</v>
          </cell>
        </row>
        <row r="1500">
          <cell r="A1500" t="str">
            <v>UMA45001</v>
          </cell>
          <cell r="D1500" t="str">
            <v>M01</v>
          </cell>
        </row>
        <row r="1501">
          <cell r="A1501" t="str">
            <v>UMA45003</v>
          </cell>
          <cell r="D1501" t="str">
            <v>M01</v>
          </cell>
        </row>
        <row r="1502">
          <cell r="A1502" t="str">
            <v>UMA45005</v>
          </cell>
          <cell r="D1502" t="str">
            <v>M01</v>
          </cell>
        </row>
        <row r="1503">
          <cell r="A1503" t="str">
            <v>UMA45007</v>
          </cell>
          <cell r="D1503" t="str">
            <v>M01</v>
          </cell>
        </row>
        <row r="1504">
          <cell r="A1504" t="str">
            <v>UMA45009</v>
          </cell>
          <cell r="D1504" t="str">
            <v>M01</v>
          </cell>
        </row>
        <row r="1505">
          <cell r="A1505" t="str">
            <v>UMA45011</v>
          </cell>
          <cell r="D1505" t="str">
            <v>M01</v>
          </cell>
        </row>
        <row r="1506">
          <cell r="A1506" t="str">
            <v>UMA47114</v>
          </cell>
          <cell r="D1506" t="str">
            <v>M01</v>
          </cell>
        </row>
        <row r="1507">
          <cell r="A1507" t="str">
            <v>UMA47117</v>
          </cell>
          <cell r="D1507" t="str">
            <v>M01</v>
          </cell>
        </row>
        <row r="1508">
          <cell r="A1508" t="str">
            <v>UMB35115</v>
          </cell>
          <cell r="D1508" t="str">
            <v>M01</v>
          </cell>
        </row>
        <row r="1509">
          <cell r="A1509" t="str">
            <v>UMB35120</v>
          </cell>
          <cell r="D1509" t="str">
            <v>M01</v>
          </cell>
        </row>
        <row r="1510">
          <cell r="A1510" t="str">
            <v>UMC38613</v>
          </cell>
          <cell r="D1510" t="str">
            <v>M01</v>
          </cell>
        </row>
        <row r="1511">
          <cell r="A1511" t="str">
            <v>UMC38615</v>
          </cell>
          <cell r="D1511" t="str">
            <v>M01</v>
          </cell>
        </row>
        <row r="1512">
          <cell r="A1512" t="str">
            <v>UMC38617</v>
          </cell>
          <cell r="D1512" t="str">
            <v>M01</v>
          </cell>
        </row>
        <row r="1513">
          <cell r="A1513" t="str">
            <v>UMC90308</v>
          </cell>
          <cell r="D1513" t="str">
            <v>M01</v>
          </cell>
        </row>
        <row r="1514">
          <cell r="A1514" t="str">
            <v>UMD10415</v>
          </cell>
          <cell r="D1514" t="str">
            <v>M01</v>
          </cell>
        </row>
        <row r="1515">
          <cell r="A1515" t="str">
            <v>UMD10417</v>
          </cell>
          <cell r="D1515" t="str">
            <v>M01</v>
          </cell>
        </row>
        <row r="1516">
          <cell r="A1516" t="str">
            <v>UMD10815</v>
          </cell>
          <cell r="D1516" t="str">
            <v>M01</v>
          </cell>
        </row>
        <row r="1517">
          <cell r="A1517" t="str">
            <v>UMD22375</v>
          </cell>
          <cell r="D1517" t="str">
            <v>M01</v>
          </cell>
        </row>
        <row r="1518">
          <cell r="A1518" t="str">
            <v>UMD22813</v>
          </cell>
          <cell r="D1518" t="str">
            <v>M01</v>
          </cell>
        </row>
        <row r="1519">
          <cell r="A1519" t="str">
            <v>UMD25555</v>
          </cell>
          <cell r="D1519" t="str">
            <v>M01</v>
          </cell>
        </row>
        <row r="1520">
          <cell r="A1520" t="str">
            <v>UMD25557</v>
          </cell>
          <cell r="D1520" t="str">
            <v>M01</v>
          </cell>
        </row>
        <row r="1521">
          <cell r="A1521" t="str">
            <v>UMD46405</v>
          </cell>
          <cell r="D1521" t="str">
            <v>M01</v>
          </cell>
        </row>
        <row r="1522">
          <cell r="A1522" t="str">
            <v>UMD46407</v>
          </cell>
          <cell r="D1522" t="str">
            <v>M01</v>
          </cell>
        </row>
        <row r="1523">
          <cell r="A1523" t="str">
            <v>UMD46408</v>
          </cell>
          <cell r="D1523" t="str">
            <v>M01</v>
          </cell>
        </row>
        <row r="1524">
          <cell r="A1524" t="str">
            <v>UMD46441</v>
          </cell>
          <cell r="D1524" t="str">
            <v>M01</v>
          </cell>
        </row>
        <row r="1525">
          <cell r="A1525" t="str">
            <v>UMD46442</v>
          </cell>
          <cell r="D1525" t="str">
            <v>M01</v>
          </cell>
        </row>
        <row r="1526">
          <cell r="A1526" t="str">
            <v>UMD49206</v>
          </cell>
          <cell r="D1526" t="str">
            <v>M01</v>
          </cell>
        </row>
        <row r="1527">
          <cell r="A1527" t="str">
            <v>UMD52115</v>
          </cell>
          <cell r="D1527" t="str">
            <v>M01</v>
          </cell>
        </row>
        <row r="1528">
          <cell r="A1528" t="str">
            <v>UMD52116</v>
          </cell>
          <cell r="D1528" t="str">
            <v>M01</v>
          </cell>
        </row>
        <row r="1529">
          <cell r="A1529" t="str">
            <v>UME13215</v>
          </cell>
          <cell r="D1529" t="str">
            <v>M01</v>
          </cell>
        </row>
        <row r="1530">
          <cell r="A1530" t="str">
            <v>UME13415</v>
          </cell>
          <cell r="D1530" t="str">
            <v>M01</v>
          </cell>
        </row>
        <row r="1531">
          <cell r="A1531" t="str">
            <v>UME13417</v>
          </cell>
          <cell r="D1531" t="str">
            <v>M01</v>
          </cell>
        </row>
        <row r="1532">
          <cell r="A1532" t="str">
            <v>UME27907</v>
          </cell>
          <cell r="D1532" t="str">
            <v>M01</v>
          </cell>
        </row>
        <row r="1533">
          <cell r="A1533" t="str">
            <v>UME39115</v>
          </cell>
          <cell r="D1533" t="str">
            <v>M01</v>
          </cell>
        </row>
        <row r="1534">
          <cell r="A1534" t="str">
            <v>UME39135</v>
          </cell>
          <cell r="D1534" t="str">
            <v>M01</v>
          </cell>
        </row>
        <row r="1535">
          <cell r="A1535" t="str">
            <v>UME39137</v>
          </cell>
          <cell r="D1535" t="str">
            <v>M01</v>
          </cell>
        </row>
        <row r="1536">
          <cell r="A1536" t="str">
            <v>UME40443</v>
          </cell>
          <cell r="D1536" t="str">
            <v>M01</v>
          </cell>
        </row>
        <row r="1537">
          <cell r="A1537" t="str">
            <v>UME40445</v>
          </cell>
          <cell r="D1537" t="str">
            <v>M01</v>
          </cell>
        </row>
        <row r="1538">
          <cell r="A1538" t="str">
            <v>UME40447</v>
          </cell>
          <cell r="D1538" t="str">
            <v>M01</v>
          </cell>
        </row>
        <row r="1539">
          <cell r="A1539" t="str">
            <v>UME54210</v>
          </cell>
          <cell r="D1539" t="str">
            <v>M01</v>
          </cell>
        </row>
        <row r="1540">
          <cell r="A1540" t="str">
            <v>UME54212</v>
          </cell>
          <cell r="D1540" t="str">
            <v>M01</v>
          </cell>
        </row>
        <row r="1541">
          <cell r="A1541" t="str">
            <v>UME56212</v>
          </cell>
          <cell r="D1541" t="str">
            <v>M01</v>
          </cell>
        </row>
        <row r="1542">
          <cell r="A1542" t="str">
            <v>UME56413</v>
          </cell>
          <cell r="D1542" t="str">
            <v>M01</v>
          </cell>
        </row>
        <row r="1543">
          <cell r="A1543" t="str">
            <v>UME80915</v>
          </cell>
          <cell r="D1543" t="str">
            <v>M01</v>
          </cell>
        </row>
        <row r="1544">
          <cell r="A1544" t="str">
            <v>UME80917</v>
          </cell>
          <cell r="D1544" t="str">
            <v>M01</v>
          </cell>
        </row>
        <row r="1545">
          <cell r="A1545" t="str">
            <v>UMG40300</v>
          </cell>
          <cell r="D1545" t="str">
            <v>M01</v>
          </cell>
        </row>
        <row r="1546">
          <cell r="A1546" t="str">
            <v>UMI20665</v>
          </cell>
          <cell r="D1546" t="str">
            <v>M01</v>
          </cell>
        </row>
        <row r="1547">
          <cell r="A1547" t="str">
            <v>UMK32650</v>
          </cell>
          <cell r="D1547" t="str">
            <v>M01</v>
          </cell>
        </row>
        <row r="1548">
          <cell r="A1548" t="str">
            <v>UMK52101</v>
          </cell>
          <cell r="D1548" t="str">
            <v>M01</v>
          </cell>
        </row>
        <row r="1549">
          <cell r="A1549" t="str">
            <v>UMK52300</v>
          </cell>
          <cell r="D1549" t="str">
            <v>M01</v>
          </cell>
        </row>
        <row r="1550">
          <cell r="A1550" t="str">
            <v>UMK52315</v>
          </cell>
          <cell r="D1550" t="str">
            <v>M01</v>
          </cell>
        </row>
        <row r="1551">
          <cell r="A1551" t="str">
            <v>UMN30157</v>
          </cell>
          <cell r="D1551" t="str">
            <v>M01</v>
          </cell>
        </row>
        <row r="1552">
          <cell r="A1552" t="str">
            <v>UMN30158</v>
          </cell>
          <cell r="D1552" t="str">
            <v>M01</v>
          </cell>
        </row>
        <row r="1553">
          <cell r="A1553" t="str">
            <v>UMN30160</v>
          </cell>
          <cell r="D1553" t="str">
            <v>M01</v>
          </cell>
        </row>
        <row r="1554">
          <cell r="A1554" t="str">
            <v>UMN30163</v>
          </cell>
          <cell r="D1554" t="str">
            <v>M01</v>
          </cell>
        </row>
        <row r="1555">
          <cell r="A1555" t="str">
            <v>UMN34713</v>
          </cell>
          <cell r="D1555" t="str">
            <v>M01</v>
          </cell>
        </row>
        <row r="1556">
          <cell r="A1556" t="str">
            <v>UMN34715</v>
          </cell>
          <cell r="D1556" t="str">
            <v>M01</v>
          </cell>
        </row>
        <row r="1557">
          <cell r="A1557" t="str">
            <v>UMN34717</v>
          </cell>
          <cell r="D1557" t="str">
            <v>M01</v>
          </cell>
        </row>
        <row r="1558">
          <cell r="A1558" t="str">
            <v>UMN34813</v>
          </cell>
          <cell r="D1558" t="str">
            <v>M01</v>
          </cell>
        </row>
        <row r="1559">
          <cell r="A1559" t="str">
            <v>UMN34815</v>
          </cell>
          <cell r="D1559" t="str">
            <v>M01</v>
          </cell>
        </row>
        <row r="1560">
          <cell r="A1560" t="str">
            <v>UMN37131</v>
          </cell>
          <cell r="D1560" t="str">
            <v>M01</v>
          </cell>
        </row>
        <row r="1561">
          <cell r="A1561" t="str">
            <v>UMN37132</v>
          </cell>
          <cell r="D1561" t="str">
            <v>M01</v>
          </cell>
        </row>
        <row r="1562">
          <cell r="A1562" t="str">
            <v>UMN37532</v>
          </cell>
          <cell r="D1562" t="str">
            <v>M01</v>
          </cell>
        </row>
        <row r="1563">
          <cell r="A1563" t="str">
            <v>UMN37533</v>
          </cell>
          <cell r="D1563" t="str">
            <v>M01</v>
          </cell>
        </row>
        <row r="1564">
          <cell r="A1564" t="str">
            <v>UMO18856</v>
          </cell>
          <cell r="D1564" t="str">
            <v>M01</v>
          </cell>
        </row>
        <row r="1565">
          <cell r="A1565" t="str">
            <v>UMO18858</v>
          </cell>
          <cell r="D1565" t="str">
            <v>M01</v>
          </cell>
        </row>
        <row r="1566">
          <cell r="A1566" t="str">
            <v>UMO18860</v>
          </cell>
          <cell r="D1566" t="str">
            <v>M01</v>
          </cell>
        </row>
        <row r="1567">
          <cell r="A1567" t="str">
            <v>UMO21099</v>
          </cell>
          <cell r="D1567" t="str">
            <v>M01</v>
          </cell>
        </row>
        <row r="1568">
          <cell r="A1568" t="str">
            <v>UMO21100</v>
          </cell>
          <cell r="D1568" t="str">
            <v>M01</v>
          </cell>
        </row>
        <row r="1569">
          <cell r="A1569" t="str">
            <v>UMO21102</v>
          </cell>
          <cell r="D1569" t="str">
            <v>M01</v>
          </cell>
        </row>
        <row r="1570">
          <cell r="A1570" t="str">
            <v>UMO21110</v>
          </cell>
          <cell r="D1570" t="str">
            <v>M01</v>
          </cell>
        </row>
        <row r="1571">
          <cell r="A1571" t="str">
            <v>UMO21111</v>
          </cell>
          <cell r="D1571" t="str">
            <v>M01</v>
          </cell>
        </row>
        <row r="1572">
          <cell r="A1572" t="str">
            <v>UMO24212</v>
          </cell>
          <cell r="D1572" t="str">
            <v>M01</v>
          </cell>
        </row>
        <row r="1573">
          <cell r="A1573" t="str">
            <v>UMO24213</v>
          </cell>
          <cell r="D1573" t="str">
            <v>M01</v>
          </cell>
        </row>
        <row r="1574">
          <cell r="A1574" t="str">
            <v>UMO24215</v>
          </cell>
          <cell r="D1574" t="str">
            <v>M01</v>
          </cell>
        </row>
        <row r="1575">
          <cell r="A1575" t="str">
            <v>UMO24217</v>
          </cell>
          <cell r="D1575" t="str">
            <v>M01</v>
          </cell>
        </row>
        <row r="1576">
          <cell r="A1576" t="str">
            <v>UMO28921</v>
          </cell>
          <cell r="D1576" t="str">
            <v>M01</v>
          </cell>
        </row>
        <row r="1577">
          <cell r="A1577" t="str">
            <v>UMO31158</v>
          </cell>
          <cell r="D1577" t="str">
            <v>M01</v>
          </cell>
        </row>
        <row r="1578">
          <cell r="A1578" t="str">
            <v>UMO31160</v>
          </cell>
          <cell r="D1578" t="str">
            <v>M01</v>
          </cell>
        </row>
        <row r="1579">
          <cell r="A1579" t="str">
            <v>UMO31161</v>
          </cell>
          <cell r="D1579" t="str">
            <v>M01</v>
          </cell>
        </row>
        <row r="1580">
          <cell r="A1580" t="str">
            <v>UMO31163</v>
          </cell>
          <cell r="D1580" t="str">
            <v>M01</v>
          </cell>
        </row>
        <row r="1581">
          <cell r="A1581" t="str">
            <v>UMO31164</v>
          </cell>
          <cell r="D1581" t="str">
            <v>M01</v>
          </cell>
        </row>
        <row r="1582">
          <cell r="A1582" t="str">
            <v>UMO53132</v>
          </cell>
          <cell r="D1582" t="str">
            <v>M01</v>
          </cell>
        </row>
        <row r="1583">
          <cell r="A1583" t="str">
            <v>UMO53133</v>
          </cell>
          <cell r="D1583" t="str">
            <v>M01</v>
          </cell>
        </row>
        <row r="1584">
          <cell r="A1584" t="str">
            <v>UMO53134</v>
          </cell>
          <cell r="D1584" t="str">
            <v>M01</v>
          </cell>
        </row>
        <row r="1585">
          <cell r="A1585" t="str">
            <v>UMO53135</v>
          </cell>
          <cell r="D1585" t="str">
            <v>M01</v>
          </cell>
        </row>
        <row r="1586">
          <cell r="A1586" t="str">
            <v>UMP10718</v>
          </cell>
          <cell r="D1586" t="str">
            <v>M01</v>
          </cell>
        </row>
        <row r="1587">
          <cell r="A1587" t="str">
            <v>UMP10728</v>
          </cell>
          <cell r="D1587" t="str">
            <v>M01</v>
          </cell>
        </row>
        <row r="1588">
          <cell r="A1588" t="str">
            <v>UMP25200</v>
          </cell>
          <cell r="D1588" t="str">
            <v>M01</v>
          </cell>
        </row>
        <row r="1589">
          <cell r="A1589" t="str">
            <v>UMP27105</v>
          </cell>
          <cell r="D1589" t="str">
            <v>M01</v>
          </cell>
        </row>
        <row r="1590">
          <cell r="A1590" t="str">
            <v>UTB53050</v>
          </cell>
          <cell r="D1590" t="str">
            <v>M01</v>
          </cell>
        </row>
        <row r="1591">
          <cell r="A1591" t="str">
            <v>MCQ33902</v>
          </cell>
          <cell r="D1591" t="str">
            <v>M02</v>
          </cell>
        </row>
        <row r="1592">
          <cell r="A1592" t="str">
            <v>MGD10351</v>
          </cell>
          <cell r="D1592" t="str">
            <v>M02</v>
          </cell>
        </row>
        <row r="1593">
          <cell r="A1593" t="str">
            <v>MGF11253</v>
          </cell>
          <cell r="D1593" t="str">
            <v>M02</v>
          </cell>
        </row>
        <row r="1594">
          <cell r="A1594" t="str">
            <v>MGF11300</v>
          </cell>
          <cell r="D1594" t="str">
            <v>M02</v>
          </cell>
        </row>
        <row r="1595">
          <cell r="A1595" t="str">
            <v>MGF30507</v>
          </cell>
          <cell r="D1595" t="str">
            <v>M02</v>
          </cell>
        </row>
        <row r="1596">
          <cell r="A1596" t="str">
            <v>MMB40113</v>
          </cell>
          <cell r="D1596" t="str">
            <v>M02</v>
          </cell>
        </row>
        <row r="1597">
          <cell r="A1597" t="str">
            <v>MMC37113</v>
          </cell>
          <cell r="D1597" t="str">
            <v>M02</v>
          </cell>
        </row>
        <row r="1598">
          <cell r="A1598" t="str">
            <v>MMC37116</v>
          </cell>
          <cell r="D1598" t="str">
            <v>M02</v>
          </cell>
        </row>
        <row r="1599">
          <cell r="A1599" t="str">
            <v>MMC37119</v>
          </cell>
          <cell r="D1599" t="str">
            <v>M02</v>
          </cell>
        </row>
        <row r="1600">
          <cell r="A1600" t="str">
            <v>MMC37211</v>
          </cell>
          <cell r="D1600" t="str">
            <v>M02</v>
          </cell>
        </row>
        <row r="1601">
          <cell r="A1601" t="str">
            <v>MMC37213</v>
          </cell>
          <cell r="D1601" t="str">
            <v>M02</v>
          </cell>
        </row>
        <row r="1602">
          <cell r="A1602" t="str">
            <v>MMC37216</v>
          </cell>
          <cell r="D1602" t="str">
            <v>M02</v>
          </cell>
        </row>
        <row r="1603">
          <cell r="A1603" t="str">
            <v>MMC37219</v>
          </cell>
          <cell r="D1603" t="str">
            <v>M02</v>
          </cell>
        </row>
        <row r="1604">
          <cell r="A1604" t="str">
            <v>MMC37343</v>
          </cell>
          <cell r="D1604" t="str">
            <v>M02</v>
          </cell>
        </row>
        <row r="1605">
          <cell r="A1605" t="str">
            <v>MMC37344</v>
          </cell>
          <cell r="D1605" t="str">
            <v>M02</v>
          </cell>
        </row>
        <row r="1606">
          <cell r="A1606" t="str">
            <v>MMC37347</v>
          </cell>
          <cell r="D1606" t="str">
            <v>M02</v>
          </cell>
        </row>
        <row r="1607">
          <cell r="A1607" t="str">
            <v>MMC37348</v>
          </cell>
          <cell r="D1607" t="str">
            <v>M02</v>
          </cell>
        </row>
        <row r="1608">
          <cell r="A1608" t="str">
            <v>MMC37352</v>
          </cell>
          <cell r="D1608" t="str">
            <v>M02</v>
          </cell>
        </row>
        <row r="1609">
          <cell r="A1609" t="str">
            <v>MMC37353</v>
          </cell>
          <cell r="D1609" t="str">
            <v>M02</v>
          </cell>
        </row>
        <row r="1610">
          <cell r="A1610" t="str">
            <v>MMC37442</v>
          </cell>
          <cell r="D1610" t="str">
            <v>M02</v>
          </cell>
        </row>
        <row r="1611">
          <cell r="A1611" t="str">
            <v>MMC37444</v>
          </cell>
          <cell r="D1611" t="str">
            <v>M02</v>
          </cell>
        </row>
        <row r="1612">
          <cell r="A1612" t="str">
            <v>MMC37447</v>
          </cell>
          <cell r="D1612" t="str">
            <v>M02</v>
          </cell>
        </row>
        <row r="1613">
          <cell r="A1613" t="str">
            <v>MMC37451</v>
          </cell>
          <cell r="D1613" t="str">
            <v>M02</v>
          </cell>
        </row>
        <row r="1614">
          <cell r="A1614" t="str">
            <v>MMC37642</v>
          </cell>
          <cell r="D1614" t="str">
            <v>M02</v>
          </cell>
        </row>
        <row r="1615">
          <cell r="A1615" t="str">
            <v>MMC37644</v>
          </cell>
          <cell r="D1615" t="str">
            <v>M02</v>
          </cell>
        </row>
        <row r="1616">
          <cell r="A1616" t="str">
            <v>MMC37647</v>
          </cell>
          <cell r="D1616" t="str">
            <v>M02</v>
          </cell>
        </row>
        <row r="1617">
          <cell r="A1617" t="str">
            <v>MMC37648</v>
          </cell>
          <cell r="D1617" t="str">
            <v>M02</v>
          </cell>
        </row>
        <row r="1618">
          <cell r="A1618" t="str">
            <v>MMC37653</v>
          </cell>
          <cell r="D1618" t="str">
            <v>M02</v>
          </cell>
        </row>
        <row r="1619">
          <cell r="A1619" t="str">
            <v>MMC37743</v>
          </cell>
          <cell r="D1619" t="str">
            <v>M02</v>
          </cell>
        </row>
        <row r="1620">
          <cell r="A1620" t="str">
            <v>MMC37744</v>
          </cell>
          <cell r="D1620" t="str">
            <v>M02</v>
          </cell>
        </row>
        <row r="1621">
          <cell r="A1621" t="str">
            <v>MMC37753</v>
          </cell>
          <cell r="D1621" t="str">
            <v>M02</v>
          </cell>
        </row>
        <row r="1622">
          <cell r="A1622" t="str">
            <v>MMC37847</v>
          </cell>
          <cell r="D1622" t="str">
            <v>M02</v>
          </cell>
        </row>
        <row r="1623">
          <cell r="A1623" t="str">
            <v>MMC37852</v>
          </cell>
          <cell r="D1623" t="str">
            <v>M02</v>
          </cell>
        </row>
        <row r="1624">
          <cell r="A1624" t="str">
            <v>MMC37873</v>
          </cell>
          <cell r="D1624" t="str">
            <v>M02</v>
          </cell>
        </row>
        <row r="1625">
          <cell r="A1625" t="str">
            <v>MMC37876</v>
          </cell>
          <cell r="D1625" t="str">
            <v>M02</v>
          </cell>
        </row>
        <row r="1626">
          <cell r="A1626" t="str">
            <v>MMC37912</v>
          </cell>
          <cell r="D1626" t="str">
            <v>M02</v>
          </cell>
        </row>
        <row r="1627">
          <cell r="A1627" t="str">
            <v>MMC38983</v>
          </cell>
          <cell r="D1627" t="str">
            <v>M02</v>
          </cell>
        </row>
        <row r="1628">
          <cell r="A1628" t="str">
            <v>MMC39119</v>
          </cell>
          <cell r="D1628" t="str">
            <v>M02</v>
          </cell>
        </row>
        <row r="1629">
          <cell r="A1629" t="str">
            <v>MMC39211</v>
          </cell>
          <cell r="D1629" t="str">
            <v>M02</v>
          </cell>
        </row>
        <row r="1630">
          <cell r="A1630" t="str">
            <v>MMC39213</v>
          </cell>
          <cell r="D1630" t="str">
            <v>M02</v>
          </cell>
        </row>
        <row r="1631">
          <cell r="A1631" t="str">
            <v>MMC39219</v>
          </cell>
          <cell r="D1631" t="str">
            <v>M02</v>
          </cell>
        </row>
        <row r="1632">
          <cell r="A1632" t="str">
            <v>MMC39343</v>
          </cell>
          <cell r="D1632" t="str">
            <v>M02</v>
          </cell>
        </row>
        <row r="1633">
          <cell r="A1633" t="str">
            <v>MMC39344</v>
          </cell>
          <cell r="D1633" t="str">
            <v>M02</v>
          </cell>
        </row>
        <row r="1634">
          <cell r="A1634" t="str">
            <v>MMC39347</v>
          </cell>
          <cell r="D1634" t="str">
            <v>M02</v>
          </cell>
        </row>
        <row r="1635">
          <cell r="A1635" t="str">
            <v>MMC39348</v>
          </cell>
          <cell r="D1635" t="str">
            <v>M02</v>
          </cell>
        </row>
        <row r="1636">
          <cell r="A1636" t="str">
            <v>MMC39352</v>
          </cell>
          <cell r="D1636" t="str">
            <v>M02</v>
          </cell>
        </row>
        <row r="1637">
          <cell r="A1637" t="str">
            <v>MMC39442</v>
          </cell>
          <cell r="D1637" t="str">
            <v>M02</v>
          </cell>
        </row>
        <row r="1638">
          <cell r="A1638" t="str">
            <v>MMC39443</v>
          </cell>
          <cell r="D1638" t="str">
            <v>M02</v>
          </cell>
        </row>
        <row r="1639">
          <cell r="A1639" t="str">
            <v>MMC39444</v>
          </cell>
          <cell r="D1639" t="str">
            <v>M02</v>
          </cell>
        </row>
        <row r="1640">
          <cell r="A1640" t="str">
            <v>MMC39447</v>
          </cell>
          <cell r="D1640" t="str">
            <v>M02</v>
          </cell>
        </row>
        <row r="1641">
          <cell r="A1641" t="str">
            <v>MMC39448</v>
          </cell>
          <cell r="D1641" t="str">
            <v>M02</v>
          </cell>
        </row>
        <row r="1642">
          <cell r="A1642" t="str">
            <v>MMC39451</v>
          </cell>
          <cell r="D1642" t="str">
            <v>M02</v>
          </cell>
        </row>
        <row r="1643">
          <cell r="A1643" t="str">
            <v>MMC39453</v>
          </cell>
          <cell r="D1643" t="str">
            <v>M02</v>
          </cell>
        </row>
        <row r="1644">
          <cell r="A1644" t="str">
            <v>MMC39519</v>
          </cell>
          <cell r="D1644" t="str">
            <v>M02</v>
          </cell>
        </row>
        <row r="1645">
          <cell r="A1645" t="str">
            <v>MMC39644</v>
          </cell>
          <cell r="D1645" t="str">
            <v>M02</v>
          </cell>
        </row>
        <row r="1646">
          <cell r="A1646" t="str">
            <v>MMC39653</v>
          </cell>
          <cell r="D1646" t="str">
            <v>M02</v>
          </cell>
        </row>
        <row r="1647">
          <cell r="A1647" t="str">
            <v>MMC39742</v>
          </cell>
          <cell r="D1647" t="str">
            <v>M02</v>
          </cell>
        </row>
        <row r="1648">
          <cell r="A1648" t="str">
            <v>MMC39743</v>
          </cell>
          <cell r="D1648" t="str">
            <v>M02</v>
          </cell>
        </row>
        <row r="1649">
          <cell r="A1649" t="str">
            <v>MMC39744</v>
          </cell>
          <cell r="D1649" t="str">
            <v>M02</v>
          </cell>
        </row>
        <row r="1650">
          <cell r="A1650" t="str">
            <v>MMC39753</v>
          </cell>
          <cell r="D1650" t="str">
            <v>M02</v>
          </cell>
        </row>
        <row r="1651">
          <cell r="A1651" t="str">
            <v>MMC39870</v>
          </cell>
          <cell r="D1651" t="str">
            <v>M02</v>
          </cell>
        </row>
        <row r="1652">
          <cell r="A1652" t="str">
            <v>MMC40202</v>
          </cell>
          <cell r="D1652" t="str">
            <v>M02</v>
          </cell>
        </row>
        <row r="1653">
          <cell r="A1653" t="str">
            <v>MMG45025</v>
          </cell>
          <cell r="D1653" t="str">
            <v>M02</v>
          </cell>
        </row>
        <row r="1654">
          <cell r="A1654" t="str">
            <v>MMJ36413</v>
          </cell>
          <cell r="D1654" t="str">
            <v>M02</v>
          </cell>
        </row>
        <row r="1655">
          <cell r="A1655" t="str">
            <v>MMJ36417</v>
          </cell>
          <cell r="D1655" t="str">
            <v>M02</v>
          </cell>
        </row>
        <row r="1656">
          <cell r="A1656" t="str">
            <v>MMJ36419</v>
          </cell>
          <cell r="D1656" t="str">
            <v>M02</v>
          </cell>
        </row>
        <row r="1657">
          <cell r="A1657" t="str">
            <v>MMJ36513</v>
          </cell>
          <cell r="D1657" t="str">
            <v>M02</v>
          </cell>
        </row>
        <row r="1658">
          <cell r="A1658" t="str">
            <v>MMJ36517</v>
          </cell>
          <cell r="D1658" t="str">
            <v>M02</v>
          </cell>
        </row>
        <row r="1659">
          <cell r="A1659" t="str">
            <v>MMJ36533</v>
          </cell>
          <cell r="D1659" t="str">
            <v>M02</v>
          </cell>
        </row>
        <row r="1660">
          <cell r="A1660" t="str">
            <v>MMJ36537</v>
          </cell>
          <cell r="D1660" t="str">
            <v>M02</v>
          </cell>
        </row>
        <row r="1661">
          <cell r="A1661" t="str">
            <v>MMJ36539</v>
          </cell>
          <cell r="D1661" t="str">
            <v>M02</v>
          </cell>
        </row>
        <row r="1662">
          <cell r="A1662" t="str">
            <v>MMJ36617</v>
          </cell>
          <cell r="D1662" t="str">
            <v>M02</v>
          </cell>
        </row>
        <row r="1663">
          <cell r="A1663" t="str">
            <v>MMJ36619</v>
          </cell>
          <cell r="D1663" t="str">
            <v>M02</v>
          </cell>
        </row>
        <row r="1664">
          <cell r="A1664" t="str">
            <v>MMJ36653</v>
          </cell>
          <cell r="D1664" t="str">
            <v>M02</v>
          </cell>
        </row>
        <row r="1665">
          <cell r="A1665" t="str">
            <v>MMJ36657</v>
          </cell>
          <cell r="D1665" t="str">
            <v>M02</v>
          </cell>
        </row>
        <row r="1666">
          <cell r="A1666" t="str">
            <v>MMJ36659</v>
          </cell>
          <cell r="D1666" t="str">
            <v>M02</v>
          </cell>
        </row>
        <row r="1667">
          <cell r="A1667" t="str">
            <v>MMJ36713</v>
          </cell>
          <cell r="D1667" t="str">
            <v>M02</v>
          </cell>
        </row>
        <row r="1668">
          <cell r="A1668" t="str">
            <v>MMJ36717</v>
          </cell>
          <cell r="D1668" t="str">
            <v>M02</v>
          </cell>
        </row>
        <row r="1669">
          <cell r="A1669" t="str">
            <v>MMJ36719</v>
          </cell>
          <cell r="D1669" t="str">
            <v>M02</v>
          </cell>
        </row>
        <row r="1670">
          <cell r="A1670" t="str">
            <v>MMJ36800</v>
          </cell>
          <cell r="D1670" t="str">
            <v>M02</v>
          </cell>
        </row>
        <row r="1671">
          <cell r="A1671" t="str">
            <v>MMJ36813</v>
          </cell>
          <cell r="D1671" t="str">
            <v>M02</v>
          </cell>
        </row>
        <row r="1672">
          <cell r="A1672" t="str">
            <v>MMJ36817</v>
          </cell>
          <cell r="D1672" t="str">
            <v>M02</v>
          </cell>
        </row>
        <row r="1673">
          <cell r="A1673" t="str">
            <v>MMJ36819</v>
          </cell>
          <cell r="D1673" t="str">
            <v>M02</v>
          </cell>
        </row>
        <row r="1674">
          <cell r="A1674" t="str">
            <v>MMJ36853</v>
          </cell>
          <cell r="D1674" t="str">
            <v>M02</v>
          </cell>
        </row>
        <row r="1675">
          <cell r="A1675" t="str">
            <v>MMJ36857</v>
          </cell>
          <cell r="D1675" t="str">
            <v>M02</v>
          </cell>
        </row>
        <row r="1676">
          <cell r="A1676" t="str">
            <v>MMJ36859</v>
          </cell>
          <cell r="D1676" t="str">
            <v>M02</v>
          </cell>
        </row>
        <row r="1677">
          <cell r="A1677" t="str">
            <v>MMJ36890</v>
          </cell>
          <cell r="D1677" t="str">
            <v>M02</v>
          </cell>
        </row>
        <row r="1678">
          <cell r="A1678" t="str">
            <v>MMJ56120</v>
          </cell>
          <cell r="D1678" t="str">
            <v>M02</v>
          </cell>
        </row>
        <row r="1679">
          <cell r="A1679" t="str">
            <v>MMJ56319</v>
          </cell>
          <cell r="D1679" t="str">
            <v>M02</v>
          </cell>
        </row>
        <row r="1680">
          <cell r="A1680" t="str">
            <v>MMJ65232</v>
          </cell>
          <cell r="D1680" t="str">
            <v>M02</v>
          </cell>
        </row>
        <row r="1681">
          <cell r="A1681" t="str">
            <v>MMJ65233</v>
          </cell>
          <cell r="D1681" t="str">
            <v>M02</v>
          </cell>
        </row>
        <row r="1682">
          <cell r="A1682" t="str">
            <v>MMJ65234</v>
          </cell>
          <cell r="D1682" t="str">
            <v>M02</v>
          </cell>
        </row>
        <row r="1683">
          <cell r="A1683" t="str">
            <v>MMJ65235</v>
          </cell>
          <cell r="D1683" t="str">
            <v>M02</v>
          </cell>
        </row>
        <row r="1684">
          <cell r="A1684" t="str">
            <v>MMJ65423</v>
          </cell>
          <cell r="D1684" t="str">
            <v>M02</v>
          </cell>
        </row>
        <row r="1685">
          <cell r="A1685" t="str">
            <v>MMJ65424</v>
          </cell>
          <cell r="D1685" t="str">
            <v>M02</v>
          </cell>
        </row>
        <row r="1686">
          <cell r="A1686" t="str">
            <v>MMJ65425</v>
          </cell>
          <cell r="D1686" t="str">
            <v>M02</v>
          </cell>
        </row>
        <row r="1687">
          <cell r="A1687" t="str">
            <v>MMJ65426</v>
          </cell>
          <cell r="D1687" t="str">
            <v>M02</v>
          </cell>
        </row>
        <row r="1688">
          <cell r="A1688" t="str">
            <v>MMM40108</v>
          </cell>
          <cell r="D1688" t="str">
            <v>M02</v>
          </cell>
        </row>
        <row r="1689">
          <cell r="A1689" t="str">
            <v>MMO10110</v>
          </cell>
          <cell r="D1689" t="str">
            <v>M02</v>
          </cell>
        </row>
        <row r="1690">
          <cell r="A1690" t="str">
            <v>MMO10112</v>
          </cell>
          <cell r="D1690" t="str">
            <v>M02</v>
          </cell>
        </row>
        <row r="1691">
          <cell r="A1691" t="str">
            <v>MMO10113</v>
          </cell>
          <cell r="D1691" t="str">
            <v>M02</v>
          </cell>
        </row>
        <row r="1692">
          <cell r="A1692" t="str">
            <v>MMO10117</v>
          </cell>
          <cell r="D1692" t="str">
            <v>M02</v>
          </cell>
        </row>
        <row r="1693">
          <cell r="A1693" t="str">
            <v>MMO10119</v>
          </cell>
          <cell r="D1693" t="str">
            <v>M02</v>
          </cell>
        </row>
        <row r="1694">
          <cell r="A1694" t="str">
            <v>MMO10120</v>
          </cell>
          <cell r="D1694" t="str">
            <v>M02</v>
          </cell>
        </row>
        <row r="1695">
          <cell r="A1695" t="str">
            <v>MMO10121</v>
          </cell>
          <cell r="D1695" t="str">
            <v>M02</v>
          </cell>
        </row>
        <row r="1696">
          <cell r="A1696" t="str">
            <v>MMO10122</v>
          </cell>
          <cell r="D1696" t="str">
            <v>M02</v>
          </cell>
        </row>
        <row r="1697">
          <cell r="A1697" t="str">
            <v>MMO10210</v>
          </cell>
          <cell r="D1697" t="str">
            <v>M02</v>
          </cell>
        </row>
        <row r="1698">
          <cell r="A1698" t="str">
            <v>MMO10212</v>
          </cell>
          <cell r="D1698" t="str">
            <v>M02</v>
          </cell>
        </row>
        <row r="1699">
          <cell r="A1699" t="str">
            <v>MMO10213</v>
          </cell>
          <cell r="D1699" t="str">
            <v>M02</v>
          </cell>
        </row>
        <row r="1700">
          <cell r="A1700" t="str">
            <v>MMO10219</v>
          </cell>
          <cell r="D1700" t="str">
            <v>M02</v>
          </cell>
        </row>
        <row r="1701">
          <cell r="A1701" t="str">
            <v>MMO20113</v>
          </cell>
          <cell r="D1701" t="str">
            <v>M02</v>
          </cell>
        </row>
        <row r="1702">
          <cell r="A1702" t="str">
            <v>MMO20117</v>
          </cell>
          <cell r="D1702" t="str">
            <v>M02</v>
          </cell>
        </row>
        <row r="1703">
          <cell r="A1703" t="str">
            <v>MMO20119</v>
          </cell>
          <cell r="D1703" t="str">
            <v>M02</v>
          </cell>
        </row>
        <row r="1704">
          <cell r="A1704" t="str">
            <v>MMO22319</v>
          </cell>
          <cell r="D1704" t="str">
            <v>M02</v>
          </cell>
        </row>
        <row r="1705">
          <cell r="A1705" t="str">
            <v>MMO22320</v>
          </cell>
          <cell r="D1705" t="str">
            <v>M02</v>
          </cell>
        </row>
        <row r="1706">
          <cell r="A1706" t="str">
            <v>MMO25053</v>
          </cell>
          <cell r="D1706" t="str">
            <v>M02</v>
          </cell>
        </row>
        <row r="1707">
          <cell r="A1707" t="str">
            <v>MMO25057</v>
          </cell>
          <cell r="D1707" t="str">
            <v>M02</v>
          </cell>
        </row>
        <row r="1708">
          <cell r="A1708" t="str">
            <v>MMO25059</v>
          </cell>
          <cell r="D1708" t="str">
            <v>M02</v>
          </cell>
        </row>
        <row r="1709">
          <cell r="A1709" t="str">
            <v>MMO31220</v>
          </cell>
          <cell r="D1709" t="str">
            <v>M02</v>
          </cell>
        </row>
        <row r="1710">
          <cell r="A1710" t="str">
            <v>MMO31221</v>
          </cell>
          <cell r="D1710" t="str">
            <v>M02</v>
          </cell>
        </row>
        <row r="1711">
          <cell r="A1711" t="str">
            <v>MMO31746</v>
          </cell>
          <cell r="D1711" t="str">
            <v>M02</v>
          </cell>
        </row>
        <row r="1712">
          <cell r="A1712" t="str">
            <v>MMO31748</v>
          </cell>
          <cell r="D1712" t="str">
            <v>M02</v>
          </cell>
        </row>
        <row r="1713">
          <cell r="A1713" t="str">
            <v>MMO31750</v>
          </cell>
          <cell r="D1713" t="str">
            <v>M02</v>
          </cell>
        </row>
        <row r="1714">
          <cell r="A1714" t="str">
            <v>MMO31915</v>
          </cell>
          <cell r="D1714" t="str">
            <v>M02</v>
          </cell>
        </row>
        <row r="1715">
          <cell r="A1715" t="str">
            <v>MMO31920</v>
          </cell>
          <cell r="D1715" t="str">
            <v>M02</v>
          </cell>
        </row>
        <row r="1716">
          <cell r="A1716" t="str">
            <v>MMO42905</v>
          </cell>
          <cell r="D1716" t="str">
            <v>M02</v>
          </cell>
        </row>
        <row r="1717">
          <cell r="A1717" t="str">
            <v>MMO53930</v>
          </cell>
          <cell r="D1717" t="str">
            <v>M02</v>
          </cell>
        </row>
        <row r="1718">
          <cell r="A1718" t="str">
            <v>MMO53945</v>
          </cell>
          <cell r="D1718" t="str">
            <v>M02</v>
          </cell>
        </row>
        <row r="1719">
          <cell r="A1719" t="str">
            <v>MMO53950</v>
          </cell>
          <cell r="D1719" t="str">
            <v>M02</v>
          </cell>
        </row>
        <row r="1720">
          <cell r="A1720" t="str">
            <v>MMO53960</v>
          </cell>
          <cell r="D1720" t="str">
            <v>M02</v>
          </cell>
        </row>
        <row r="1721">
          <cell r="A1721" t="str">
            <v>MMO53965</v>
          </cell>
          <cell r="D1721" t="str">
            <v>M02</v>
          </cell>
        </row>
        <row r="1722">
          <cell r="A1722" t="str">
            <v>UAJ14855</v>
          </cell>
          <cell r="D1722" t="str">
            <v>M02</v>
          </cell>
        </row>
        <row r="1723">
          <cell r="A1723" t="str">
            <v>UMA49120</v>
          </cell>
          <cell r="D1723" t="str">
            <v>M02</v>
          </cell>
        </row>
        <row r="1724">
          <cell r="A1724" t="str">
            <v>UMA49140</v>
          </cell>
          <cell r="D1724" t="str">
            <v>M02</v>
          </cell>
        </row>
        <row r="1725">
          <cell r="A1725" t="str">
            <v>UMA49150</v>
          </cell>
          <cell r="D1725" t="str">
            <v>M02</v>
          </cell>
        </row>
        <row r="1726">
          <cell r="A1726" t="str">
            <v>UMA49160</v>
          </cell>
          <cell r="D1726" t="str">
            <v>M02</v>
          </cell>
        </row>
        <row r="1727">
          <cell r="A1727" t="str">
            <v>UMA49190</v>
          </cell>
          <cell r="D1727" t="str">
            <v>M02</v>
          </cell>
        </row>
        <row r="1728">
          <cell r="A1728" t="str">
            <v>UMA49550</v>
          </cell>
          <cell r="D1728" t="str">
            <v>M02</v>
          </cell>
        </row>
        <row r="1729">
          <cell r="A1729" t="str">
            <v>UMA49560</v>
          </cell>
          <cell r="D1729" t="str">
            <v>M02</v>
          </cell>
        </row>
        <row r="1730">
          <cell r="A1730" t="str">
            <v>UMA49570</v>
          </cell>
          <cell r="D1730" t="str">
            <v>M02</v>
          </cell>
        </row>
        <row r="1731">
          <cell r="A1731" t="str">
            <v>UMA49580</v>
          </cell>
          <cell r="D1731" t="str">
            <v>M02</v>
          </cell>
        </row>
        <row r="1732">
          <cell r="A1732" t="str">
            <v>UMA49590</v>
          </cell>
          <cell r="D1732" t="str">
            <v>M02</v>
          </cell>
        </row>
        <row r="1733">
          <cell r="A1733" t="str">
            <v>UMA49600</v>
          </cell>
          <cell r="D1733" t="str">
            <v>M02</v>
          </cell>
        </row>
        <row r="1734">
          <cell r="A1734" t="str">
            <v>UMA49620</v>
          </cell>
          <cell r="D1734" t="str">
            <v>M02</v>
          </cell>
        </row>
        <row r="1735">
          <cell r="A1735" t="str">
            <v>UMA49640</v>
          </cell>
          <cell r="D1735" t="str">
            <v>M02</v>
          </cell>
        </row>
        <row r="1736">
          <cell r="A1736" t="str">
            <v>UMA49660</v>
          </cell>
          <cell r="D1736" t="str">
            <v>M02</v>
          </cell>
        </row>
        <row r="1737">
          <cell r="A1737" t="str">
            <v>UMA49670</v>
          </cell>
          <cell r="D1737" t="str">
            <v>M02</v>
          </cell>
        </row>
        <row r="1738">
          <cell r="A1738" t="str">
            <v>UMB25116</v>
          </cell>
          <cell r="D1738" t="str">
            <v>M02</v>
          </cell>
        </row>
        <row r="1739">
          <cell r="A1739" t="str">
            <v>UMB25119</v>
          </cell>
          <cell r="D1739" t="str">
            <v>M02</v>
          </cell>
        </row>
        <row r="1740">
          <cell r="A1740" t="str">
            <v>UMB25120</v>
          </cell>
          <cell r="D1740" t="str">
            <v>M02</v>
          </cell>
        </row>
        <row r="1741">
          <cell r="A1741" t="str">
            <v>UMB25121</v>
          </cell>
          <cell r="D1741" t="str">
            <v>M02</v>
          </cell>
        </row>
        <row r="1742">
          <cell r="A1742" t="str">
            <v>UMB25122</v>
          </cell>
          <cell r="D1742" t="str">
            <v>M02</v>
          </cell>
        </row>
        <row r="1743">
          <cell r="A1743" t="str">
            <v>UMB25146</v>
          </cell>
          <cell r="D1743" t="str">
            <v>M02</v>
          </cell>
        </row>
        <row r="1744">
          <cell r="A1744" t="str">
            <v>UMB25149</v>
          </cell>
          <cell r="D1744" t="str">
            <v>M02</v>
          </cell>
        </row>
        <row r="1745">
          <cell r="A1745" t="str">
            <v>UMB25150</v>
          </cell>
          <cell r="D1745" t="str">
            <v>M02</v>
          </cell>
        </row>
        <row r="1746">
          <cell r="A1746" t="str">
            <v>UMB25151</v>
          </cell>
          <cell r="D1746" t="str">
            <v>M02</v>
          </cell>
        </row>
        <row r="1747">
          <cell r="A1747" t="str">
            <v>UMB25152</v>
          </cell>
          <cell r="D1747" t="str">
            <v>M02</v>
          </cell>
        </row>
        <row r="1748">
          <cell r="A1748" t="str">
            <v>UMB25216</v>
          </cell>
          <cell r="D1748" t="str">
            <v>M02</v>
          </cell>
        </row>
        <row r="1749">
          <cell r="A1749" t="str">
            <v>UMB25219</v>
          </cell>
          <cell r="D1749" t="str">
            <v>M02</v>
          </cell>
        </row>
        <row r="1750">
          <cell r="A1750" t="str">
            <v>UMB25448</v>
          </cell>
          <cell r="D1750" t="str">
            <v>M02</v>
          </cell>
        </row>
        <row r="1751">
          <cell r="A1751" t="str">
            <v>UMB25452</v>
          </cell>
          <cell r="D1751" t="str">
            <v>M02</v>
          </cell>
        </row>
        <row r="1752">
          <cell r="A1752" t="str">
            <v>UMB25453</v>
          </cell>
          <cell r="D1752" t="str">
            <v>M02</v>
          </cell>
        </row>
        <row r="1753">
          <cell r="A1753" t="str">
            <v>UMB25458</v>
          </cell>
          <cell r="D1753" t="str">
            <v>M02</v>
          </cell>
        </row>
        <row r="1754">
          <cell r="A1754" t="str">
            <v>UMB25459</v>
          </cell>
          <cell r="D1754" t="str">
            <v>M02</v>
          </cell>
        </row>
        <row r="1755">
          <cell r="A1755" t="str">
            <v>UMB25464</v>
          </cell>
          <cell r="D1755" t="str">
            <v>M02</v>
          </cell>
        </row>
        <row r="1756">
          <cell r="A1756" t="str">
            <v>UMB25465</v>
          </cell>
          <cell r="D1756" t="str">
            <v>M02</v>
          </cell>
        </row>
        <row r="1757">
          <cell r="A1757" t="str">
            <v>UMB25466</v>
          </cell>
          <cell r="D1757" t="str">
            <v>M02</v>
          </cell>
        </row>
        <row r="1758">
          <cell r="A1758" t="str">
            <v>UMB25473</v>
          </cell>
          <cell r="D1758" t="str">
            <v>M02</v>
          </cell>
        </row>
        <row r="1759">
          <cell r="A1759" t="str">
            <v>UMB25474</v>
          </cell>
          <cell r="D1759" t="str">
            <v>M02</v>
          </cell>
        </row>
        <row r="1760">
          <cell r="A1760" t="str">
            <v>UMB25548</v>
          </cell>
          <cell r="D1760" t="str">
            <v>M02</v>
          </cell>
        </row>
        <row r="1761">
          <cell r="A1761" t="str">
            <v>UMB25551</v>
          </cell>
          <cell r="D1761" t="str">
            <v>M02</v>
          </cell>
        </row>
        <row r="1762">
          <cell r="A1762" t="str">
            <v>UMB25552</v>
          </cell>
          <cell r="D1762" t="str">
            <v>M02</v>
          </cell>
        </row>
        <row r="1763">
          <cell r="A1763" t="str">
            <v>UMB25553</v>
          </cell>
          <cell r="D1763" t="str">
            <v>M02</v>
          </cell>
        </row>
        <row r="1764">
          <cell r="A1764" t="str">
            <v>UMB25556</v>
          </cell>
          <cell r="D1764" t="str">
            <v>M02</v>
          </cell>
        </row>
        <row r="1765">
          <cell r="A1765" t="str">
            <v>UMB25557</v>
          </cell>
          <cell r="D1765" t="str">
            <v>M02</v>
          </cell>
        </row>
        <row r="1766">
          <cell r="A1766" t="str">
            <v>UMB25558</v>
          </cell>
          <cell r="D1766" t="str">
            <v>M02</v>
          </cell>
        </row>
        <row r="1767">
          <cell r="A1767" t="str">
            <v>UMB25559</v>
          </cell>
          <cell r="D1767" t="str">
            <v>M02</v>
          </cell>
        </row>
        <row r="1768">
          <cell r="A1768" t="str">
            <v>UMB25563</v>
          </cell>
          <cell r="D1768" t="str">
            <v>M02</v>
          </cell>
        </row>
        <row r="1769">
          <cell r="A1769" t="str">
            <v>UMB25564</v>
          </cell>
          <cell r="D1769" t="str">
            <v>M02</v>
          </cell>
        </row>
        <row r="1770">
          <cell r="A1770" t="str">
            <v>UMB25565</v>
          </cell>
          <cell r="D1770" t="str">
            <v>M02</v>
          </cell>
        </row>
        <row r="1771">
          <cell r="A1771" t="str">
            <v>UMB25566</v>
          </cell>
          <cell r="D1771" t="str">
            <v>M02</v>
          </cell>
        </row>
        <row r="1772">
          <cell r="A1772" t="str">
            <v>UMB25571</v>
          </cell>
          <cell r="D1772" t="str">
            <v>M02</v>
          </cell>
        </row>
        <row r="1773">
          <cell r="A1773" t="str">
            <v>UMB25572</v>
          </cell>
          <cell r="D1773" t="str">
            <v>M02</v>
          </cell>
        </row>
        <row r="1774">
          <cell r="A1774" t="str">
            <v>UMB25574</v>
          </cell>
          <cell r="D1774" t="str">
            <v>M02</v>
          </cell>
        </row>
        <row r="1775">
          <cell r="A1775" t="str">
            <v>UMB25616</v>
          </cell>
          <cell r="D1775" t="str">
            <v>M02</v>
          </cell>
        </row>
        <row r="1776">
          <cell r="A1776" t="str">
            <v>UMB25619</v>
          </cell>
          <cell r="D1776" t="str">
            <v>M02</v>
          </cell>
        </row>
        <row r="1777">
          <cell r="A1777" t="str">
            <v>UMB25620</v>
          </cell>
          <cell r="D1777" t="str">
            <v>M02</v>
          </cell>
        </row>
        <row r="1778">
          <cell r="A1778" t="str">
            <v>UMB25621</v>
          </cell>
          <cell r="D1778" t="str">
            <v>M02</v>
          </cell>
        </row>
        <row r="1779">
          <cell r="A1779" t="str">
            <v>UMB25622</v>
          </cell>
          <cell r="D1779" t="str">
            <v>M02</v>
          </cell>
        </row>
        <row r="1780">
          <cell r="A1780" t="str">
            <v>UMB25747</v>
          </cell>
          <cell r="D1780" t="str">
            <v>M02</v>
          </cell>
        </row>
        <row r="1781">
          <cell r="A1781" t="str">
            <v>UMB25751</v>
          </cell>
          <cell r="D1781" t="str">
            <v>M02</v>
          </cell>
        </row>
        <row r="1782">
          <cell r="A1782" t="str">
            <v>UMB25752</v>
          </cell>
          <cell r="D1782" t="str">
            <v>M02</v>
          </cell>
        </row>
        <row r="1783">
          <cell r="A1783" t="str">
            <v>UMB25758</v>
          </cell>
          <cell r="D1783" t="str">
            <v>M02</v>
          </cell>
        </row>
        <row r="1784">
          <cell r="A1784" t="str">
            <v>UMB25765</v>
          </cell>
          <cell r="D1784" t="str">
            <v>M02</v>
          </cell>
        </row>
        <row r="1785">
          <cell r="A1785" t="str">
            <v>UMB25773</v>
          </cell>
          <cell r="D1785" t="str">
            <v>M02</v>
          </cell>
        </row>
        <row r="1786">
          <cell r="A1786" t="str">
            <v>UMB25816</v>
          </cell>
          <cell r="D1786" t="str">
            <v>M02</v>
          </cell>
        </row>
        <row r="1787">
          <cell r="A1787" t="str">
            <v>UMB25819</v>
          </cell>
          <cell r="D1787" t="str">
            <v>M02</v>
          </cell>
        </row>
        <row r="1788">
          <cell r="A1788" t="str">
            <v>UMB25820</v>
          </cell>
          <cell r="D1788" t="str">
            <v>M02</v>
          </cell>
        </row>
        <row r="1789">
          <cell r="A1789" t="str">
            <v>UMB25821</v>
          </cell>
          <cell r="D1789" t="str">
            <v>M02</v>
          </cell>
        </row>
        <row r="1790">
          <cell r="A1790" t="str">
            <v>UMB25822</v>
          </cell>
          <cell r="D1790" t="str">
            <v>M02</v>
          </cell>
        </row>
        <row r="1791">
          <cell r="A1791" t="str">
            <v>UMB27216</v>
          </cell>
          <cell r="D1791" t="str">
            <v>M02</v>
          </cell>
        </row>
        <row r="1792">
          <cell r="A1792" t="str">
            <v>UMB27219</v>
          </cell>
          <cell r="D1792" t="str">
            <v>M02</v>
          </cell>
        </row>
        <row r="1793">
          <cell r="A1793" t="str">
            <v>UMB27220</v>
          </cell>
          <cell r="D1793" t="str">
            <v>M02</v>
          </cell>
        </row>
        <row r="1794">
          <cell r="A1794" t="str">
            <v>UMB27221</v>
          </cell>
          <cell r="D1794" t="str">
            <v>M02</v>
          </cell>
        </row>
        <row r="1795">
          <cell r="A1795" t="str">
            <v>UMB27222</v>
          </cell>
          <cell r="D1795" t="str">
            <v>M02</v>
          </cell>
        </row>
        <row r="1796">
          <cell r="A1796" t="str">
            <v>UMB30293</v>
          </cell>
          <cell r="D1796" t="str">
            <v>M02</v>
          </cell>
        </row>
        <row r="1797">
          <cell r="A1797" t="str">
            <v>UMB30333</v>
          </cell>
          <cell r="D1797" t="str">
            <v>M02</v>
          </cell>
        </row>
        <row r="1798">
          <cell r="A1798" t="str">
            <v>UMB30363</v>
          </cell>
          <cell r="D1798" t="str">
            <v>M02</v>
          </cell>
        </row>
        <row r="1799">
          <cell r="A1799" t="str">
            <v>UMB30365</v>
          </cell>
          <cell r="D1799" t="str">
            <v>M02</v>
          </cell>
        </row>
        <row r="1800">
          <cell r="A1800" t="str">
            <v>UMB30386</v>
          </cell>
          <cell r="D1800" t="str">
            <v>M02</v>
          </cell>
        </row>
        <row r="1801">
          <cell r="A1801" t="str">
            <v>UMB30388</v>
          </cell>
          <cell r="D1801" t="str">
            <v>M02</v>
          </cell>
        </row>
        <row r="1802">
          <cell r="A1802" t="str">
            <v>UMB30393</v>
          </cell>
          <cell r="D1802" t="str">
            <v>M02</v>
          </cell>
        </row>
        <row r="1803">
          <cell r="A1803" t="str">
            <v>UMB30396</v>
          </cell>
          <cell r="D1803" t="str">
            <v>M02</v>
          </cell>
        </row>
        <row r="1804">
          <cell r="A1804" t="str">
            <v>UMB30398</v>
          </cell>
          <cell r="D1804" t="str">
            <v>M02</v>
          </cell>
        </row>
        <row r="1805">
          <cell r="A1805" t="str">
            <v>UMB30413</v>
          </cell>
          <cell r="D1805" t="str">
            <v>M02</v>
          </cell>
        </row>
        <row r="1806">
          <cell r="A1806" t="str">
            <v>UMB30416</v>
          </cell>
          <cell r="D1806" t="str">
            <v>M02</v>
          </cell>
        </row>
        <row r="1807">
          <cell r="A1807" t="str">
            <v>UMB30419</v>
          </cell>
          <cell r="D1807" t="str">
            <v>M02</v>
          </cell>
        </row>
        <row r="1808">
          <cell r="A1808" t="str">
            <v>UMB30481</v>
          </cell>
          <cell r="D1808" t="str">
            <v>M02</v>
          </cell>
        </row>
        <row r="1809">
          <cell r="A1809" t="str">
            <v>UMB30482</v>
          </cell>
          <cell r="D1809" t="str">
            <v>M02</v>
          </cell>
        </row>
        <row r="1810">
          <cell r="A1810" t="str">
            <v>UMB30483</v>
          </cell>
          <cell r="D1810" t="str">
            <v>M02</v>
          </cell>
        </row>
        <row r="1811">
          <cell r="A1811" t="str">
            <v>UMB30489</v>
          </cell>
          <cell r="D1811" t="str">
            <v>M02</v>
          </cell>
        </row>
        <row r="1812">
          <cell r="A1812" t="str">
            <v>UMB35128</v>
          </cell>
          <cell r="D1812" t="str">
            <v>M02</v>
          </cell>
        </row>
        <row r="1813">
          <cell r="A1813" t="str">
            <v>UMC24113</v>
          </cell>
          <cell r="D1813" t="str">
            <v>M02</v>
          </cell>
        </row>
        <row r="1814">
          <cell r="A1814" t="str">
            <v>UME38479</v>
          </cell>
          <cell r="D1814" t="str">
            <v>M02</v>
          </cell>
        </row>
        <row r="1815">
          <cell r="A1815" t="str">
            <v>UME38481</v>
          </cell>
          <cell r="D1815" t="str">
            <v>M02</v>
          </cell>
        </row>
        <row r="1816">
          <cell r="A1816" t="str">
            <v>UME38482</v>
          </cell>
          <cell r="D1816" t="str">
            <v>M02</v>
          </cell>
        </row>
        <row r="1817">
          <cell r="A1817" t="str">
            <v>UME38483</v>
          </cell>
          <cell r="D1817" t="str">
            <v>M02</v>
          </cell>
        </row>
        <row r="1818">
          <cell r="A1818" t="str">
            <v>UME38485</v>
          </cell>
          <cell r="D1818" t="str">
            <v>M02</v>
          </cell>
        </row>
        <row r="1819">
          <cell r="A1819" t="str">
            <v>UME80007</v>
          </cell>
          <cell r="D1819" t="str">
            <v>M02</v>
          </cell>
        </row>
        <row r="1820">
          <cell r="A1820" t="str">
            <v>UMF22610</v>
          </cell>
          <cell r="D1820" t="str">
            <v>M02</v>
          </cell>
        </row>
        <row r="1821">
          <cell r="A1821" t="str">
            <v>UMF22710</v>
          </cell>
          <cell r="D1821" t="str">
            <v>M02</v>
          </cell>
        </row>
        <row r="1822">
          <cell r="A1822" t="str">
            <v>UMJ30313</v>
          </cell>
          <cell r="D1822" t="str">
            <v>M02</v>
          </cell>
        </row>
        <row r="1823">
          <cell r="A1823" t="str">
            <v>UMJ30315</v>
          </cell>
          <cell r="D1823" t="str">
            <v>M02</v>
          </cell>
        </row>
        <row r="1824">
          <cell r="A1824" t="str">
            <v>UMJ30317</v>
          </cell>
          <cell r="D1824" t="str">
            <v>M02</v>
          </cell>
        </row>
        <row r="1825">
          <cell r="A1825" t="str">
            <v>UMJ34212</v>
          </cell>
          <cell r="D1825" t="str">
            <v>M02</v>
          </cell>
        </row>
        <row r="1826">
          <cell r="A1826" t="str">
            <v>UMJ34572</v>
          </cell>
          <cell r="D1826" t="str">
            <v>M02</v>
          </cell>
        </row>
        <row r="1827">
          <cell r="A1827" t="str">
            <v>UMJ36015</v>
          </cell>
          <cell r="D1827" t="str">
            <v>M02</v>
          </cell>
        </row>
        <row r="1828">
          <cell r="A1828" t="str">
            <v>UMJ36020</v>
          </cell>
          <cell r="D1828" t="str">
            <v>M02</v>
          </cell>
        </row>
        <row r="1829">
          <cell r="A1829" t="str">
            <v>UMJ36025</v>
          </cell>
          <cell r="D1829" t="str">
            <v>M02</v>
          </cell>
        </row>
        <row r="1830">
          <cell r="A1830" t="str">
            <v>UMJ36313</v>
          </cell>
          <cell r="D1830" t="str">
            <v>M02</v>
          </cell>
        </row>
        <row r="1831">
          <cell r="A1831" t="str">
            <v>UMJ36317</v>
          </cell>
          <cell r="D1831" t="str">
            <v>M02</v>
          </cell>
        </row>
        <row r="1832">
          <cell r="A1832" t="str">
            <v>UMJ36319</v>
          </cell>
          <cell r="D1832" t="str">
            <v>M02</v>
          </cell>
        </row>
        <row r="1833">
          <cell r="A1833" t="str">
            <v>UMJ36400</v>
          </cell>
          <cell r="D1833" t="str">
            <v>M02</v>
          </cell>
        </row>
        <row r="1834">
          <cell r="A1834" t="str">
            <v>UMJ36450</v>
          </cell>
          <cell r="D1834" t="str">
            <v>M02</v>
          </cell>
        </row>
        <row r="1835">
          <cell r="A1835" t="str">
            <v>UMJ50421</v>
          </cell>
          <cell r="D1835" t="str">
            <v>M02</v>
          </cell>
        </row>
        <row r="1836">
          <cell r="A1836" t="str">
            <v>UMJ50422</v>
          </cell>
          <cell r="D1836" t="str">
            <v>M02</v>
          </cell>
        </row>
        <row r="1837">
          <cell r="A1837" t="str">
            <v>UMJ61634</v>
          </cell>
          <cell r="D1837" t="str">
            <v>M02</v>
          </cell>
        </row>
        <row r="1838">
          <cell r="A1838" t="str">
            <v>UMK52202</v>
          </cell>
          <cell r="D1838" t="str">
            <v>M02</v>
          </cell>
        </row>
        <row r="1839">
          <cell r="A1839" t="str">
            <v>UMK52204</v>
          </cell>
          <cell r="D1839" t="str">
            <v>M02</v>
          </cell>
        </row>
        <row r="1840">
          <cell r="A1840" t="str">
            <v>UMO28110</v>
          </cell>
          <cell r="D1840" t="str">
            <v>M02</v>
          </cell>
        </row>
        <row r="1841">
          <cell r="A1841" t="str">
            <v>UMO28442</v>
          </cell>
          <cell r="D1841" t="str">
            <v>M02</v>
          </cell>
        </row>
        <row r="1842">
          <cell r="A1842" t="str">
            <v>UMO28471</v>
          </cell>
          <cell r="D1842" t="str">
            <v>M02</v>
          </cell>
        </row>
        <row r="1843">
          <cell r="A1843" t="str">
            <v>UMO28474</v>
          </cell>
          <cell r="D1843" t="str">
            <v>M02</v>
          </cell>
        </row>
        <row r="1844">
          <cell r="A1844" t="str">
            <v>UMO28501</v>
          </cell>
          <cell r="D1844" t="str">
            <v>M02</v>
          </cell>
        </row>
        <row r="1845">
          <cell r="A1845" t="str">
            <v>UMO31157</v>
          </cell>
          <cell r="D1845" t="str">
            <v>M02</v>
          </cell>
        </row>
        <row r="1846">
          <cell r="A1846" t="str">
            <v>UMO31165</v>
          </cell>
          <cell r="D1846" t="str">
            <v>M02</v>
          </cell>
        </row>
        <row r="1847">
          <cell r="A1847" t="str">
            <v>UMO31709</v>
          </cell>
          <cell r="D1847" t="str">
            <v>M02</v>
          </cell>
        </row>
        <row r="1848">
          <cell r="A1848" t="str">
            <v>UMO31710</v>
          </cell>
          <cell r="D1848" t="str">
            <v>M02</v>
          </cell>
        </row>
        <row r="1849">
          <cell r="A1849" t="str">
            <v>UMO31711</v>
          </cell>
          <cell r="D1849" t="str">
            <v>M02</v>
          </cell>
        </row>
        <row r="1850">
          <cell r="A1850" t="str">
            <v>UMO33171</v>
          </cell>
          <cell r="D1850" t="str">
            <v>M02</v>
          </cell>
        </row>
        <row r="1851">
          <cell r="A1851" t="str">
            <v>UMO33172</v>
          </cell>
          <cell r="D1851" t="str">
            <v>M02</v>
          </cell>
        </row>
        <row r="1852">
          <cell r="A1852" t="str">
            <v>UMO33174</v>
          </cell>
          <cell r="D1852" t="str">
            <v>M02</v>
          </cell>
        </row>
        <row r="1853">
          <cell r="A1853" t="str">
            <v>UMO33175</v>
          </cell>
          <cell r="D1853" t="str">
            <v>M02</v>
          </cell>
        </row>
        <row r="1854">
          <cell r="A1854" t="str">
            <v>UMO33176</v>
          </cell>
          <cell r="D1854" t="str">
            <v>M02</v>
          </cell>
        </row>
        <row r="1855">
          <cell r="A1855" t="str">
            <v>UMO33178</v>
          </cell>
          <cell r="D1855" t="str">
            <v>M02</v>
          </cell>
        </row>
        <row r="1856">
          <cell r="A1856" t="str">
            <v>UMO33265</v>
          </cell>
          <cell r="D1856" t="str">
            <v>M02</v>
          </cell>
        </row>
        <row r="1857">
          <cell r="A1857" t="str">
            <v>UMO33271</v>
          </cell>
          <cell r="D1857" t="str">
            <v>M02</v>
          </cell>
        </row>
        <row r="1858">
          <cell r="A1858" t="str">
            <v>UMO33273</v>
          </cell>
          <cell r="D1858" t="str">
            <v>M02</v>
          </cell>
        </row>
        <row r="1859">
          <cell r="A1859" t="str">
            <v>UMO33275</v>
          </cell>
          <cell r="D1859" t="str">
            <v>M02</v>
          </cell>
        </row>
        <row r="1860">
          <cell r="A1860" t="str">
            <v>UMO33277</v>
          </cell>
          <cell r="D1860" t="str">
            <v>M02</v>
          </cell>
        </row>
        <row r="1861">
          <cell r="A1861" t="str">
            <v>UMO33301</v>
          </cell>
          <cell r="D1861" t="str">
            <v>M02</v>
          </cell>
        </row>
        <row r="1862">
          <cell r="A1862" t="str">
            <v>UMO33310</v>
          </cell>
          <cell r="D1862" t="str">
            <v>M02</v>
          </cell>
        </row>
        <row r="1863">
          <cell r="A1863" t="str">
            <v>UMO33742</v>
          </cell>
          <cell r="D1863" t="str">
            <v>M02</v>
          </cell>
        </row>
        <row r="1864">
          <cell r="A1864" t="str">
            <v>UMO33744</v>
          </cell>
          <cell r="D1864" t="str">
            <v>M02</v>
          </cell>
        </row>
        <row r="1865">
          <cell r="A1865" t="str">
            <v>UMO42514</v>
          </cell>
          <cell r="D1865" t="str">
            <v>M02</v>
          </cell>
        </row>
        <row r="1866">
          <cell r="A1866" t="str">
            <v>UMO42536</v>
          </cell>
          <cell r="D1866" t="str">
            <v>M02</v>
          </cell>
        </row>
        <row r="1867">
          <cell r="A1867" t="str">
            <v>UMO42542</v>
          </cell>
          <cell r="D1867" t="str">
            <v>M02</v>
          </cell>
        </row>
        <row r="1868">
          <cell r="A1868" t="str">
            <v>UMO42551</v>
          </cell>
          <cell r="D1868" t="str">
            <v>M02</v>
          </cell>
        </row>
        <row r="1869">
          <cell r="A1869" t="str">
            <v>UMO42561</v>
          </cell>
          <cell r="D1869" t="str">
            <v>M02</v>
          </cell>
        </row>
        <row r="1870">
          <cell r="A1870" t="str">
            <v>UMO42580</v>
          </cell>
          <cell r="D1870" t="str">
            <v>M02</v>
          </cell>
        </row>
        <row r="1871">
          <cell r="A1871" t="str">
            <v>UMO42590</v>
          </cell>
          <cell r="D1871" t="str">
            <v>M02</v>
          </cell>
        </row>
        <row r="1872">
          <cell r="A1872" t="str">
            <v>UMO42625</v>
          </cell>
          <cell r="D1872" t="str">
            <v>M02</v>
          </cell>
        </row>
        <row r="1873">
          <cell r="A1873" t="str">
            <v>UMO53004</v>
          </cell>
          <cell r="D1873" t="str">
            <v>M02</v>
          </cell>
        </row>
        <row r="1874">
          <cell r="A1874" t="str">
            <v>UMO53005</v>
          </cell>
          <cell r="D1874" t="str">
            <v>M02</v>
          </cell>
        </row>
        <row r="1875">
          <cell r="A1875" t="str">
            <v>UMR20483</v>
          </cell>
          <cell r="D1875" t="str">
            <v>M02</v>
          </cell>
        </row>
        <row r="1876">
          <cell r="A1876" t="str">
            <v>UMR20484</v>
          </cell>
          <cell r="D1876" t="str">
            <v>M02</v>
          </cell>
        </row>
        <row r="1877">
          <cell r="A1877" t="str">
            <v>UMR20485</v>
          </cell>
          <cell r="D1877" t="str">
            <v>M02</v>
          </cell>
        </row>
        <row r="1878">
          <cell r="A1878" t="str">
            <v>UMR20486</v>
          </cell>
          <cell r="D1878" t="str">
            <v>M02</v>
          </cell>
        </row>
        <row r="1879">
          <cell r="A1879" t="str">
            <v>MGF11545</v>
          </cell>
          <cell r="D1879" t="str">
            <v>M03</v>
          </cell>
        </row>
        <row r="1880">
          <cell r="A1880" t="str">
            <v>MMB40105</v>
          </cell>
          <cell r="D1880" t="str">
            <v>M03</v>
          </cell>
        </row>
        <row r="1881">
          <cell r="A1881" t="str">
            <v>MMB40107</v>
          </cell>
          <cell r="D1881" t="str">
            <v>M03</v>
          </cell>
        </row>
        <row r="1882">
          <cell r="A1882" t="str">
            <v>MMB40108</v>
          </cell>
          <cell r="D1882" t="str">
            <v>M03</v>
          </cell>
        </row>
        <row r="1883">
          <cell r="A1883" t="str">
            <v>MMB41313</v>
          </cell>
          <cell r="D1883" t="str">
            <v>M03</v>
          </cell>
        </row>
        <row r="1884">
          <cell r="A1884" t="str">
            <v>MMB41315</v>
          </cell>
          <cell r="D1884" t="str">
            <v>M03</v>
          </cell>
        </row>
        <row r="1885">
          <cell r="A1885" t="str">
            <v>MMB41317</v>
          </cell>
          <cell r="D1885" t="str">
            <v>M03</v>
          </cell>
        </row>
        <row r="1886">
          <cell r="A1886" t="str">
            <v>MMB41319</v>
          </cell>
          <cell r="D1886" t="str">
            <v>M03</v>
          </cell>
        </row>
        <row r="1887">
          <cell r="A1887" t="str">
            <v>MMB50105</v>
          </cell>
          <cell r="D1887" t="str">
            <v>M03</v>
          </cell>
        </row>
        <row r="1888">
          <cell r="A1888" t="str">
            <v>MMB50107</v>
          </cell>
          <cell r="D1888" t="str">
            <v>M03</v>
          </cell>
        </row>
        <row r="1889">
          <cell r="A1889" t="str">
            <v>MMB50108</v>
          </cell>
          <cell r="D1889" t="str">
            <v>M03</v>
          </cell>
        </row>
        <row r="1890">
          <cell r="A1890" t="str">
            <v>MMB50207</v>
          </cell>
          <cell r="D1890" t="str">
            <v>M03</v>
          </cell>
        </row>
        <row r="1891">
          <cell r="A1891" t="str">
            <v>MMB50208</v>
          </cell>
          <cell r="D1891" t="str">
            <v>M03</v>
          </cell>
        </row>
        <row r="1892">
          <cell r="A1892" t="str">
            <v>MMB50507</v>
          </cell>
          <cell r="D1892" t="str">
            <v>M03</v>
          </cell>
        </row>
        <row r="1893">
          <cell r="A1893" t="str">
            <v>MMB50508</v>
          </cell>
          <cell r="D1893" t="str">
            <v>M03</v>
          </cell>
        </row>
        <row r="1894">
          <cell r="A1894" t="str">
            <v>MMB51106</v>
          </cell>
          <cell r="D1894" t="str">
            <v>M03</v>
          </cell>
        </row>
        <row r="1895">
          <cell r="A1895" t="str">
            <v>MMB51202</v>
          </cell>
          <cell r="D1895" t="str">
            <v>M03</v>
          </cell>
        </row>
        <row r="1896">
          <cell r="A1896" t="str">
            <v>MMB51204</v>
          </cell>
          <cell r="D1896" t="str">
            <v>M03</v>
          </cell>
        </row>
        <row r="1897">
          <cell r="A1897" t="str">
            <v>MMB51607</v>
          </cell>
          <cell r="D1897" t="str">
            <v>M03</v>
          </cell>
        </row>
        <row r="1898">
          <cell r="A1898" t="str">
            <v>MMB51608</v>
          </cell>
          <cell r="D1898" t="str">
            <v>M03</v>
          </cell>
        </row>
        <row r="1899">
          <cell r="A1899" t="str">
            <v>MMB51813</v>
          </cell>
          <cell r="D1899" t="str">
            <v>M03</v>
          </cell>
        </row>
        <row r="1900">
          <cell r="A1900" t="str">
            <v>MMB51815</v>
          </cell>
          <cell r="D1900" t="str">
            <v>M03</v>
          </cell>
        </row>
        <row r="1901">
          <cell r="A1901" t="str">
            <v>MMC71450</v>
          </cell>
          <cell r="D1901" t="str">
            <v>M03</v>
          </cell>
        </row>
        <row r="1902">
          <cell r="A1902" t="str">
            <v>MMC71510</v>
          </cell>
          <cell r="D1902" t="str">
            <v>M03</v>
          </cell>
        </row>
        <row r="1903">
          <cell r="A1903" t="str">
            <v>MMO10515</v>
          </cell>
          <cell r="D1903" t="str">
            <v>M03</v>
          </cell>
        </row>
        <row r="1904">
          <cell r="A1904" t="str">
            <v>MMO22505</v>
          </cell>
          <cell r="D1904" t="str">
            <v>M03</v>
          </cell>
        </row>
        <row r="1905">
          <cell r="A1905" t="str">
            <v>MMO25010</v>
          </cell>
          <cell r="D1905" t="str">
            <v>M03</v>
          </cell>
        </row>
        <row r="1906">
          <cell r="A1906" t="str">
            <v>MMO25012</v>
          </cell>
          <cell r="D1906" t="str">
            <v>M03</v>
          </cell>
        </row>
        <row r="1907">
          <cell r="A1907" t="str">
            <v>MMO25013</v>
          </cell>
          <cell r="D1907" t="str">
            <v>M03</v>
          </cell>
        </row>
        <row r="1908">
          <cell r="A1908" t="str">
            <v>MMO25131</v>
          </cell>
          <cell r="D1908" t="str">
            <v>M03</v>
          </cell>
        </row>
        <row r="1909">
          <cell r="A1909" t="str">
            <v>MMO25138</v>
          </cell>
          <cell r="D1909" t="str">
            <v>M03</v>
          </cell>
        </row>
        <row r="1910">
          <cell r="A1910" t="str">
            <v>MMO31207</v>
          </cell>
          <cell r="D1910" t="str">
            <v>M03</v>
          </cell>
        </row>
        <row r="1911">
          <cell r="A1911" t="str">
            <v>MMO31212</v>
          </cell>
          <cell r="D1911" t="str">
            <v>M03</v>
          </cell>
        </row>
        <row r="1912">
          <cell r="A1912" t="str">
            <v>MMZ52201</v>
          </cell>
          <cell r="D1912" t="str">
            <v>M03</v>
          </cell>
        </row>
        <row r="1913">
          <cell r="A1913" t="str">
            <v>UEA01160</v>
          </cell>
          <cell r="D1913" t="str">
            <v>M03</v>
          </cell>
        </row>
        <row r="1914">
          <cell r="A1914" t="str">
            <v>UMB53115</v>
          </cell>
          <cell r="D1914" t="str">
            <v>M03</v>
          </cell>
        </row>
        <row r="1915">
          <cell r="A1915" t="str">
            <v>UMB53125</v>
          </cell>
          <cell r="D1915" t="str">
            <v>M03</v>
          </cell>
        </row>
        <row r="1916">
          <cell r="A1916" t="str">
            <v>UMC38619</v>
          </cell>
          <cell r="D1916" t="str">
            <v>M03</v>
          </cell>
        </row>
        <row r="1917">
          <cell r="A1917" t="str">
            <v>UMD25357</v>
          </cell>
          <cell r="D1917" t="str">
            <v>M03</v>
          </cell>
        </row>
        <row r="1918">
          <cell r="A1918" t="str">
            <v>UMD25358</v>
          </cell>
          <cell r="D1918" t="str">
            <v>M03</v>
          </cell>
        </row>
        <row r="1919">
          <cell r="A1919" t="str">
            <v>UMD34115</v>
          </cell>
          <cell r="D1919" t="str">
            <v>M03</v>
          </cell>
        </row>
        <row r="1920">
          <cell r="A1920" t="str">
            <v>UMD46402</v>
          </cell>
          <cell r="D1920" t="str">
            <v>M03</v>
          </cell>
        </row>
        <row r="1921">
          <cell r="A1921" t="str">
            <v>UMD46436</v>
          </cell>
          <cell r="D1921" t="str">
            <v>M03</v>
          </cell>
        </row>
        <row r="1922">
          <cell r="A1922" t="str">
            <v>UMD46438</v>
          </cell>
          <cell r="D1922" t="str">
            <v>M03</v>
          </cell>
        </row>
        <row r="1923">
          <cell r="A1923" t="str">
            <v>UMD46439</v>
          </cell>
          <cell r="D1923" t="str">
            <v>M03</v>
          </cell>
        </row>
        <row r="1924">
          <cell r="A1924" t="str">
            <v>UMD52107</v>
          </cell>
          <cell r="D1924" t="str">
            <v>M03</v>
          </cell>
        </row>
        <row r="1925">
          <cell r="A1925" t="str">
            <v>UMD52109</v>
          </cell>
          <cell r="D1925" t="str">
            <v>M03</v>
          </cell>
        </row>
        <row r="1926">
          <cell r="A1926" t="str">
            <v>UME23205</v>
          </cell>
          <cell r="D1926" t="str">
            <v>M03</v>
          </cell>
        </row>
        <row r="1927">
          <cell r="A1927" t="str">
            <v>UME27255</v>
          </cell>
          <cell r="D1927" t="str">
            <v>M03</v>
          </cell>
        </row>
        <row r="1928">
          <cell r="A1928" t="str">
            <v>UME40449</v>
          </cell>
          <cell r="D1928" t="str">
            <v>M03</v>
          </cell>
        </row>
        <row r="1929">
          <cell r="A1929" t="str">
            <v>UME43312</v>
          </cell>
          <cell r="D1929" t="str">
            <v>M03</v>
          </cell>
        </row>
        <row r="1930">
          <cell r="A1930" t="str">
            <v>UME43413</v>
          </cell>
          <cell r="D1930" t="str">
            <v>M03</v>
          </cell>
        </row>
        <row r="1931">
          <cell r="A1931" t="str">
            <v>UME43415</v>
          </cell>
          <cell r="D1931" t="str">
            <v>M03</v>
          </cell>
        </row>
        <row r="1932">
          <cell r="A1932" t="str">
            <v>UME45112</v>
          </cell>
          <cell r="D1932" t="str">
            <v>M03</v>
          </cell>
        </row>
        <row r="1933">
          <cell r="A1933" t="str">
            <v>UME45133</v>
          </cell>
          <cell r="D1933" t="str">
            <v>M03</v>
          </cell>
        </row>
        <row r="1934">
          <cell r="A1934" t="str">
            <v>UME45135</v>
          </cell>
          <cell r="D1934" t="str">
            <v>M03</v>
          </cell>
        </row>
        <row r="1935">
          <cell r="A1935" t="str">
            <v>UME54208</v>
          </cell>
          <cell r="D1935" t="str">
            <v>M03</v>
          </cell>
        </row>
        <row r="1936">
          <cell r="A1936" t="str">
            <v>UME56210</v>
          </cell>
          <cell r="D1936" t="str">
            <v>M03</v>
          </cell>
        </row>
        <row r="1937">
          <cell r="A1937" t="str">
            <v>UME80206</v>
          </cell>
          <cell r="D1937" t="str">
            <v>M03</v>
          </cell>
        </row>
        <row r="1938">
          <cell r="A1938" t="str">
            <v>UMI16521</v>
          </cell>
          <cell r="D1938" t="str">
            <v>M03</v>
          </cell>
        </row>
        <row r="1939">
          <cell r="A1939" t="str">
            <v>UMI18609</v>
          </cell>
          <cell r="D1939" t="str">
            <v>M03</v>
          </cell>
        </row>
        <row r="1940">
          <cell r="A1940" t="str">
            <v>UMI18610</v>
          </cell>
          <cell r="D1940" t="str">
            <v>M03</v>
          </cell>
        </row>
        <row r="1941">
          <cell r="A1941" t="str">
            <v>UMI20744</v>
          </cell>
          <cell r="D1941" t="str">
            <v>M03</v>
          </cell>
        </row>
        <row r="1942">
          <cell r="A1942" t="str">
            <v>UMI20754</v>
          </cell>
          <cell r="D1942" t="str">
            <v>M03</v>
          </cell>
        </row>
        <row r="1943">
          <cell r="A1943" t="str">
            <v>UMI20790</v>
          </cell>
          <cell r="D1943" t="str">
            <v>M03</v>
          </cell>
        </row>
        <row r="1944">
          <cell r="A1944" t="str">
            <v>UMI20792</v>
          </cell>
          <cell r="D1944" t="str">
            <v>M03</v>
          </cell>
        </row>
        <row r="1945">
          <cell r="A1945" t="str">
            <v>UMN34719</v>
          </cell>
          <cell r="D1945" t="str">
            <v>M03</v>
          </cell>
        </row>
        <row r="1946">
          <cell r="A1946" t="str">
            <v>UMO18501</v>
          </cell>
          <cell r="D1946" t="str">
            <v>M03</v>
          </cell>
        </row>
        <row r="1947">
          <cell r="A1947" t="str">
            <v>UMO18502</v>
          </cell>
          <cell r="D1947" t="str">
            <v>M03</v>
          </cell>
        </row>
        <row r="1948">
          <cell r="A1948" t="str">
            <v>UMO21113</v>
          </cell>
          <cell r="D1948" t="str">
            <v>M03</v>
          </cell>
        </row>
        <row r="1949">
          <cell r="A1949" t="str">
            <v>UMO24219</v>
          </cell>
          <cell r="D1949" t="str">
            <v>M03</v>
          </cell>
        </row>
        <row r="1950">
          <cell r="A1950" t="str">
            <v>UMO53032</v>
          </cell>
          <cell r="D1950" t="str">
            <v>M03</v>
          </cell>
        </row>
        <row r="1951">
          <cell r="A1951" t="str">
            <v>UMO53033</v>
          </cell>
          <cell r="D1951" t="str">
            <v>M03</v>
          </cell>
        </row>
        <row r="1952">
          <cell r="A1952" t="str">
            <v>UMO53034</v>
          </cell>
          <cell r="D1952" t="str">
            <v>M03</v>
          </cell>
        </row>
        <row r="1953">
          <cell r="A1953" t="str">
            <v>UMO53035</v>
          </cell>
          <cell r="D1953" t="str">
            <v>M03</v>
          </cell>
        </row>
        <row r="1954">
          <cell r="A1954" t="str">
            <v>UMP20203</v>
          </cell>
          <cell r="D1954" t="str">
            <v>M03</v>
          </cell>
        </row>
        <row r="1955">
          <cell r="A1955" t="str">
            <v>UMP27103</v>
          </cell>
          <cell r="D1955" t="str">
            <v>M03</v>
          </cell>
        </row>
        <row r="1956">
          <cell r="A1956" t="str">
            <v>UMR18221</v>
          </cell>
          <cell r="D1956" t="str">
            <v>M03</v>
          </cell>
        </row>
        <row r="1957">
          <cell r="A1957" t="str">
            <v>UMR18222</v>
          </cell>
          <cell r="D1957" t="str">
            <v>M03</v>
          </cell>
        </row>
        <row r="1958">
          <cell r="A1958" t="str">
            <v>UMR18223</v>
          </cell>
          <cell r="D1958" t="str">
            <v>M03</v>
          </cell>
        </row>
        <row r="1959">
          <cell r="A1959" t="str">
            <v>UMR18224</v>
          </cell>
          <cell r="D1959" t="str">
            <v>M03</v>
          </cell>
        </row>
        <row r="1960">
          <cell r="A1960" t="str">
            <v>UMR18225</v>
          </cell>
          <cell r="D1960" t="str">
            <v>M03</v>
          </cell>
        </row>
        <row r="1961">
          <cell r="A1961" t="str">
            <v>UMR18226</v>
          </cell>
          <cell r="D1961" t="str">
            <v>M03</v>
          </cell>
        </row>
        <row r="1962">
          <cell r="A1962" t="str">
            <v>UMR18227</v>
          </cell>
          <cell r="D1962" t="str">
            <v>M03</v>
          </cell>
        </row>
        <row r="1963">
          <cell r="A1963" t="str">
            <v>UMR18228</v>
          </cell>
          <cell r="D1963" t="str">
            <v>M03</v>
          </cell>
        </row>
        <row r="1964">
          <cell r="A1964" t="str">
            <v>UMR18229</v>
          </cell>
          <cell r="D1964" t="str">
            <v>M03</v>
          </cell>
        </row>
        <row r="1965">
          <cell r="A1965" t="str">
            <v>UMR18261</v>
          </cell>
          <cell r="D1965" t="str">
            <v>M03</v>
          </cell>
        </row>
        <row r="1966">
          <cell r="A1966" t="str">
            <v>UMR18262</v>
          </cell>
          <cell r="D1966" t="str">
            <v>M03</v>
          </cell>
        </row>
        <row r="1967">
          <cell r="A1967" t="str">
            <v>UMZ50116</v>
          </cell>
          <cell r="D1967" t="str">
            <v>M03</v>
          </cell>
        </row>
        <row r="1968">
          <cell r="A1968" t="str">
            <v>UMZ50960</v>
          </cell>
          <cell r="D1968" t="str">
            <v>M03</v>
          </cell>
        </row>
        <row r="1969">
          <cell r="A1969" t="str">
            <v>UTA11040</v>
          </cell>
          <cell r="D1969" t="str">
            <v>M03</v>
          </cell>
        </row>
        <row r="1970">
          <cell r="A1970" t="str">
            <v>UTA11050</v>
          </cell>
          <cell r="D1970" t="str">
            <v>M03</v>
          </cell>
        </row>
        <row r="1971">
          <cell r="A1971" t="str">
            <v>UTA11090</v>
          </cell>
          <cell r="D1971" t="str">
            <v>M03</v>
          </cell>
        </row>
        <row r="1972">
          <cell r="A1972" t="str">
            <v>UTA11110</v>
          </cell>
          <cell r="D1972" t="str">
            <v>M03</v>
          </cell>
        </row>
        <row r="1973">
          <cell r="A1973" t="str">
            <v>UTA11120</v>
          </cell>
          <cell r="D1973" t="str">
            <v>M03</v>
          </cell>
        </row>
        <row r="1974">
          <cell r="A1974" t="str">
            <v>UTA15120</v>
          </cell>
          <cell r="D1974" t="str">
            <v>M03</v>
          </cell>
        </row>
        <row r="1975">
          <cell r="A1975" t="str">
            <v>UTQ20010</v>
          </cell>
          <cell r="D1975" t="str">
            <v>M03</v>
          </cell>
        </row>
        <row r="1976">
          <cell r="A1976" t="str">
            <v>UTQ20050</v>
          </cell>
          <cell r="D1976" t="str">
            <v>M03</v>
          </cell>
        </row>
        <row r="1977">
          <cell r="A1977" t="str">
            <v>MCQ35303</v>
          </cell>
          <cell r="D1977" t="str">
            <v>M04</v>
          </cell>
        </row>
        <row r="1978">
          <cell r="A1978" t="str">
            <v>MCQ35304</v>
          </cell>
          <cell r="D1978" t="str">
            <v>M04</v>
          </cell>
        </row>
        <row r="1979">
          <cell r="A1979" t="str">
            <v>MGF11502</v>
          </cell>
          <cell r="D1979" t="str">
            <v>M04</v>
          </cell>
        </row>
        <row r="1980">
          <cell r="A1980" t="str">
            <v>MMB12212</v>
          </cell>
          <cell r="D1980" t="str">
            <v>M04</v>
          </cell>
        </row>
        <row r="1981">
          <cell r="A1981" t="str">
            <v>MMB40110</v>
          </cell>
          <cell r="D1981" t="str">
            <v>M04</v>
          </cell>
        </row>
        <row r="1982">
          <cell r="A1982" t="str">
            <v>MMB40112</v>
          </cell>
          <cell r="D1982" t="str">
            <v>M04</v>
          </cell>
        </row>
        <row r="1983">
          <cell r="A1983" t="str">
            <v>MMB40208</v>
          </cell>
          <cell r="D1983" t="str">
            <v>M04</v>
          </cell>
        </row>
        <row r="1984">
          <cell r="A1984" t="str">
            <v>MMB40210</v>
          </cell>
          <cell r="D1984" t="str">
            <v>M04</v>
          </cell>
        </row>
        <row r="1985">
          <cell r="A1985" t="str">
            <v>MMB40212</v>
          </cell>
          <cell r="D1985" t="str">
            <v>M04</v>
          </cell>
        </row>
        <row r="1986">
          <cell r="A1986" t="str">
            <v>MMB40213</v>
          </cell>
          <cell r="D1986" t="str">
            <v>M04</v>
          </cell>
        </row>
        <row r="1987">
          <cell r="A1987" t="str">
            <v>MMB40308</v>
          </cell>
          <cell r="D1987" t="str">
            <v>M04</v>
          </cell>
        </row>
        <row r="1988">
          <cell r="A1988" t="str">
            <v>MMB40310</v>
          </cell>
          <cell r="D1988" t="str">
            <v>M04</v>
          </cell>
        </row>
        <row r="1989">
          <cell r="A1989" t="str">
            <v>MMB40312</v>
          </cell>
          <cell r="D1989" t="str">
            <v>M04</v>
          </cell>
        </row>
        <row r="1990">
          <cell r="A1990" t="str">
            <v>MMB40313</v>
          </cell>
          <cell r="D1990" t="str">
            <v>M04</v>
          </cell>
        </row>
        <row r="1991">
          <cell r="A1991" t="str">
            <v>MMB41419</v>
          </cell>
          <cell r="D1991" t="str">
            <v>M04</v>
          </cell>
        </row>
        <row r="1992">
          <cell r="A1992" t="str">
            <v>MMB50205</v>
          </cell>
          <cell r="D1992" t="str">
            <v>M04</v>
          </cell>
        </row>
        <row r="1993">
          <cell r="A1993" t="str">
            <v>MMB53008</v>
          </cell>
          <cell r="D1993" t="str">
            <v>M04</v>
          </cell>
        </row>
        <row r="1994">
          <cell r="A1994" t="str">
            <v>MML20353</v>
          </cell>
          <cell r="D1994" t="str">
            <v>M04</v>
          </cell>
        </row>
        <row r="1995">
          <cell r="A1995" t="str">
            <v>MML20354</v>
          </cell>
          <cell r="D1995" t="str">
            <v>M04</v>
          </cell>
        </row>
        <row r="1996">
          <cell r="A1996" t="str">
            <v>MML31200</v>
          </cell>
          <cell r="D1996" t="str">
            <v>M04</v>
          </cell>
        </row>
        <row r="1997">
          <cell r="A1997" t="str">
            <v>MML40600</v>
          </cell>
          <cell r="D1997" t="str">
            <v>M04</v>
          </cell>
        </row>
        <row r="1998">
          <cell r="A1998" t="str">
            <v>MMO10519</v>
          </cell>
          <cell r="D1998" t="str">
            <v>M04</v>
          </cell>
        </row>
        <row r="1999">
          <cell r="A1999" t="str">
            <v>MMO25019</v>
          </cell>
          <cell r="D1999" t="str">
            <v>M04</v>
          </cell>
        </row>
        <row r="2000">
          <cell r="A2000" t="str">
            <v>MMO25158</v>
          </cell>
          <cell r="D2000" t="str">
            <v>M04</v>
          </cell>
        </row>
        <row r="2001">
          <cell r="A2001" t="str">
            <v>MMO25160</v>
          </cell>
          <cell r="D2001" t="str">
            <v>M04</v>
          </cell>
        </row>
        <row r="2002">
          <cell r="A2002" t="str">
            <v>MMO25162</v>
          </cell>
          <cell r="D2002" t="str">
            <v>M04</v>
          </cell>
        </row>
        <row r="2003">
          <cell r="A2003" t="str">
            <v>MMO25163</v>
          </cell>
          <cell r="D2003" t="str">
            <v>M04</v>
          </cell>
        </row>
        <row r="2004">
          <cell r="A2004" t="str">
            <v>MMO25165</v>
          </cell>
          <cell r="D2004" t="str">
            <v>M04</v>
          </cell>
        </row>
        <row r="2005">
          <cell r="A2005" t="str">
            <v>MMO25167</v>
          </cell>
          <cell r="D2005" t="str">
            <v>M04</v>
          </cell>
        </row>
        <row r="2006">
          <cell r="A2006" t="str">
            <v>MMO25403</v>
          </cell>
          <cell r="D2006" t="str">
            <v>M04</v>
          </cell>
        </row>
        <row r="2007">
          <cell r="A2007" t="str">
            <v>MMO25404</v>
          </cell>
          <cell r="D2007" t="str">
            <v>M04</v>
          </cell>
        </row>
        <row r="2008">
          <cell r="A2008" t="str">
            <v>MMO25405</v>
          </cell>
          <cell r="D2008" t="str">
            <v>M04</v>
          </cell>
        </row>
        <row r="2009">
          <cell r="A2009" t="str">
            <v>MMO25413</v>
          </cell>
          <cell r="D2009" t="str">
            <v>M04</v>
          </cell>
        </row>
        <row r="2010">
          <cell r="A2010" t="str">
            <v>MMO25414</v>
          </cell>
          <cell r="D2010" t="str">
            <v>M04</v>
          </cell>
        </row>
        <row r="2011">
          <cell r="A2011" t="str">
            <v>MMO25424</v>
          </cell>
          <cell r="D2011" t="str">
            <v>M04</v>
          </cell>
        </row>
        <row r="2012">
          <cell r="A2012" t="str">
            <v>MMO25425</v>
          </cell>
          <cell r="D2012" t="str">
            <v>M04</v>
          </cell>
        </row>
        <row r="2013">
          <cell r="A2013" t="str">
            <v>MMO25435</v>
          </cell>
          <cell r="D2013" t="str">
            <v>M04</v>
          </cell>
        </row>
        <row r="2014">
          <cell r="A2014" t="str">
            <v>MMO31922</v>
          </cell>
          <cell r="D2014" t="str">
            <v>M04</v>
          </cell>
        </row>
        <row r="2015">
          <cell r="A2015" t="str">
            <v>MMO53126</v>
          </cell>
          <cell r="D2015" t="str">
            <v>M04</v>
          </cell>
        </row>
        <row r="2016">
          <cell r="A2016" t="str">
            <v>UMA45709</v>
          </cell>
          <cell r="D2016" t="str">
            <v>M04</v>
          </cell>
        </row>
        <row r="2017">
          <cell r="A2017" t="str">
            <v>UMA52280</v>
          </cell>
          <cell r="D2017" t="str">
            <v>M04</v>
          </cell>
        </row>
        <row r="2018">
          <cell r="A2018" t="str">
            <v>UMD19610</v>
          </cell>
          <cell r="D2018" t="str">
            <v>M04</v>
          </cell>
        </row>
        <row r="2019">
          <cell r="A2019" t="str">
            <v>UMD22339</v>
          </cell>
          <cell r="D2019" t="str">
            <v>M04</v>
          </cell>
        </row>
        <row r="2020">
          <cell r="A2020" t="str">
            <v>UMD22359</v>
          </cell>
          <cell r="D2020" t="str">
            <v>M04</v>
          </cell>
        </row>
        <row r="2021">
          <cell r="A2021" t="str">
            <v>UMD46447</v>
          </cell>
          <cell r="D2021" t="str">
            <v>M04</v>
          </cell>
        </row>
        <row r="2022">
          <cell r="A2022" t="str">
            <v>UME13419</v>
          </cell>
          <cell r="D2022" t="str">
            <v>M04</v>
          </cell>
        </row>
        <row r="2023">
          <cell r="A2023" t="str">
            <v>UME40613</v>
          </cell>
          <cell r="D2023" t="str">
            <v>M04</v>
          </cell>
        </row>
        <row r="2024">
          <cell r="A2024" t="str">
            <v>UME40616</v>
          </cell>
          <cell r="D2024" t="str">
            <v>M04</v>
          </cell>
        </row>
        <row r="2025">
          <cell r="A2025" t="str">
            <v>UME82305</v>
          </cell>
          <cell r="D2025" t="str">
            <v>M04</v>
          </cell>
        </row>
        <row r="2026">
          <cell r="A2026" t="str">
            <v>UMJ24501</v>
          </cell>
          <cell r="D2026" t="str">
            <v>M04</v>
          </cell>
        </row>
        <row r="2027">
          <cell r="A2027" t="str">
            <v>UMJ50226</v>
          </cell>
          <cell r="D2027" t="str">
            <v>M04</v>
          </cell>
        </row>
        <row r="2028">
          <cell r="A2028" t="str">
            <v>UMJ50228</v>
          </cell>
          <cell r="D2028" t="str">
            <v>M04</v>
          </cell>
        </row>
        <row r="2029">
          <cell r="A2029" t="str">
            <v>UMJ61237</v>
          </cell>
          <cell r="D2029" t="str">
            <v>M04</v>
          </cell>
        </row>
        <row r="2030">
          <cell r="A2030" t="str">
            <v>UMK32010</v>
          </cell>
          <cell r="D2030" t="str">
            <v>M04</v>
          </cell>
        </row>
        <row r="2031">
          <cell r="A2031" t="str">
            <v>UMK32020</v>
          </cell>
          <cell r="D2031" t="str">
            <v>M04</v>
          </cell>
        </row>
        <row r="2032">
          <cell r="A2032" t="str">
            <v>UMK34235</v>
          </cell>
          <cell r="D2032" t="str">
            <v>M04</v>
          </cell>
        </row>
        <row r="2033">
          <cell r="A2033" t="str">
            <v>UMK34241</v>
          </cell>
          <cell r="D2033" t="str">
            <v>M04</v>
          </cell>
        </row>
        <row r="2034">
          <cell r="A2034" t="str">
            <v>UMK34302</v>
          </cell>
          <cell r="D2034" t="str">
            <v>M04</v>
          </cell>
        </row>
        <row r="2035">
          <cell r="A2035" t="str">
            <v>UMK40210</v>
          </cell>
          <cell r="D2035" t="str">
            <v>M04</v>
          </cell>
        </row>
        <row r="2036">
          <cell r="A2036" t="str">
            <v>UMK40212</v>
          </cell>
          <cell r="D2036" t="str">
            <v>M04</v>
          </cell>
        </row>
        <row r="2037">
          <cell r="A2037" t="str">
            <v>UMK40215</v>
          </cell>
          <cell r="D2037" t="str">
            <v>M04</v>
          </cell>
        </row>
        <row r="2038">
          <cell r="A2038" t="str">
            <v>UMK40220</v>
          </cell>
          <cell r="D2038" t="str">
            <v>M04</v>
          </cell>
        </row>
        <row r="2039">
          <cell r="A2039" t="str">
            <v>UMK40222</v>
          </cell>
          <cell r="D2039" t="str">
            <v>M04</v>
          </cell>
        </row>
        <row r="2040">
          <cell r="A2040" t="str">
            <v>UMK40250</v>
          </cell>
          <cell r="D2040" t="str">
            <v>M04</v>
          </cell>
        </row>
        <row r="2041">
          <cell r="A2041" t="str">
            <v>UMK40252</v>
          </cell>
          <cell r="D2041" t="str">
            <v>M04</v>
          </cell>
        </row>
        <row r="2042">
          <cell r="A2042" t="str">
            <v>UMK40260</v>
          </cell>
          <cell r="D2042" t="str">
            <v>M04</v>
          </cell>
        </row>
        <row r="2043">
          <cell r="A2043" t="str">
            <v>UMK40300</v>
          </cell>
          <cell r="D2043" t="str">
            <v>M04</v>
          </cell>
        </row>
        <row r="2044">
          <cell r="A2044" t="str">
            <v>UMK40310</v>
          </cell>
          <cell r="D2044" t="str">
            <v>M04</v>
          </cell>
        </row>
        <row r="2045">
          <cell r="A2045" t="str">
            <v>UMK40315</v>
          </cell>
          <cell r="D2045" t="str">
            <v>M04</v>
          </cell>
        </row>
        <row r="2046">
          <cell r="A2046" t="str">
            <v>UMK40320</v>
          </cell>
          <cell r="D2046" t="str">
            <v>M04</v>
          </cell>
        </row>
        <row r="2047">
          <cell r="A2047" t="str">
            <v>UMK40400</v>
          </cell>
          <cell r="D2047" t="str">
            <v>M04</v>
          </cell>
        </row>
        <row r="2048">
          <cell r="A2048" t="str">
            <v>UMK40410</v>
          </cell>
          <cell r="D2048" t="str">
            <v>M04</v>
          </cell>
        </row>
        <row r="2049">
          <cell r="A2049" t="str">
            <v>UML10116</v>
          </cell>
          <cell r="D2049" t="str">
            <v>M04</v>
          </cell>
        </row>
        <row r="2050">
          <cell r="A2050" t="str">
            <v>UML10501</v>
          </cell>
          <cell r="D2050" t="str">
            <v>M04</v>
          </cell>
        </row>
        <row r="2051">
          <cell r="A2051" t="str">
            <v>UML10560</v>
          </cell>
          <cell r="D2051" t="str">
            <v>M04</v>
          </cell>
        </row>
        <row r="2052">
          <cell r="A2052" t="str">
            <v>UML20201</v>
          </cell>
          <cell r="D2052" t="str">
            <v>M04</v>
          </cell>
        </row>
        <row r="2053">
          <cell r="A2053" t="str">
            <v>UML20203</v>
          </cell>
          <cell r="D2053" t="str">
            <v>M04</v>
          </cell>
        </row>
        <row r="2054">
          <cell r="A2054" t="str">
            <v>UML20353</v>
          </cell>
          <cell r="D2054" t="str">
            <v>M04</v>
          </cell>
        </row>
        <row r="2055">
          <cell r="A2055" t="str">
            <v>UML20354</v>
          </cell>
          <cell r="D2055" t="str">
            <v>M04</v>
          </cell>
        </row>
        <row r="2056">
          <cell r="A2056" t="str">
            <v>UML20360</v>
          </cell>
          <cell r="D2056" t="str">
            <v>M04</v>
          </cell>
        </row>
        <row r="2057">
          <cell r="A2057" t="str">
            <v>UML20710</v>
          </cell>
          <cell r="D2057" t="str">
            <v>M04</v>
          </cell>
        </row>
        <row r="2058">
          <cell r="A2058" t="str">
            <v>UML30220</v>
          </cell>
          <cell r="D2058" t="str">
            <v>M04</v>
          </cell>
        </row>
        <row r="2059">
          <cell r="A2059" t="str">
            <v>UML31100</v>
          </cell>
          <cell r="D2059" t="str">
            <v>M04</v>
          </cell>
        </row>
        <row r="2060">
          <cell r="A2060" t="str">
            <v>UMN30417</v>
          </cell>
          <cell r="D2060" t="str">
            <v>M04</v>
          </cell>
        </row>
        <row r="2061">
          <cell r="A2061" t="str">
            <v>UMO21153</v>
          </cell>
          <cell r="D2061" t="str">
            <v>M04</v>
          </cell>
        </row>
        <row r="2062">
          <cell r="A2062" t="str">
            <v>UMO28926</v>
          </cell>
          <cell r="D2062" t="str">
            <v>M04</v>
          </cell>
        </row>
        <row r="2063">
          <cell r="A2063" t="str">
            <v>UMO31155</v>
          </cell>
          <cell r="D2063" t="str">
            <v>M04</v>
          </cell>
        </row>
        <row r="2064">
          <cell r="A2064" t="str">
            <v>UMO31708</v>
          </cell>
          <cell r="D2064" t="str">
            <v>M04</v>
          </cell>
        </row>
        <row r="2065">
          <cell r="A2065" t="str">
            <v>UMO33950</v>
          </cell>
          <cell r="D2065" t="str">
            <v>M04</v>
          </cell>
        </row>
        <row r="2066">
          <cell r="A2066" t="str">
            <v>UMR12349</v>
          </cell>
          <cell r="D2066" t="str">
            <v>M04</v>
          </cell>
        </row>
        <row r="2067">
          <cell r="A2067" t="str">
            <v>UMR13367</v>
          </cell>
          <cell r="D2067" t="str">
            <v>M04</v>
          </cell>
        </row>
        <row r="2068">
          <cell r="A2068" t="str">
            <v>UMR13379</v>
          </cell>
          <cell r="D2068" t="str">
            <v>M04</v>
          </cell>
        </row>
        <row r="2069">
          <cell r="A2069" t="str">
            <v>UMR16119</v>
          </cell>
          <cell r="D2069" t="str">
            <v>M04</v>
          </cell>
        </row>
        <row r="2070">
          <cell r="A2070" t="str">
            <v>UMR16627</v>
          </cell>
          <cell r="D2070" t="str">
            <v>M04</v>
          </cell>
        </row>
        <row r="2071">
          <cell r="A2071" t="str">
            <v>UMR18625</v>
          </cell>
          <cell r="D2071" t="str">
            <v>M04</v>
          </cell>
        </row>
        <row r="2072">
          <cell r="A2072" t="str">
            <v>UMR18627</v>
          </cell>
          <cell r="D2072" t="str">
            <v>M04</v>
          </cell>
        </row>
        <row r="2073">
          <cell r="A2073" t="str">
            <v>UMR18628</v>
          </cell>
          <cell r="D2073" t="str">
            <v>M04</v>
          </cell>
        </row>
        <row r="2074">
          <cell r="A2074" t="str">
            <v>UMR18629</v>
          </cell>
          <cell r="D2074" t="str">
            <v>M04</v>
          </cell>
        </row>
        <row r="2075">
          <cell r="A2075" t="str">
            <v>UMR18655</v>
          </cell>
          <cell r="D2075" t="str">
            <v>M04</v>
          </cell>
        </row>
        <row r="2076">
          <cell r="A2076" t="str">
            <v>UMR18656</v>
          </cell>
          <cell r="D2076" t="str">
            <v>M04</v>
          </cell>
        </row>
        <row r="2077">
          <cell r="A2077" t="str">
            <v>UMR18657</v>
          </cell>
          <cell r="D2077" t="str">
            <v>M04</v>
          </cell>
        </row>
        <row r="2078">
          <cell r="A2078" t="str">
            <v>UMR18658</v>
          </cell>
          <cell r="D2078" t="str">
            <v>M04</v>
          </cell>
        </row>
        <row r="2079">
          <cell r="A2079" t="str">
            <v>UMZ50120</v>
          </cell>
          <cell r="D2079" t="str">
            <v>M04</v>
          </cell>
        </row>
        <row r="2080">
          <cell r="A2080" t="str">
            <v>AAD42031</v>
          </cell>
          <cell r="D2080" t="str">
            <v>M05</v>
          </cell>
        </row>
        <row r="2081">
          <cell r="A2081" t="str">
            <v>BGZ05050</v>
          </cell>
          <cell r="D2081" t="str">
            <v>M05</v>
          </cell>
        </row>
        <row r="2082">
          <cell r="A2082" t="str">
            <v>BMC02005</v>
          </cell>
          <cell r="D2082" t="str">
            <v>M05</v>
          </cell>
        </row>
        <row r="2083">
          <cell r="A2083" t="str">
            <v>BMC03008</v>
          </cell>
          <cell r="D2083" t="str">
            <v>M05</v>
          </cell>
        </row>
        <row r="2084">
          <cell r="A2084" t="str">
            <v>BMC04001</v>
          </cell>
          <cell r="D2084" t="str">
            <v>M05</v>
          </cell>
        </row>
        <row r="2085">
          <cell r="A2085" t="str">
            <v>MAH80709</v>
          </cell>
          <cell r="D2085" t="str">
            <v>M05</v>
          </cell>
        </row>
        <row r="2086">
          <cell r="A2086" t="str">
            <v>MEA23200</v>
          </cell>
          <cell r="D2086" t="str">
            <v>M05</v>
          </cell>
        </row>
        <row r="2087">
          <cell r="A2087" t="str">
            <v>MEA60010</v>
          </cell>
          <cell r="D2087" t="str">
            <v>M05</v>
          </cell>
        </row>
        <row r="2088">
          <cell r="A2088" t="str">
            <v>MEJ08230</v>
          </cell>
          <cell r="D2088" t="str">
            <v>M05</v>
          </cell>
        </row>
        <row r="2089">
          <cell r="A2089" t="str">
            <v>MMB12115</v>
          </cell>
          <cell r="D2089" t="str">
            <v>M05</v>
          </cell>
        </row>
        <row r="2090">
          <cell r="A2090" t="str">
            <v>MMB12117</v>
          </cell>
          <cell r="D2090" t="str">
            <v>M05</v>
          </cell>
        </row>
        <row r="2091">
          <cell r="A2091" t="str">
            <v>MMB12119</v>
          </cell>
          <cell r="D2091" t="str">
            <v>M05</v>
          </cell>
        </row>
        <row r="2092">
          <cell r="A2092" t="str">
            <v>MMB12213</v>
          </cell>
          <cell r="D2092" t="str">
            <v>M05</v>
          </cell>
        </row>
        <row r="2093">
          <cell r="A2093" t="str">
            <v>MMB12313</v>
          </cell>
          <cell r="D2093" t="str">
            <v>M05</v>
          </cell>
        </row>
        <row r="2094">
          <cell r="A2094" t="str">
            <v>MMB12415</v>
          </cell>
          <cell r="D2094" t="str">
            <v>M05</v>
          </cell>
        </row>
        <row r="2095">
          <cell r="A2095" t="str">
            <v>MMB12417</v>
          </cell>
          <cell r="D2095" t="str">
            <v>M05</v>
          </cell>
        </row>
        <row r="2096">
          <cell r="A2096" t="str">
            <v>MMB12419</v>
          </cell>
          <cell r="D2096" t="str">
            <v>M05</v>
          </cell>
        </row>
        <row r="2097">
          <cell r="A2097" t="str">
            <v>MMB12513</v>
          </cell>
          <cell r="D2097" t="str">
            <v>M05</v>
          </cell>
        </row>
        <row r="2098">
          <cell r="A2098" t="str">
            <v>MMB12815</v>
          </cell>
          <cell r="D2098" t="str">
            <v>M05</v>
          </cell>
        </row>
        <row r="2099">
          <cell r="A2099" t="str">
            <v>MMB12817</v>
          </cell>
          <cell r="D2099" t="str">
            <v>M05</v>
          </cell>
        </row>
        <row r="2100">
          <cell r="A2100" t="str">
            <v>MMB12819</v>
          </cell>
          <cell r="D2100" t="str">
            <v>M05</v>
          </cell>
        </row>
        <row r="2101">
          <cell r="A2101" t="str">
            <v>MMB13112</v>
          </cell>
          <cell r="D2101" t="str">
            <v>M05</v>
          </cell>
        </row>
        <row r="2102">
          <cell r="A2102" t="str">
            <v>MMB13113</v>
          </cell>
          <cell r="D2102" t="str">
            <v>M05</v>
          </cell>
        </row>
        <row r="2103">
          <cell r="A2103" t="str">
            <v>MMB26419</v>
          </cell>
          <cell r="D2103" t="str">
            <v>M05</v>
          </cell>
        </row>
        <row r="2104">
          <cell r="A2104" t="str">
            <v>MMB33111</v>
          </cell>
          <cell r="D2104" t="str">
            <v>M05</v>
          </cell>
        </row>
        <row r="2105">
          <cell r="A2105" t="str">
            <v>MMB35051</v>
          </cell>
          <cell r="D2105" t="str">
            <v>M05</v>
          </cell>
        </row>
        <row r="2106">
          <cell r="A2106" t="str">
            <v>MMB35101</v>
          </cell>
          <cell r="D2106" t="str">
            <v>M05</v>
          </cell>
        </row>
        <row r="2107">
          <cell r="A2107" t="str">
            <v>MMB35131</v>
          </cell>
          <cell r="D2107" t="str">
            <v>M05</v>
          </cell>
        </row>
        <row r="2108">
          <cell r="A2108" t="str">
            <v>MMB35133</v>
          </cell>
          <cell r="D2108" t="str">
            <v>M05</v>
          </cell>
        </row>
        <row r="2109">
          <cell r="A2109" t="str">
            <v>MMB35141</v>
          </cell>
          <cell r="D2109" t="str">
            <v>M05</v>
          </cell>
        </row>
        <row r="2110">
          <cell r="A2110" t="str">
            <v>MMB35142</v>
          </cell>
          <cell r="D2110" t="str">
            <v>M05</v>
          </cell>
        </row>
        <row r="2111">
          <cell r="A2111" t="str">
            <v>MMB35171</v>
          </cell>
          <cell r="D2111" t="str">
            <v>M05</v>
          </cell>
        </row>
        <row r="2112">
          <cell r="A2112" t="str">
            <v>MMB35173</v>
          </cell>
          <cell r="D2112" t="str">
            <v>M05</v>
          </cell>
        </row>
        <row r="2113">
          <cell r="A2113" t="str">
            <v>MMB35175</v>
          </cell>
          <cell r="D2113" t="str">
            <v>M05</v>
          </cell>
        </row>
        <row r="2114">
          <cell r="A2114" t="str">
            <v>MMB35179</v>
          </cell>
          <cell r="D2114" t="str">
            <v>M05</v>
          </cell>
        </row>
        <row r="2115">
          <cell r="A2115" t="str">
            <v>MMB35181</v>
          </cell>
          <cell r="D2115" t="str">
            <v>M05</v>
          </cell>
        </row>
        <row r="2116">
          <cell r="A2116" t="str">
            <v>MMB35201</v>
          </cell>
          <cell r="D2116" t="str">
            <v>M05</v>
          </cell>
        </row>
        <row r="2117">
          <cell r="A2117" t="str">
            <v>MMB35362</v>
          </cell>
          <cell r="D2117" t="str">
            <v>M05</v>
          </cell>
        </row>
        <row r="2118">
          <cell r="A2118" t="str">
            <v>MMB35363</v>
          </cell>
          <cell r="D2118" t="str">
            <v>M05</v>
          </cell>
        </row>
        <row r="2119">
          <cell r="A2119" t="str">
            <v>MMB35410</v>
          </cell>
          <cell r="D2119" t="str">
            <v>M05</v>
          </cell>
        </row>
        <row r="2120">
          <cell r="A2120" t="str">
            <v>MMB40115</v>
          </cell>
          <cell r="D2120" t="str">
            <v>M05</v>
          </cell>
        </row>
        <row r="2121">
          <cell r="A2121" t="str">
            <v>MMB40117</v>
          </cell>
          <cell r="D2121" t="str">
            <v>M05</v>
          </cell>
        </row>
        <row r="2122">
          <cell r="A2122" t="str">
            <v>MMB40119</v>
          </cell>
          <cell r="D2122" t="str">
            <v>M05</v>
          </cell>
        </row>
        <row r="2123">
          <cell r="A2123" t="str">
            <v>MMB40207</v>
          </cell>
          <cell r="D2123" t="str">
            <v>M05</v>
          </cell>
        </row>
        <row r="2124">
          <cell r="A2124" t="str">
            <v>MMB40215</v>
          </cell>
          <cell r="D2124" t="str">
            <v>M05</v>
          </cell>
        </row>
        <row r="2125">
          <cell r="A2125" t="str">
            <v>MMB40217</v>
          </cell>
          <cell r="D2125" t="str">
            <v>M05</v>
          </cell>
        </row>
        <row r="2126">
          <cell r="A2126" t="str">
            <v>MMB40219</v>
          </cell>
          <cell r="D2126" t="str">
            <v>M05</v>
          </cell>
        </row>
        <row r="2127">
          <cell r="A2127" t="str">
            <v>MMB40307</v>
          </cell>
          <cell r="D2127" t="str">
            <v>M05</v>
          </cell>
        </row>
        <row r="2128">
          <cell r="A2128" t="str">
            <v>MMB40315</v>
          </cell>
          <cell r="D2128" t="str">
            <v>M05</v>
          </cell>
        </row>
        <row r="2129">
          <cell r="A2129" t="str">
            <v>MMB40317</v>
          </cell>
          <cell r="D2129" t="str">
            <v>M05</v>
          </cell>
        </row>
        <row r="2130">
          <cell r="A2130" t="str">
            <v>MMB40319</v>
          </cell>
          <cell r="D2130" t="str">
            <v>M05</v>
          </cell>
        </row>
        <row r="2131">
          <cell r="A2131" t="str">
            <v>MMB40405</v>
          </cell>
          <cell r="D2131" t="str">
            <v>M05</v>
          </cell>
        </row>
        <row r="2132">
          <cell r="A2132" t="str">
            <v>MMB40407</v>
          </cell>
          <cell r="D2132" t="str">
            <v>M05</v>
          </cell>
        </row>
        <row r="2133">
          <cell r="A2133" t="str">
            <v>MMB40408</v>
          </cell>
          <cell r="D2133" t="str">
            <v>M05</v>
          </cell>
        </row>
        <row r="2134">
          <cell r="A2134" t="str">
            <v>MMB40410</v>
          </cell>
          <cell r="D2134" t="str">
            <v>M05</v>
          </cell>
        </row>
        <row r="2135">
          <cell r="A2135" t="str">
            <v>MMB40412</v>
          </cell>
          <cell r="D2135" t="str">
            <v>M05</v>
          </cell>
        </row>
        <row r="2136">
          <cell r="A2136" t="str">
            <v>MMB40415</v>
          </cell>
          <cell r="D2136" t="str">
            <v>M05</v>
          </cell>
        </row>
        <row r="2137">
          <cell r="A2137" t="str">
            <v>MMB40417</v>
          </cell>
          <cell r="D2137" t="str">
            <v>M05</v>
          </cell>
        </row>
        <row r="2138">
          <cell r="A2138" t="str">
            <v>MMB40419</v>
          </cell>
          <cell r="D2138" t="str">
            <v>M05</v>
          </cell>
        </row>
        <row r="2139">
          <cell r="A2139" t="str">
            <v>MMB40507</v>
          </cell>
          <cell r="D2139" t="str">
            <v>M05</v>
          </cell>
        </row>
        <row r="2140">
          <cell r="A2140" t="str">
            <v>MMB40508</v>
          </cell>
          <cell r="D2140" t="str">
            <v>M05</v>
          </cell>
        </row>
        <row r="2141">
          <cell r="A2141" t="str">
            <v>MMB40513</v>
          </cell>
          <cell r="D2141" t="str">
            <v>M05</v>
          </cell>
        </row>
        <row r="2142">
          <cell r="A2142" t="str">
            <v>MMB40950</v>
          </cell>
          <cell r="D2142" t="str">
            <v>M05</v>
          </cell>
        </row>
        <row r="2143">
          <cell r="A2143" t="str">
            <v>MMB40951</v>
          </cell>
          <cell r="D2143" t="str">
            <v>M05</v>
          </cell>
        </row>
        <row r="2144">
          <cell r="A2144" t="str">
            <v>MMB40952</v>
          </cell>
          <cell r="D2144" t="str">
            <v>M05</v>
          </cell>
        </row>
        <row r="2145">
          <cell r="A2145" t="str">
            <v>MMB40954</v>
          </cell>
          <cell r="D2145" t="str">
            <v>M05</v>
          </cell>
        </row>
        <row r="2146">
          <cell r="A2146" t="str">
            <v>MMB50110</v>
          </cell>
          <cell r="D2146" t="str">
            <v>M05</v>
          </cell>
        </row>
        <row r="2147">
          <cell r="A2147" t="str">
            <v>MMB50112</v>
          </cell>
          <cell r="D2147" t="str">
            <v>M05</v>
          </cell>
        </row>
        <row r="2148">
          <cell r="A2148" t="str">
            <v>MMB50113</v>
          </cell>
          <cell r="D2148" t="str">
            <v>M05</v>
          </cell>
        </row>
        <row r="2149">
          <cell r="A2149" t="str">
            <v>MMB50210</v>
          </cell>
          <cell r="D2149" t="str">
            <v>M05</v>
          </cell>
        </row>
        <row r="2150">
          <cell r="A2150" t="str">
            <v>MMB50213</v>
          </cell>
          <cell r="D2150" t="str">
            <v>M05</v>
          </cell>
        </row>
        <row r="2151">
          <cell r="A2151" t="str">
            <v>MMB50505</v>
          </cell>
          <cell r="D2151" t="str">
            <v>M05</v>
          </cell>
        </row>
        <row r="2152">
          <cell r="A2152" t="str">
            <v>MMB50510</v>
          </cell>
          <cell r="D2152" t="str">
            <v>M05</v>
          </cell>
        </row>
        <row r="2153">
          <cell r="A2153" t="str">
            <v>MMB50513</v>
          </cell>
          <cell r="D2153" t="str">
            <v>M05</v>
          </cell>
        </row>
        <row r="2154">
          <cell r="A2154" t="str">
            <v>MMC33212</v>
          </cell>
          <cell r="D2154" t="str">
            <v>M05</v>
          </cell>
        </row>
        <row r="2155">
          <cell r="A2155" t="str">
            <v>MMC33338</v>
          </cell>
          <cell r="D2155" t="str">
            <v>M05</v>
          </cell>
        </row>
        <row r="2156">
          <cell r="A2156" t="str">
            <v>MMC33339</v>
          </cell>
          <cell r="D2156" t="str">
            <v>M05</v>
          </cell>
        </row>
        <row r="2157">
          <cell r="A2157" t="str">
            <v>MMC33408</v>
          </cell>
          <cell r="D2157" t="str">
            <v>M05</v>
          </cell>
        </row>
        <row r="2158">
          <cell r="A2158" t="str">
            <v>MMC33412</v>
          </cell>
          <cell r="D2158" t="str">
            <v>M05</v>
          </cell>
        </row>
        <row r="2159">
          <cell r="A2159" t="str">
            <v>MMC37112</v>
          </cell>
          <cell r="D2159" t="str">
            <v>M05</v>
          </cell>
        </row>
        <row r="2160">
          <cell r="A2160" t="str">
            <v>MMC37210</v>
          </cell>
          <cell r="D2160" t="str">
            <v>M05</v>
          </cell>
        </row>
        <row r="2161">
          <cell r="A2161" t="str">
            <v>MMC37212</v>
          </cell>
          <cell r="D2161" t="str">
            <v>M05</v>
          </cell>
        </row>
        <row r="2162">
          <cell r="A2162" t="str">
            <v>MMC37351</v>
          </cell>
          <cell r="D2162" t="str">
            <v>M05</v>
          </cell>
        </row>
        <row r="2163">
          <cell r="A2163" t="str">
            <v>MMC37439</v>
          </cell>
          <cell r="D2163" t="str">
            <v>M05</v>
          </cell>
        </row>
        <row r="2164">
          <cell r="A2164" t="str">
            <v>MMC37448</v>
          </cell>
          <cell r="D2164" t="str">
            <v>M05</v>
          </cell>
        </row>
        <row r="2165">
          <cell r="A2165" t="str">
            <v>MMC37452</v>
          </cell>
          <cell r="D2165" t="str">
            <v>M05</v>
          </cell>
        </row>
        <row r="2166">
          <cell r="A2166" t="str">
            <v>MMC37453</v>
          </cell>
          <cell r="D2166" t="str">
            <v>M05</v>
          </cell>
        </row>
        <row r="2167">
          <cell r="A2167" t="str">
            <v>MMC37651</v>
          </cell>
          <cell r="D2167" t="str">
            <v>M05</v>
          </cell>
        </row>
        <row r="2168">
          <cell r="A2168" t="str">
            <v>MMC37742</v>
          </cell>
          <cell r="D2168" t="str">
            <v>M05</v>
          </cell>
        </row>
        <row r="2169">
          <cell r="A2169" t="str">
            <v>MMC37747</v>
          </cell>
          <cell r="D2169" t="str">
            <v>M05</v>
          </cell>
        </row>
        <row r="2170">
          <cell r="A2170" t="str">
            <v>MMC37752</v>
          </cell>
          <cell r="D2170" t="str">
            <v>M05</v>
          </cell>
        </row>
        <row r="2171">
          <cell r="A2171" t="str">
            <v>MMC37840</v>
          </cell>
          <cell r="D2171" t="str">
            <v>M05</v>
          </cell>
        </row>
        <row r="2172">
          <cell r="A2172" t="str">
            <v>MMC37842</v>
          </cell>
          <cell r="D2172" t="str">
            <v>M05</v>
          </cell>
        </row>
        <row r="2173">
          <cell r="A2173" t="str">
            <v>MMC37843</v>
          </cell>
          <cell r="D2173" t="str">
            <v>M05</v>
          </cell>
        </row>
        <row r="2174">
          <cell r="A2174" t="str">
            <v>MMC38216</v>
          </cell>
          <cell r="D2174" t="str">
            <v>M05</v>
          </cell>
        </row>
        <row r="2175">
          <cell r="A2175" t="str">
            <v>MMC38219</v>
          </cell>
          <cell r="D2175" t="str">
            <v>M05</v>
          </cell>
        </row>
        <row r="2176">
          <cell r="A2176" t="str">
            <v>MMC38412</v>
          </cell>
          <cell r="D2176" t="str">
            <v>M05</v>
          </cell>
        </row>
        <row r="2177">
          <cell r="A2177" t="str">
            <v>MMC40411</v>
          </cell>
          <cell r="D2177" t="str">
            <v>M05</v>
          </cell>
        </row>
        <row r="2178">
          <cell r="A2178" t="str">
            <v>MMC71405</v>
          </cell>
          <cell r="D2178" t="str">
            <v>M05</v>
          </cell>
        </row>
        <row r="2179">
          <cell r="A2179" t="str">
            <v>MME65102</v>
          </cell>
          <cell r="D2179" t="str">
            <v>M05</v>
          </cell>
        </row>
        <row r="2180">
          <cell r="A2180" t="str">
            <v>MME65103</v>
          </cell>
          <cell r="D2180" t="str">
            <v>M05</v>
          </cell>
        </row>
        <row r="2181">
          <cell r="A2181" t="str">
            <v>MME65112</v>
          </cell>
          <cell r="D2181" t="str">
            <v>M05</v>
          </cell>
        </row>
        <row r="2182">
          <cell r="A2182" t="str">
            <v>MME65113</v>
          </cell>
          <cell r="D2182" t="str">
            <v>M05</v>
          </cell>
        </row>
        <row r="2183">
          <cell r="A2183" t="str">
            <v>MMG10412</v>
          </cell>
          <cell r="D2183" t="str">
            <v>M05</v>
          </cell>
        </row>
        <row r="2184">
          <cell r="A2184" t="str">
            <v>MMG13200</v>
          </cell>
          <cell r="D2184" t="str">
            <v>M05</v>
          </cell>
        </row>
        <row r="2185">
          <cell r="A2185" t="str">
            <v>MMG13317</v>
          </cell>
          <cell r="D2185" t="str">
            <v>M05</v>
          </cell>
        </row>
        <row r="2186">
          <cell r="A2186" t="str">
            <v>MMG43240</v>
          </cell>
          <cell r="D2186" t="str">
            <v>M05</v>
          </cell>
        </row>
        <row r="2187">
          <cell r="A2187" t="str">
            <v>MMG43250</v>
          </cell>
          <cell r="D2187" t="str">
            <v>M05</v>
          </cell>
        </row>
        <row r="2188">
          <cell r="A2188" t="str">
            <v>MMG45205</v>
          </cell>
          <cell r="D2188" t="str">
            <v>M05</v>
          </cell>
        </row>
        <row r="2189">
          <cell r="A2189" t="str">
            <v>MMI16102</v>
          </cell>
          <cell r="D2189" t="str">
            <v>M05</v>
          </cell>
        </row>
        <row r="2190">
          <cell r="A2190" t="str">
            <v>MMI36083</v>
          </cell>
          <cell r="D2190" t="str">
            <v>M05</v>
          </cell>
        </row>
        <row r="2191">
          <cell r="A2191" t="str">
            <v>MMI36100</v>
          </cell>
          <cell r="D2191" t="str">
            <v>M05</v>
          </cell>
        </row>
        <row r="2192">
          <cell r="A2192" t="str">
            <v>MMI36130</v>
          </cell>
          <cell r="D2192" t="str">
            <v>M05</v>
          </cell>
        </row>
        <row r="2193">
          <cell r="A2193" t="str">
            <v>MMI36135</v>
          </cell>
          <cell r="D2193" t="str">
            <v>M05</v>
          </cell>
        </row>
        <row r="2194">
          <cell r="A2194" t="str">
            <v>MMI36140</v>
          </cell>
          <cell r="D2194" t="str">
            <v>M05</v>
          </cell>
        </row>
        <row r="2195">
          <cell r="A2195" t="str">
            <v>MMI36145</v>
          </cell>
          <cell r="D2195" t="str">
            <v>M05</v>
          </cell>
        </row>
        <row r="2196">
          <cell r="A2196" t="str">
            <v>MMI36525</v>
          </cell>
          <cell r="D2196" t="str">
            <v>M05</v>
          </cell>
        </row>
        <row r="2197">
          <cell r="A2197" t="str">
            <v>MMI36530</v>
          </cell>
          <cell r="D2197" t="str">
            <v>M05</v>
          </cell>
        </row>
        <row r="2198">
          <cell r="A2198" t="str">
            <v>MMI36535</v>
          </cell>
          <cell r="D2198" t="str">
            <v>M05</v>
          </cell>
        </row>
        <row r="2199">
          <cell r="A2199" t="str">
            <v>MMJ24432</v>
          </cell>
          <cell r="D2199" t="str">
            <v>M05</v>
          </cell>
        </row>
        <row r="2200">
          <cell r="A2200" t="str">
            <v>MMJ24438</v>
          </cell>
          <cell r="D2200" t="str">
            <v>M05</v>
          </cell>
        </row>
        <row r="2201">
          <cell r="A2201" t="str">
            <v>MMJ24442</v>
          </cell>
          <cell r="D2201" t="str">
            <v>M05</v>
          </cell>
        </row>
        <row r="2202">
          <cell r="A2202" t="str">
            <v>MMJ24445</v>
          </cell>
          <cell r="D2202" t="str">
            <v>M05</v>
          </cell>
        </row>
        <row r="2203">
          <cell r="A2203" t="str">
            <v>MMJ24447</v>
          </cell>
          <cell r="D2203" t="str">
            <v>M05</v>
          </cell>
        </row>
        <row r="2204">
          <cell r="A2204" t="str">
            <v>MMJ54312</v>
          </cell>
          <cell r="D2204" t="str">
            <v>M05</v>
          </cell>
        </row>
        <row r="2205">
          <cell r="A2205" t="str">
            <v>MMJ54412</v>
          </cell>
          <cell r="D2205" t="str">
            <v>M05</v>
          </cell>
        </row>
        <row r="2206">
          <cell r="A2206" t="str">
            <v>MMJ62550</v>
          </cell>
          <cell r="D2206" t="str">
            <v>M05</v>
          </cell>
        </row>
        <row r="2207">
          <cell r="A2207" t="str">
            <v>MMJ62551</v>
          </cell>
          <cell r="D2207" t="str">
            <v>M05</v>
          </cell>
        </row>
        <row r="2208">
          <cell r="A2208" t="str">
            <v>MML20300</v>
          </cell>
          <cell r="D2208" t="str">
            <v>M05</v>
          </cell>
        </row>
        <row r="2209">
          <cell r="A2209" t="str">
            <v>MML20600</v>
          </cell>
          <cell r="D2209" t="str">
            <v>M05</v>
          </cell>
        </row>
        <row r="2210">
          <cell r="A2210" t="str">
            <v>MML40310</v>
          </cell>
          <cell r="D2210" t="str">
            <v>M05</v>
          </cell>
        </row>
        <row r="2211">
          <cell r="A2211" t="str">
            <v>MMM10553</v>
          </cell>
          <cell r="D2211" t="str">
            <v>M05</v>
          </cell>
        </row>
        <row r="2212">
          <cell r="A2212" t="str">
            <v>MMM10710</v>
          </cell>
          <cell r="D2212" t="str">
            <v>M05</v>
          </cell>
        </row>
        <row r="2213">
          <cell r="A2213" t="str">
            <v>MMO10108</v>
          </cell>
          <cell r="D2213" t="str">
            <v>M05</v>
          </cell>
        </row>
        <row r="2214">
          <cell r="A2214" t="str">
            <v>MMO10115</v>
          </cell>
          <cell r="D2214" t="str">
            <v>M05</v>
          </cell>
        </row>
        <row r="2215">
          <cell r="A2215" t="str">
            <v>MMO10517</v>
          </cell>
          <cell r="D2215" t="str">
            <v>M05</v>
          </cell>
        </row>
        <row r="2216">
          <cell r="A2216" t="str">
            <v>MMO22507</v>
          </cell>
          <cell r="D2216" t="str">
            <v>M05</v>
          </cell>
        </row>
        <row r="2217">
          <cell r="A2217" t="str">
            <v>MMO25017</v>
          </cell>
          <cell r="D2217" t="str">
            <v>M05</v>
          </cell>
        </row>
        <row r="2218">
          <cell r="A2218" t="str">
            <v>MMO25033</v>
          </cell>
          <cell r="D2218" t="str">
            <v>M05</v>
          </cell>
        </row>
        <row r="2219">
          <cell r="A2219" t="str">
            <v>MMO31208</v>
          </cell>
          <cell r="D2219" t="str">
            <v>M05</v>
          </cell>
        </row>
        <row r="2220">
          <cell r="A2220" t="str">
            <v>MMO31213</v>
          </cell>
          <cell r="D2220" t="str">
            <v>M05</v>
          </cell>
        </row>
        <row r="2221">
          <cell r="A2221" t="str">
            <v>MMO31611</v>
          </cell>
          <cell r="D2221" t="str">
            <v>M05</v>
          </cell>
        </row>
        <row r="2222">
          <cell r="A2222" t="str">
            <v>MMO31908</v>
          </cell>
          <cell r="D2222" t="str">
            <v>M05</v>
          </cell>
        </row>
        <row r="2223">
          <cell r="A2223" t="str">
            <v>MMO31910</v>
          </cell>
          <cell r="D2223" t="str">
            <v>M05</v>
          </cell>
        </row>
        <row r="2224">
          <cell r="A2224" t="str">
            <v>MMO31914</v>
          </cell>
          <cell r="D2224" t="str">
            <v>M05</v>
          </cell>
        </row>
        <row r="2225">
          <cell r="A2225" t="str">
            <v>MMO53107</v>
          </cell>
          <cell r="D2225" t="str">
            <v>M05</v>
          </cell>
        </row>
        <row r="2226">
          <cell r="A2226" t="str">
            <v>MMO53108</v>
          </cell>
          <cell r="D2226" t="str">
            <v>M05</v>
          </cell>
        </row>
        <row r="2227">
          <cell r="A2227" t="str">
            <v>MMO53120</v>
          </cell>
          <cell r="D2227" t="str">
            <v>M05</v>
          </cell>
        </row>
        <row r="2228">
          <cell r="A2228" t="str">
            <v>MMO53123</v>
          </cell>
          <cell r="D2228" t="str">
            <v>M05</v>
          </cell>
        </row>
        <row r="2229">
          <cell r="A2229" t="str">
            <v>MMO53125</v>
          </cell>
          <cell r="D2229" t="str">
            <v>M05</v>
          </cell>
        </row>
        <row r="2230">
          <cell r="A2230" t="str">
            <v>MMP35204</v>
          </cell>
          <cell r="D2230" t="str">
            <v>M05</v>
          </cell>
        </row>
        <row r="2231">
          <cell r="A2231" t="str">
            <v>MMP90030</v>
          </cell>
          <cell r="D2231" t="str">
            <v>M05</v>
          </cell>
        </row>
        <row r="2232">
          <cell r="A2232" t="str">
            <v>SMA10683</v>
          </cell>
          <cell r="D2232" t="str">
            <v>M05</v>
          </cell>
        </row>
        <row r="2233">
          <cell r="A2233" t="str">
            <v>SMJ36666</v>
          </cell>
          <cell r="D2233" t="str">
            <v>M05</v>
          </cell>
        </row>
        <row r="2234">
          <cell r="A2234" t="str">
            <v>SMJ36687</v>
          </cell>
          <cell r="D2234" t="str">
            <v>M05</v>
          </cell>
        </row>
        <row r="2235">
          <cell r="A2235" t="str">
            <v>SMJ36705</v>
          </cell>
          <cell r="D2235" t="str">
            <v>M05</v>
          </cell>
        </row>
        <row r="2236">
          <cell r="A2236" t="str">
            <v>UAA15130</v>
          </cell>
          <cell r="D2236" t="str">
            <v>M05</v>
          </cell>
        </row>
        <row r="2237">
          <cell r="A2237" t="str">
            <v>UAA20730</v>
          </cell>
          <cell r="D2237" t="str">
            <v>M05</v>
          </cell>
        </row>
        <row r="2238">
          <cell r="A2238" t="str">
            <v>UAC10071</v>
          </cell>
          <cell r="D2238" t="str">
            <v>M05</v>
          </cell>
        </row>
        <row r="2239">
          <cell r="A2239" t="str">
            <v>UEA02160</v>
          </cell>
          <cell r="D2239" t="str">
            <v>M05</v>
          </cell>
        </row>
        <row r="2240">
          <cell r="A2240" t="str">
            <v>UEA02220</v>
          </cell>
          <cell r="D2240" t="str">
            <v>M05</v>
          </cell>
        </row>
        <row r="2241">
          <cell r="A2241" t="str">
            <v>UEA05160</v>
          </cell>
          <cell r="D2241" t="str">
            <v>M05</v>
          </cell>
        </row>
        <row r="2242">
          <cell r="A2242" t="str">
            <v>UEB00060</v>
          </cell>
          <cell r="D2242" t="str">
            <v>M05</v>
          </cell>
        </row>
        <row r="2243">
          <cell r="A2243" t="str">
            <v>UEB36030</v>
          </cell>
          <cell r="D2243" t="str">
            <v>M05</v>
          </cell>
        </row>
        <row r="2244">
          <cell r="A2244" t="str">
            <v>UEH01080</v>
          </cell>
          <cell r="D2244" t="str">
            <v>M05</v>
          </cell>
        </row>
        <row r="2245">
          <cell r="A2245" t="str">
            <v>UMA45061</v>
          </cell>
          <cell r="D2245" t="str">
            <v>M05</v>
          </cell>
        </row>
        <row r="2246">
          <cell r="A2246" t="str">
            <v>UMA45063</v>
          </cell>
          <cell r="D2246" t="str">
            <v>M05</v>
          </cell>
        </row>
        <row r="2247">
          <cell r="A2247" t="str">
            <v>UMA45065</v>
          </cell>
          <cell r="D2247" t="str">
            <v>M05</v>
          </cell>
        </row>
        <row r="2248">
          <cell r="A2248" t="str">
            <v>UMA45067</v>
          </cell>
          <cell r="D2248" t="str">
            <v>M05</v>
          </cell>
        </row>
        <row r="2249">
          <cell r="A2249" t="str">
            <v>UMA45069</v>
          </cell>
          <cell r="D2249" t="str">
            <v>M05</v>
          </cell>
        </row>
        <row r="2250">
          <cell r="A2250" t="str">
            <v>UMA45071</v>
          </cell>
          <cell r="D2250" t="str">
            <v>M05</v>
          </cell>
        </row>
        <row r="2251">
          <cell r="A2251" t="str">
            <v>UMA46423</v>
          </cell>
          <cell r="D2251" t="str">
            <v>M05</v>
          </cell>
        </row>
        <row r="2252">
          <cell r="A2252" t="str">
            <v>UMA52315</v>
          </cell>
          <cell r="D2252" t="str">
            <v>M05</v>
          </cell>
        </row>
        <row r="2253">
          <cell r="A2253" t="str">
            <v>UMA52319</v>
          </cell>
          <cell r="D2253" t="str">
            <v>M05</v>
          </cell>
        </row>
        <row r="2254">
          <cell r="A2254" t="str">
            <v>UMA54600</v>
          </cell>
          <cell r="D2254" t="str">
            <v>M05</v>
          </cell>
        </row>
        <row r="2255">
          <cell r="A2255" t="str">
            <v>UMA54601</v>
          </cell>
          <cell r="D2255" t="str">
            <v>M05</v>
          </cell>
        </row>
        <row r="2256">
          <cell r="A2256" t="str">
            <v>UMA54603</v>
          </cell>
          <cell r="D2256" t="str">
            <v>M05</v>
          </cell>
        </row>
        <row r="2257">
          <cell r="A2257" t="str">
            <v>UMA54605</v>
          </cell>
          <cell r="D2257" t="str">
            <v>M05</v>
          </cell>
        </row>
        <row r="2258">
          <cell r="A2258" t="str">
            <v>UMA54606</v>
          </cell>
          <cell r="D2258" t="str">
            <v>M05</v>
          </cell>
        </row>
        <row r="2259">
          <cell r="A2259" t="str">
            <v>UMA54607</v>
          </cell>
          <cell r="D2259" t="str">
            <v>M05</v>
          </cell>
        </row>
        <row r="2260">
          <cell r="A2260" t="str">
            <v>UMA54608</v>
          </cell>
          <cell r="D2260" t="str">
            <v>M05</v>
          </cell>
        </row>
        <row r="2261">
          <cell r="A2261" t="str">
            <v>UMB30290</v>
          </cell>
          <cell r="D2261" t="str">
            <v>M05</v>
          </cell>
        </row>
        <row r="2262">
          <cell r="A2262" t="str">
            <v>UMB30291</v>
          </cell>
          <cell r="D2262" t="str">
            <v>M05</v>
          </cell>
        </row>
        <row r="2263">
          <cell r="A2263" t="str">
            <v>UMB30292</v>
          </cell>
          <cell r="D2263" t="str">
            <v>M05</v>
          </cell>
        </row>
        <row r="2264">
          <cell r="A2264" t="str">
            <v>UMB35603</v>
          </cell>
          <cell r="D2264" t="str">
            <v>M05</v>
          </cell>
        </row>
        <row r="2265">
          <cell r="A2265" t="str">
            <v>UMB53105</v>
          </cell>
          <cell r="D2265" t="str">
            <v>M05</v>
          </cell>
        </row>
        <row r="2266">
          <cell r="A2266" t="str">
            <v>UMC38319</v>
          </cell>
          <cell r="D2266" t="str">
            <v>M05</v>
          </cell>
        </row>
        <row r="2267">
          <cell r="A2267" t="str">
            <v>UMC90150</v>
          </cell>
          <cell r="D2267" t="str">
            <v>M05</v>
          </cell>
        </row>
        <row r="2268">
          <cell r="A2268" t="str">
            <v>UMD25815</v>
          </cell>
          <cell r="D2268" t="str">
            <v>M05</v>
          </cell>
        </row>
        <row r="2269">
          <cell r="A2269" t="str">
            <v>UMD31143</v>
          </cell>
          <cell r="D2269" t="str">
            <v>M05</v>
          </cell>
        </row>
        <row r="2270">
          <cell r="A2270" t="str">
            <v>UMD40113</v>
          </cell>
          <cell r="D2270" t="str">
            <v>M05</v>
          </cell>
        </row>
        <row r="2271">
          <cell r="A2271" t="str">
            <v>UMD43207</v>
          </cell>
          <cell r="D2271" t="str">
            <v>M05</v>
          </cell>
        </row>
        <row r="2272">
          <cell r="A2272" t="str">
            <v>UMD46437</v>
          </cell>
          <cell r="D2272" t="str">
            <v>M05</v>
          </cell>
        </row>
        <row r="2273">
          <cell r="A2273" t="str">
            <v>UMD46440</v>
          </cell>
          <cell r="D2273" t="str">
            <v>M05</v>
          </cell>
        </row>
        <row r="2274">
          <cell r="A2274" t="str">
            <v>UMD60505</v>
          </cell>
          <cell r="D2274" t="str">
            <v>M05</v>
          </cell>
        </row>
        <row r="2275">
          <cell r="A2275" t="str">
            <v>UME17806</v>
          </cell>
          <cell r="D2275" t="str">
            <v>M05</v>
          </cell>
        </row>
        <row r="2276">
          <cell r="A2276" t="str">
            <v>UME17808</v>
          </cell>
          <cell r="D2276" t="str">
            <v>M05</v>
          </cell>
        </row>
        <row r="2277">
          <cell r="A2277" t="str">
            <v>UME17810</v>
          </cell>
          <cell r="D2277" t="str">
            <v>M05</v>
          </cell>
        </row>
        <row r="2278">
          <cell r="A2278" t="str">
            <v>UME17812</v>
          </cell>
          <cell r="D2278" t="str">
            <v>M05</v>
          </cell>
        </row>
        <row r="2279">
          <cell r="A2279" t="str">
            <v>UME17814</v>
          </cell>
          <cell r="D2279" t="str">
            <v>M05</v>
          </cell>
        </row>
        <row r="2280">
          <cell r="A2280" t="str">
            <v>UME27115</v>
          </cell>
          <cell r="D2280" t="str">
            <v>M05</v>
          </cell>
        </row>
        <row r="2281">
          <cell r="A2281" t="str">
            <v>UME27119</v>
          </cell>
          <cell r="D2281" t="str">
            <v>M05</v>
          </cell>
        </row>
        <row r="2282">
          <cell r="A2282" t="str">
            <v>UME27801</v>
          </cell>
          <cell r="D2282" t="str">
            <v>M05</v>
          </cell>
        </row>
        <row r="2283">
          <cell r="A2283" t="str">
            <v>UME27802</v>
          </cell>
          <cell r="D2283" t="str">
            <v>M05</v>
          </cell>
        </row>
        <row r="2284">
          <cell r="A2284" t="str">
            <v>UME27805</v>
          </cell>
          <cell r="D2284" t="str">
            <v>M05</v>
          </cell>
        </row>
        <row r="2285">
          <cell r="A2285" t="str">
            <v>UME27806</v>
          </cell>
          <cell r="D2285" t="str">
            <v>M05</v>
          </cell>
        </row>
        <row r="2286">
          <cell r="A2286" t="str">
            <v>UME27808</v>
          </cell>
          <cell r="D2286" t="str">
            <v>M05</v>
          </cell>
        </row>
        <row r="2287">
          <cell r="A2287" t="str">
            <v>UME27810</v>
          </cell>
          <cell r="D2287" t="str">
            <v>M05</v>
          </cell>
        </row>
        <row r="2288">
          <cell r="A2288" t="str">
            <v>UME27905</v>
          </cell>
          <cell r="D2288" t="str">
            <v>M05</v>
          </cell>
        </row>
        <row r="2289">
          <cell r="A2289" t="str">
            <v>UME27908</v>
          </cell>
          <cell r="D2289" t="str">
            <v>M05</v>
          </cell>
        </row>
        <row r="2290">
          <cell r="A2290" t="str">
            <v>UME38301</v>
          </cell>
          <cell r="D2290" t="str">
            <v>M05</v>
          </cell>
        </row>
        <row r="2291">
          <cell r="A2291" t="str">
            <v>UME38302</v>
          </cell>
          <cell r="D2291" t="str">
            <v>M05</v>
          </cell>
        </row>
        <row r="2292">
          <cell r="A2292" t="str">
            <v>UME38303</v>
          </cell>
          <cell r="D2292" t="str">
            <v>M05</v>
          </cell>
        </row>
        <row r="2293">
          <cell r="A2293" t="str">
            <v>UME38451</v>
          </cell>
          <cell r="D2293" t="str">
            <v>M05</v>
          </cell>
        </row>
        <row r="2294">
          <cell r="A2294" t="str">
            <v>UME38452</v>
          </cell>
          <cell r="D2294" t="str">
            <v>M05</v>
          </cell>
        </row>
        <row r="2295">
          <cell r="A2295" t="str">
            <v>UME38453</v>
          </cell>
          <cell r="D2295" t="str">
            <v>M05</v>
          </cell>
        </row>
        <row r="2296">
          <cell r="A2296" t="str">
            <v>UME38456</v>
          </cell>
          <cell r="D2296" t="str">
            <v>M05</v>
          </cell>
        </row>
        <row r="2297">
          <cell r="A2297" t="str">
            <v>UME38459</v>
          </cell>
          <cell r="D2297" t="str">
            <v>M05</v>
          </cell>
        </row>
        <row r="2298">
          <cell r="A2298" t="str">
            <v>UME38484</v>
          </cell>
          <cell r="D2298" t="str">
            <v>M05</v>
          </cell>
        </row>
        <row r="2299">
          <cell r="A2299" t="str">
            <v>UME40245</v>
          </cell>
          <cell r="D2299" t="str">
            <v>M05</v>
          </cell>
        </row>
        <row r="2300">
          <cell r="A2300" t="str">
            <v>UME90165</v>
          </cell>
          <cell r="D2300" t="str">
            <v>M05</v>
          </cell>
        </row>
        <row r="2301">
          <cell r="A2301" t="str">
            <v>UMF22118</v>
          </cell>
          <cell r="D2301" t="str">
            <v>M05</v>
          </cell>
        </row>
        <row r="2302">
          <cell r="A2302" t="str">
            <v>UMF22516</v>
          </cell>
          <cell r="D2302" t="str">
            <v>M05</v>
          </cell>
        </row>
        <row r="2303">
          <cell r="A2303" t="str">
            <v>UMF22518</v>
          </cell>
          <cell r="D2303" t="str">
            <v>M05</v>
          </cell>
        </row>
        <row r="2304">
          <cell r="A2304" t="str">
            <v>UMF22532</v>
          </cell>
          <cell r="D2304" t="str">
            <v>M05</v>
          </cell>
        </row>
        <row r="2305">
          <cell r="A2305" t="str">
            <v>UMG10108</v>
          </cell>
          <cell r="D2305" t="str">
            <v>M05</v>
          </cell>
        </row>
        <row r="2306">
          <cell r="A2306" t="str">
            <v>UMG10109</v>
          </cell>
          <cell r="D2306" t="str">
            <v>M05</v>
          </cell>
        </row>
        <row r="2307">
          <cell r="A2307" t="str">
            <v>UMG10119</v>
          </cell>
          <cell r="D2307" t="str">
            <v>M05</v>
          </cell>
        </row>
        <row r="2308">
          <cell r="A2308" t="str">
            <v>UMG10139</v>
          </cell>
          <cell r="D2308" t="str">
            <v>M05</v>
          </cell>
        </row>
        <row r="2309">
          <cell r="A2309" t="str">
            <v>UMG10147</v>
          </cell>
          <cell r="D2309" t="str">
            <v>M05</v>
          </cell>
        </row>
        <row r="2310">
          <cell r="A2310" t="str">
            <v>UMG10149</v>
          </cell>
          <cell r="D2310" t="str">
            <v>M05</v>
          </cell>
        </row>
        <row r="2311">
          <cell r="A2311" t="str">
            <v>UMG10290</v>
          </cell>
          <cell r="D2311" t="str">
            <v>M05</v>
          </cell>
        </row>
        <row r="2312">
          <cell r="A2312" t="str">
            <v>UMG13130</v>
          </cell>
          <cell r="D2312" t="str">
            <v>M05</v>
          </cell>
        </row>
        <row r="2313">
          <cell r="A2313" t="str">
            <v>UMG13145</v>
          </cell>
          <cell r="D2313" t="str">
            <v>M05</v>
          </cell>
        </row>
        <row r="2314">
          <cell r="A2314" t="str">
            <v>UMG13210</v>
          </cell>
          <cell r="D2314" t="str">
            <v>M05</v>
          </cell>
        </row>
        <row r="2315">
          <cell r="A2315" t="str">
            <v>UMG13600</v>
          </cell>
          <cell r="D2315" t="str">
            <v>M05</v>
          </cell>
        </row>
        <row r="2316">
          <cell r="A2316" t="str">
            <v>UMG16610</v>
          </cell>
          <cell r="D2316" t="str">
            <v>M05</v>
          </cell>
        </row>
        <row r="2317">
          <cell r="A2317" t="str">
            <v>UMG16616</v>
          </cell>
          <cell r="D2317" t="str">
            <v>M05</v>
          </cell>
        </row>
        <row r="2318">
          <cell r="A2318" t="str">
            <v>UMG19206</v>
          </cell>
          <cell r="D2318" t="str">
            <v>M05</v>
          </cell>
        </row>
        <row r="2319">
          <cell r="A2319" t="str">
            <v>UMG19309</v>
          </cell>
          <cell r="D2319" t="str">
            <v>M05</v>
          </cell>
        </row>
        <row r="2320">
          <cell r="A2320" t="str">
            <v>UMG19326</v>
          </cell>
          <cell r="D2320" t="str">
            <v>M05</v>
          </cell>
        </row>
        <row r="2321">
          <cell r="A2321" t="str">
            <v>UMG25108</v>
          </cell>
          <cell r="D2321" t="str">
            <v>M05</v>
          </cell>
        </row>
        <row r="2322">
          <cell r="A2322" t="str">
            <v>UMG25110</v>
          </cell>
          <cell r="D2322" t="str">
            <v>M05</v>
          </cell>
        </row>
        <row r="2323">
          <cell r="A2323" t="str">
            <v>UMG25115</v>
          </cell>
          <cell r="D2323" t="str">
            <v>M05</v>
          </cell>
        </row>
        <row r="2324">
          <cell r="A2324" t="str">
            <v>UMG25116</v>
          </cell>
          <cell r="D2324" t="str">
            <v>M05</v>
          </cell>
        </row>
        <row r="2325">
          <cell r="A2325" t="str">
            <v>UMG25117</v>
          </cell>
          <cell r="D2325" t="str">
            <v>M05</v>
          </cell>
        </row>
        <row r="2326">
          <cell r="A2326" t="str">
            <v>UMG25118</v>
          </cell>
          <cell r="D2326" t="str">
            <v>M05</v>
          </cell>
        </row>
        <row r="2327">
          <cell r="A2327" t="str">
            <v>UMG28205</v>
          </cell>
          <cell r="D2327" t="str">
            <v>M05</v>
          </cell>
        </row>
        <row r="2328">
          <cell r="A2328" t="str">
            <v>UMG28207</v>
          </cell>
          <cell r="D2328" t="str">
            <v>M05</v>
          </cell>
        </row>
        <row r="2329">
          <cell r="A2329" t="str">
            <v>UMG28215</v>
          </cell>
          <cell r="D2329" t="str">
            <v>M05</v>
          </cell>
        </row>
        <row r="2330">
          <cell r="A2330" t="str">
            <v>UMG28225</v>
          </cell>
          <cell r="D2330" t="str">
            <v>M05</v>
          </cell>
        </row>
        <row r="2331">
          <cell r="A2331" t="str">
            <v>UMG37111</v>
          </cell>
          <cell r="D2331" t="str">
            <v>M05</v>
          </cell>
        </row>
        <row r="2332">
          <cell r="A2332" t="str">
            <v>UMG37112</v>
          </cell>
          <cell r="D2332" t="str">
            <v>M05</v>
          </cell>
        </row>
        <row r="2333">
          <cell r="A2333" t="str">
            <v>UMG40012</v>
          </cell>
          <cell r="D2333" t="str">
            <v>M05</v>
          </cell>
        </row>
        <row r="2334">
          <cell r="A2334" t="str">
            <v>UMG40202</v>
          </cell>
          <cell r="D2334" t="str">
            <v>M05</v>
          </cell>
        </row>
        <row r="2335">
          <cell r="A2335" t="str">
            <v>UMG40203</v>
          </cell>
          <cell r="D2335" t="str">
            <v>M05</v>
          </cell>
        </row>
        <row r="2336">
          <cell r="A2336" t="str">
            <v>UMG40207</v>
          </cell>
          <cell r="D2336" t="str">
            <v>M05</v>
          </cell>
        </row>
        <row r="2337">
          <cell r="A2337" t="str">
            <v>UMG40225</v>
          </cell>
          <cell r="D2337" t="str">
            <v>M05</v>
          </cell>
        </row>
        <row r="2338">
          <cell r="A2338" t="str">
            <v>UMG43211</v>
          </cell>
          <cell r="D2338" t="str">
            <v>M05</v>
          </cell>
        </row>
        <row r="2339">
          <cell r="A2339" t="str">
            <v>UMG43225</v>
          </cell>
          <cell r="D2339" t="str">
            <v>M05</v>
          </cell>
        </row>
        <row r="2340">
          <cell r="A2340" t="str">
            <v>UMG43305</v>
          </cell>
          <cell r="D2340" t="str">
            <v>M05</v>
          </cell>
        </row>
        <row r="2341">
          <cell r="A2341" t="str">
            <v>UMG43400</v>
          </cell>
          <cell r="D2341" t="str">
            <v>M05</v>
          </cell>
        </row>
        <row r="2342">
          <cell r="A2342" t="str">
            <v>UMG43420</v>
          </cell>
          <cell r="D2342" t="str">
            <v>M05</v>
          </cell>
        </row>
        <row r="2343">
          <cell r="A2343" t="str">
            <v>UMG43430</v>
          </cell>
          <cell r="D2343" t="str">
            <v>M05</v>
          </cell>
        </row>
        <row r="2344">
          <cell r="A2344" t="str">
            <v>UMG43435</v>
          </cell>
          <cell r="D2344" t="str">
            <v>M05</v>
          </cell>
        </row>
        <row r="2345">
          <cell r="A2345" t="str">
            <v>UMG43440</v>
          </cell>
          <cell r="D2345" t="str">
            <v>M05</v>
          </cell>
        </row>
        <row r="2346">
          <cell r="A2346" t="str">
            <v>UMG43445</v>
          </cell>
          <cell r="D2346" t="str">
            <v>M05</v>
          </cell>
        </row>
        <row r="2347">
          <cell r="A2347" t="str">
            <v>UMG43450</v>
          </cell>
          <cell r="D2347" t="str">
            <v>M05</v>
          </cell>
        </row>
        <row r="2348">
          <cell r="A2348" t="str">
            <v>UMG43452</v>
          </cell>
          <cell r="D2348" t="str">
            <v>M05</v>
          </cell>
        </row>
        <row r="2349">
          <cell r="A2349" t="str">
            <v>UMG43500</v>
          </cell>
          <cell r="D2349" t="str">
            <v>M05</v>
          </cell>
        </row>
        <row r="2350">
          <cell r="A2350" t="str">
            <v>UMG43503</v>
          </cell>
          <cell r="D2350" t="str">
            <v>M05</v>
          </cell>
        </row>
        <row r="2351">
          <cell r="A2351" t="str">
            <v>UMG43506</v>
          </cell>
          <cell r="D2351" t="str">
            <v>M05</v>
          </cell>
        </row>
        <row r="2352">
          <cell r="A2352" t="str">
            <v>UMG43507</v>
          </cell>
          <cell r="D2352" t="str">
            <v>M05</v>
          </cell>
        </row>
        <row r="2353">
          <cell r="A2353" t="str">
            <v>UMG43520</v>
          </cell>
          <cell r="D2353" t="str">
            <v>M05</v>
          </cell>
        </row>
        <row r="2354">
          <cell r="A2354" t="str">
            <v>UMG43701</v>
          </cell>
          <cell r="D2354" t="str">
            <v>M05</v>
          </cell>
        </row>
        <row r="2355">
          <cell r="A2355" t="str">
            <v>UMG43705</v>
          </cell>
          <cell r="D2355" t="str">
            <v>M05</v>
          </cell>
        </row>
        <row r="2356">
          <cell r="A2356" t="str">
            <v>UMI18611</v>
          </cell>
          <cell r="D2356" t="str">
            <v>M05</v>
          </cell>
        </row>
        <row r="2357">
          <cell r="A2357" t="str">
            <v>UMI20954</v>
          </cell>
          <cell r="D2357" t="str">
            <v>M05</v>
          </cell>
        </row>
        <row r="2358">
          <cell r="A2358" t="str">
            <v>UMI20987</v>
          </cell>
          <cell r="D2358" t="str">
            <v>M05</v>
          </cell>
        </row>
        <row r="2359">
          <cell r="A2359" t="str">
            <v>UMI40501</v>
          </cell>
          <cell r="D2359" t="str">
            <v>M05</v>
          </cell>
        </row>
        <row r="2360">
          <cell r="A2360" t="str">
            <v>UMJ30302</v>
          </cell>
          <cell r="D2360" t="str">
            <v>M05</v>
          </cell>
        </row>
        <row r="2361">
          <cell r="A2361" t="str">
            <v>UMJ30303</v>
          </cell>
          <cell r="D2361" t="str">
            <v>M05</v>
          </cell>
        </row>
        <row r="2362">
          <cell r="A2362" t="str">
            <v>UMJ30305</v>
          </cell>
          <cell r="D2362" t="str">
            <v>M05</v>
          </cell>
        </row>
        <row r="2363">
          <cell r="A2363" t="str">
            <v>UMJ34120</v>
          </cell>
          <cell r="D2363" t="str">
            <v>M05</v>
          </cell>
        </row>
        <row r="2364">
          <cell r="A2364" t="str">
            <v>UMJ34512</v>
          </cell>
          <cell r="D2364" t="str">
            <v>M05</v>
          </cell>
        </row>
        <row r="2365">
          <cell r="A2365" t="str">
            <v>UMJ40460</v>
          </cell>
          <cell r="D2365" t="str">
            <v>M05</v>
          </cell>
        </row>
        <row r="2366">
          <cell r="A2366" t="str">
            <v>UMJ50225</v>
          </cell>
          <cell r="D2366" t="str">
            <v>M05</v>
          </cell>
        </row>
        <row r="2367">
          <cell r="A2367" t="str">
            <v>UMJ50230</v>
          </cell>
          <cell r="D2367" t="str">
            <v>M05</v>
          </cell>
        </row>
        <row r="2368">
          <cell r="A2368" t="str">
            <v>UMJ61134</v>
          </cell>
          <cell r="D2368" t="str">
            <v>M05</v>
          </cell>
        </row>
        <row r="2369">
          <cell r="A2369" t="str">
            <v>UML20119</v>
          </cell>
          <cell r="D2369" t="str">
            <v>M05</v>
          </cell>
        </row>
        <row r="2370">
          <cell r="A2370" t="str">
            <v>UML20205</v>
          </cell>
          <cell r="D2370" t="str">
            <v>M05</v>
          </cell>
        </row>
        <row r="2371">
          <cell r="A2371" t="str">
            <v>UML20321</v>
          </cell>
          <cell r="D2371" t="str">
            <v>M05</v>
          </cell>
        </row>
        <row r="2372">
          <cell r="A2372" t="str">
            <v>UML31101</v>
          </cell>
          <cell r="D2372" t="str">
            <v>M05</v>
          </cell>
        </row>
        <row r="2373">
          <cell r="A2373" t="str">
            <v>UML31300</v>
          </cell>
          <cell r="D2373" t="str">
            <v>M05</v>
          </cell>
        </row>
        <row r="2374">
          <cell r="A2374" t="str">
            <v>UML31400</v>
          </cell>
          <cell r="D2374" t="str">
            <v>M05</v>
          </cell>
        </row>
        <row r="2375">
          <cell r="A2375" t="str">
            <v>UMN30313</v>
          </cell>
          <cell r="D2375" t="str">
            <v>M05</v>
          </cell>
        </row>
        <row r="2376">
          <cell r="A2376" t="str">
            <v>UMN30317</v>
          </cell>
          <cell r="D2376" t="str">
            <v>M05</v>
          </cell>
        </row>
        <row r="2377">
          <cell r="A2377" t="str">
            <v>UMO21070</v>
          </cell>
          <cell r="D2377" t="str">
            <v>M05</v>
          </cell>
        </row>
        <row r="2378">
          <cell r="A2378" t="str">
            <v>UMO28290</v>
          </cell>
          <cell r="D2378" t="str">
            <v>M05</v>
          </cell>
        </row>
        <row r="2379">
          <cell r="A2379" t="str">
            <v>UMO28300</v>
          </cell>
          <cell r="D2379" t="str">
            <v>M05</v>
          </cell>
        </row>
        <row r="2380">
          <cell r="A2380" t="str">
            <v>UMO28481</v>
          </cell>
          <cell r="D2380" t="str">
            <v>M05</v>
          </cell>
        </row>
        <row r="2381">
          <cell r="A2381" t="str">
            <v>UMO28484</v>
          </cell>
          <cell r="D2381" t="str">
            <v>M05</v>
          </cell>
        </row>
        <row r="2382">
          <cell r="A2382" t="str">
            <v>UMO28502</v>
          </cell>
          <cell r="D2382" t="str">
            <v>M05</v>
          </cell>
        </row>
        <row r="2383">
          <cell r="A2383" t="str">
            <v>UMO28531</v>
          </cell>
          <cell r="D2383" t="str">
            <v>M05</v>
          </cell>
        </row>
        <row r="2384">
          <cell r="A2384" t="str">
            <v>UMO28750</v>
          </cell>
          <cell r="D2384" t="str">
            <v>M05</v>
          </cell>
        </row>
        <row r="2385">
          <cell r="A2385" t="str">
            <v>UMO31151</v>
          </cell>
          <cell r="D2385" t="str">
            <v>M05</v>
          </cell>
        </row>
        <row r="2386">
          <cell r="A2386" t="str">
            <v>UMO31153</v>
          </cell>
          <cell r="D2386" t="str">
            <v>M05</v>
          </cell>
        </row>
        <row r="2387">
          <cell r="A2387" t="str">
            <v>UMO31702</v>
          </cell>
          <cell r="D2387" t="str">
            <v>M05</v>
          </cell>
        </row>
        <row r="2388">
          <cell r="A2388" t="str">
            <v>UMO31703</v>
          </cell>
          <cell r="D2388" t="str">
            <v>M05</v>
          </cell>
        </row>
        <row r="2389">
          <cell r="A2389" t="str">
            <v>UMO31704</v>
          </cell>
          <cell r="D2389" t="str">
            <v>M05</v>
          </cell>
        </row>
        <row r="2390">
          <cell r="A2390" t="str">
            <v>UMO31705</v>
          </cell>
          <cell r="D2390" t="str">
            <v>M05</v>
          </cell>
        </row>
        <row r="2391">
          <cell r="A2391" t="str">
            <v>UMO31706</v>
          </cell>
          <cell r="D2391" t="str">
            <v>M05</v>
          </cell>
        </row>
        <row r="2392">
          <cell r="A2392" t="str">
            <v>UMO31707</v>
          </cell>
          <cell r="D2392" t="str">
            <v>M05</v>
          </cell>
        </row>
        <row r="2393">
          <cell r="A2393" t="str">
            <v>UMO31712</v>
          </cell>
          <cell r="D2393" t="str">
            <v>M05</v>
          </cell>
        </row>
        <row r="2394">
          <cell r="A2394" t="str">
            <v>UMO33161</v>
          </cell>
          <cell r="D2394" t="str">
            <v>M05</v>
          </cell>
        </row>
        <row r="2395">
          <cell r="A2395" t="str">
            <v>UMO33162</v>
          </cell>
          <cell r="D2395" t="str">
            <v>M05</v>
          </cell>
        </row>
        <row r="2396">
          <cell r="A2396" t="str">
            <v>UMO33706</v>
          </cell>
          <cell r="D2396" t="str">
            <v>M05</v>
          </cell>
        </row>
        <row r="2397">
          <cell r="A2397" t="str">
            <v>UMO33795</v>
          </cell>
          <cell r="D2397" t="str">
            <v>M05</v>
          </cell>
        </row>
        <row r="2398">
          <cell r="A2398" t="str">
            <v>UMO33804</v>
          </cell>
          <cell r="D2398" t="str">
            <v>M05</v>
          </cell>
        </row>
        <row r="2399">
          <cell r="A2399" t="str">
            <v>UMO42304</v>
          </cell>
          <cell r="D2399" t="str">
            <v>M05</v>
          </cell>
        </row>
        <row r="2400">
          <cell r="A2400" t="str">
            <v>UMP10504</v>
          </cell>
          <cell r="D2400" t="str">
            <v>M05</v>
          </cell>
        </row>
        <row r="2401">
          <cell r="A2401" t="str">
            <v>UMP10510</v>
          </cell>
          <cell r="D2401" t="str">
            <v>M05</v>
          </cell>
        </row>
        <row r="2402">
          <cell r="A2402" t="str">
            <v>UMP10513</v>
          </cell>
          <cell r="D2402" t="str">
            <v>M05</v>
          </cell>
        </row>
        <row r="2403">
          <cell r="A2403" t="str">
            <v>UMP10527</v>
          </cell>
          <cell r="D2403" t="str">
            <v>M05</v>
          </cell>
        </row>
        <row r="2404">
          <cell r="A2404" t="str">
            <v>UMP10532</v>
          </cell>
          <cell r="D2404" t="str">
            <v>M05</v>
          </cell>
        </row>
        <row r="2405">
          <cell r="A2405" t="str">
            <v>UMP10533</v>
          </cell>
          <cell r="D2405" t="str">
            <v>M05</v>
          </cell>
        </row>
        <row r="2406">
          <cell r="A2406" t="str">
            <v>UMP22108</v>
          </cell>
          <cell r="D2406" t="str">
            <v>M05</v>
          </cell>
        </row>
        <row r="2407">
          <cell r="A2407" t="str">
            <v>UMP22110</v>
          </cell>
          <cell r="D2407" t="str">
            <v>M05</v>
          </cell>
        </row>
        <row r="2408">
          <cell r="A2408" t="str">
            <v>UMP22113</v>
          </cell>
          <cell r="D2408" t="str">
            <v>M05</v>
          </cell>
        </row>
        <row r="2409">
          <cell r="A2409" t="str">
            <v>UMP46002</v>
          </cell>
          <cell r="D2409" t="str">
            <v>M05</v>
          </cell>
        </row>
        <row r="2410">
          <cell r="A2410" t="str">
            <v>UMR13405</v>
          </cell>
          <cell r="D2410" t="str">
            <v>M05</v>
          </cell>
        </row>
        <row r="2411">
          <cell r="A2411" t="str">
            <v>UMR13407</v>
          </cell>
          <cell r="D2411" t="str">
            <v>M05</v>
          </cell>
        </row>
        <row r="2412">
          <cell r="A2412" t="str">
            <v>UMR13408</v>
          </cell>
          <cell r="D2412" t="str">
            <v>M05</v>
          </cell>
        </row>
        <row r="2413">
          <cell r="A2413" t="str">
            <v>UMR13410</v>
          </cell>
          <cell r="D2413" t="str">
            <v>M05</v>
          </cell>
        </row>
        <row r="2414">
          <cell r="A2414" t="str">
            <v>UMR13412</v>
          </cell>
          <cell r="D2414" t="str">
            <v>M05</v>
          </cell>
        </row>
        <row r="2415">
          <cell r="A2415" t="str">
            <v>UMR13413</v>
          </cell>
          <cell r="D2415" t="str">
            <v>M05</v>
          </cell>
        </row>
        <row r="2416">
          <cell r="A2416" t="str">
            <v>UMR13415</v>
          </cell>
          <cell r="D2416" t="str">
            <v>M05</v>
          </cell>
        </row>
        <row r="2417">
          <cell r="A2417" t="str">
            <v>UMR13417</v>
          </cell>
          <cell r="D2417" t="str">
            <v>M05</v>
          </cell>
        </row>
        <row r="2418">
          <cell r="A2418" t="str">
            <v>UMR13419</v>
          </cell>
          <cell r="D2418" t="str">
            <v>M05</v>
          </cell>
        </row>
        <row r="2419">
          <cell r="A2419" t="str">
            <v>UMZ50223</v>
          </cell>
          <cell r="D2419" t="str">
            <v>M05</v>
          </cell>
        </row>
        <row r="2420">
          <cell r="A2420" t="str">
            <v>UMZ50970</v>
          </cell>
          <cell r="D2420" t="str">
            <v>M05</v>
          </cell>
        </row>
        <row r="2421">
          <cell r="A2421" t="str">
            <v>UMZ50971</v>
          </cell>
          <cell r="D2421" t="str">
            <v>M05</v>
          </cell>
        </row>
        <row r="2422">
          <cell r="A2422" t="str">
            <v>UTA11420</v>
          </cell>
          <cell r="D2422" t="str">
            <v>M05</v>
          </cell>
        </row>
        <row r="2423">
          <cell r="A2423" t="str">
            <v>UTB09030</v>
          </cell>
          <cell r="D2423" t="str">
            <v>M05</v>
          </cell>
        </row>
        <row r="2424">
          <cell r="A2424" t="str">
            <v>AAA31021</v>
          </cell>
          <cell r="D2424" t="str">
            <v>실적</v>
          </cell>
        </row>
        <row r="2425">
          <cell r="A2425" t="str">
            <v>AAA31031</v>
          </cell>
          <cell r="D2425" t="str">
            <v>실적</v>
          </cell>
        </row>
        <row r="2426">
          <cell r="A2426" t="str">
            <v>AAA31044</v>
          </cell>
          <cell r="D2426" t="str">
            <v>실적</v>
          </cell>
        </row>
        <row r="2427">
          <cell r="A2427" t="str">
            <v>AAA31045</v>
          </cell>
          <cell r="D2427" t="str">
            <v>실적</v>
          </cell>
        </row>
        <row r="2428">
          <cell r="A2428" t="str">
            <v>AAC11011</v>
          </cell>
          <cell r="D2428" t="str">
            <v>실적</v>
          </cell>
        </row>
        <row r="2429">
          <cell r="A2429" t="str">
            <v>AAC11021</v>
          </cell>
          <cell r="D2429" t="str">
            <v>실적</v>
          </cell>
        </row>
        <row r="2430">
          <cell r="A2430" t="str">
            <v>AAC11031</v>
          </cell>
          <cell r="D2430" t="str">
            <v>실적</v>
          </cell>
        </row>
        <row r="2431">
          <cell r="A2431" t="str">
            <v>AAC21011</v>
          </cell>
          <cell r="D2431" t="str">
            <v>실적</v>
          </cell>
        </row>
        <row r="2432">
          <cell r="A2432" t="str">
            <v>AAC21021</v>
          </cell>
          <cell r="D2432" t="str">
            <v>실적</v>
          </cell>
        </row>
        <row r="2433">
          <cell r="A2433" t="str">
            <v>AAC21031</v>
          </cell>
          <cell r="D2433" t="str">
            <v>실적</v>
          </cell>
        </row>
        <row r="2434">
          <cell r="A2434" t="str">
            <v>AAD16040</v>
          </cell>
          <cell r="D2434" t="str">
            <v>실적</v>
          </cell>
        </row>
        <row r="2435">
          <cell r="A2435" t="str">
            <v>AAD24043</v>
          </cell>
          <cell r="D2435" t="str">
            <v>실적</v>
          </cell>
        </row>
        <row r="2436">
          <cell r="A2436" t="str">
            <v>AAD42032</v>
          </cell>
          <cell r="D2436" t="str">
            <v>실적</v>
          </cell>
        </row>
        <row r="2437">
          <cell r="A2437" t="str">
            <v>ADA30060</v>
          </cell>
          <cell r="D2437" t="str">
            <v>실적</v>
          </cell>
        </row>
        <row r="2438">
          <cell r="A2438" t="str">
            <v>ADA30080</v>
          </cell>
          <cell r="D2438" t="str">
            <v>실적</v>
          </cell>
        </row>
        <row r="2439">
          <cell r="A2439" t="str">
            <v>ADB00022</v>
          </cell>
          <cell r="D2439" t="str">
            <v>실적</v>
          </cell>
        </row>
        <row r="2440">
          <cell r="A2440" t="str">
            <v>ADB00032</v>
          </cell>
          <cell r="D2440" t="str">
            <v>실적</v>
          </cell>
        </row>
        <row r="2441">
          <cell r="A2441" t="str">
            <v>ADR12010</v>
          </cell>
          <cell r="D2441" t="str">
            <v>실적</v>
          </cell>
        </row>
        <row r="2442">
          <cell r="A2442" t="str">
            <v>ADR13010</v>
          </cell>
          <cell r="D2442" t="str">
            <v>실적</v>
          </cell>
        </row>
        <row r="2443">
          <cell r="A2443" t="str">
            <v>ADR13040</v>
          </cell>
          <cell r="D2443" t="str">
            <v>실적</v>
          </cell>
        </row>
        <row r="2444">
          <cell r="A2444" t="str">
            <v>AFA11121</v>
          </cell>
          <cell r="D2444" t="str">
            <v>실적</v>
          </cell>
        </row>
        <row r="2445">
          <cell r="A2445" t="str">
            <v>AFA11122</v>
          </cell>
          <cell r="D2445" t="str">
            <v>실적</v>
          </cell>
        </row>
        <row r="2446">
          <cell r="A2446" t="str">
            <v>AFA11123</v>
          </cell>
          <cell r="D2446" t="str">
            <v>실적</v>
          </cell>
        </row>
        <row r="2447">
          <cell r="A2447" t="str">
            <v>AFA11321</v>
          </cell>
          <cell r="D2447" t="str">
            <v>실적</v>
          </cell>
        </row>
        <row r="2448">
          <cell r="A2448" t="str">
            <v>AFA11322</v>
          </cell>
          <cell r="D2448" t="str">
            <v>실적</v>
          </cell>
        </row>
        <row r="2449">
          <cell r="A2449" t="str">
            <v>AFB11110</v>
          </cell>
          <cell r="D2449" t="str">
            <v>실적</v>
          </cell>
        </row>
        <row r="2450">
          <cell r="A2450" t="str">
            <v>AFB11210</v>
          </cell>
          <cell r="D2450" t="str">
            <v>실적</v>
          </cell>
        </row>
        <row r="2451">
          <cell r="A2451" t="str">
            <v>AGA10001</v>
          </cell>
          <cell r="D2451" t="str">
            <v>실적</v>
          </cell>
        </row>
        <row r="2452">
          <cell r="A2452" t="str">
            <v>AGA11111</v>
          </cell>
          <cell r="D2452" t="str">
            <v>실적</v>
          </cell>
        </row>
        <row r="2453">
          <cell r="A2453" t="str">
            <v>AGA13411</v>
          </cell>
          <cell r="D2453" t="str">
            <v>실적</v>
          </cell>
        </row>
        <row r="2454">
          <cell r="A2454" t="str">
            <v>AGF21204</v>
          </cell>
          <cell r="D2454" t="str">
            <v>실적</v>
          </cell>
        </row>
        <row r="2455">
          <cell r="A2455" t="str">
            <v>AGH11010</v>
          </cell>
          <cell r="D2455" t="str">
            <v>실적</v>
          </cell>
        </row>
        <row r="2456">
          <cell r="A2456" t="str">
            <v>AHC10010</v>
          </cell>
          <cell r="D2456" t="str">
            <v>실적</v>
          </cell>
        </row>
        <row r="2457">
          <cell r="A2457" t="str">
            <v>AHC20010</v>
          </cell>
          <cell r="D2457" t="str">
            <v>실적</v>
          </cell>
        </row>
        <row r="2458">
          <cell r="A2458" t="str">
            <v>AHC90010</v>
          </cell>
          <cell r="D2458" t="str">
            <v>실적</v>
          </cell>
        </row>
        <row r="2459">
          <cell r="A2459" t="str">
            <v>AHC90020</v>
          </cell>
          <cell r="D2459" t="str">
            <v>실적</v>
          </cell>
        </row>
        <row r="2460">
          <cell r="A2460" t="str">
            <v>AHF21110</v>
          </cell>
          <cell r="D2460" t="str">
            <v>실적</v>
          </cell>
        </row>
        <row r="2461">
          <cell r="A2461" t="str">
            <v>AHF21120</v>
          </cell>
          <cell r="D2461" t="str">
            <v>실적</v>
          </cell>
        </row>
        <row r="2462">
          <cell r="A2462" t="str">
            <v>AHF21130</v>
          </cell>
          <cell r="D2462" t="str">
            <v>실적</v>
          </cell>
        </row>
        <row r="2463">
          <cell r="A2463" t="str">
            <v>AHF21210</v>
          </cell>
          <cell r="D2463" t="str">
            <v>실적</v>
          </cell>
        </row>
        <row r="2464">
          <cell r="A2464" t="str">
            <v>AHF21220</v>
          </cell>
          <cell r="D2464" t="str">
            <v>실적</v>
          </cell>
        </row>
        <row r="2465">
          <cell r="A2465" t="str">
            <v>AHF24110</v>
          </cell>
          <cell r="D2465" t="str">
            <v>실적</v>
          </cell>
        </row>
        <row r="2466">
          <cell r="A2466" t="str">
            <v>AHF24120</v>
          </cell>
          <cell r="D2466" t="str">
            <v>실적</v>
          </cell>
        </row>
        <row r="2467">
          <cell r="A2467" t="str">
            <v>AHF24210</v>
          </cell>
          <cell r="D2467" t="str">
            <v>실적</v>
          </cell>
        </row>
        <row r="2468">
          <cell r="A2468" t="str">
            <v>AHF24222</v>
          </cell>
          <cell r="D2468" t="str">
            <v>실적</v>
          </cell>
        </row>
        <row r="2469">
          <cell r="A2469" t="str">
            <v>AHF24231</v>
          </cell>
          <cell r="D2469" t="str">
            <v>실적</v>
          </cell>
        </row>
        <row r="2470">
          <cell r="A2470" t="str">
            <v>AHF24232</v>
          </cell>
          <cell r="D2470" t="str">
            <v>실적</v>
          </cell>
        </row>
        <row r="2471">
          <cell r="A2471" t="str">
            <v>AHF24260</v>
          </cell>
          <cell r="D2471" t="str">
            <v>실적</v>
          </cell>
        </row>
        <row r="2472">
          <cell r="A2472" t="str">
            <v>AHF40020</v>
          </cell>
          <cell r="D2472" t="str">
            <v>실적</v>
          </cell>
        </row>
        <row r="2473">
          <cell r="A2473" t="str">
            <v>AHF40030</v>
          </cell>
          <cell r="D2473" t="str">
            <v>실적</v>
          </cell>
        </row>
        <row r="2474">
          <cell r="A2474" t="str">
            <v>AHI00020</v>
          </cell>
          <cell r="D2474" t="str">
            <v>실적</v>
          </cell>
        </row>
        <row r="2475">
          <cell r="A2475" t="str">
            <v>AHI00030</v>
          </cell>
          <cell r="D2475" t="str">
            <v>실적</v>
          </cell>
        </row>
        <row r="2476">
          <cell r="A2476" t="str">
            <v>AHJ11130</v>
          </cell>
          <cell r="D2476" t="str">
            <v>실적</v>
          </cell>
        </row>
        <row r="2477">
          <cell r="A2477" t="str">
            <v>AHJ11220</v>
          </cell>
          <cell r="D2477" t="str">
            <v>실적</v>
          </cell>
        </row>
        <row r="2478">
          <cell r="A2478" t="str">
            <v>AHJ50001</v>
          </cell>
          <cell r="D2478" t="str">
            <v>실적</v>
          </cell>
        </row>
        <row r="2479">
          <cell r="A2479" t="str">
            <v>AHJ50002</v>
          </cell>
          <cell r="D2479" t="str">
            <v>실적</v>
          </cell>
        </row>
        <row r="2480">
          <cell r="A2480" t="str">
            <v>AIB40100</v>
          </cell>
          <cell r="D2480" t="str">
            <v>실적</v>
          </cell>
        </row>
        <row r="2481">
          <cell r="A2481" t="str">
            <v>AIB40200</v>
          </cell>
          <cell r="D2481" t="str">
            <v>실적</v>
          </cell>
        </row>
        <row r="2482">
          <cell r="A2482" t="str">
            <v>AKB11020</v>
          </cell>
          <cell r="D2482" t="str">
            <v>실적</v>
          </cell>
        </row>
        <row r="2483">
          <cell r="A2483" t="str">
            <v>AKC11010</v>
          </cell>
          <cell r="D2483" t="str">
            <v>실적</v>
          </cell>
        </row>
        <row r="2484">
          <cell r="A2484" t="str">
            <v>ALG11102</v>
          </cell>
          <cell r="D2484" t="str">
            <v>실적</v>
          </cell>
        </row>
        <row r="2485">
          <cell r="A2485" t="str">
            <v>ALG11301</v>
          </cell>
          <cell r="D2485" t="str">
            <v>실적</v>
          </cell>
        </row>
        <row r="2486">
          <cell r="A2486" t="str">
            <v>ALH11200</v>
          </cell>
          <cell r="D2486" t="str">
            <v>실적</v>
          </cell>
        </row>
        <row r="2487">
          <cell r="A2487" t="str">
            <v>AMA11214</v>
          </cell>
          <cell r="D2487" t="str">
            <v>실적</v>
          </cell>
        </row>
        <row r="2488">
          <cell r="A2488" t="str">
            <v>AMA11222</v>
          </cell>
          <cell r="D2488" t="str">
            <v>실적</v>
          </cell>
        </row>
        <row r="2489">
          <cell r="A2489" t="str">
            <v>AMA11226</v>
          </cell>
          <cell r="D2489" t="str">
            <v>실적</v>
          </cell>
        </row>
        <row r="2490">
          <cell r="A2490" t="str">
            <v>AMA19013</v>
          </cell>
          <cell r="D2490" t="str">
            <v>실적</v>
          </cell>
        </row>
        <row r="2491">
          <cell r="A2491" t="str">
            <v>AMA31122</v>
          </cell>
          <cell r="D2491" t="str">
            <v>실적</v>
          </cell>
        </row>
        <row r="2492">
          <cell r="A2492" t="str">
            <v>AMA31241</v>
          </cell>
          <cell r="D2492" t="str">
            <v>실적</v>
          </cell>
        </row>
        <row r="2493">
          <cell r="A2493" t="str">
            <v>AMA31381</v>
          </cell>
          <cell r="D2493" t="str">
            <v>실적</v>
          </cell>
        </row>
        <row r="2494">
          <cell r="A2494" t="str">
            <v>AMA31421</v>
          </cell>
          <cell r="D2494" t="str">
            <v>실적</v>
          </cell>
        </row>
        <row r="2495">
          <cell r="A2495" t="str">
            <v>AMA31443</v>
          </cell>
          <cell r="D2495" t="str">
            <v>실적</v>
          </cell>
        </row>
        <row r="2496">
          <cell r="A2496" t="str">
            <v>ANC23600</v>
          </cell>
          <cell r="D2496" t="str">
            <v>실적</v>
          </cell>
        </row>
        <row r="2497">
          <cell r="A2497" t="str">
            <v>ANJ00103</v>
          </cell>
          <cell r="D2497" t="str">
            <v>실적</v>
          </cell>
        </row>
        <row r="2498">
          <cell r="A2498" t="str">
            <v>ANJ00104</v>
          </cell>
          <cell r="D2498" t="str">
            <v>실적</v>
          </cell>
        </row>
        <row r="2499">
          <cell r="A2499" t="str">
            <v>AOA24200</v>
          </cell>
          <cell r="D2499" t="str">
            <v>실적</v>
          </cell>
        </row>
        <row r="2500">
          <cell r="A2500" t="str">
            <v>AOA30110</v>
          </cell>
          <cell r="D2500" t="str">
            <v>실적</v>
          </cell>
        </row>
        <row r="2501">
          <cell r="A2501" t="str">
            <v>AOB11300</v>
          </cell>
          <cell r="D2501" t="str">
            <v>실적</v>
          </cell>
        </row>
        <row r="2502">
          <cell r="A2502" t="str">
            <v>AOB12300</v>
          </cell>
          <cell r="D2502" t="str">
            <v>실적</v>
          </cell>
        </row>
        <row r="2503">
          <cell r="A2503" t="str">
            <v>AOB12330</v>
          </cell>
          <cell r="D2503" t="str">
            <v>실적</v>
          </cell>
        </row>
        <row r="2504">
          <cell r="A2504" t="str">
            <v>AOB14300</v>
          </cell>
          <cell r="D2504" t="str">
            <v>실적</v>
          </cell>
        </row>
        <row r="2505">
          <cell r="A2505" t="str">
            <v>AOB14330</v>
          </cell>
          <cell r="D2505" t="str">
            <v>실적</v>
          </cell>
        </row>
        <row r="2506">
          <cell r="A2506" t="str">
            <v>AOD13106</v>
          </cell>
          <cell r="D2506" t="str">
            <v>실적</v>
          </cell>
        </row>
        <row r="2507">
          <cell r="A2507" t="str">
            <v>AOD13144</v>
          </cell>
          <cell r="D2507" t="str">
            <v>실적</v>
          </cell>
        </row>
        <row r="2508">
          <cell r="A2508" t="str">
            <v>AOD13145</v>
          </cell>
          <cell r="D2508" t="str">
            <v>실적</v>
          </cell>
        </row>
        <row r="2509">
          <cell r="A2509" t="str">
            <v>AOD13146</v>
          </cell>
          <cell r="D2509" t="str">
            <v>실적</v>
          </cell>
        </row>
        <row r="2510">
          <cell r="A2510" t="str">
            <v>AOD13247</v>
          </cell>
          <cell r="D2510" t="str">
            <v>실적</v>
          </cell>
        </row>
        <row r="2511">
          <cell r="A2511" t="str">
            <v>AOD21102</v>
          </cell>
          <cell r="D2511" t="str">
            <v>실적</v>
          </cell>
        </row>
        <row r="2512">
          <cell r="A2512" t="str">
            <v>AOD21103</v>
          </cell>
          <cell r="D2512" t="str">
            <v>실적</v>
          </cell>
        </row>
        <row r="2513">
          <cell r="A2513" t="str">
            <v>AOG13002</v>
          </cell>
          <cell r="D2513" t="str">
            <v>실적</v>
          </cell>
        </row>
        <row r="2514">
          <cell r="A2514" t="str">
            <v>AOG43001</v>
          </cell>
          <cell r="D2514" t="str">
            <v>실적</v>
          </cell>
        </row>
        <row r="2515">
          <cell r="A2515" t="str">
            <v>AOG43003</v>
          </cell>
          <cell r="D2515" t="str">
            <v>실적</v>
          </cell>
        </row>
        <row r="2516">
          <cell r="A2516" t="str">
            <v>AOH50020</v>
          </cell>
          <cell r="D2516" t="str">
            <v>실적</v>
          </cell>
        </row>
        <row r="2517">
          <cell r="A2517" t="str">
            <v>AOH50030</v>
          </cell>
          <cell r="D2517" t="str">
            <v>실적</v>
          </cell>
        </row>
        <row r="2518">
          <cell r="A2518" t="str">
            <v>AOI50013</v>
          </cell>
          <cell r="D2518" t="str">
            <v>실적</v>
          </cell>
        </row>
        <row r="2519">
          <cell r="A2519" t="str">
            <v>AOI60020</v>
          </cell>
          <cell r="D2519" t="str">
            <v>실적</v>
          </cell>
        </row>
        <row r="2520">
          <cell r="A2520" t="str">
            <v>AOJ11021</v>
          </cell>
          <cell r="D2520" t="str">
            <v>실적</v>
          </cell>
        </row>
        <row r="2521">
          <cell r="A2521" t="str">
            <v>AOK30010</v>
          </cell>
          <cell r="D2521" t="str">
            <v>실적</v>
          </cell>
        </row>
        <row r="2522">
          <cell r="A2522" t="str">
            <v>BCB01ZO3</v>
          </cell>
          <cell r="D2522" t="str">
            <v>실적</v>
          </cell>
        </row>
        <row r="2523">
          <cell r="A2523" t="str">
            <v>BCB01ZO5</v>
          </cell>
          <cell r="D2523" t="str">
            <v>실적</v>
          </cell>
        </row>
        <row r="2524">
          <cell r="A2524" t="str">
            <v>BCB01ZO7</v>
          </cell>
          <cell r="D2524" t="str">
            <v>실적</v>
          </cell>
        </row>
        <row r="2525">
          <cell r="A2525" t="str">
            <v>BCB01ZO8</v>
          </cell>
          <cell r="D2525" t="str">
            <v>실적</v>
          </cell>
        </row>
        <row r="2526">
          <cell r="A2526" t="str">
            <v>BCB01ZP4</v>
          </cell>
          <cell r="D2526" t="str">
            <v>실적</v>
          </cell>
        </row>
        <row r="2527">
          <cell r="A2527" t="str">
            <v>BCB01ZP5</v>
          </cell>
          <cell r="D2527" t="str">
            <v>실적</v>
          </cell>
        </row>
        <row r="2528">
          <cell r="A2528" t="str">
            <v>CDC12010</v>
          </cell>
          <cell r="D2528" t="str">
            <v>실적</v>
          </cell>
        </row>
        <row r="2529">
          <cell r="A2529" t="str">
            <v>CDC21020</v>
          </cell>
          <cell r="D2529" t="str">
            <v>실적</v>
          </cell>
        </row>
        <row r="2530">
          <cell r="A2530" t="str">
            <v>CDH11090</v>
          </cell>
          <cell r="D2530" t="str">
            <v>실적</v>
          </cell>
        </row>
        <row r="2531">
          <cell r="A2531" t="str">
            <v>CEC11011</v>
          </cell>
          <cell r="D2531" t="str">
            <v>실적</v>
          </cell>
        </row>
        <row r="2532">
          <cell r="A2532" t="str">
            <v>CEC22013</v>
          </cell>
          <cell r="D2532" t="str">
            <v>실적</v>
          </cell>
        </row>
        <row r="2533">
          <cell r="A2533" t="str">
            <v>CED10001</v>
          </cell>
          <cell r="D2533" t="str">
            <v>실적</v>
          </cell>
        </row>
        <row r="2534">
          <cell r="A2534" t="str">
            <v>CED20001</v>
          </cell>
          <cell r="D2534" t="str">
            <v>실적</v>
          </cell>
        </row>
        <row r="2535">
          <cell r="A2535" t="str">
            <v>CED43001</v>
          </cell>
          <cell r="D2535" t="str">
            <v>실적</v>
          </cell>
        </row>
        <row r="2536">
          <cell r="A2536" t="str">
            <v>CGB20003</v>
          </cell>
          <cell r="D2536" t="str">
            <v>실적</v>
          </cell>
        </row>
        <row r="2537">
          <cell r="A2537" t="str">
            <v>CGD02030</v>
          </cell>
          <cell r="D2537" t="str">
            <v>실적</v>
          </cell>
        </row>
        <row r="2538">
          <cell r="A2538" t="str">
            <v>CGI11000</v>
          </cell>
          <cell r="D2538" t="str">
            <v>실적</v>
          </cell>
        </row>
        <row r="2539">
          <cell r="A2539" t="str">
            <v>CHG12001</v>
          </cell>
          <cell r="D2539" t="str">
            <v>실적</v>
          </cell>
        </row>
        <row r="2540">
          <cell r="A2540" t="str">
            <v>CLA10015</v>
          </cell>
          <cell r="D2540" t="str">
            <v>실적</v>
          </cell>
        </row>
        <row r="2541">
          <cell r="A2541" t="str">
            <v>GBA25100</v>
          </cell>
          <cell r="D2541" t="str">
            <v>실적</v>
          </cell>
        </row>
        <row r="2542">
          <cell r="A2542" t="str">
            <v>GBA26100</v>
          </cell>
          <cell r="D2542" t="str">
            <v>실적</v>
          </cell>
        </row>
        <row r="2543">
          <cell r="A2543" t="str">
            <v>GBA27100</v>
          </cell>
          <cell r="D2543" t="str">
            <v>실적</v>
          </cell>
        </row>
        <row r="2544">
          <cell r="A2544" t="str">
            <v>GBA28100</v>
          </cell>
          <cell r="D2544" t="str">
            <v>실적</v>
          </cell>
        </row>
        <row r="2545">
          <cell r="A2545" t="str">
            <v>GBB21100</v>
          </cell>
          <cell r="D2545" t="str">
            <v>실적</v>
          </cell>
        </row>
        <row r="2546">
          <cell r="A2546" t="str">
            <v>GBC22100</v>
          </cell>
          <cell r="D2546" t="str">
            <v>실적</v>
          </cell>
        </row>
        <row r="2547">
          <cell r="A2547" t="str">
            <v>GBC25100</v>
          </cell>
          <cell r="D2547" t="str">
            <v>실적</v>
          </cell>
        </row>
        <row r="2548">
          <cell r="A2548" t="str">
            <v>GBC26100</v>
          </cell>
          <cell r="D2548" t="str">
            <v>실적</v>
          </cell>
        </row>
        <row r="2549">
          <cell r="A2549" t="str">
            <v>GBC27100</v>
          </cell>
          <cell r="D2549" t="str">
            <v>실적</v>
          </cell>
        </row>
        <row r="2550">
          <cell r="A2550" t="str">
            <v>GBC28100</v>
          </cell>
          <cell r="D2550" t="str">
            <v>실적</v>
          </cell>
        </row>
        <row r="2551">
          <cell r="A2551" t="str">
            <v>GBC31100</v>
          </cell>
          <cell r="D2551" t="str">
            <v>실적</v>
          </cell>
        </row>
        <row r="2552">
          <cell r="A2552" t="str">
            <v>GBC32100</v>
          </cell>
          <cell r="D2552" t="str">
            <v>실적</v>
          </cell>
        </row>
        <row r="2553">
          <cell r="A2553" t="str">
            <v>GBC33100</v>
          </cell>
          <cell r="D2553" t="str">
            <v>실적</v>
          </cell>
        </row>
        <row r="2554">
          <cell r="A2554" t="str">
            <v>GBC34100</v>
          </cell>
          <cell r="D2554" t="str">
            <v>실적</v>
          </cell>
        </row>
        <row r="2555">
          <cell r="A2555" t="str">
            <v>GBC35100</v>
          </cell>
          <cell r="D2555" t="str">
            <v>실적</v>
          </cell>
        </row>
        <row r="2556">
          <cell r="A2556" t="str">
            <v>GBC36100</v>
          </cell>
          <cell r="D2556" t="str">
            <v>실적</v>
          </cell>
        </row>
        <row r="2557">
          <cell r="A2557" t="str">
            <v>GBC37100</v>
          </cell>
          <cell r="D2557" t="str">
            <v>실적</v>
          </cell>
        </row>
        <row r="2558">
          <cell r="A2558" t="str">
            <v>GBC38100</v>
          </cell>
          <cell r="D2558" t="str">
            <v>실적</v>
          </cell>
        </row>
        <row r="2559">
          <cell r="A2559" t="str">
            <v>GBD21100</v>
          </cell>
          <cell r="D2559" t="str">
            <v>실적</v>
          </cell>
        </row>
        <row r="2560">
          <cell r="A2560" t="str">
            <v>GBI24125</v>
          </cell>
          <cell r="D2560" t="str">
            <v>실적</v>
          </cell>
        </row>
        <row r="2561">
          <cell r="A2561" t="str">
            <v>GBI25125</v>
          </cell>
          <cell r="D2561" t="str">
            <v>실적</v>
          </cell>
        </row>
        <row r="2562">
          <cell r="A2562" t="str">
            <v>GBI26125</v>
          </cell>
          <cell r="D2562" t="str">
            <v>실적</v>
          </cell>
        </row>
        <row r="2563">
          <cell r="A2563" t="str">
            <v>GBI28125</v>
          </cell>
          <cell r="D2563" t="str">
            <v>실적</v>
          </cell>
        </row>
        <row r="2564">
          <cell r="A2564" t="str">
            <v>GBJ21125</v>
          </cell>
          <cell r="D2564" t="str">
            <v>실적</v>
          </cell>
        </row>
        <row r="2565">
          <cell r="A2565" t="str">
            <v>GBP31037</v>
          </cell>
          <cell r="D2565" t="str">
            <v>실적</v>
          </cell>
        </row>
        <row r="2566">
          <cell r="A2566" t="str">
            <v>GBP32037</v>
          </cell>
          <cell r="D2566" t="str">
            <v>실적</v>
          </cell>
        </row>
        <row r="2567">
          <cell r="A2567" t="str">
            <v>GBP33037</v>
          </cell>
          <cell r="D2567" t="str">
            <v>실적</v>
          </cell>
        </row>
        <row r="2568">
          <cell r="A2568" t="str">
            <v>GBP34037</v>
          </cell>
          <cell r="D2568" t="str">
            <v>실적</v>
          </cell>
        </row>
        <row r="2569">
          <cell r="A2569" t="str">
            <v>GBP35037</v>
          </cell>
          <cell r="D2569" t="str">
            <v>실적</v>
          </cell>
        </row>
        <row r="2570">
          <cell r="A2570" t="str">
            <v>GBP36037</v>
          </cell>
          <cell r="D2570" t="str">
            <v>실적</v>
          </cell>
        </row>
        <row r="2571">
          <cell r="A2571" t="str">
            <v>GBP37037</v>
          </cell>
          <cell r="D2571" t="str">
            <v>실적</v>
          </cell>
        </row>
        <row r="2572">
          <cell r="A2572" t="str">
            <v>GBP38037</v>
          </cell>
          <cell r="D2572" t="str">
            <v>실적</v>
          </cell>
        </row>
        <row r="2573">
          <cell r="A2573" t="str">
            <v>GBQ31037</v>
          </cell>
          <cell r="D2573" t="str">
            <v>실적</v>
          </cell>
        </row>
        <row r="2574">
          <cell r="A2574" t="str">
            <v>GDA11730</v>
          </cell>
          <cell r="D2574" t="str">
            <v>실적</v>
          </cell>
        </row>
        <row r="2575">
          <cell r="A2575" t="str">
            <v>GDA12730</v>
          </cell>
          <cell r="D2575" t="str">
            <v>실적</v>
          </cell>
        </row>
        <row r="2576">
          <cell r="A2576" t="str">
            <v>GDA13730</v>
          </cell>
          <cell r="D2576" t="str">
            <v>실적</v>
          </cell>
        </row>
        <row r="2577">
          <cell r="A2577" t="str">
            <v>GDA23730</v>
          </cell>
          <cell r="D2577" t="str">
            <v>실적</v>
          </cell>
        </row>
        <row r="2578">
          <cell r="A2578" t="str">
            <v>GDA24730</v>
          </cell>
          <cell r="D2578" t="str">
            <v>실적</v>
          </cell>
        </row>
        <row r="2579">
          <cell r="A2579" t="str">
            <v>GDA25730</v>
          </cell>
          <cell r="D2579" t="str">
            <v>실적</v>
          </cell>
        </row>
        <row r="2580">
          <cell r="A2580" t="str">
            <v>GDA26730</v>
          </cell>
          <cell r="D2580" t="str">
            <v>실적</v>
          </cell>
        </row>
        <row r="2581">
          <cell r="A2581" t="str">
            <v>GDA27730</v>
          </cell>
          <cell r="D2581" t="str">
            <v>실적</v>
          </cell>
        </row>
        <row r="2582">
          <cell r="A2582" t="str">
            <v>GDA28730</v>
          </cell>
          <cell r="D2582" t="str">
            <v>실적</v>
          </cell>
        </row>
        <row r="2583">
          <cell r="A2583" t="str">
            <v>GDA32730</v>
          </cell>
          <cell r="D2583" t="str">
            <v>실적</v>
          </cell>
        </row>
        <row r="2584">
          <cell r="A2584" t="str">
            <v>GDA33730</v>
          </cell>
          <cell r="D2584" t="str">
            <v>실적</v>
          </cell>
        </row>
        <row r="2585">
          <cell r="A2585" t="str">
            <v>GDA51150</v>
          </cell>
          <cell r="D2585" t="str">
            <v>실적</v>
          </cell>
        </row>
        <row r="2586">
          <cell r="A2586" t="str">
            <v>GDA52150</v>
          </cell>
          <cell r="D2586" t="str">
            <v>실적</v>
          </cell>
        </row>
        <row r="2587">
          <cell r="A2587" t="str">
            <v>GDA53150</v>
          </cell>
          <cell r="D2587" t="str">
            <v>실적</v>
          </cell>
        </row>
        <row r="2588">
          <cell r="A2588" t="str">
            <v>GDA54150</v>
          </cell>
          <cell r="D2588" t="str">
            <v>실적</v>
          </cell>
        </row>
        <row r="2589">
          <cell r="A2589" t="str">
            <v>GDA55150</v>
          </cell>
          <cell r="D2589" t="str">
            <v>실적</v>
          </cell>
        </row>
        <row r="2590">
          <cell r="A2590" t="str">
            <v>GDA56150</v>
          </cell>
          <cell r="D2590" t="str">
            <v>실적</v>
          </cell>
        </row>
        <row r="2591">
          <cell r="A2591" t="str">
            <v>GDA57150</v>
          </cell>
          <cell r="D2591" t="str">
            <v>실적</v>
          </cell>
        </row>
        <row r="2592">
          <cell r="A2592" t="str">
            <v>GDA57750</v>
          </cell>
          <cell r="D2592" t="str">
            <v>실적</v>
          </cell>
        </row>
        <row r="2593">
          <cell r="A2593" t="str">
            <v>GDA58150</v>
          </cell>
          <cell r="D2593" t="str">
            <v>실적</v>
          </cell>
        </row>
        <row r="2594">
          <cell r="A2594" t="str">
            <v>GDA58750</v>
          </cell>
          <cell r="D2594" t="str">
            <v>실적</v>
          </cell>
        </row>
        <row r="2595">
          <cell r="A2595" t="str">
            <v>GDA66150</v>
          </cell>
          <cell r="D2595" t="str">
            <v>실적</v>
          </cell>
        </row>
        <row r="2596">
          <cell r="A2596" t="str">
            <v>GDA67150</v>
          </cell>
          <cell r="D2596" t="str">
            <v>실적</v>
          </cell>
        </row>
        <row r="2597">
          <cell r="A2597" t="str">
            <v>GDA68150</v>
          </cell>
          <cell r="D2597" t="str">
            <v>실적</v>
          </cell>
        </row>
        <row r="2598">
          <cell r="A2598" t="str">
            <v>GDA71150</v>
          </cell>
          <cell r="D2598" t="str">
            <v>실적</v>
          </cell>
        </row>
        <row r="2599">
          <cell r="A2599" t="str">
            <v>GDB51150</v>
          </cell>
          <cell r="D2599" t="str">
            <v>실적</v>
          </cell>
        </row>
        <row r="2600">
          <cell r="A2600" t="str">
            <v>GDC16115</v>
          </cell>
          <cell r="D2600" t="str">
            <v>실적</v>
          </cell>
        </row>
        <row r="2601">
          <cell r="A2601" t="str">
            <v>GDC17115</v>
          </cell>
          <cell r="D2601" t="str">
            <v>실적</v>
          </cell>
        </row>
        <row r="2602">
          <cell r="A2602" t="str">
            <v>GDC18115</v>
          </cell>
          <cell r="D2602" t="str">
            <v>실적</v>
          </cell>
        </row>
        <row r="2603">
          <cell r="A2603" t="str">
            <v>GDD11115</v>
          </cell>
          <cell r="D2603" t="str">
            <v>실적</v>
          </cell>
        </row>
        <row r="2604">
          <cell r="A2604" t="str">
            <v>GDD61150</v>
          </cell>
          <cell r="D2604" t="str">
            <v>실적</v>
          </cell>
        </row>
        <row r="2605">
          <cell r="A2605" t="str">
            <v>GFA12210</v>
          </cell>
          <cell r="D2605" t="str">
            <v>실적</v>
          </cell>
        </row>
        <row r="2606">
          <cell r="A2606" t="str">
            <v>GFA13210</v>
          </cell>
          <cell r="D2606" t="str">
            <v>실적</v>
          </cell>
        </row>
        <row r="2607">
          <cell r="A2607" t="str">
            <v>GFA14210</v>
          </cell>
          <cell r="D2607" t="str">
            <v>실적</v>
          </cell>
        </row>
        <row r="2608">
          <cell r="A2608" t="str">
            <v>GFA16210</v>
          </cell>
          <cell r="D2608" t="str">
            <v>실적</v>
          </cell>
        </row>
        <row r="2609">
          <cell r="A2609" t="str">
            <v>GFA17230</v>
          </cell>
          <cell r="D2609" t="str">
            <v>실적</v>
          </cell>
        </row>
        <row r="2610">
          <cell r="A2610" t="str">
            <v>GFA18230</v>
          </cell>
          <cell r="D2610" t="str">
            <v>실적</v>
          </cell>
        </row>
        <row r="2611">
          <cell r="A2611" t="str">
            <v>GFA35220</v>
          </cell>
          <cell r="D2611" t="str">
            <v>실적</v>
          </cell>
        </row>
        <row r="2612">
          <cell r="A2612" t="str">
            <v>GFA55210</v>
          </cell>
          <cell r="D2612" t="str">
            <v>실적</v>
          </cell>
        </row>
        <row r="2613">
          <cell r="A2613" t="str">
            <v>GFA82210</v>
          </cell>
          <cell r="D2613" t="str">
            <v>실적</v>
          </cell>
        </row>
        <row r="2614">
          <cell r="A2614" t="str">
            <v>GFA83210</v>
          </cell>
          <cell r="D2614" t="str">
            <v>실적</v>
          </cell>
        </row>
        <row r="2615">
          <cell r="A2615" t="str">
            <v>GFA84210</v>
          </cell>
          <cell r="D2615" t="str">
            <v>실적</v>
          </cell>
        </row>
        <row r="2616">
          <cell r="A2616" t="str">
            <v>GFA85210</v>
          </cell>
          <cell r="D2616" t="str">
            <v>실적</v>
          </cell>
        </row>
        <row r="2617">
          <cell r="A2617" t="str">
            <v>GFA86210</v>
          </cell>
          <cell r="D2617" t="str">
            <v>실적</v>
          </cell>
        </row>
        <row r="2618">
          <cell r="A2618" t="str">
            <v>GFB11230</v>
          </cell>
          <cell r="D2618" t="str">
            <v>실적</v>
          </cell>
        </row>
        <row r="2619">
          <cell r="A2619" t="str">
            <v>GFC11200</v>
          </cell>
          <cell r="D2619" t="str">
            <v>실적</v>
          </cell>
        </row>
        <row r="2620">
          <cell r="A2620" t="str">
            <v>GFC12200</v>
          </cell>
          <cell r="D2620" t="str">
            <v>실적</v>
          </cell>
        </row>
        <row r="2621">
          <cell r="A2621" t="str">
            <v>GFC14200</v>
          </cell>
          <cell r="D2621" t="str">
            <v>실적</v>
          </cell>
        </row>
        <row r="2622">
          <cell r="A2622" t="str">
            <v>GFC15200</v>
          </cell>
          <cell r="D2622" t="str">
            <v>실적</v>
          </cell>
        </row>
        <row r="2623">
          <cell r="A2623" t="str">
            <v>GFC32000</v>
          </cell>
          <cell r="D2623" t="str">
            <v>실적</v>
          </cell>
        </row>
        <row r="2624">
          <cell r="A2624" t="str">
            <v>GFC33000</v>
          </cell>
          <cell r="D2624" t="str">
            <v>실적</v>
          </cell>
        </row>
        <row r="2625">
          <cell r="A2625" t="str">
            <v>GFC34000</v>
          </cell>
          <cell r="D2625" t="str">
            <v>실적</v>
          </cell>
        </row>
        <row r="2626">
          <cell r="A2626" t="str">
            <v>GFC35000</v>
          </cell>
          <cell r="D2626" t="str">
            <v>실적</v>
          </cell>
        </row>
        <row r="2627">
          <cell r="A2627" t="str">
            <v>GFC36000</v>
          </cell>
          <cell r="D2627" t="str">
            <v>실적</v>
          </cell>
        </row>
        <row r="2628">
          <cell r="A2628" t="str">
            <v>GFE21110</v>
          </cell>
          <cell r="D2628" t="str">
            <v>실적</v>
          </cell>
        </row>
        <row r="2629">
          <cell r="A2629" t="str">
            <v>GFE22110</v>
          </cell>
          <cell r="D2629" t="str">
            <v>실적</v>
          </cell>
        </row>
        <row r="2630">
          <cell r="A2630" t="str">
            <v>GFH23101</v>
          </cell>
          <cell r="D2630" t="str">
            <v>실적</v>
          </cell>
        </row>
        <row r="2631">
          <cell r="A2631" t="str">
            <v>GFH24102</v>
          </cell>
          <cell r="D2631" t="str">
            <v>실적</v>
          </cell>
        </row>
        <row r="2632">
          <cell r="A2632" t="str">
            <v>GFH25102</v>
          </cell>
          <cell r="D2632" t="str">
            <v>실적</v>
          </cell>
        </row>
        <row r="2633">
          <cell r="A2633" t="str">
            <v>GFH26102</v>
          </cell>
          <cell r="D2633" t="str">
            <v>실적</v>
          </cell>
        </row>
        <row r="2634">
          <cell r="A2634" t="str">
            <v>GGC11010</v>
          </cell>
          <cell r="D2634" t="str">
            <v>실적</v>
          </cell>
        </row>
        <row r="2635">
          <cell r="A2635" t="str">
            <v>GKC13000</v>
          </cell>
          <cell r="D2635" t="str">
            <v>실적</v>
          </cell>
        </row>
        <row r="2636">
          <cell r="A2636" t="str">
            <v>GKC62000</v>
          </cell>
          <cell r="D2636" t="str">
            <v>실적</v>
          </cell>
        </row>
        <row r="2637">
          <cell r="A2637" t="str">
            <v>GKF01000</v>
          </cell>
          <cell r="D2637" t="str">
            <v>실적</v>
          </cell>
        </row>
        <row r="2638">
          <cell r="A2638" t="str">
            <v>GKI11100</v>
          </cell>
          <cell r="D2638" t="str">
            <v>실적</v>
          </cell>
        </row>
        <row r="2639">
          <cell r="A2639" t="str">
            <v>GKO10011</v>
          </cell>
          <cell r="D2639" t="str">
            <v>실적</v>
          </cell>
        </row>
        <row r="2640">
          <cell r="A2640" t="str">
            <v>GKO10021</v>
          </cell>
          <cell r="D2640" t="str">
            <v>실적</v>
          </cell>
        </row>
        <row r="2641">
          <cell r="A2641" t="str">
            <v>GKO10031</v>
          </cell>
          <cell r="D2641" t="str">
            <v>실적</v>
          </cell>
        </row>
        <row r="2642">
          <cell r="A2642" t="str">
            <v>GKO10041</v>
          </cell>
          <cell r="D2642" t="str">
            <v>실적</v>
          </cell>
        </row>
        <row r="2643">
          <cell r="A2643" t="str">
            <v>GKO10051</v>
          </cell>
          <cell r="D2643" t="str">
            <v>실적</v>
          </cell>
        </row>
        <row r="2644">
          <cell r="A2644" t="str">
            <v>GKO10061</v>
          </cell>
          <cell r="D2644" t="str">
            <v>실적</v>
          </cell>
        </row>
        <row r="2645">
          <cell r="A2645" t="str">
            <v>GKO10071</v>
          </cell>
          <cell r="D2645" t="str">
            <v>실적</v>
          </cell>
        </row>
        <row r="2646">
          <cell r="A2646" t="str">
            <v>GKO10081</v>
          </cell>
          <cell r="D2646" t="str">
            <v>실적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General Condition"/>
      <sheetName val="Schedule of rate"/>
      <sheetName val="Sum table"/>
      <sheetName val="Statement with Quantiti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xxxxxx"/>
      <sheetName val="0000"/>
      <sheetName val="현황"/>
      <sheetName val="철콘"/>
      <sheetName val="입찰표지"/>
      <sheetName val="BID"/>
      <sheetName val="일위대가"/>
      <sheetName val="산출내역서"/>
      <sheetName val="실행철강하도"/>
      <sheetName val=" HIT-&gt;HMC 견적(3900)"/>
      <sheetName val="Macro1"/>
      <sheetName val="투찰내역"/>
      <sheetName val="일위목록"/>
      <sheetName val="요율"/>
      <sheetName val="입찰안"/>
      <sheetName val="후다내역"/>
      <sheetName val="SG"/>
      <sheetName val="일위대가목록"/>
      <sheetName val="한전일위"/>
      <sheetName val="갑지"/>
      <sheetName val="현장관리비"/>
      <sheetName val="합계"/>
      <sheetName val="#2_일위대가목록"/>
      <sheetName val="단가"/>
      <sheetName val="간접비계산"/>
      <sheetName val="일위CODE"/>
      <sheetName val="중기비"/>
      <sheetName val="노무비"/>
      <sheetName val="품셈"/>
      <sheetName val="자재단가"/>
      <sheetName val="일  위  대  가  목  록"/>
      <sheetName val="산수배수"/>
      <sheetName val="당초명세(평)"/>
      <sheetName val="인부신상자료"/>
      <sheetName val="건설성적"/>
      <sheetName val="원가계산서"/>
      <sheetName val="관급자재"/>
      <sheetName val="1공구산출내역서"/>
      <sheetName val="원형1호맨홀토공수량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장문교(대전)"/>
      <sheetName val="관급"/>
      <sheetName val="장비"/>
      <sheetName val="산근1"/>
      <sheetName val="노무"/>
      <sheetName val="자재"/>
      <sheetName val="조명율표"/>
      <sheetName val="간접(90)"/>
      <sheetName val="HRSG SMALL07220"/>
      <sheetName val="#REF"/>
      <sheetName val="JUCKEYK"/>
      <sheetName val="S0"/>
      <sheetName val="INSTR"/>
      <sheetName val="기본설계기준"/>
      <sheetName val="일위"/>
      <sheetName val="단가적용"/>
      <sheetName val="저"/>
      <sheetName val="참조"/>
      <sheetName val="1,2공구원가계산서"/>
      <sheetName val="우배수"/>
      <sheetName val="계산식"/>
      <sheetName val="전체"/>
      <sheetName val="3개월-백데이타"/>
      <sheetName val="LG배관재단가"/>
      <sheetName val="다다수전류단가"/>
      <sheetName val="LG유통상품단가표"/>
      <sheetName val="조건표"/>
      <sheetName val="단가산출"/>
      <sheetName val="증감내역서"/>
      <sheetName val="기본단가표"/>
      <sheetName val="2공구산출내역"/>
      <sheetName val="운반비요율"/>
      <sheetName val="교각토공 _2_"/>
      <sheetName val="유동표"/>
      <sheetName val="일위대가목록표"/>
      <sheetName val="설계가"/>
      <sheetName val="6. 안전관리비"/>
      <sheetName val="b_balju"/>
      <sheetName val="2000년1차"/>
      <sheetName val="2000전체분"/>
      <sheetName val="직노"/>
      <sheetName val="준검 내역서"/>
      <sheetName val="8.현장관리비"/>
      <sheetName val="7.안전관리비"/>
      <sheetName val="내역(한신APT)"/>
      <sheetName val="조건표 (2)"/>
      <sheetName val="코드표"/>
      <sheetName val="3.공통공사대비"/>
      <sheetName val="PI"/>
      <sheetName val="품셈총괄표"/>
      <sheetName val="차액보증"/>
      <sheetName val="별표집계"/>
      <sheetName val="Macro2"/>
      <sheetName val="견적의뢰서"/>
      <sheetName val="노임"/>
      <sheetName val="노임단가"/>
      <sheetName val="표지1"/>
      <sheetName val="97년 추정"/>
      <sheetName val="6PILE  (돌출)"/>
      <sheetName val="TEST1"/>
      <sheetName val="하도내역 (철콘)"/>
      <sheetName val="특기사항"/>
      <sheetName val="일위대가D"/>
      <sheetName val="약품공급2"/>
      <sheetName val="ORIGIN"/>
      <sheetName val="1단계"/>
      <sheetName val="일위총괄"/>
      <sheetName val="BND"/>
      <sheetName val="작업일보"/>
      <sheetName val="노무비 근거"/>
      <sheetName val="수정2"/>
      <sheetName val="조명시설"/>
      <sheetName val="덕전리"/>
      <sheetName val="기초1"/>
      <sheetName val="입출재고현황 (2)"/>
      <sheetName val="을"/>
      <sheetName val="c_balju"/>
      <sheetName val="물가시세"/>
      <sheetName val="중기"/>
      <sheetName val="U형개거"/>
      <sheetName val="DHEQSUPT"/>
      <sheetName val="공통가설"/>
      <sheetName val="내역전기"/>
      <sheetName val="배수내역"/>
      <sheetName val="48일위"/>
      <sheetName val="FORM-0"/>
      <sheetName val="표준건축비"/>
      <sheetName val="IT-BAT"/>
      <sheetName val="수문일위1"/>
      <sheetName val="도급"/>
      <sheetName val="2터널시점"/>
      <sheetName val="A1"/>
      <sheetName val="WORK"/>
      <sheetName val="입력데이타"/>
      <sheetName val="목차 "/>
      <sheetName val="예산총괄"/>
      <sheetName val="일위단가"/>
      <sheetName val="이월"/>
      <sheetName val="일위대가목차"/>
      <sheetName val="7. 현장관리비 "/>
      <sheetName val="단가표"/>
      <sheetName val="지급자재"/>
      <sheetName val="수량산출서"/>
      <sheetName val="신공항A-9(원가수정)"/>
      <sheetName val="설계예산서"/>
      <sheetName val="10공구일위"/>
      <sheetName val="임율 Data"/>
      <sheetName val="수량3"/>
      <sheetName val="금융비용"/>
      <sheetName val="시화점실행"/>
      <sheetName val="TOTAL"/>
      <sheetName val="첨부1"/>
      <sheetName val="집계"/>
      <sheetName val="개거총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일위산출근거"/>
      <sheetName val="추가예산"/>
      <sheetName val="공정집계_국별"/>
      <sheetName val="인원"/>
      <sheetName val="SLAB근거-1"/>
      <sheetName val="하도금액분계"/>
      <sheetName val="견적"/>
      <sheetName val="1.설계기준"/>
      <sheetName val="BSD (2)"/>
      <sheetName val="노임조서"/>
      <sheetName val="산출근거"/>
      <sheetName val="수량산출"/>
      <sheetName val="기계내역"/>
      <sheetName val="업체별기성내역"/>
      <sheetName val="포장(수량)-관로부"/>
      <sheetName val="단면 (2)"/>
      <sheetName val="실행대비"/>
      <sheetName val="(당평)자재"/>
      <sheetName val="잡비"/>
      <sheetName val="제경비산출서"/>
      <sheetName val="철거산출근거"/>
      <sheetName val="CTEMCOST"/>
      <sheetName val="배수공"/>
      <sheetName val="일위대가표48"/>
      <sheetName val="표지_(3)"/>
      <sheetName val="표지_(2)"/>
      <sheetName val="교각집계_(2)"/>
      <sheetName val="교각토공_(2)"/>
      <sheetName val="교각철근_(2)"/>
      <sheetName val="노무비 "/>
      <sheetName val="설계"/>
      <sheetName val="P_RPTB04_산근"/>
      <sheetName val="공량산출서"/>
      <sheetName val="ABUT수량-A1"/>
      <sheetName val="결재난"/>
      <sheetName val="호안사석"/>
      <sheetName val="배수자집"/>
      <sheetName val="8.PILE  (돌출)"/>
      <sheetName val="일일"/>
      <sheetName val="#2정산"/>
      <sheetName val="유입량"/>
      <sheetName val="2000용수잠관-수량집계"/>
      <sheetName val="유치원내역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음성방향"/>
      <sheetName val="일위(PN)"/>
      <sheetName val="토공(1)"/>
      <sheetName val="차수공(1)"/>
      <sheetName val="INPUT"/>
      <sheetName val="DATE"/>
      <sheetName val="DANGA"/>
      <sheetName val="간선계산"/>
      <sheetName val="환기시설"/>
      <sheetName val="조명"/>
      <sheetName val="점보전력사용"/>
      <sheetName val="단면"/>
      <sheetName val="배수처리"/>
      <sheetName val="입력자료(노무비)"/>
      <sheetName val="토목품셈"/>
      <sheetName val="경상비"/>
      <sheetName val="전문하도급"/>
      <sheetName val="교량전기"/>
      <sheetName val="평가데이터"/>
      <sheetName val="MOTOR"/>
      <sheetName val="현장관리비 산출내역"/>
      <sheetName val="단위단가"/>
      <sheetName val="대로근거"/>
      <sheetName val="중로근거"/>
      <sheetName val="터널대가"/>
      <sheetName val="1. 설계조건 2.단면가정 3. 하중계산"/>
      <sheetName val="DATA 입력란"/>
      <sheetName val="4.일위대가집계"/>
      <sheetName val="기성갑지"/>
      <sheetName val="공사내역서(을)실행"/>
      <sheetName val="인사자료총집계"/>
      <sheetName val="단면가정"/>
      <sheetName val="직접비"/>
      <sheetName val="건장설비"/>
      <sheetName val="교통대책내역"/>
      <sheetName val="인명부"/>
      <sheetName val="경영상태"/>
      <sheetName val="전기"/>
      <sheetName val="효율표"/>
      <sheetName val="수량분개내역"/>
      <sheetName val="FB25JN"/>
      <sheetName val="b_balju (2)"/>
      <sheetName val="b_gunmul"/>
      <sheetName val="설계명세서"/>
      <sheetName val="내역서 제출"/>
      <sheetName val="자료입력"/>
      <sheetName val="중기일위대가"/>
      <sheetName val="기본단가"/>
      <sheetName val="구조     ."/>
      <sheetName val="DATA"/>
      <sheetName val="장비단가"/>
      <sheetName val="내역표지"/>
      <sheetName val="가스"/>
      <sheetName val="양수장(기계)"/>
      <sheetName val="(원)기흥상갈"/>
      <sheetName val="만년달력"/>
      <sheetName val="tggwan(mac)"/>
      <sheetName val="금액내역서"/>
      <sheetName val="일위대가집계"/>
      <sheetName val="단가대비표"/>
      <sheetName val="우석문틀"/>
      <sheetName val="인사자료"/>
      <sheetName val="자재일람"/>
      <sheetName val="화재 탐지 설비"/>
      <sheetName val="공사비예산서(토목분)"/>
      <sheetName val="운반"/>
      <sheetName val="사업관리"/>
      <sheetName val="공사비증감"/>
      <sheetName val="적현로"/>
      <sheetName val="재료비"/>
      <sheetName val="일위집계(기존)"/>
      <sheetName val="A LINE"/>
      <sheetName val="프랜트면허"/>
      <sheetName val="토목주소"/>
      <sheetName val="파이프류"/>
      <sheetName val="토공사"/>
      <sheetName val="Customer Databas"/>
      <sheetName val="일위대가(1)"/>
      <sheetName val="날개벽수량표"/>
      <sheetName val="5. 현장관리비(new) "/>
      <sheetName val="실행내역서 "/>
      <sheetName val="예가표"/>
      <sheetName val="물가자료"/>
      <sheetName val="간 지1"/>
      <sheetName val="일위(시설)"/>
      <sheetName val="산출내역서집계표"/>
      <sheetName val="5_ 현장관리비_new_ "/>
      <sheetName val="방배동내역(리라)"/>
      <sheetName val="현장경비"/>
      <sheetName val="건축공사집계표"/>
      <sheetName val="방배동내역 (총괄)"/>
      <sheetName val="부대공사총괄"/>
      <sheetName val="총괄내역서"/>
      <sheetName val="내역(2000년)"/>
      <sheetName val="콘크리트타설집계표"/>
      <sheetName val="2"/>
      <sheetName val="단위중량"/>
      <sheetName val="1.설계조건"/>
      <sheetName val="유림골조"/>
      <sheetName val="공통부대비"/>
      <sheetName val="인계"/>
      <sheetName val="lab"/>
      <sheetName val="경비2내역"/>
      <sheetName val="금리계산"/>
      <sheetName val="Temporary Mooring"/>
      <sheetName val="공문"/>
      <sheetName val="SHL"/>
      <sheetName val="품셈TABLE"/>
      <sheetName val="2.대외공문"/>
      <sheetName val="중기조종사 단위단가"/>
      <sheetName val="U-TYPE(1)"/>
      <sheetName val="일반공사"/>
      <sheetName val="단위량당중기"/>
      <sheetName val="청천내"/>
      <sheetName val="건설실행"/>
      <sheetName val="실행내역"/>
      <sheetName val="일위목록데이타"/>
      <sheetName val="설내역서 "/>
      <sheetName val="우수"/>
      <sheetName val="인원계획"/>
      <sheetName val="N賃率-職"/>
      <sheetName val="원도급"/>
      <sheetName val="하도급"/>
      <sheetName val="공사원가계산서"/>
      <sheetName val="초기화면"/>
      <sheetName val="RE9604"/>
      <sheetName val="BQ"/>
      <sheetName val="부하계산서"/>
      <sheetName val="단가산출(T)"/>
      <sheetName val="날개벽(시점좌측)"/>
      <sheetName val="맨홀수량산출"/>
      <sheetName val="재료집계표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설계내역"/>
      <sheetName val="마산방향철근집계"/>
      <sheetName val="진주방향"/>
      <sheetName val="입력정보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단중표"/>
      <sheetName val="일위대가 집계표"/>
      <sheetName val="특수선일위대가"/>
      <sheetName val="개산공사비"/>
      <sheetName val="COVER-P"/>
      <sheetName val="자동제어"/>
      <sheetName val="단계별내역 (2)"/>
      <sheetName val="데이타"/>
      <sheetName val="식재인부"/>
      <sheetName val="중기조종사_단위단가"/>
      <sheetName val="단면_(2)"/>
      <sheetName val="BSD_(2)"/>
      <sheetName val="점검총괄"/>
      <sheetName val="측량요율"/>
      <sheetName val="자재대"/>
      <sheetName val="동천하상준설"/>
      <sheetName val="기본일위"/>
      <sheetName val="J直材4"/>
      <sheetName val="자  재"/>
      <sheetName val="건축외주"/>
      <sheetName val=" 갑지"/>
      <sheetName val="설 계"/>
      <sheetName val="기계"/>
      <sheetName val="화전내"/>
      <sheetName val="대치판정"/>
      <sheetName val="이형관중량"/>
      <sheetName val="일위대가(목록)"/>
      <sheetName val="산근(목록)"/>
      <sheetName val="70%"/>
      <sheetName val="시중노임단가"/>
      <sheetName val="정렬"/>
      <sheetName val="일위총괄표"/>
      <sheetName val="252K444"/>
      <sheetName val="총 원가계산"/>
      <sheetName val="앵커(3안)"/>
      <sheetName val="터파기및재료"/>
      <sheetName val="노원열병합  건축공사기성내역서"/>
      <sheetName val="일용직6월"/>
      <sheetName val="경비"/>
      <sheetName val="현장별"/>
      <sheetName val="간접비"/>
      <sheetName val="갑지(추정)"/>
      <sheetName val="변경내역"/>
      <sheetName val="집 계 표"/>
      <sheetName val="계측기"/>
      <sheetName val="일용직"/>
      <sheetName val="인천제철"/>
      <sheetName val="양덕동"/>
      <sheetName val="Code"/>
      <sheetName val="외주대비 -석축_x0000__x0000__x0000__x0000__x0000__x0012_[후다내역.XLS]견적표지 (3"/>
      <sheetName val="부대내역"/>
      <sheetName val="1.취수장"/>
      <sheetName val="총괄"/>
      <sheetName val="소방"/>
      <sheetName val="일대"/>
      <sheetName val="증감대비"/>
      <sheetName val="수리결과"/>
      <sheetName val="요약서"/>
      <sheetName val="남양내역"/>
      <sheetName val="실행내역_원본"/>
      <sheetName val="퍼스트"/>
      <sheetName val="Sheet4"/>
      <sheetName val="제출내역 (2)"/>
      <sheetName val="입력데이타(비인쇄용)"/>
      <sheetName val="자재단가비교표"/>
      <sheetName val="골조"/>
      <sheetName val="2.2 띠장의 설계"/>
      <sheetName val="인건비"/>
      <sheetName val="Sheet1 (2)"/>
      <sheetName val="기술부 VENDOR LIST"/>
      <sheetName val="골조시행"/>
      <sheetName val="9.1지하2층하부보"/>
      <sheetName val="총체"/>
      <sheetName val="4.일위대가"/>
      <sheetName val="제수변수량"/>
      <sheetName val="BOX 본체"/>
      <sheetName val="입력"/>
      <sheetName val="COVER"/>
      <sheetName val="플랜트 설치"/>
      <sheetName val="추가일위대가"/>
      <sheetName val="주요항목별"/>
      <sheetName val="Sheet5"/>
      <sheetName val="관개"/>
      <sheetName val="현장일반사항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선정요령"/>
      <sheetName val="설비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B"/>
      <sheetName val="적용토목"/>
      <sheetName val="공사비총괄표"/>
      <sheetName val="기초단가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제어계측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1.수인터널"/>
      <sheetName val="일위대가표"/>
      <sheetName val="보할"/>
      <sheetName val="공업용수관로"/>
      <sheetName val="일위(토목)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개인별 순위표"/>
      <sheetName val="실행(ALT1)"/>
      <sheetName val="임율산출표"/>
      <sheetName val="4.2.1 마루높이 검토"/>
      <sheetName val="수량산출목록표"/>
      <sheetName val="환율change"/>
      <sheetName val="GRDBS"/>
      <sheetName val="견적대비표"/>
      <sheetName val="Y-WORK"/>
      <sheetName val="4 LINE"/>
      <sheetName val="7 th"/>
      <sheetName val="C10집계2"/>
      <sheetName val="6_ 안전관리비"/>
      <sheetName val="케이블규격"/>
      <sheetName val="COVERSHEET"/>
      <sheetName val="할증 "/>
      <sheetName val="CM 1"/>
      <sheetName val="전기실-1"/>
      <sheetName val="ROOF(ALKALI)"/>
      <sheetName val="분전반"/>
      <sheetName val="특별"/>
      <sheetName val="VE절감"/>
      <sheetName val="청주(철골발주의뢰서)"/>
      <sheetName val="기계경비일람"/>
      <sheetName val="횡배위치"/>
      <sheetName val="FACTOR"/>
      <sheetName val="공통(20-91)"/>
      <sheetName val="중기사용료"/>
      <sheetName val="일위대가목록(기계)"/>
      <sheetName val="확약서"/>
      <sheetName val="시설,관리하위"/>
      <sheetName val="대운반(철재)"/>
      <sheetName val="GEN"/>
      <sheetName val="방음벽기초"/>
      <sheetName val="환산"/>
      <sheetName val="MATRLDATA"/>
      <sheetName val="Print"/>
      <sheetName val="소방사항"/>
      <sheetName val="기계경비"/>
      <sheetName val="도수로집계"/>
      <sheetName val="말뚝지지력산정"/>
      <sheetName val="건축공사"/>
      <sheetName val="가설건물"/>
      <sheetName val="22인공"/>
      <sheetName val="단가삐출"/>
      <sheetName val="일집"/>
      <sheetName val="관로분포도"/>
      <sheetName val="보도경계블럭"/>
      <sheetName val="cctv예산대비"/>
      <sheetName val="라이닝폼예산대비내역"/>
      <sheetName val="배수관공"/>
      <sheetName val="장비가동"/>
      <sheetName val="연결원본-절대지우지말것"/>
      <sheetName val="6호기"/>
      <sheetName val="일위대가집계표"/>
      <sheetName val="산출서집계HS"/>
      <sheetName val="검색방"/>
      <sheetName val="메서,변+증"/>
      <sheetName val="명일작업계획 (3)"/>
      <sheetName val="단위목록"/>
      <sheetName val="자재운반단가일람표"/>
      <sheetName val="기계경비목록1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재료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예산조서"/>
      <sheetName val="99 조정금액"/>
      <sheetName val="주요재료비(원본)"/>
      <sheetName val="마산월령동골조물량변경"/>
      <sheetName val="호표"/>
      <sheetName val="소비자가"/>
      <sheetName val="기안"/>
      <sheetName val="기둥(원형)"/>
      <sheetName val="일위1"/>
      <sheetName val="주소"/>
      <sheetName val="MODELING"/>
      <sheetName val="MP MOB"/>
      <sheetName val="WING3"/>
      <sheetName val="토목단가산출"/>
      <sheetName val="샘플표지"/>
      <sheetName val="s"/>
      <sheetName val="시운전연료비"/>
      <sheetName val="지원사무소원가배부내역"/>
      <sheetName val="우수공,맨홀,집수정"/>
      <sheetName val="unit 4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건축내역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세골재  T2 변경 현황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DATA_입력란"/>
      <sheetName val="제잡비집계"/>
      <sheetName val="간접1"/>
      <sheetName val="가로등내역서"/>
      <sheetName val="내역서(토목)"/>
      <sheetName val="미납품 현황"/>
      <sheetName val="신설개소별 총집계표(동해-배전)"/>
      <sheetName val="SSMITM"/>
      <sheetName val="잔수량(작성)"/>
      <sheetName val="4동급수"/>
      <sheetName val="옥외배관기본공량"/>
      <sheetName val="목록"/>
      <sheetName val="가격조사서"/>
      <sheetName val="TABLE DB"/>
      <sheetName val="쌍용 data base"/>
      <sheetName val="계정"/>
      <sheetName val="옥외외등집계표"/>
      <sheetName val="선급금신청서"/>
      <sheetName val="원가서"/>
      <sheetName val="6.이토처리시간"/>
      <sheetName val="0.0ControlSheet"/>
      <sheetName val="0.1keyAssumption"/>
      <sheetName val="현장관리"/>
      <sheetName val="횡배수관토공수량"/>
      <sheetName val="접속도로1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인건-측정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사업개요"/>
      <sheetName val="현장관리비_입력"/>
      <sheetName val="전 체"/>
      <sheetName val="깨기"/>
      <sheetName val="흄관수량"/>
      <sheetName val="PROCURE"/>
      <sheetName val="예산변경원인분석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외주대비_-석축[후다내역_XLS]견적표지_(3"/>
      <sheetName val="4_일위대가"/>
      <sheetName val="플랜트_설치"/>
      <sheetName val="STEEL BOX 단면설계(SEC.8)"/>
      <sheetName val="품셈기준"/>
      <sheetName val="설치자재"/>
      <sheetName val="감액총괄표"/>
      <sheetName val="대비2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성토도수로현황"/>
      <sheetName val="년차"/>
      <sheetName val="실행간접비"/>
      <sheetName val="내역(설계)"/>
      <sheetName val="2.1외주"/>
      <sheetName val="2.3노무"/>
      <sheetName val="2.4자재"/>
      <sheetName val="2.2장비"/>
      <sheetName val="2.5경비"/>
      <sheetName val="2.6수목대"/>
      <sheetName val="3련 BOX"/>
      <sheetName val="원하대비"/>
      <sheetName val="유림총괄"/>
      <sheetName val="단면치수"/>
      <sheetName val="조건"/>
      <sheetName val="일위집계"/>
      <sheetName val="단가 및 재료비"/>
      <sheetName val="단가산출1"/>
      <sheetName val="위치조서"/>
      <sheetName val="일일현황"/>
      <sheetName val="Ⅱ1-0타"/>
      <sheetName val="대공종"/>
      <sheetName val="공문(신)"/>
      <sheetName val="APT"/>
      <sheetName val="STAND20"/>
      <sheetName val="부하(성남)"/>
      <sheetName val="강교(Sub)"/>
      <sheetName val="배수통관(좌)"/>
      <sheetName val="맨홀수량"/>
      <sheetName val="전차선로 물량표"/>
      <sheetName val="TYPE-A"/>
      <sheetName val="광산내역"/>
      <sheetName val="2000년하반기"/>
      <sheetName val="4.내진설계"/>
      <sheetName val="공사"/>
      <sheetName val="현장별계약현황('98.10.31)"/>
      <sheetName val="4)유동표"/>
      <sheetName val="충주"/>
      <sheetName val="구의33고"/>
      <sheetName val="전신"/>
      <sheetName val="wall"/>
      <sheetName val="설계내역서"/>
      <sheetName val="96보완계획7.12"/>
      <sheetName val="배관단가조사서"/>
      <sheetName val="교각1"/>
      <sheetName val="type-F"/>
      <sheetName val="설계예산"/>
      <sheetName val="전신환매도율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200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공종별산출내역서"/>
      <sheetName val="수자재단위당"/>
      <sheetName val="자재목록"/>
      <sheetName val="중기목록"/>
      <sheetName val="노임목록"/>
      <sheetName val="제잡비.xls"/>
      <sheetName val="Eq. Mobilization"/>
      <sheetName val="3BL공동구 수량"/>
      <sheetName val="토공(우물통,기타) "/>
      <sheetName val="명단"/>
      <sheetName val="포장단면별단위수량"/>
      <sheetName val="2.고용보험료산출근거"/>
      <sheetName val="세금자료"/>
      <sheetName val="연습"/>
      <sheetName val="자재집계표"/>
      <sheetName val="포장공자재집계표"/>
      <sheetName val="토목내역"/>
      <sheetName val="0_0ControlSheet"/>
      <sheetName val="0_1keyAssumption"/>
      <sheetName val="Front"/>
      <sheetName val="건축집계"/>
      <sheetName val="Type(123)"/>
      <sheetName val="전라자금"/>
      <sheetName val="b_yesan"/>
      <sheetName val="횡배수관"/>
      <sheetName val="원가계산 (2)"/>
      <sheetName val="화설내"/>
      <sheetName val="도급b_balju"/>
      <sheetName val="뚝토공"/>
      <sheetName val="건축내역(진해석동)"/>
      <sheetName val="주경기-오배수"/>
      <sheetName val="팔당터널(1공구)"/>
      <sheetName val="VXXXXXXX"/>
      <sheetName val="전기단가조사서"/>
      <sheetName val="설계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Sheet9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전체내역 (2)"/>
      <sheetName val="Hyundai.Unit.cost.xls"/>
      <sheetName val="OPTION"/>
      <sheetName val="맨홀수량산출(A-LINE)"/>
      <sheetName val="용선 C.L"/>
      <sheetName val="공사비집계"/>
      <sheetName val="본실행경비"/>
      <sheetName val="Sikje_inĴ¾_x0000_"/>
      <sheetName val="견적내역"/>
      <sheetName val="내역서 "/>
      <sheetName val="울진항공등화 내역서"/>
      <sheetName val="산3_4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C䈀꼬ԯ"/>
      <sheetName val="일일총괄"/>
      <sheetName val="연돌일위집계"/>
      <sheetName val="0226"/>
      <sheetName val="울산"/>
      <sheetName val="Anti"/>
      <sheetName val="Xunit (단위환산)"/>
      <sheetName val="벽체면적당일위대가"/>
      <sheetName val="표  지"/>
      <sheetName val="위치"/>
      <sheetName val="1-1"/>
      <sheetName val="GRD⍠も"/>
      <sheetName val="테이블"/>
      <sheetName val="전도금정산서(27)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3"/>
      <sheetName val="Sheet14"/>
      <sheetName val="Sheet15"/>
      <sheetName val="노무비단가"/>
      <sheetName val="감곡소요"/>
      <sheetName val="기본사항"/>
      <sheetName val="설계명세"/>
      <sheetName val="일 위 대 가 표"/>
      <sheetName val="일위목차"/>
      <sheetName val="영흥TL(UP,DOWN) "/>
      <sheetName val="목록표"/>
      <sheetName val="당진1,2호기전선관설치및접지4차공사내역서-을지"/>
      <sheetName val="신천3호용수로"/>
      <sheetName val="통계연보"/>
      <sheetName val="임차비용"/>
      <sheetName val="물량집계표(1c)"/>
      <sheetName val="PAINT"/>
      <sheetName val="공통단가"/>
      <sheetName val="GRD郅≙"/>
      <sheetName val="고창방향"/>
      <sheetName val="eq_dat_x0000_"/>
      <sheetName val="내역서-설비"/>
      <sheetName val="A1(구조물)"/>
      <sheetName val="A1(토공)"/>
      <sheetName val="철근집계표"/>
      <sheetName val="아파트건축"/>
      <sheetName val="적용단가"/>
      <sheetName val="CԀ_x0000_缀"/>
      <sheetName val="인입관수량총괄"/>
      <sheetName val="맨홀되메우기"/>
      <sheetName val="가로등기초"/>
      <sheetName val="95년12월말"/>
      <sheetName val="조명일위"/>
      <sheetName val="주공기준"/>
      <sheetName val="D1.2 COF모듈자재 입출재고 (B급)"/>
      <sheetName val="갑"/>
      <sheetName val="설계예시"/>
      <sheetName val="양배수장"/>
      <sheetName val="소화실적"/>
      <sheetName val="단위별용량계산"/>
      <sheetName val="토목-물가"/>
      <sheetName val="맨홀토공"/>
      <sheetName val="전기일목(조사가)"/>
      <sheetName val="공사내역"/>
      <sheetName val="수목데이타"/>
      <sheetName val="2련간지"/>
      <sheetName val="일위대가단가표"/>
      <sheetName val="1차3회-개소별명세서-빨간색-인쇄용(21873)"/>
      <sheetName val="샌딩 에폭시 도장"/>
      <sheetName val="콘크리트포장"/>
      <sheetName val="암거난간벽집계(2)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안정검토"/>
      <sheetName val="회사정보"/>
      <sheetName val="FAB별"/>
      <sheetName val="실행내역서(DCU)"/>
      <sheetName val="운동장 (2)"/>
      <sheetName val="광통신 견적내역서1"/>
      <sheetName val="잡철물"/>
      <sheetName val="EJ"/>
      <sheetName val="당초"/>
      <sheetName val="실행(표지,갑,을)"/>
      <sheetName val="8)중점관리장비현황"/>
      <sheetName val="단중"/>
      <sheetName val="전체기준Data"/>
      <sheetName val="울산자동제어"/>
      <sheetName val="일반부표"/>
      <sheetName val="형틀공사"/>
      <sheetName val="사통"/>
      <sheetName val="CIP 공사"/>
      <sheetName val="토량1-1"/>
      <sheetName val="수량산출서 갑지"/>
      <sheetName val="DATA 입력부"/>
      <sheetName val="A"/>
      <sheetName val="식재일위"/>
      <sheetName val="직공비"/>
      <sheetName val="NOMUBI"/>
      <sheetName val="sw1"/>
      <sheetName val="Mc1"/>
      <sheetName val="주식"/>
      <sheetName val="배명(단가)"/>
      <sheetName val="물량산출근거"/>
      <sheetName val="유림콘도"/>
      <sheetName val="자재co"/>
      <sheetName val="일위대가 (PM)"/>
      <sheetName val="목창호"/>
      <sheetName val="FANDBS"/>
      <sheetName val="GRDATA"/>
      <sheetName val="SHAFTDBSE"/>
      <sheetName val="중기사용료산출근거"/>
      <sheetName val="동업계매출속보"/>
      <sheetName val="제잡비"/>
      <sheetName val="대가표(품셈)"/>
      <sheetName val="J"/>
      <sheetName val="고암DATA"/>
      <sheetName val="설계카드"/>
      <sheetName val="공사설명서"/>
      <sheetName val="공사계획서"/>
      <sheetName val="연장및면적(좌측)"/>
      <sheetName val="조인트"/>
      <sheetName val="사유서제출현황-2"/>
      <sheetName val="유통간부"/>
      <sheetName val="장기"/>
      <sheetName val="실행(1)"/>
      <sheetName val="(A)내역서"/>
      <sheetName val="업체별기성"/>
      <sheetName val="06 일위대가목록"/>
      <sheetName val="일위대가(통신)"/>
      <sheetName val="분뇨"/>
      <sheetName val="산출근거(S4)"/>
      <sheetName val="학생내역"/>
      <sheetName val="산출금액내역"/>
      <sheetName val="database"/>
      <sheetName val="Macro(전동기)"/>
      <sheetName val="일반수량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4_내진설계"/>
      <sheetName val="마감사양"/>
      <sheetName val="건축토목실행내역"/>
      <sheetName val="출장내역"/>
      <sheetName val="XL4Poppy"/>
      <sheetName val="10동"/>
      <sheetName val="5사남"/>
      <sheetName val="C-노임단가"/>
      <sheetName val="전계가"/>
      <sheetName val="식재"/>
      <sheetName val="시설물"/>
      <sheetName val="식재출력용"/>
      <sheetName val="유지관리"/>
      <sheetName val="아파트-가설"/>
      <sheetName val="연부97-1"/>
      <sheetName val="SUB일위대가"/>
      <sheetName val="평자재단가"/>
      <sheetName val="방송(체육관)"/>
      <sheetName val="동원(3)"/>
      <sheetName val="측구공"/>
      <sheetName val="시운전연료"/>
      <sheetName val="1.3.1절점좌표"/>
      <sheetName val="1.1설계기준"/>
      <sheetName val="증감분석"/>
      <sheetName val="말고개터널조명전압강하"/>
      <sheetName val="2000.05"/>
      <sheetName val="남양시작동010313100%"/>
      <sheetName val="투찰내역서"/>
      <sheetName val="1_수인터널1"/>
      <sheetName val="AS포장복구_1"/>
      <sheetName val="2_대외공문1"/>
      <sheetName val="설_계1"/>
      <sheetName val="CIP_공사"/>
      <sheetName val="_총괄표"/>
      <sheetName val="인건비_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현장지지물물량"/>
      <sheetName val="입찰내역"/>
      <sheetName val="내역서당초"/>
      <sheetName val="내역서변경성원"/>
      <sheetName val="근로자자료입력"/>
      <sheetName val="참고자료"/>
      <sheetName val="변경후-SHEET"/>
      <sheetName val="1.본부별"/>
      <sheetName val="000000"/>
      <sheetName val="상수도토공집계표"/>
      <sheetName val="기본DATA"/>
      <sheetName val="공통자료"/>
      <sheetName val="안전시설내역서"/>
      <sheetName val="구조물"/>
      <sheetName val="FI원가_1"/>
      <sheetName val="cable-data"/>
      <sheetName val="노무비산출"/>
      <sheetName val="기초입력 DATA"/>
      <sheetName val="#3E1_GCR"/>
      <sheetName val="소소총괄표"/>
      <sheetName val="1공구_건정토건_토공2"/>
      <sheetName val="구단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1_수인터널2"/>
      <sheetName val="AS포장복구_2"/>
      <sheetName val="2_대외공문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별계약현황('98_10_31)"/>
      <sheetName val="원본"/>
      <sheetName val="EQUIP LIST"/>
      <sheetName val="교각"/>
      <sheetName val="내부마감"/>
      <sheetName val="간접재료비산출표-27-30"/>
      <sheetName val="1안"/>
      <sheetName val="첨부1-1"/>
      <sheetName val="빙설"/>
      <sheetName val="가중치"/>
      <sheetName val="분전반일위대가"/>
      <sheetName val="단양 00 아파트-세부내역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본사인상전"/>
      <sheetName val="4.장비손료"/>
      <sheetName val="내역및원가02"/>
      <sheetName val="TYPE1"/>
      <sheetName val="배선(낙차)"/>
      <sheetName val="SF내역및원가02"/>
      <sheetName val="산출기준(파견전산실)"/>
      <sheetName val="정의"/>
      <sheetName val="재활용 악취_먼지DUCT산출"/>
      <sheetName val="항목지정"/>
      <sheetName val="기기리스트"/>
      <sheetName val="시설물기초"/>
      <sheetName val="경비산출"/>
      <sheetName val="다곡2교"/>
      <sheetName val="공정코드"/>
      <sheetName val="현장식당(1)"/>
      <sheetName val="쌍송교"/>
      <sheetName val="입력그림"/>
      <sheetName val="정부노임"/>
      <sheetName val="흄관기초"/>
      <sheetName val="부산제일극장"/>
      <sheetName val="수주현황2월"/>
      <sheetName val="1F"/>
      <sheetName val="NAIL단가산출"/>
      <sheetName val="제거식EA"/>
      <sheetName val="이자율"/>
      <sheetName val="DATA2000"/>
      <sheetName val="5.정산서"/>
      <sheetName val="포장직선구간"/>
      <sheetName val="입력값"/>
      <sheetName val="설계기준 및 하중계산"/>
      <sheetName val="1-1호"/>
      <sheetName val="원내역서 그대로"/>
      <sheetName val="01"/>
      <sheetName val="은행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내역총괄"/>
      <sheetName val="내역총괄2"/>
      <sheetName val="내역총괄3"/>
      <sheetName val="예총"/>
      <sheetName val="1062-X방향 "/>
      <sheetName val="품셈(기초)"/>
      <sheetName val="식재일위대가"/>
      <sheetName val="기초일위대가"/>
      <sheetName val="부대공자재집계표"/>
      <sheetName val="집계표(공종별)"/>
      <sheetName val="현금흐름"/>
      <sheetName val="교통표지판수량집계표"/>
      <sheetName val="작성"/>
      <sheetName val="예정(3)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969910( R)"/>
      <sheetName val="가시설(TYPE-A)"/>
      <sheetName val="1-1평균터파기고(1)"/>
      <sheetName val="계약서"/>
      <sheetName val="옹벽단면치수"/>
      <sheetName val="관리"/>
      <sheetName val="적정"/>
      <sheetName val="하도"/>
      <sheetName val="별지"/>
      <sheetName val="보링"/>
      <sheetName val="철물"/>
      <sheetName val="철강재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공통비"/>
      <sheetName val="VENDOR LIST"/>
      <sheetName val="손익분석"/>
      <sheetName val="대비표"/>
      <sheetName val="7월11일"/>
      <sheetName val="안전장치"/>
      <sheetName val="투자효율분석"/>
      <sheetName val="인력터파기품"/>
      <sheetName val="제경비율"/>
      <sheetName val="입력데이타(비É"/>
      <sheetName val="외주대비 -석É"/>
      <sheetName val="월별수입"/>
      <sheetName val="4_경비_5_영업외수지"/>
      <sheetName val="_견적서"/>
      <sheetName val="장비당단가_(1)"/>
      <sheetName val="Sheet2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P_M_별"/>
      <sheetName val="수량산출서_갑지"/>
      <sheetName val="DATA_입력부"/>
      <sheetName val="중기쥰종사 단위단가"/>
      <sheetName val="일반관리비전체분당초변경대비표"/>
      <sheetName val="사용계획"/>
      <sheetName val="지급수수료월별금액산정"/>
      <sheetName val="UR2-Calculation"/>
      <sheetName val="공사수행보고"/>
      <sheetName val="BOJUNGGM"/>
      <sheetName val="일반물자(한국통신)"/>
      <sheetName val="108.수선비"/>
      <sheetName val="예산대비"/>
      <sheetName val="__"/>
      <sheetName val="설원"/>
      <sheetName val="시약"/>
      <sheetName val="구의동공내역서"/>
      <sheetName val="일대목록표"/>
      <sheetName val="GI-LIST"/>
      <sheetName val="중기사용료 (2)"/>
      <sheetName val="Sikje_in_x0005__x0000_"/>
      <sheetName val="외주대비 ᨀ晙ԯ"/>
      <sheetName val="수정계획3"/>
      <sheetName val="리스트"/>
      <sheetName val="건축공사실행"/>
      <sheetName val="건축원가"/>
      <sheetName val="1차 내역서"/>
      <sheetName val="물량내역서"/>
      <sheetName val="기초목"/>
      <sheetName val="입찰견적보고서"/>
      <sheetName val="보도내 _x0000__x0000_䪾"/>
      <sheetName val="SAMPLE!"/>
      <sheetName val="工완성공사율"/>
      <sheetName val="보험료산출"/>
      <sheetName val="울산시산표"/>
      <sheetName val="견적서갑지연속"/>
      <sheetName val="일위(열차무선)"/>
      <sheetName val="99년원가"/>
      <sheetName val="산출(1~20)"/>
      <sheetName val="공사비예산서"/>
      <sheetName val="변경증감내역서"/>
      <sheetName val="자금총괄"/>
      <sheetName val="2F 회의실견적(5_14 일대)"/>
      <sheetName val="한성교회 신축공사(050713)_CheckList"/>
      <sheetName val="사진"/>
      <sheetName val="Trend(Agitator)"/>
      <sheetName val="L형옹벽"/>
      <sheetName val="포장절단"/>
      <sheetName val="1호맨홀토공"/>
      <sheetName val="Sight n M.H"/>
      <sheetName val="포장수량집계"/>
      <sheetName val="(C)원내역"/>
      <sheetName val="터널조도"/>
      <sheetName val="3차토목내역"/>
      <sheetName val="표층포설및다짐"/>
      <sheetName val="참조-(1)"/>
      <sheetName val="외주가공"/>
      <sheetName val="횡날개수집"/>
      <sheetName val="경비 (1)"/>
      <sheetName val="성서방향-교대(A2)"/>
      <sheetName val="편성절차"/>
      <sheetName val="2002자금수지계획(진행+신규)"/>
      <sheetName val="2변경1"/>
      <sheetName val="중기단가"/>
      <sheetName val="전도품의"/>
      <sheetName val="영동(D)"/>
      <sheetName val="총괄집계 "/>
      <sheetName val="15100"/>
      <sheetName val="산출근거#2-3"/>
      <sheetName val="전국현황"/>
      <sheetName val="상가지급현황"/>
      <sheetName val="배수장토목공사비"/>
      <sheetName val="데리네И̏䨸ɟ"/>
      <sheetName val="정산내역"/>
      <sheetName val="비용"/>
      <sheetName val="배수관연장조서"/>
      <sheetName val="배명(단가柖"/>
      <sheetName val="말뚝기초(안정검토)-외측"/>
      <sheetName val="일위대가-01"/>
      <sheetName val="다중모드"/>
      <sheetName val="도"/>
      <sheetName val="단위수량산출"/>
      <sheetName val="Piping Design Data"/>
      <sheetName val="4 &amp; 10-inch, CO2 Combo &amp; Sweep"/>
      <sheetName val="__MAIN"/>
      <sheetName val="과천MAIN"/>
      <sheetName val="1호맨홀가감수량"/>
      <sheetName val="ilch"/>
      <sheetName val="ASALTOTA"/>
      <sheetName val="용집"/>
      <sheetName val="상행-교대(A1-A2)"/>
      <sheetName val="총수량집계표"/>
      <sheetName val="strut type"/>
      <sheetName val="매출요약(월별) -년간"/>
      <sheetName val="Table"/>
      <sheetName val="미드수량"/>
      <sheetName val="배관물량집계(기본)"/>
      <sheetName val="수문보고"/>
      <sheetName val="옥외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DC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심사"/>
      <sheetName val="도급내역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근로자명단2013"/>
      <sheetName val="산출0"/>
      <sheetName val="맨홀_공사비"/>
      <sheetName val="기본정보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산출"/>
      <sheetName val="예산조서(전송)"/>
      <sheetName val="신고조서"/>
      <sheetName val="인건蠉"/>
      <sheetName val="5.2.6~7공사요율"/>
      <sheetName val="관급현황"/>
      <sheetName val="기술조건"/>
      <sheetName val="1.내역(청.하역장전등)"/>
      <sheetName val="정화조"/>
      <sheetName val="일위목록-기"/>
      <sheetName val="특별땅고르기"/>
      <sheetName val="판정1교토공"/>
      <sheetName val="기존단가 (2)"/>
      <sheetName val="O＆P"/>
      <sheetName val="마스터02"/>
      <sheetName val="주공 갑지"/>
      <sheetName val="직접공사비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데리네鶈㇨ᓣ"/>
      <sheetName val="2.원가집계"/>
      <sheetName val="PTVT (MAU)"/>
      <sheetName val="산근(1)"/>
      <sheetName val="125x125"/>
      <sheetName val="TCDB"/>
      <sheetName val="kimre scrubber"/>
      <sheetName val="세부항목"/>
      <sheetName val="출력자료"/>
      <sheetName val="1월"/>
      <sheetName val="Balance"/>
      <sheetName val="제안실적sum조회"/>
      <sheetName val="FRP PIPING 일위대가"/>
      <sheetName val="간이연락"/>
      <sheetName val="고객사 관리 코드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2차전체변경예정_(2)2"/>
      <sheetName val="단면_(2)2"/>
      <sheetName val="8_PILE__(돌출)2"/>
      <sheetName val="토공유동표(전체_당초)2"/>
      <sheetName val="구조______1"/>
      <sheetName val="b_balju_(2)2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할증_1"/>
      <sheetName val="5__현장관리비(new)_1"/>
      <sheetName val="방배동내역_(총괄)1"/>
      <sheetName val="간_지11"/>
      <sheetName val="5__현장관리비_new__1"/>
      <sheetName val="Temporary_Mooring1"/>
      <sheetName val="중기조종사_단위단가2"/>
      <sheetName val="7_PILE__(돌출)1"/>
      <sheetName val="총_원가계산1"/>
      <sheetName val="광통신_견적내역서11"/>
      <sheetName val="unit_4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9_1지하2층하부보1"/>
      <sheetName val="4_2_1_마루높이_검토"/>
      <sheetName val="4_일위대가1"/>
      <sheetName val="BOX_본체"/>
      <sheetName val="명일작업계획_(3)"/>
      <sheetName val="STEEL_BOX_단면설계(SEC_8)"/>
      <sheetName val="6_이토처리시간"/>
      <sheetName val="울진항공등화_내역서"/>
      <sheetName val="영흥TL(UP,DOWN)_"/>
      <sheetName val="일_위_대_가_표"/>
      <sheetName val="TABLE_DB"/>
      <sheetName val="쌍용_data_base"/>
      <sheetName val="MP_MOB"/>
      <sheetName val="전체내역_(2)"/>
      <sheetName val="Hyundai_Unit_cost_xls"/>
      <sheetName val="중기쥰종사_단위단가"/>
      <sheetName val="원내역서_그대로"/>
      <sheetName val="남양시작동자105노65기1_3화1_2"/>
      <sheetName val="관음목장(제출용)자105인97_5"/>
      <sheetName val="969910(_R)"/>
      <sheetName val="1062-X방향_"/>
      <sheetName val="PROJECT_BRIEF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Xunit_(단위환산)"/>
      <sheetName val="경비_(1)"/>
      <sheetName val="2F_회의실견적(5_14_일대)"/>
      <sheetName val="①idea_pipeline"/>
      <sheetName val="IMP_통일양식"/>
      <sheetName val="LYS_통일양식"/>
      <sheetName val="유통기한_프로그램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PTVT_(MAU)"/>
      <sheetName val="tra-vat-lieu"/>
      <sheetName val="TOSHIBA-Structure"/>
      <sheetName val="Div26 - Elect"/>
      <sheetName val="SITE-E"/>
      <sheetName val="시험연구비상각"/>
      <sheetName val="검토현황"/>
      <sheetName val="증감내역"/>
      <sheetName val="제수"/>
      <sheetName val="공기"/>
      <sheetName val="함열량 db"/>
      <sheetName val="교각별철근수량집계표"/>
      <sheetName val="출력X"/>
      <sheetName val="6동"/>
      <sheetName val="참고"/>
      <sheetName val="10.경제성분석"/>
      <sheetName val="포장공사"/>
      <sheetName val="통합"/>
      <sheetName val="기계 도급내역서"/>
      <sheetName val="철탑공사"/>
      <sheetName val="PĴ"/>
      <sheetName val="Pꮸ"/>
      <sheetName val="P估"/>
      <sheetName val="품목"/>
      <sheetName val="전기2005"/>
      <sheetName val="기성금내역서"/>
      <sheetName val="경성자금"/>
      <sheetName val="2004노형교"/>
      <sheetName val="quotation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철거폐쇄현황"/>
      <sheetName val="2.1"/>
      <sheetName val="T기성9605"/>
      <sheetName val="SPEC"/>
      <sheetName val="장척총괄"/>
      <sheetName val="4월예정공정표"/>
      <sheetName val="SCH"/>
      <sheetName val="업무처리전"/>
      <sheetName val="FAX"/>
      <sheetName val="점ᥰ@띘"/>
      <sheetName val="점ᤠ@띘"/>
      <sheetName val="점៰2띘"/>
      <sheetName val="여흥"/>
      <sheetName val="Cable임피던스"/>
      <sheetName val="기본자료(실행)"/>
      <sheetName val="제품현황"/>
      <sheetName val="05 유류비자금청구(완)"/>
      <sheetName val="투자예산"/>
      <sheetName val="Macro4"/>
      <sheetName val="직재"/>
      <sheetName val="기성"/>
      <sheetName val="가격"/>
      <sheetName val="청 구"/>
      <sheetName val="암거(2)"/>
      <sheetName val="수전기기DATA"/>
      <sheetName val="ETC"/>
      <sheetName val="일위대가1"/>
      <sheetName val="7.전산해석결과"/>
      <sheetName val="4.하중"/>
      <sheetName val="비교표"/>
      <sheetName val="미장"/>
      <sheetName val="MIJIBI"/>
      <sheetName val="내역서(총)"/>
      <sheetName val=" ｹ-ﾌﾞﾙ"/>
      <sheetName val="01AC"/>
      <sheetName val="문학간접"/>
      <sheetName val="경비공통"/>
      <sheetName val="전체공사"/>
      <sheetName val="내역(가지)"/>
      <sheetName val="신평리 권리자명부"/>
      <sheetName val="수완하도"/>
      <sheetName val="김포내역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ELECTR蔨ũ"/>
      <sheetName val="grid (1)"/>
      <sheetName val="GC산출"/>
      <sheetName val="RD제품개발투자비(매가)"/>
      <sheetName val="PAD TR보호대기초"/>
      <sheetName val="공사개요-C"/>
      <sheetName val="건축일"/>
      <sheetName val="일위수량"/>
      <sheetName val="자동제_x0000_"/>
      <sheetName val="예산"/>
      <sheetName val="8월차잔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일반전기"/>
      <sheetName val="시설이용권명세서"/>
      <sheetName val="전기일위목록"/>
      <sheetName val="계림(함평)"/>
      <sheetName val="계림(장성)"/>
      <sheetName val="경율산정.XLS"/>
      <sheetName val="산출내력"/>
      <sheetName val="전도금청구서"/>
      <sheetName val="2월"/>
      <sheetName val="외주정비"/>
      <sheetName val="내역서_"/>
      <sheetName val="샌딩_에폭시_도장"/>
      <sheetName val="전문품의"/>
      <sheetName val="1.관로"/>
      <sheetName val="입찰품_x0005__x0000_"/>
      <sheetName val="입찰품誀걜"/>
      <sheetName val="입찰품紴"/>
      <sheetName val="흥양2교토_x0000_h曘ʹ"/>
      <sheetName val="흥양2교토_x0000__x0000__x0005__x0000_"/>
      <sheetName val="특기시방서"/>
      <sheetName val="1차_내역서"/>
      <sheetName val="NOTE"/>
      <sheetName val="Prelims"/>
      <sheetName val="Rate"/>
      <sheetName val="chiettinh"/>
      <sheetName val="Parem"/>
      <sheetName val="THVT"/>
      <sheetName val="cong thuc tinh chi tiet"/>
      <sheetName val="00000000"/>
      <sheetName val="Quantity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모선자재_집계표"/>
      <sheetName val="재료의_할증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D1_2_COF모듈자재_입출재고_(B급)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공사추진현황"/>
      <sheetName val="99_조정금액"/>
      <sheetName val="청_구"/>
      <sheetName val="7_전산해석결과"/>
      <sheetName val="4_하중"/>
      <sheetName val="_ｹ-ﾌﾞﾙ"/>
      <sheetName val="신평리_권리자명부"/>
      <sheetName val="97_사업추정(WEKI)"/>
      <sheetName val="견적颙⿬"/>
      <sheetName val="견적颙⿶"/>
      <sheetName val="견적"/>
      <sheetName val="견적颙』"/>
      <sheetName val="토__공"/>
      <sheetName val="중기사용료_(2)"/>
      <sheetName val="주공_갑지"/>
      <sheetName val="운동장_(2)"/>
      <sheetName val="외주대비_ᨀ晙ԯ"/>
      <sheetName val="5_2_6~7공사요율"/>
      <sheetName val="06_일위대가목록"/>
      <sheetName val="Sikje_in"/>
      <sheetName val="04_12월건강보험(일용직)"/>
      <sheetName val="외주대비_-석É"/>
      <sheetName val="보도내_䪾"/>
      <sheetName val="2_원가집계"/>
      <sheetName val="기존단가_(2)"/>
      <sheetName val="인부노임"/>
      <sheetName val="SP-¬_x0000_"/>
      <sheetName val="도급표지É_x0000__x0000__x0001_Ԁ"/>
      <sheetName val="3BL공동구_x0000__x0000_Ԁ"/>
      <sheetName val="새공통"/>
      <sheetName val="공사명입력"/>
      <sheetName val="GiaVT"/>
      <sheetName val="Q'ty"/>
      <sheetName val="chi tiet"/>
      <sheetName val="PPC Summary"/>
      <sheetName val="Worshop"/>
      <sheetName val="ac"/>
      <sheetName val="LPG"/>
      <sheetName val="cable산출"/>
      <sheetName val="3.단가산출서"/>
      <sheetName val="4.단가산출기초"/>
      <sheetName val="chi_tiet"/>
      <sheetName val="PPC_Summary"/>
      <sheetName val="外構・目次"/>
      <sheetName val="工場棟・目次"/>
      <sheetName val="事務棟・目次"/>
      <sheetName val="1_MV"/>
      <sheetName val="SEX"/>
      <sheetName val="IBASE"/>
      <sheetName val="MTC"/>
      <sheetName val="gVL"/>
      <sheetName val="Summary"/>
      <sheetName val="H. MECHANICAL"/>
      <sheetName val="J. FIRE FIGHTING"/>
      <sheetName val="MECHANICAL"/>
      <sheetName val="chitiet"/>
      <sheetName val="䣐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Gia VLNCMTC"/>
      <sheetName val="인력소운반"/>
      <sheetName val="入力作成表"/>
      <sheetName val="견적대비"/>
      <sheetName val="D_MUC"/>
      <sheetName val="Kiem-Toan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4.수량산출서"/>
      <sheetName val="2. 주요공지（主要公告）"/>
      <sheetName val="건축(을)"/>
      <sheetName val="단가多〒_x0005_"/>
      <sheetName val="안양동교 1안"/>
      <sheetName val="Sheet17"/>
      <sheetName val="Sàn T1"/>
      <sheetName val="Lỗ thông gió"/>
      <sheetName val="CodeSheet"/>
      <sheetName val="[후다_x0001_ _x0010__x0000__x0003_ _x0010__x0000__x0001__x0000__x0010__x0000__x0001_ _x0010__x0000__x0003_"/>
      <sheetName val="시작"/>
      <sheetName val="받을어음"/>
      <sheetName val="유가증권"/>
      <sheetName val="대손상각"/>
      <sheetName val="Thống kê"/>
      <sheetName val="BG"/>
      <sheetName val="Tai khoan"/>
      <sheetName val="SCOPE OF WORK"/>
      <sheetName val="foxz"/>
      <sheetName val="Tong hop"/>
      <sheetName val="Phan lap dat"/>
      <sheetName val="Lắp Ráp"/>
      <sheetName val="기계사급자재"/>
      <sheetName val="견적표지_(3"/>
      <sheetName val="KET CAU- MJV2"/>
      <sheetName val="Ví dụ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HS"/>
      <sheetName val="Sikje_in_x0005_"/>
      <sheetName val="CԀ"/>
      <sheetName val="3BL공동구"/>
      <sheetName val="대3류 "/>
      <sheetName val="설비비4"/>
      <sheetName val="장비분석"/>
      <sheetName val="BEND LOSS"/>
      <sheetName val="CF_DT"/>
      <sheetName val="01. DATA"/>
      <sheetName val="Index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내역(최종본4_5)7"/>
      <sheetName val="1_수인터널7"/>
      <sheetName val="설_계7"/>
      <sheetName val="입출재고현황_(2)6"/>
      <sheetName val="6PILE__(돌출)7"/>
      <sheetName val="2_대외공문7"/>
      <sheetName val="AS포장복구_7"/>
      <sheetName val="6__안전관리비10"/>
      <sheetName val="HRSG_SMALL072206"/>
      <sheetName val="교각토공__2_6"/>
      <sheetName val="3_공통공사대비6"/>
      <sheetName val="97년_추정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1_설계기준5"/>
      <sheetName val="BSD_(2)6"/>
      <sheetName val="2차전체변경예정_(2)5"/>
      <sheetName val="단면_(2)5"/>
      <sheetName val="1_취수장6"/>
      <sheetName val="8_PILE__(돌출)5"/>
      <sheetName val="토공유동표(전체_당초)5"/>
      <sheetName val="1__설계조건_2_단면가정_3__하중계산6"/>
      <sheetName val="DATA_입력란6"/>
      <sheetName val="구조______4"/>
      <sheetName val="현장관리비_산출내역6"/>
      <sheetName val="b_balju_(2)5"/>
      <sheetName val="노무비_4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표__지2"/>
      <sheetName val="D1_2_COF모듈자재_입출재고_(B급)2"/>
      <sheetName val="공내역_및_견적조건2"/>
      <sheetName val="2_12"/>
      <sheetName val="Bảng_mã_VT2"/>
      <sheetName val="Khoi_luong2"/>
      <sheetName val="DonGia_chetao2"/>
      <sheetName val="DonGia_VatTuLK2"/>
      <sheetName val="cong_thuc_tinh_chi_tiet2"/>
      <sheetName val="Fr_Revit2"/>
      <sheetName val="NSA_Summary2"/>
      <sheetName val="청_구1"/>
      <sheetName val="7_전산해석결과1"/>
      <sheetName val="4_하중1"/>
      <sheetName val="chi_tiet1"/>
      <sheetName val="PPC_Summary1"/>
      <sheetName val="Gia_VLNCMTC"/>
      <sheetName val="샌딩_에폭시_도장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외주대비_ᨀ晙ԯ1"/>
      <sheetName val="[후다___"/>
      <sheetName val="Sàn_T1"/>
      <sheetName val="Lỗ_thông_gió"/>
      <sheetName val="SCOPE_OF_WORK"/>
      <sheetName val="Tong_hop"/>
      <sheetName val="Phan_lap_dat"/>
      <sheetName val="Lắp_Ráp"/>
      <sheetName val="KET_CAU-_MJV2"/>
      <sheetName val="Ví_dụ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Thống_kê"/>
      <sheetName val="3_단가산출서"/>
      <sheetName val="4_단가산출기초"/>
      <sheetName val="H__MECHANICAL"/>
      <sheetName val="J__FIRE_FIGHTING"/>
      <sheetName val="PIPING"/>
      <sheetName val="electrical"/>
      <sheetName val="[후다_x0001_ _x0010_"/>
      <sheetName val="보도내 "/>
      <sheetName val="기초데이타"/>
      <sheetName val="단가(기자재)"/>
      <sheetName val="const."/>
      <sheetName val="관공일위대가"/>
      <sheetName val="산출(토공‥"/>
      <sheetName val="표준공사비-조명제외x10%up"/>
      <sheetName val="양수장내역"/>
      <sheetName val="4.예산내역서"/>
      <sheetName val="개략"/>
      <sheetName val="2월분"/>
      <sheetName val="입찰내역 발주처 양식"/>
      <sheetName val="A 견적"/>
      <sheetName val="만봉용지매수비(총괄)"/>
      <sheetName val="세목전체"/>
      <sheetName val="품À_x0000_"/>
      <sheetName val="BOQFinishing"/>
      <sheetName val="총물량"/>
      <sheetName val="投标材料清单 "/>
      <sheetName val="대3류_"/>
      <sheetName val="BEND_LOSS"/>
      <sheetName val="Tai_khoan"/>
      <sheetName val="토공 total"/>
      <sheetName val="TRAY 헹거산출"/>
      <sheetName val="Basic"/>
      <sheetName val="info"/>
      <sheetName val="금액"/>
      <sheetName val="투찰추정"/>
      <sheetName val="배수내역(총수량)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수배전(갑)"/>
      <sheetName val="대창(장성)"/>
      <sheetName val="태화42 "/>
      <sheetName val="인상효1"/>
      <sheetName val="인제내역"/>
      <sheetName val="항목코드"/>
      <sheetName val="EP0618"/>
      <sheetName val="VOC"/>
      <sheetName val="단위중기"/>
      <sheetName val="POOM_MOTO"/>
      <sheetName val="POOM_MOTO2"/>
      <sheetName val="JUCK"/>
      <sheetName val="수량명세서"/>
      <sheetName val="TYPE-1"/>
      <sheetName val="220 (2)"/>
      <sheetName val="조ꟕ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3.관로전환기"/>
      <sheetName val="EQ"/>
      <sheetName val="1공구_건정토건_철槜〚"/>
      <sheetName val="FILE1"/>
      <sheetName val="배수喘_x001a_"/>
      <sheetName val="1И"/>
      <sheetName val="외주현황.wq1"/>
      <sheetName val=" "/>
      <sheetName val="F 월별기성수금현황 "/>
      <sheetName val="할증표"/>
      <sheetName val="인원조직표"/>
      <sheetName val="교량"/>
      <sheetName val="매인"/>
      <sheetName val="단위수량DATA"/>
      <sheetName val="목표세부명세"/>
      <sheetName val="상하수대비내역(공내역)"/>
      <sheetName val="C.배수관공"/>
      <sheetName val="일위노임"/>
      <sheetName val="변경비⣗鼏휂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월별손익(용역)"/>
      <sheetName val="GRD_x0000__x0000_"/>
      <sheetName val="주차구획_x0000__x0000_Ԁ"/>
      <sheetName val="자재기성 신청서.xlsx"/>
      <sheetName val="기초부재력검토"/>
      <sheetName val="하도계약반영"/>
      <sheetName val="편입토지조서"/>
      <sheetName val="배방교"/>
      <sheetName val="견적_x0005_"/>
      <sheetName val="흥양2교토"/>
      <sheetName val="ChartData"/>
      <sheetName val="TREE_䢬"/>
      <sheetName val="서∼군(2寅"/>
      <sheetName val="grid_(1)"/>
      <sheetName val="05_유류비자금청구(완)"/>
      <sheetName val="PAD_TR보호대기초"/>
      <sheetName val="경율산정_XLS"/>
      <sheetName val="1_내역(청_하역장전등)"/>
      <sheetName val="19_07월_세_계"/>
      <sheetName val="19_07항목별(시트복사금지100번쓰기)"/>
      <sheetName val="19_05월"/>
      <sheetName val="4_수량산출서"/>
      <sheetName val="1_관로"/>
      <sheetName val="도급표지ÉԀ"/>
      <sheetName val="단가多〒"/>
      <sheetName val="안양동교_1안"/>
      <sheetName val="입찰품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b_balju_(2)6"/>
      <sheetName val="_HIT-&gt;HMC_견적(3900)7"/>
      <sheetName val="일__위__대__가__목__록7"/>
      <sheetName val="조건표_(2)6"/>
      <sheetName val="교각토공__2_7"/>
      <sheetName val="준검_내역서8"/>
      <sheetName val="HRSG_SMALL072207"/>
      <sheetName val="3_공통공사대비7"/>
      <sheetName val="6__안전관리비12"/>
      <sheetName val="하도내역_(철콘)6"/>
      <sheetName val="입출재고현황_(2)7"/>
      <sheetName val="6PILE__(돌출)8"/>
      <sheetName val="노무비_근거6"/>
      <sheetName val="97년_추정7"/>
      <sheetName val="임율_Data6"/>
      <sheetName val="2차전체변경예정_(2)6"/>
      <sheetName val="토공유동표(전체_당초)6"/>
      <sheetName val="목차_6"/>
      <sheetName val="BSD_(2)7"/>
      <sheetName val="1_설계기준6"/>
      <sheetName val="7__현장관리비_6"/>
      <sheetName val="단면_(2)6"/>
      <sheetName val="8_현장관리비6"/>
      <sheetName val="7_안전관리비6"/>
      <sheetName val="내역서_제출5"/>
      <sheetName val="8_PILE__(돌출)6"/>
      <sheetName val="현장관리비_산출내역7"/>
      <sheetName val="1__설계조건_2_단면가정_3__하중계산7"/>
      <sheetName val="DATA_입력란7"/>
      <sheetName val="구조______5"/>
      <sheetName val="노무비_5"/>
      <sheetName val="4_일위대가집계5"/>
      <sheetName val="1_설계조건7"/>
      <sheetName val="중기조종사_단위단가6"/>
      <sheetName val="실행내역서_7"/>
      <sheetName val="Temporary_Mooring5"/>
      <sheetName val="7_PILE__(돌출)5"/>
      <sheetName val="A_LINE5"/>
      <sheetName val="2_대외공문8"/>
      <sheetName val="5__현장관리비(new)_5"/>
      <sheetName val="Customer_Databas5"/>
      <sheetName val="간_지15"/>
      <sheetName val="2_2_오피스텔(12~32F)5"/>
      <sheetName val="설내역서_6"/>
      <sheetName val="화재_탐지_설비5"/>
      <sheetName val="5__현장관리비_new__5"/>
      <sheetName val="방배동내역_(총괄)5"/>
      <sheetName val="설_계8"/>
      <sheetName val="_갑지5"/>
      <sheetName val="4_2_1_마루높이_검토4"/>
      <sheetName val="1_취수장7"/>
      <sheetName val="4_LINE5"/>
      <sheetName val="7_th5"/>
      <sheetName val="총_원가계산5"/>
      <sheetName val="자__재5"/>
      <sheetName val="노원열병합__건축공사기성내역서7"/>
      <sheetName val="할증_5"/>
      <sheetName val="개인별_순위표5"/>
      <sheetName val="CM_15"/>
      <sheetName val="집_계_표5"/>
      <sheetName val="플랜트_설치7"/>
      <sheetName val="일위대가_집계표5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내역(최종본4_5)8"/>
      <sheetName val="1_수인터널8"/>
      <sheetName val="9_1지하2층하부보5"/>
      <sheetName val="제출내역_(2)5"/>
      <sheetName val="6__안전관리비13"/>
      <sheetName val="AS포장복구_8"/>
      <sheetName val="단계별내역_(2)5"/>
      <sheetName val="Sheet1_(2)7"/>
      <sheetName val="6_이토처리시간4"/>
      <sheetName val="기술부_VENDOR_LIST5"/>
      <sheetName val="2_2_띠장의_설계5"/>
      <sheetName val="명일작업계획_(3)4"/>
      <sheetName val="4_일위대가5"/>
      <sheetName val="BOX_본체4"/>
      <sheetName val="MP_MOB4"/>
      <sheetName val="Xunit_(단위환산)4"/>
      <sheetName val="0_0ControlSheet8"/>
      <sheetName val="0_1keyAssumption8"/>
      <sheetName val="전차선로_물량표7"/>
      <sheetName val="4_내진설계7"/>
      <sheetName val="현장별계약현황('98_10_31)7"/>
      <sheetName val="96보완계획7_127"/>
      <sheetName val="부대입찰_내역서7"/>
      <sheetName val="_총괄표7"/>
      <sheetName val="인건비_7"/>
      <sheetName val="제잡비_xls7"/>
      <sheetName val="Eq__Mobilization7"/>
      <sheetName val="3BL공동구_수량7"/>
      <sheetName val="토공(우물통,기타)_7"/>
      <sheetName val="2_고용보험료산출근거7"/>
      <sheetName val="원가계산_(2)7"/>
      <sheetName val="장비당단가_(1)6"/>
      <sheetName val="Sheet2_(2)6"/>
      <sheetName val="내___역5"/>
      <sheetName val="프라임_강변역(4,236)5"/>
      <sheetName val="콤보박스와_리스트박스의_연결7"/>
      <sheetName val="2000년_공정표5"/>
      <sheetName val="수_량_명_세_서_-_16"/>
      <sheetName val="2_교량(신설)5"/>
      <sheetName val="5_2코핑5"/>
      <sheetName val="2_건축6"/>
      <sheetName val="공정표_6"/>
      <sheetName val="P_M_별5"/>
      <sheetName val="4_경비_5_영업외수지5"/>
      <sheetName val="_견적서5"/>
      <sheetName val="배수공_시멘트_및_골재량_산출5"/>
      <sheetName val="별표_6"/>
      <sheetName val="전체내역_(2)4"/>
      <sheetName val="TABLE_DB4"/>
      <sheetName val="쌍용_data_base4"/>
      <sheetName val="Hyundai_Unit_cost_xls4"/>
      <sheetName val="전_체4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unit_45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단가_4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수목데이타_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내역서_(2)4"/>
      <sheetName val="전화공사_공량_및_집계표4"/>
      <sheetName val="참조_(2)4"/>
      <sheetName val="6__직접경비4"/>
      <sheetName val="대가_(보완)4"/>
      <sheetName val="3_자재비(총괄)4"/>
      <sheetName val="5호광장_(만점)5"/>
      <sheetName val="인천국제_(만점)_(2)5"/>
      <sheetName val="제조_경영4"/>
      <sheetName val="4_전기4"/>
      <sheetName val="노_무_비4"/>
      <sheetName val="미납품_현황4"/>
      <sheetName val="신설개소별_총집계표(동해-배전)4"/>
      <sheetName val="STEEL_BOX_단면설계(SEC_8)4"/>
      <sheetName val="울진항공등화_내역서4"/>
      <sheetName val="일_위_대_가_표4"/>
      <sheetName val="영흥TL(UP,DOWN)_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용선_C_L4"/>
      <sheetName val="모선자재_집계표3"/>
      <sheetName val="재료의_할증3"/>
      <sheetName val="내역서_3"/>
      <sheetName val="단가_및_재료비4"/>
      <sheetName val="광통신_견적내역서15"/>
      <sheetName val="DATA_입력부5"/>
      <sheetName val="CIP_공사6"/>
      <sheetName val="수량산출서_갑지5"/>
      <sheetName val="1_3_1절점좌표5"/>
      <sheetName val="1_1설계기준5"/>
      <sheetName val="2000_055"/>
      <sheetName val="1_본부별5"/>
      <sheetName val="기초입력_DATA5"/>
      <sheetName val="EQUIP_LIST5"/>
      <sheetName val="단양_00_아파트-세부내역5"/>
      <sheetName val="4_장비손료5"/>
      <sheetName val="재활용_악취_먼지DUCT산출5"/>
      <sheetName val="5_정산서5"/>
      <sheetName val="설계기준_및_하중계산4"/>
      <sheetName val="원내역서_그대로4"/>
      <sheetName val="남양시작동자105노65기1_3화1_24"/>
      <sheetName val="관음목장(제출용)자105인97_54"/>
      <sheetName val="1062-X방향_4"/>
      <sheetName val="PROJECT_BRIEF4"/>
      <sheetName val="969910(_R)4"/>
      <sheetName val="전선_및_전선관4"/>
      <sheetName val="VENDOR_LIST4"/>
      <sheetName val="D1_2_COF모듈자재_입출재고_(B급)3"/>
      <sheetName val="일위대가_(PM)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9_조정금액1"/>
      <sheetName val="표__지3"/>
      <sheetName val="외주대비_ᨀ晙ԯ2"/>
      <sheetName val="중기쥰종사_단위단가4"/>
      <sheetName val="108_수선비4"/>
      <sheetName val="샌딩_에폭시_도장2"/>
      <sheetName val="06_일위대가목록1"/>
      <sheetName val="운동장_(2)1"/>
      <sheetName val="중기사용료_(2)1"/>
      <sheetName val="2_원가집계1"/>
      <sheetName val="외주대비_-석É1"/>
      <sheetName val="1차_내역서4"/>
      <sheetName val="경비_(1)4"/>
      <sheetName val="2F_회의실견적(5_14_일대)4"/>
      <sheetName val="①idea_pipeline4"/>
      <sheetName val="IMP_통일양식4"/>
      <sheetName val="LYS_통일양식4"/>
      <sheetName val="유통기한_프로그램4"/>
      <sheetName val="Sight_n_M_H4"/>
      <sheetName val="매출요약(월별)_-년간4"/>
      <sheetName val="Piping_Design_Data4"/>
      <sheetName val="4_&amp;_10-inch,_CO2_Combo_&amp;_Sweep4"/>
      <sheetName val="1_䷨수장4"/>
      <sheetName val="4_뀴진설Ⳅ4"/>
      <sheetName val="전䰨선로_물량표4"/>
      <sheetName val="㶀대입찰_내역서4"/>
      <sheetName val="한성교회_신축공사(050713)_CheckList4"/>
      <sheetName val="총괄집계_4"/>
      <sheetName val="strut_type4"/>
      <sheetName val="-15_03"/>
      <sheetName val="사__업__비__수__지__예__산__서3"/>
      <sheetName val="5_2_6~7공사요율1"/>
      <sheetName val="05_유류비자금청구(완)1"/>
      <sheetName val="주공_갑지1"/>
      <sheetName val="04_12월건강보험(일용직)1"/>
      <sheetName val="grid_(1)1"/>
      <sheetName val="기존단가_(2)2"/>
      <sheetName val="10_경제성분석3"/>
      <sheetName val="2_13"/>
      <sheetName val="청_구2"/>
      <sheetName val="공내역_및_견적조건3"/>
      <sheetName val="기계_도급내역서3"/>
      <sheetName val="7_전산해석결과2"/>
      <sheetName val="4_하중2"/>
      <sheetName val="kimre_scrubber4"/>
      <sheetName val="_ｹ-ﾌﾞﾙ1"/>
      <sheetName val="FRP_PIPING_일위대가4"/>
      <sheetName val="신평리_권리자명부1"/>
      <sheetName val="97_사업추정(WEKI)1"/>
      <sheetName val="토__공1"/>
      <sheetName val="1_내역(청_하역장전등)1"/>
      <sheetName val="PAD_TR보호대기초1"/>
      <sheetName val="PTVT_(MAU)4"/>
      <sheetName val="19_07월_세_계1"/>
      <sheetName val="19_07항목별(시트복사금지100번쓰기)1"/>
      <sheetName val="19_05월1"/>
      <sheetName val="Div26_-_Elect3"/>
      <sheetName val="함열량_db3"/>
      <sheetName val="고객사_관리_코드4"/>
      <sheetName val="cong_thuc_tinh_chi_tiet3"/>
      <sheetName val="Bảng_mã_VT3"/>
      <sheetName val="Khoi_luong3"/>
      <sheetName val="DonGia_chetao3"/>
      <sheetName val="DonGia_VatTuLK3"/>
      <sheetName val="Fr_Revit3"/>
      <sheetName val="NSA_Summary3"/>
      <sheetName val="4_수량산출서1"/>
      <sheetName val="경율산정_XLS1"/>
      <sheetName val="H__MECHANICAL1"/>
      <sheetName val="J__FIRE_FIGHTING1"/>
      <sheetName val="Gia_VLNCMTC1"/>
      <sheetName val="1_관로1"/>
      <sheetName val="chi_tiet2"/>
      <sheetName val="PPC_Summary2"/>
      <sheetName val="3_단가산출서1"/>
      <sheetName val="4_단가산출기초1"/>
      <sheetName val="_IL-3_XLSY갑지5"/>
      <sheetName val="안양동교_1안1"/>
      <sheetName val="A_견적"/>
      <sheetName val="const_"/>
      <sheetName val="4_예산내역서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Sàn_T11"/>
      <sheetName val="Lỗ_thông_gió1"/>
      <sheetName val="Thống_kê1"/>
      <sheetName val="SCOPE_OF_WORK1"/>
      <sheetName val="Tong_hop1"/>
      <sheetName val="Phan_lap_dat1"/>
      <sheetName val="Lắp_Ráp1"/>
      <sheetName val="KET_CAU-_MJV21"/>
      <sheetName val="Ví_dụ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Sikje_in"/>
      <sheetName val="01__DATA"/>
      <sheetName val="[후다_"/>
      <sheetName val="보도내_"/>
      <sheetName val="입찰내역_발주처_양식"/>
      <sheetName val="자재기성_신청서_xlsx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b_balju_(2)7"/>
      <sheetName val="_HIT-&gt;HMC_견적(3900)8"/>
      <sheetName val="일__위__대__가__목__록8"/>
      <sheetName val="조건표_(2)7"/>
      <sheetName val="교각토공__2_8"/>
      <sheetName val="준검_내역서9"/>
      <sheetName val="HRSG_SMALL072208"/>
      <sheetName val="3_공통공사대비8"/>
      <sheetName val="6__안전관리비14"/>
      <sheetName val="하도내역_(철콘)7"/>
      <sheetName val="입출재고현황_(2)8"/>
      <sheetName val="6PILE__(돌출)9"/>
      <sheetName val="노무비_근거7"/>
      <sheetName val="97년_추정8"/>
      <sheetName val="임율_Data7"/>
      <sheetName val="2차전체변경예정_(2)7"/>
      <sheetName val="토공유동표(전체_당초)7"/>
      <sheetName val="목차_7"/>
      <sheetName val="BSD_(2)8"/>
      <sheetName val="1_설계기준7"/>
      <sheetName val="7__현장관리비_7"/>
      <sheetName val="단면_(2)7"/>
      <sheetName val="8_현장관리비7"/>
      <sheetName val="7_안전관리비7"/>
      <sheetName val="내역서_제출6"/>
      <sheetName val="8_PILE__(돌출)7"/>
      <sheetName val="현장관리비_산출내역8"/>
      <sheetName val="1__설계조건_2_단면가정_3__하중계산8"/>
      <sheetName val="DATA_입력란8"/>
      <sheetName val="구조______6"/>
      <sheetName val="노무비_6"/>
      <sheetName val="4_일위대가집계6"/>
      <sheetName val="1_설계조건8"/>
      <sheetName val="중기조종사_단위단가7"/>
      <sheetName val="실행내역서_8"/>
      <sheetName val="Temporary_Mooring6"/>
      <sheetName val="7_PILE__(돌출)6"/>
      <sheetName val="A_LINE6"/>
      <sheetName val="2_대외공문9"/>
      <sheetName val="5__현장관리비(new)_6"/>
      <sheetName val="Customer_Databas6"/>
      <sheetName val="간_지16"/>
      <sheetName val="2_2_오피스텔(12~32F)6"/>
      <sheetName val="설내역서_7"/>
      <sheetName val="화재_탐지_설비6"/>
      <sheetName val="5__현장관리비_new__6"/>
      <sheetName val="방배동내역_(총괄)6"/>
      <sheetName val="설_계9"/>
      <sheetName val="_갑지6"/>
      <sheetName val="4_2_1_마루높이_검토5"/>
      <sheetName val="1_취수장8"/>
      <sheetName val="4_LINE6"/>
      <sheetName val="7_th6"/>
      <sheetName val="총_원가계산6"/>
      <sheetName val="자__재6"/>
      <sheetName val="노원열병합__건축공사기성내역서8"/>
      <sheetName val="할증_6"/>
      <sheetName val="개인별_순위표6"/>
      <sheetName val="CM_16"/>
      <sheetName val="집_계_표6"/>
      <sheetName val="플랜트_설치8"/>
      <sheetName val="일위대가_집계표6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내역(최종본4_5)9"/>
      <sheetName val="1_수인터널9"/>
      <sheetName val="9_1지하2층하부보6"/>
      <sheetName val="제출내역_(2)6"/>
      <sheetName val="6__안전관리비15"/>
      <sheetName val="AS포장복구_9"/>
      <sheetName val="단계별내역_(2)6"/>
      <sheetName val="Sheet1_(2)8"/>
      <sheetName val="6_이토처리시간5"/>
      <sheetName val="기술부_VENDOR_LIST6"/>
      <sheetName val="2_2_띠장의_설계6"/>
      <sheetName val="명일작업계획_(3)5"/>
      <sheetName val="4_일위대가6"/>
      <sheetName val="BOX_본체5"/>
      <sheetName val="MP_MOB5"/>
      <sheetName val="Xunit_(단위환산)5"/>
      <sheetName val="0_0ControlSheet9"/>
      <sheetName val="0_1keyAssumption9"/>
      <sheetName val="전차선로_물량표8"/>
      <sheetName val="4_내진설계8"/>
      <sheetName val="현장별계약현황('98_10_31)8"/>
      <sheetName val="96보완계획7_128"/>
      <sheetName val="부대입찰_내역서8"/>
      <sheetName val="_총괄표8"/>
      <sheetName val="인건비_8"/>
      <sheetName val="제잡비_xls8"/>
      <sheetName val="Eq__Mobilization8"/>
      <sheetName val="3BL공동구_수량8"/>
      <sheetName val="토공(우물통,기타)_8"/>
      <sheetName val="2_고용보험료산출근거8"/>
      <sheetName val="원가계산_(2)8"/>
      <sheetName val="장비당단가_(1)7"/>
      <sheetName val="Sheet2_(2)7"/>
      <sheetName val="내___역6"/>
      <sheetName val="프라임_강변역(4,236)6"/>
      <sheetName val="콤보박스와_리스트박스의_연결8"/>
      <sheetName val="2000년_공정표6"/>
      <sheetName val="수_량_명_세_서_-_17"/>
      <sheetName val="2_교량(신설)6"/>
      <sheetName val="5_2코핑6"/>
      <sheetName val="2_건축7"/>
      <sheetName val="공정표_7"/>
      <sheetName val="P_M_별6"/>
      <sheetName val="4_경비_5_영업외수지6"/>
      <sheetName val="_견적서6"/>
      <sheetName val="배수공_시멘트_및_골재량_산출6"/>
      <sheetName val="별표_7"/>
      <sheetName val="전체내역_(2)5"/>
      <sheetName val="TABLE_DB5"/>
      <sheetName val="쌍용_data_base5"/>
      <sheetName val="Hyundai_Unit_cost_xls5"/>
      <sheetName val="전_체5"/>
      <sheetName val="2_1외주5"/>
      <sheetName val="2_3노무5"/>
      <sheetName val="2_4자재5"/>
      <sheetName val="2_2장비5"/>
      <sheetName val="2_5경비5"/>
      <sheetName val="2_6수목대5"/>
      <sheetName val="3련_BOX5"/>
      <sheetName val="unit_46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단가_5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수목데이타_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세골재__T2_변경_현황5"/>
      <sheetName val="내역서_(2)5"/>
      <sheetName val="전화공사_공량_및_집계표5"/>
      <sheetName val="참조_(2)5"/>
      <sheetName val="6__직접경비5"/>
      <sheetName val="대가_(보완)5"/>
      <sheetName val="3_자재비(총괄)5"/>
      <sheetName val="5호광장_(만점)6"/>
      <sheetName val="인천국제_(만점)_(2)6"/>
      <sheetName val="제조_경영5"/>
      <sheetName val="4_전기5"/>
      <sheetName val="노_무_비5"/>
      <sheetName val="미납품_현황5"/>
      <sheetName val="신설개소별_총집계표(동해-배전)5"/>
      <sheetName val="STEEL_BOX_단면설계(SEC_8)5"/>
      <sheetName val="울진항공등화_내역서5"/>
      <sheetName val="일_위_대_가_표5"/>
      <sheetName val="영흥TL(UP,DOWN)_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용선_C_L5"/>
      <sheetName val="모선자재_집계표4"/>
      <sheetName val="재료의_할증4"/>
      <sheetName val="내역서_4"/>
      <sheetName val="단가_및_재료비5"/>
      <sheetName val="광통신_견적내역서16"/>
      <sheetName val="DATA_입력부6"/>
      <sheetName val="CIP_공사7"/>
      <sheetName val="수량산출서_갑지6"/>
      <sheetName val="1_3_1절점좌표6"/>
      <sheetName val="1_1설계기준6"/>
      <sheetName val="2000_056"/>
      <sheetName val="1_본부별6"/>
      <sheetName val="기초입력_DATA6"/>
      <sheetName val="EQUIP_LIST6"/>
      <sheetName val="단양_00_아파트-세부내역6"/>
      <sheetName val="4_장비손료6"/>
      <sheetName val="재활용_악취_먼지DUCT산출6"/>
      <sheetName val="5_정산서6"/>
      <sheetName val="설계기준_및_하중계산5"/>
      <sheetName val="원내역서_그대로5"/>
      <sheetName val="남양시작동자105노65기1_3화1_25"/>
      <sheetName val="관음목장(제출용)자105인97_55"/>
      <sheetName val="1062-X방향_5"/>
      <sheetName val="PROJECT_BRIEF5"/>
      <sheetName val="969910(_R)5"/>
      <sheetName val="전선_및_전선관5"/>
      <sheetName val="VENDOR_LIST5"/>
      <sheetName val="D1_2_COF모듈자재_입출재고_(B급)4"/>
      <sheetName val="일위대가_(PM)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99_조정금액2"/>
      <sheetName val="표__지4"/>
      <sheetName val="외주대비_ᨀ晙ԯ3"/>
      <sheetName val="중기쥰종사_단위단가5"/>
      <sheetName val="108_수선비5"/>
      <sheetName val="샌딩_에폭시_도장3"/>
      <sheetName val="06_일위대가목록2"/>
      <sheetName val="운동장_(2)2"/>
      <sheetName val="중기사용료_(2)2"/>
      <sheetName val="2_원가집계2"/>
      <sheetName val="외주대비_-석É2"/>
      <sheetName val="1차_내역서5"/>
      <sheetName val="경비_(1)5"/>
      <sheetName val="2F_회의실견적(5_14_일대)5"/>
      <sheetName val="①idea_pipeline5"/>
      <sheetName val="IMP_통일양식5"/>
      <sheetName val="LYS_통일양식5"/>
      <sheetName val="유통기한_프로그램5"/>
      <sheetName val="Sight_n_M_H5"/>
      <sheetName val="매출요약(월별)_-년간5"/>
      <sheetName val="Piping_Design_Data5"/>
      <sheetName val="4_&amp;_10-inch,_CO2_Combo_&amp;_Sweep5"/>
      <sheetName val="1_䷨수장5"/>
      <sheetName val="4_뀴진설Ⳅ5"/>
      <sheetName val="전䰨선로_물량표5"/>
      <sheetName val="㶀대입찰_내역서5"/>
      <sheetName val="한성교회_신축공사(050713)_CheckList5"/>
      <sheetName val="총괄집계_5"/>
      <sheetName val="strut_type5"/>
      <sheetName val="-15_04"/>
      <sheetName val="사__업__비__수__지__예__산__서4"/>
      <sheetName val="5_2_6~7공사요율2"/>
      <sheetName val="05_유류비자금청구(완)2"/>
      <sheetName val="주공_갑지2"/>
      <sheetName val="04_12월건강보험(일용직)2"/>
      <sheetName val="grid_(1)2"/>
      <sheetName val="기존단가_(2)3"/>
      <sheetName val="10_경제성분석4"/>
      <sheetName val="2_14"/>
      <sheetName val="청_구3"/>
      <sheetName val="공내역_및_견적조건4"/>
      <sheetName val="기계_도급내역서4"/>
      <sheetName val="7_전산해석결과3"/>
      <sheetName val="4_하중3"/>
      <sheetName val="kimre_scrubber5"/>
      <sheetName val="_ｹ-ﾌﾞﾙ2"/>
      <sheetName val="FRP_PIPING_일위대가5"/>
      <sheetName val="신평리_권리자명부2"/>
      <sheetName val="97_사업추정(WEKI)2"/>
      <sheetName val="토__공2"/>
      <sheetName val="1_내역(청_하역장전등)2"/>
      <sheetName val="PAD_TR보호대기초2"/>
      <sheetName val="PTVT_(MAU)5"/>
      <sheetName val="19_07월_세_계2"/>
      <sheetName val="19_07항목별(시트복사금지100번쓰기)2"/>
      <sheetName val="19_05월2"/>
      <sheetName val="Div26_-_Elect4"/>
      <sheetName val="함열량_db4"/>
      <sheetName val="고객사_관리_코드5"/>
      <sheetName val="cong_thuc_tinh_chi_tiet4"/>
      <sheetName val="Bảng_mã_VT4"/>
      <sheetName val="Khoi_luong4"/>
      <sheetName val="DonGia_chetao4"/>
      <sheetName val="DonGia_VatTuLK4"/>
      <sheetName val="Fr_Revit4"/>
      <sheetName val="NSA_Summary4"/>
      <sheetName val="4_수량산출서2"/>
      <sheetName val="경율산정_XLS2"/>
      <sheetName val="H__MECHANICAL2"/>
      <sheetName val="J__FIRE_FIGHTING2"/>
      <sheetName val="Gia_VLNCMTC2"/>
      <sheetName val="1_관로2"/>
      <sheetName val="chi_tiet3"/>
      <sheetName val="PPC_Summary3"/>
      <sheetName val="3_단가산출서2"/>
      <sheetName val="4_단가산출기초2"/>
      <sheetName val="_IL-3_XLSY갑지6"/>
      <sheetName val="안양동교_1안2"/>
      <sheetName val="A_견적1"/>
      <sheetName val="const_1"/>
      <sheetName val="4_예산내역서1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àn_T12"/>
      <sheetName val="Lỗ_thông_gió2"/>
      <sheetName val="Thống_kê2"/>
      <sheetName val="Tai_khoan1"/>
      <sheetName val="SCOPE_OF_WORK2"/>
      <sheetName val="Tong_hop2"/>
      <sheetName val="Phan_lap_dat2"/>
      <sheetName val="Lắp_Ráp2"/>
      <sheetName val="KET_CAU-_MJV22"/>
      <sheetName val="Ví_dụ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대3류_1"/>
      <sheetName val="BEND_LOSS1"/>
      <sheetName val="01__DATA1"/>
      <sheetName val="보도내_1"/>
      <sheetName val="입찰내역_발주처_양식1"/>
      <sheetName val="자재기성_신청서_xlsx1"/>
      <sheetName val="프로젝트"/>
      <sheetName val="BTRA"/>
      <sheetName val="Dầm 1"/>
      <sheetName val="Unit Rate(non print)"/>
      <sheetName val="DI-ESTI"/>
      <sheetName val="Bang gia 2011.10.12"/>
      <sheetName val="_후다_x0001_ _x0010__x0000__x0003"/>
      <sheetName val="Gtvl"/>
      <sheetName val="Thkp"/>
      <sheetName val="Ptvt"/>
      <sheetName val="Gia_THKP"/>
      <sheetName val="GiaTH_PT2"/>
      <sheetName val="Notes"/>
      <sheetName val="Sàn tầng 01 ( old )"/>
      <sheetName val="5.6 NTKL ĐHKK "/>
      <sheetName val="5.12 NTKL PCCC"/>
      <sheetName val="Gia thanh chuoi su"/>
      <sheetName val="Tiep dia"/>
      <sheetName val="Don gia vung III-Can Tho"/>
      <sheetName val="TH MEP"/>
      <sheetName val="GAEYO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፡"/>
      <sheetName val="፠"/>
      <sheetName val="፥"/>
      <sheetName val="_후다_x0001_ _x0010_"/>
      <sheetName val="፝"/>
      <sheetName val="토공_total"/>
      <sheetName val="TRAY_헹거산출"/>
      <sheetName val="Gia"/>
      <sheetName val="0"/>
      <sheetName val="Cọc nhồi"/>
      <sheetName val="MTL(AG)"/>
      <sheetName val="Bang TH"/>
      <sheetName val="Shelves"/>
      <sheetName val="ThongSo"/>
      <sheetName val="Ref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Bang_gia_2011_10_12"/>
      <sheetName val="_후다__x0003"/>
      <sheetName val="Sàn_tầng_01_(_old_)"/>
      <sheetName val="5_6_NTKL_ĐHKK_"/>
      <sheetName val="5_12_NTKL_PCCC"/>
      <sheetName val="Gia_thanh_chuoi_su"/>
      <sheetName val="Tiep_dia"/>
      <sheetName val="Don_gia_vung_III-Can_Tho"/>
      <sheetName val="TH_MEP"/>
      <sheetName val="_후다_"/>
      <sheetName val="1.Requisition(E)"/>
      <sheetName val="dtct cong"/>
      <sheetName val="単価表"/>
      <sheetName val="SLCONG"/>
      <sheetName val="SLGA"/>
      <sheetName val="新规"/>
      <sheetName val="手动计画"/>
      <sheetName val="DTCT"/>
      <sheetName val="TL rieng"/>
      <sheetName val="ESTI."/>
      <sheetName val="5.NKTC"/>
      <sheetName val="4.BBNT-LĐ"/>
      <sheetName val="C.MECHANICAL"/>
      <sheetName val="Elec LG"/>
      <sheetName val="토공_total1"/>
      <sheetName val="TRAY_헹거산출1"/>
      <sheetName val="Cọc_nhồi"/>
      <sheetName val="Bang_TH"/>
      <sheetName val="5_NKTC"/>
      <sheetName val="4_BBNT-LĐ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THMAVT"/>
      <sheetName val="Pag_hal"/>
      <sheetName val="D &amp; W sizes"/>
      <sheetName val="Package1"/>
      <sheetName val="tra_vat_lieu"/>
      <sheetName val="Goc CC"/>
      <sheetName val="외주대비 -석축?????_x0012_[후다내역.XLS]견적표지 (3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비목군분류일위"/>
      <sheetName val="부영주택(잡철물)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1.1"/>
      <sheetName val="NOM³_x0000_Ԁ"/>
      <sheetName val="NOMֳ_x0000_缀"/>
      <sheetName val="내역서1999.8최종"/>
      <sheetName val="부대표지_x0000__x0000__x0005__x0000_腰"/>
      <sheetName val="VENT"/>
      <sheetName val="준검_내逃ᚹ欃"/>
      <sheetName val="설계내역2"/>
      <sheetName val="보강현황"/>
      <sheetName val="단위중량표"/>
      <sheetName val="흄관기_x0000_"/>
      <sheetName val="흄관기0"/>
      <sheetName val="3.전기산출기초"/>
      <sheetName val="토공정보"/>
      <sheetName val="월별계획"/>
      <sheetName val="발주현황"/>
      <sheetName val="물량표(신)"/>
      <sheetName val="일위대가(산근)"/>
      <sheetName val="0217상가미분양자산"/>
      <sheetName val="1鶈"/>
      <sheetName val="내역(전력)"/>
      <sheetName val="교각토"/>
      <sheetName val="Proposal"/>
      <sheetName val="변경집계표"/>
      <sheetName val="철집"/>
      <sheetName val="YES-T"/>
      <sheetName val="NOM³"/>
      <sheetName val="NOMֳ"/>
      <sheetName val="단가_x0000__x0000__x0005_"/>
      <sheetName val="발주수량표"/>
      <sheetName val="6.RJP이토처리시간"/>
      <sheetName val="7.RJP지층별제원"/>
      <sheetName val="외주대비 -석축_x005f_x0000__x005f_x0000__x005f_x0000__x"/>
      <sheetName val="eq_da_x0000__x0000_"/>
      <sheetName val=" 갑_x001f_"/>
      <sheetName val="원가계산(2)"/>
      <sheetName val="PAY2002"/>
      <sheetName val="SP-ኬ_x0002_"/>
      <sheetName val="SP-咬⶘"/>
      <sheetName val="흥양2교토_x0000__x0000_Ā_x0000_"/>
      <sheetName val="공량산출근거서"/>
      <sheetName val="외주대비 -석축_x0000__x0000__x0000__x0000__x0000__x0012_[후다내역.XLS]_____4"/>
      <sheetName val="급여병적자료"/>
      <sheetName val="Kihon-Jiko"/>
      <sheetName val="변경내역서"/>
      <sheetName val="NX01"/>
      <sheetName val="Du thau"/>
      <sheetName val="금속및금속창호"/>
      <sheetName val="주안3차A-A"/>
      <sheetName val="단가(동바蔨ũ"/>
      <sheetName val="D.B"/>
      <sheetName val="공량(전기)"/>
      <sheetName val="슬래브수량산출"/>
      <sheetName val="콘크리트"/>
      <sheetName val="토량산출서"/>
      <sheetName val="20관리비율"/>
      <sheetName val="HW일위"/>
      <sheetName val="수지예산"/>
      <sheetName val="제잡비(주공종)"/>
      <sheetName val="외주대비-구_x0005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인부신상"/>
      <sheetName val="외주대비x"/>
      <sheetName val="식생블럭단위수량"/>
      <sheetName val="8설7발"/>
      <sheetName val="Lumen"/>
      <sheetName val="해외교육"/>
      <sheetName val="K2 site Total 내역서"/>
      <sheetName val="타설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리부설"/>
      <sheetName val="기계실냉༛彬"/>
      <sheetName val="1.청구서"/>
      <sheetName val="2.내역서"/>
      <sheetName val="기성지급예정"/>
      <sheetName val="실지급내역"/>
      <sheetName val="노무비지급"/>
      <sheetName val="표"/>
      <sheetName val="외주대비x_x0000_Ԁ_x0000_"/>
      <sheetName val="Doi so"/>
      <sheetName val="電気設備表"/>
      <sheetName val="Config"/>
      <sheetName val="DI_ESTI"/>
      <sheetName val="Measure 1306"/>
      <sheetName val="DAF-2"/>
      <sheetName val="DM.ChiPhi"/>
      <sheetName val="TAIKHOAN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䣐_x005f_x0000__x005f_x0000_갑쥀)"/>
      <sheetName val="P_x005f_x0005_"/>
      <sheetName val="48_x005f_x0005__x005f_x0000_"/>
      <sheetName val="Sikje_inĴ¾_x005f_x0000_"/>
      <sheetName val="eq_dat_x005f_x0000_"/>
      <sheetName val="1차설계Ꮗԯ_x005f_x0000_"/>
      <sheetName val="1차설계逷≙_x005f_xdc00_≙"/>
      <sheetName val="Sikje_in_x005f_x0005__x005f_x0000_"/>
      <sheetName val="CԀ_x005f_x0000_缀"/>
      <sheetName val="Tiepdia"/>
      <sheetName val="전압강하"/>
      <sheetName val="LD"/>
      <sheetName val="기초입력ԯ_x0000_缀_x0000__x0000_"/>
      <sheetName val="부도어음"/>
      <sheetName val="치수표"/>
      <sheetName val="-배수구조총재료"/>
      <sheetName val="구조ఀ덀_x0000_"/>
      <sheetName val="구조怀ྋĀ"/>
      <sheetName val="연평잔"/>
      <sheetName val="Efficiency"/>
      <sheetName val="벽체면적˱ጐɈី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외주대비-구ꮸ〇"/>
      <sheetName val="합천내역"/>
      <sheetName val="외주대비-구_x0000__x0000_"/>
      <sheetName val="자판실행"/>
      <sheetName val="총괄표 "/>
      <sheetName val="구조물터파기ꗤNˠ"/>
      <sheetName val="위생悱"/>
      <sheetName val="오억미만"/>
      <sheetName val="GIAVLIEU"/>
      <sheetName val="총공사Ԁ쭭㠯"/>
      <sheetName val="부대표지_x0000__x0000__x0005__x0000_䥀"/>
      <sheetName val="행정표준(2惍"/>
      <sheetName val="행정표준(2ネ"/>
      <sheetName val="3BL공동구_x005f_x0000__x005f_x0000_Ԁ"/>
      <sheetName val="ptdg"/>
      <sheetName val="HVAC"/>
      <sheetName val="DG"/>
      <sheetName val="NHÀ NHẬP LIỆU"/>
      <sheetName val="MÓNG SILO"/>
      <sheetName val="부대표지_x0000__x0000__x0005__x0000_⽠"/>
      <sheetName val="CODE-LIST"/>
      <sheetName val="Basic Wage"/>
      <sheetName val="Menber List"/>
      <sheetName val="가정급수관"/>
      <sheetName val="계약대비내역서 (부경)"/>
      <sheetName val="집행대비내역서 (부경)"/>
      <sheetName val="계약그라우팅.포장"/>
      <sheetName val="계약사무실조경 "/>
      <sheetName val="수벽설치(효자)"/>
      <sheetName val="조ꌀ"/>
      <sheetName val="조Ꝣ"/>
      <sheetName val="조선용암면"/>
      <sheetName val="Names"/>
      <sheetName val="barchart"/>
      <sheetName val="Matls"/>
      <sheetName val="Labor"/>
      <sheetName val="기초입력ԯ"/>
      <sheetName val="PL Vua"/>
      <sheetName val="도시정비"/>
      <sheetName val="개발"/>
      <sheetName val="도시정비 "/>
      <sheetName val="민간"/>
      <sheetName val="관접합및부설"/>
      <sheetName val="3.1.6 전산처리결과"/>
      <sheetName val="인부신상헾⼳"/>
      <sheetName val="호곡중학교"/>
      <sheetName val="횡배수관 토공량 산출"/>
      <sheetName val="평가내역"/>
      <sheetName val="부대공사비"/>
      <sheetName val="공종코드"/>
      <sheetName val="수량산출서_x0010__x0000_"/>
      <sheetName val="본장"/>
      <sheetName val="_x0000__x0010__x0000_내"/>
      <sheetName val="2013년상반기"/>
      <sheetName val="건_′近丂"/>
      <sheetName val="건_ê_x0000_Ԁ"/>
      <sheetName val="⑻동원인원산출서⑧"/>
      <sheetName val="토공계산서(부체도로)"/>
      <sheetName val="수로BOX"/>
      <sheetName val="토목단가"/>
      <sheetName val="경비_원본"/>
      <sheetName val="총공사_x0000__x0000_Ԁ"/>
      <sheetName val="수량산출서_x0000__x0000__x0005_"/>
      <sheetName val="1-׃⼿"/>
      <sheetName val="1-닑⽋"/>
      <sheetName val="1-_x0005__x0000_"/>
      <sheetName val="A-100전제"/>
      <sheetName val="외주현황_wq1"/>
      <sheetName val="태화42_"/>
      <sheetName val="배수喘"/>
      <sheetName val="220_(2)"/>
      <sheetName val="3_관로전환기"/>
      <sheetName val="내역서1999_8최종"/>
      <sheetName val="부대표지腰"/>
      <sheetName val="3_전기산출기초"/>
      <sheetName val="F_월별기성수금현황_"/>
      <sheetName val="1_1"/>
      <sheetName val="_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부대표지츀 _x0000__x0000_얈"/>
      <sheetName val="부대표지츀 _x0000__x0000_篐"/>
      <sheetName val="동력부하계산"/>
      <sheetName val="템플릿"/>
      <sheetName val="평야부"/>
      <sheetName val="단가16(노임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CTG"/>
      <sheetName val="KTCK"/>
      <sheetName val="Pipe"/>
      <sheetName val="TEMP"/>
      <sheetName val="NS"/>
      <sheetName val="NKC6"/>
      <sheetName val="07_Themal"/>
      <sheetName val="TỔNG HỢP"/>
      <sheetName val="48_x005f_x0005_"/>
      <sheetName val="_후다_x005f_x0001_ _x005f_x0010__x005f_x0000__x0003"/>
      <sheetName val="6MONTHS"/>
      <sheetName val="PTDM"/>
      <sheetName val="dropdown"/>
      <sheetName val="C_MECHANICAL"/>
      <sheetName val="Elec_LG"/>
      <sheetName val="도급표지É"/>
      <sheetName val="1공구 건_xdc00_䘢䠂檱䠛檳"/>
      <sheetName val="흥양2교토㎈ï뇸ર"/>
      <sheetName val="合成単価作成表-BLDG"/>
      <sheetName val="건축원가계산서"/>
      <sheetName val="Sh_x0000__x0000__x0000_"/>
      <sheetName val="Sh_x0010__x0000_ጾ"/>
      <sheetName val="소야공정계_x0000__x0000_"/>
      <sheetName val="소야공정계罈."/>
      <sheetName val="골재산출"/>
      <sheetName val="입찰품跀"/>
      <sheetName val="6공구(_xda8b_瀀"/>
      <sheetName val="도급표지  (3_x0000_"/>
      <sheetName val="1-7(재가공내역)"/>
      <sheetName val="소야공정_x0000__x0000_Ԁ"/>
      <sheetName val="부_x0000_쎥_x0000_"/>
      <sheetName val="단가산品Ṹ"/>
      <sheetName val="Modulၒ_x0000_"/>
      <sheetName val="관급자재산출근거"/>
      <sheetName val="2008년하반기노임"/>
      <sheetName val="표준차도부연장집계-ASP"/>
      <sheetName val="패널"/>
      <sheetName val="3_공통공사偤°"/>
      <sheetName val="점_x0000__x0000_Ā"/>
      <sheetName val="외주대비 -석축_x0000__x0000__x0000__x2"/>
      <sheetName val="견적표지_(32"/>
      <sheetName val="외주대비 -석축_x0000__x0000__x0000__x3"/>
      <sheetName val="견적표지_(322"/>
      <sheetName val="외주대비 -석축_x0000__x0000__x0000__x4"/>
      <sheetName val="견적표지_(3222"/>
      <sheetName val="외주대비 -석축_x0000__x0000__x0000__x5"/>
      <sheetName val="견적표지_(32222"/>
      <sheetName val="외주대비 -석축_x0000__x0000__x0000__x6"/>
      <sheetName val="견적표지_(322222"/>
      <sheetName val="Budget Code"/>
      <sheetName val="Phu cap"/>
      <sheetName val="PTdam"/>
      <sheetName val="Loose"/>
      <sheetName val="Đầu tư"/>
      <sheetName val="RAB AR&amp;STR"/>
      <sheetName val="3. CNT"/>
      <sheetName val="unit price list(M)"/>
      <sheetName val="General2"/>
      <sheetName val="Breakdown (B)"/>
      <sheetName val="thông tin"/>
      <sheetName val="tifico"/>
      <sheetName val="CB"/>
      <sheetName val="7.공정표"/>
      <sheetName val="escon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on Kho"/>
      <sheetName val="침하계"/>
      <sheetName val="드럼사이즈 내역"/>
      <sheetName val="간접비 총괄표"/>
      <sheetName val="보도내역 (_x0010__x0000_"/>
      <sheetName val="I.설계조건"/>
      <sheetName val="주형"/>
      <sheetName val="3.바닥판설계"/>
      <sheetName val="인구"/>
      <sheetName val="도급표지  (怀꿟"/>
      <sheetName val="원본자재"/>
      <sheetName val="4 L速뇥ᝠ"/>
      <sheetName val="출근부&amp;임금대장"/>
      <sheetName val="Sens&amp;Anal"/>
      <sheetName val="기계경비시간당손료목록"/>
      <sheetName val="공사비 내역 (가)"/>
      <sheetName val="포장총괄집계표"/>
      <sheetName val="가_x0000__x0000_"/>
      <sheetName val="부대내寀"/>
      <sheetName val="부대내_x0005_"/>
      <sheetName val="견적刀_x0010_"/>
      <sheetName val="외주대비 -ʶ_x0000_"/>
      <sheetName val="1.수_x0000__x0000__x0005_"/>
      <sheetName val="개인신상"/>
      <sheetName val="7)각세대내"/>
      <sheetName val="입적Æ"/>
      <sheetName val="슬래브(PF)(하류)"/>
      <sheetName val="STAND98"/>
      <sheetName val="점_x0000__x0000__x0005_"/>
      <sheetName val="수량산출서_x0010_"/>
      <sheetName val="환경평가"/>
      <sheetName val="고유코드_설계"/>
      <sheetName val="교각토공_(㡈įᐨ"/>
      <sheetName val="GRD_x0000_"/>
      <sheetName val="GRD_x0000_鯦"/>
      <sheetName val="GRD_x0000_黎"/>
      <sheetName val="변수"/>
      <sheetName val="주간기성"/>
      <sheetName val="99년하반기"/>
      <sheetName val="건축설_x0000_"/>
      <sheetName val="건축설賨"/>
      <sheetName val="인건嫨"/>
      <sheetName val="비품"/>
      <sheetName val="일위대가 집_x0000__x0000_"/>
      <sheetName val="우성교간선"/>
      <sheetName val="시공여유_x0000_"/>
      <sheetName val="설계개요"/>
      <sheetName val="205동"/>
      <sheetName val="3.일반사상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일위대가Ȓ_x0000_"/>
      <sheetName val="일위대가顔-"/>
      <sheetName val="중사"/>
      <sheetName val="재무가정"/>
      <sheetName val="사전공사"/>
      <sheetName val="기별용지"/>
      <sheetName val="견적서표지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B9_MEP"/>
      <sheetName val="Tai_khoan2"/>
      <sheetName val="대3류_2"/>
      <sheetName val="BEND_LOSS2"/>
      <sheetName val="01__DATA2"/>
      <sheetName val="ጊ후다내역_XLS]0_0ControlSheet31"/>
      <sheetName val="投标材料清单_1"/>
      <sheetName val="토공_total2"/>
      <sheetName val="TRAY_헹거산출2"/>
      <sheetName val="Dầm_11"/>
      <sheetName val="Unit_Rate(non_print)1"/>
      <sheetName val="Bang_gia_2011_10_121"/>
      <sheetName val="Sàn_tầng_01_(_old_)1"/>
      <sheetName val="5_6_NTKL_ĐHKK_1"/>
      <sheetName val="5_12_NTKL_PCCC1"/>
      <sheetName val="Gia_thanh_chuoi_su1"/>
      <sheetName val="Tiep_dia1"/>
      <sheetName val="Don_gia_vung_III-Can_Tho1"/>
      <sheetName val="TH_MEP1"/>
      <sheetName val="dtct_cong"/>
      <sheetName val="1_Requisition(E)"/>
      <sheetName val="Cọc_nhồi1"/>
      <sheetName val="Bang_TH1"/>
      <sheetName val="5_NKTC1"/>
      <sheetName val="4_BBNT-LĐ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Elec_LG1"/>
      <sheetName val="ESTI_"/>
      <sheetName val="D_&amp;_W_sizes1"/>
      <sheetName val="Goc_CC1"/>
      <sheetName val="외주대비_-석축???_x1"/>
      <sheetName val="IMF_Code1"/>
      <sheetName val="3_관로전환기1"/>
      <sheetName val="외주현황_wq11"/>
      <sheetName val="태화42_1"/>
      <sheetName val="220_(2)1"/>
      <sheetName val="_1"/>
      <sheetName val="F_월별기성수금현황_1"/>
      <sheetName val="C_MECHANICAL1"/>
      <sheetName val="TL_rieng"/>
      <sheetName val="Doi_s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Measure_1306"/>
      <sheetName val="DM_ChiPhi"/>
      <sheetName val="외주대비_-석축_x005f_x0000__x005f_x0000__x005f_x0000__x"/>
      <sheetName val="Du_thau"/>
      <sheetName val="표지_(3)9"/>
      <sheetName val="표지_(2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6__안전관리비16"/>
      <sheetName val="HRSG_SMALL072209"/>
      <sheetName val="교각토공__2_9"/>
      <sheetName val="3_공통공사대비9"/>
      <sheetName val="97년_추정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1_설계기준8"/>
      <sheetName val="BSD_(2)9"/>
      <sheetName val="2차전체변경예정_(2)8"/>
      <sheetName val="단면_(2)8"/>
      <sheetName val="1_취수장9"/>
      <sheetName val="8_PILE__(돌출)8"/>
      <sheetName val="토공유동표(전체_당초)8"/>
      <sheetName val="1__설계조건_2_단면가정_3__하중계산9"/>
      <sheetName val="DATA_입력란9"/>
      <sheetName val="구조______7"/>
      <sheetName val="현장관리비_산출내역9"/>
      <sheetName val="b_balju_(2)8"/>
      <sheetName val="노무비_7"/>
      <sheetName val="화재_탐지_설비7"/>
      <sheetName val="Customer_Databas7"/>
      <sheetName val="실행내역서_9"/>
      <sheetName val="4_LINE7"/>
      <sheetName val="7_th7"/>
      <sheetName val="_갑지7"/>
      <sheetName val="0_0ControlSheet10"/>
      <sheetName val="0_1keyAssumption10"/>
      <sheetName val="4_내진설계9"/>
      <sheetName val="Sheet1_(2)9"/>
      <sheetName val="4_경비_5_영업외수지7"/>
      <sheetName val="_견적서7"/>
      <sheetName val="4_일위대가집계7"/>
      <sheetName val="1_설계조건9"/>
      <sheetName val="내역서_제출7"/>
      <sheetName val="A_LINE7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노원열병합__건축공사기성내역서9"/>
      <sheetName val="할증_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7_PILE__(돌출)7"/>
      <sheetName val="설내역서_8"/>
      <sheetName val="총_원가계산7"/>
      <sheetName val="토공(우물통,기타)_9"/>
      <sheetName val="현장별계약현황('98_10_31)9"/>
      <sheetName val="Eq__Mobilization9"/>
      <sheetName val="원가계산_(2)9"/>
      <sheetName val="광통신_견적내역서17"/>
      <sheetName val="unit_47"/>
      <sheetName val="플랜트_설치9"/>
      <sheetName val="콤보박스와_리스트박스의_연결9"/>
      <sheetName val="별표_8"/>
      <sheetName val="수_량_명_세_서_-_18"/>
      <sheetName val="2_건축8"/>
      <sheetName val="공정표_8"/>
      <sheetName val="프라임_강변역(4,236)7"/>
      <sheetName val="내___역7"/>
      <sheetName val="집_계_표7"/>
      <sheetName val="2000년_공정표7"/>
      <sheetName val="5_2코핑7"/>
      <sheetName val="배수공_시멘트_및_골재량_산출7"/>
      <sheetName val="P_M_별7"/>
      <sheetName val="CIP_공사8"/>
      <sheetName val="수량산출서_갑지7"/>
      <sheetName val="DATA_입력부7"/>
      <sheetName val="일위대가_(PM)6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제출내역_(2)7"/>
      <sheetName val="2_2_띠장의_설계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9_1지하2층하부보7"/>
      <sheetName val="4_2_1_마루높이_검토6"/>
      <sheetName val="4_일위대가7"/>
      <sheetName val="BOX_본체6"/>
      <sheetName val="TABLE_DB6"/>
      <sheetName val="쌍용_data_base6"/>
      <sheetName val="2_교량(신설)7"/>
      <sheetName val="MP_MOB6"/>
      <sheetName val="전체내역_(2)6"/>
      <sheetName val="Hyundai_Unit_cost_xls6"/>
      <sheetName val="STEEL_BOX_단면설계(SEC_8)6"/>
      <sheetName val="6_이토처리시간6"/>
      <sheetName val="울진항공등화_내역서6"/>
      <sheetName val="영흥TL(UP,DOWN)_6"/>
      <sheetName val="일_위_대_가_표6"/>
      <sheetName val="EQUIP_LIST7"/>
      <sheetName val="명일작업계획_(3)6"/>
      <sheetName val="중기쥰종사_단위단가6"/>
      <sheetName val="세골재__T2_변경_현황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단가_6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수목데이타_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내역서_(2)6"/>
      <sheetName val="전화공사_공량_및_집계표6"/>
      <sheetName val="참조_(2)6"/>
      <sheetName val="6__직접경비6"/>
      <sheetName val="대가_(보완)6"/>
      <sheetName val="3_자재비(총괄)6"/>
      <sheetName val="5호광장_(만점)7"/>
      <sheetName val="인천국제_(만점)_(2)7"/>
      <sheetName val="제조_경영6"/>
      <sheetName val="4_전기6"/>
      <sheetName val="노_무_비6"/>
      <sheetName val="미납품_현황6"/>
      <sheetName val="신설개소별_총집계표(동해-배전)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전_체6"/>
      <sheetName val="용선_C_L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1_본부별7"/>
      <sheetName val="2000_057"/>
      <sheetName val="원내역서_그대로6"/>
      <sheetName val="1_3_1절점좌표7"/>
      <sheetName val="1_1설계기준7"/>
      <sheetName val="기초입력_DATA7"/>
      <sheetName val="재활용_악취_먼지DUCT산출7"/>
      <sheetName val="남양시작동자105노65기1_3화1_26"/>
      <sheetName val="관음목장(제출용)자105인97_56"/>
      <sheetName val="969910(_R)6"/>
      <sheetName val="1062-X방향_6"/>
      <sheetName val="5_정산서7"/>
      <sheetName val="PROJECT_BRIEF6"/>
      <sheetName val="4_장비손료7"/>
      <sheetName val="108_수선비6"/>
      <sheetName val="단양_00_아파트-세부내역7"/>
      <sheetName val="전선_및_전선관6"/>
      <sheetName val="VENDOR_LIST6"/>
      <sheetName val="PTVT_(MAU)6"/>
      <sheetName val="Xunit_(단위환산)6"/>
      <sheetName val="2F_회의실견적(5_14_일대)6"/>
      <sheetName val="경비_(1)6"/>
      <sheetName val="Sight_n_M_H6"/>
      <sheetName val="매출요약(월별)_-년간6"/>
      <sheetName val="Piping_Design_Data6"/>
      <sheetName val="4_&amp;_10-inch,_CO2_Combo_&amp;_Sweep6"/>
      <sheetName val="①idea_pipeline6"/>
      <sheetName val="IMP_통일양식6"/>
      <sheetName val="LYS_통일양식6"/>
      <sheetName val="유통기한_프로그램6"/>
      <sheetName val="설계기준_및_하중계산6"/>
      <sheetName val="1_䷨수장6"/>
      <sheetName val="4_뀴진설Ⳅ6"/>
      <sheetName val="전䰨선로_물량표6"/>
      <sheetName val="㶀대입찰_내역서6"/>
      <sheetName val="모선자재_집계표5"/>
      <sheetName val="재료의_할증5"/>
      <sheetName val="총괄집계_6"/>
      <sheetName val="kimre_scrubber6"/>
      <sheetName val="strut_type6"/>
      <sheetName val="한성교회_신축공사(050713)_CheckList6"/>
      <sheetName val="FRP_PIPING_일위대가6"/>
      <sheetName val="단가_및_재료비6"/>
      <sheetName val="고객사_관리_코드6"/>
      <sheetName val="내역서_5"/>
      <sheetName val="표__지5"/>
      <sheetName val="D1_2_COF모듈자재_입출재고_(B급)5"/>
      <sheetName val="1차_내역서6"/>
      <sheetName val="Div26_-_Elect5"/>
      <sheetName val="10_경제성분석5"/>
      <sheetName val="샌딩_에폭시_도장4"/>
      <sheetName val="함열량_db5"/>
      <sheetName val="기계_도급내역서5"/>
      <sheetName val="-15_05"/>
      <sheetName val="공내역_및_견적조건5"/>
      <sheetName val="2_15"/>
      <sheetName val="사__업__비__수__지__예__산__서5"/>
      <sheetName val="외주대비_ᨀ晙ԯ4"/>
      <sheetName val="청_구4"/>
      <sheetName val="7_전산해석결과4"/>
      <sheetName val="4_하중4"/>
      <sheetName val="chi_tiet4"/>
      <sheetName val="PPC_Summary4"/>
      <sheetName val="3_단가산출서3"/>
      <sheetName val="4_단가산출기초3"/>
      <sheetName val="cong_thuc_tinh_chi_tiet5"/>
      <sheetName val="Bảng_mã_VT5"/>
      <sheetName val="Khoi_luong5"/>
      <sheetName val="DonGia_chetao5"/>
      <sheetName val="DonGia_VatTuLK5"/>
      <sheetName val="Fr_Revit5"/>
      <sheetName val="NSA_Summary5"/>
      <sheetName val="Tai_khoan3"/>
      <sheetName val="Gia_VLNCMTC3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기존단가_(2)4"/>
      <sheetName val="_IL-3_XLSY갑지7"/>
      <sheetName val="Thống_kê3"/>
      <sheetName val="Sàn_T13"/>
      <sheetName val="Lỗ_thông_gió3"/>
      <sheetName val="SCOPE_OF_WORK3"/>
      <sheetName val="97_사업추정(WEKI)3"/>
      <sheetName val="Tong_hop3"/>
      <sheetName val="Phan_lap_dat3"/>
      <sheetName val="Lắp_Ráp3"/>
      <sheetName val="KET_CAU-_MJV23"/>
      <sheetName val="Ví_dụ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H__MECHANICAL3"/>
      <sheetName val="J__FIRE_FIGHTING3"/>
      <sheetName val="중기사용료_(2)3"/>
      <sheetName val="99_조정금액3"/>
      <sheetName val="대3류_3"/>
      <sheetName val="BEND_LOSS3"/>
      <sheetName val="신평리_권리자명부3"/>
      <sheetName val="_ｹ-ﾌﾞﾙ3"/>
      <sheetName val="01__DATA3"/>
      <sheetName val="ጊ후다내역_XLS]0_0ControlSheet32"/>
      <sheetName val="投标材料清单_2"/>
      <sheetName val="토공_total3"/>
      <sheetName val="TRAY_헹거산출3"/>
      <sheetName val="Dầm_12"/>
      <sheetName val="Unit_Rate(non_print)2"/>
      <sheetName val="Bang_gia_2011_10_122"/>
      <sheetName val="Sàn_tầng_01_(_old_)2"/>
      <sheetName val="5_6_NTKL_ĐHKK_2"/>
      <sheetName val="5_12_NTKL_PCCC2"/>
      <sheetName val="Gia_thanh_chuoi_su2"/>
      <sheetName val="Tiep_dia2"/>
      <sheetName val="Don_gia_vung_III-Can_Tho2"/>
      <sheetName val="TH_MEP2"/>
      <sheetName val="dtct_cong1"/>
      <sheetName val="1_Requisition(E)1"/>
      <sheetName val="Cọc_nhồi2"/>
      <sheetName val="Bang_TH2"/>
      <sheetName val="5_NKTC2"/>
      <sheetName val="4_BBNT-LĐ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Elec_LG2"/>
      <sheetName val="ESTI_1"/>
      <sheetName val="D_&amp;_W_sizes2"/>
      <sheetName val="Goc_CC2"/>
      <sheetName val="외주대비_-석축???_x2"/>
      <sheetName val="IMF_Code2"/>
      <sheetName val="3_관로전환기2"/>
      <sheetName val="외주현황_wq12"/>
      <sheetName val="태화42_2"/>
      <sheetName val="220_(2)2"/>
      <sheetName val="_2"/>
      <sheetName val="F_월별기성수금현황_2"/>
      <sheetName val="C_MECHANICAL2"/>
      <sheetName val="보도내_2"/>
      <sheetName val="TL_rieng1"/>
      <sheetName val="Doi_so1"/>
      <sheetName val="1_11"/>
      <sheetName val="내역서1999_8최종1"/>
      <sheetName val="3_전기산출기초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Measure_13061"/>
      <sheetName val="DM_ChiPhi1"/>
      <sheetName val="외주대비_-석축_x005f_x0000__x005f_x0000__x005f_x0000__1"/>
      <sheetName val="Du_thau1"/>
      <sheetName val="적용환율"/>
      <sheetName val="PRECAST lightconc-II"/>
      <sheetName val="아파트급수지하PIT층평면도(평면도)"/>
      <sheetName val="철근׃"/>
      <sheetName val="제품목록"/>
      <sheetName val="Rect. 10"/>
      <sheetName val="총괄표_"/>
      <sheetName val="Land Dev't. Ph-1"/>
      <sheetName val="CHITIET VL-NC-TT1p"/>
      <sheetName val="BIDDING-SUM"/>
      <sheetName val="THONG KE CAU KIEN"/>
      <sheetName val="Thoat nuoc"/>
      <sheetName val="기계경비산출기준"/>
      <sheetName val="일위합"/>
      <sheetName val="지역개발"/>
      <sheetName val="入力用(家賃)"/>
      <sheetName val="入力用(駐車)"/>
      <sheetName val="도급표지  (ꀀ႑"/>
      <sheetName val="_________x005f_x0000__x005f_x0000__x005f_x0000__2"/>
      <sheetName val="계약정보"/>
      <sheetName val="통신물량"/>
      <sheetName val="기본내용"/>
      <sheetName val="현장´_x0000_Ԁ_x0000_"/>
      <sheetName val="SIL98"/>
      <sheetName val="실행_x0002__x0000_駐"/>
      <sheetName val="부"/>
      <sheetName val="주차구획"/>
      <sheetName val="Sh_x0010_"/>
      <sheetName val="소야공정"/>
      <sheetName val="점"/>
      <sheetName val="닪면_(2)3"/>
      <sheetName val="용수량(생활용수)"/>
      <sheetName val="그림모음"/>
      <sheetName val="Sheet22"/>
      <sheetName val="현장인원명부"/>
      <sheetName val="교각토공_(배̆팘"/>
      <sheetName val="입력데이타(비_x0000__x0000_Ԁ_x0000_"/>
      <sheetName val="ELEC"/>
      <sheetName val="도급표지  㧈_x0014_冈"/>
      <sheetName val="1.수"/>
      <sheetName val="건_ê"/>
      <sheetName val="총공사"/>
      <sheetName val="부대표지츀 "/>
      <sheetName val="코드정보"/>
      <sheetName val="CC16-내역서"/>
      <sheetName val="Tax Ref"/>
      <sheetName val="Parameters"/>
      <sheetName val="BOQ-E"/>
      <sheetName val="Dayworks"/>
      <sheetName val="대구은행"/>
      <sheetName val="도급표지렀觖갂垹䠀"/>
      <sheetName val="보도내 ??䪾"/>
      <sheetName val="일반수량총괄집계"/>
      <sheetName val="유니트입출고내역"/>
      <sheetName val="본댐설계"/>
      <sheetName val="집 _x0000__x0000_Ā"/>
      <sheetName val="관람석제출"/>
      <sheetName val="[후다내역.XLS]__H4018_c_ESTI96____2"/>
      <sheetName val="[후다내역.XLS]__H4018_c_ESTI96____4"/>
      <sheetName val="[후다내역.XLS]__H4018_c_ESTI96____3"/>
      <sheetName val="[후다내역.XLS]__H4018_c_ESTI96___18"/>
      <sheetName val="[후다내역.XLS]__H4018_c_ESTI96____5"/>
      <sheetName val="[후다내역.XLS]__H4018_c_ESTI96____6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3"/>
      <sheetName val="[후다내역.XLS]__H4018_c_ESTI96___14"/>
      <sheetName val="[후다내역.XLS]__H4018_c_ESTI96___15"/>
      <sheetName val="[후다내역.XLS]__H4018_c_ESTI96___17"/>
      <sheetName val="[후다내역.XLS]__H4018_c_ESTI96___16"/>
      <sheetName val="1차상"/>
      <sheetName val="원가계산서구조조정"/>
      <sheetName val="2004일위대가"/>
      <sheetName val="Price Sheet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9"/>
      <sheetName val="50"/>
      <sheetName val="Allowances"/>
      <sheetName val="시점부수량산출서"/>
      <sheetName val="출장㺎Ă"/>
      <sheetName val="Bab泅啢堀㭔*"/>
      <sheetName val="투찰금액"/>
      <sheetName val="계산내역(설비)"/>
      <sheetName val="용산1(해보)"/>
      <sheetName val="매입"/>
      <sheetName val="서울대규장각(가시설흙막이)"/>
      <sheetName val="BD운반거리"/>
      <sheetName val="수정_x0000__x0000_"/>
      <sheetName val="근생APT-신마감"/>
      <sheetName val="복지관_FIART"/>
      <sheetName val="근생APT-FIART"/>
      <sheetName val="근생-FIART"/>
      <sheetName val="공사비대비표(을지)"/>
      <sheetName val="설비원가"/>
      <sheetName val="K2_site_Total_내역서"/>
      <sheetName val="K2_site_Total_내역서1"/>
      <sheetName val="수량산출서"/>
      <sheetName val="동강_배관"/>
      <sheetName val="WCR_외주"/>
      <sheetName val="ANILINE_-_OPTION"/>
      <sheetName val="MDI_-_OPTION"/>
      <sheetName val="D_B"/>
      <sheetName val="부대표지䥀"/>
      <sheetName val="부대표지⽠"/>
      <sheetName val="금회_청구사항(기계)"/>
      <sheetName val="기성갑지_(소방)"/>
      <sheetName val="금회_청구사항(소방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1_청구서"/>
      <sheetName val="2_내역서"/>
      <sheetName val="Rect__10"/>
      <sheetName val="1-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내"/>
      <sheetName val="도시정비_"/>
      <sheetName val="부대표지츀_얈"/>
      <sheetName val="부대표지츀_篐"/>
      <sheetName val="3_1_6_전산처리결과"/>
      <sheetName val="위생䲀æ"/>
      <sheetName val="현장´"/>
      <sheetName val="보안등"/>
      <sheetName val="OFFER "/>
      <sheetName val="Book 1 Summary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가설재손료"/>
      <sheetName val="Tinhtoan"/>
      <sheetName val="Cong 6T"/>
      <sheetName val="Cost factor"/>
      <sheetName val="Item list"/>
      <sheetName val="Sheet Template Empty"/>
      <sheetName val="Joinery works"/>
      <sheetName val="Schedule S-Curve Revision#3"/>
      <sheetName val="2__주요공지（主要公告）"/>
      <sheetName val="Budget_Code"/>
      <sheetName val="Phu_cap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NHÀ_NHẬP_LIỆU"/>
      <sheetName val="MÓNG_SILO"/>
      <sheetName val="Basic_Wage"/>
      <sheetName val="Menber_List"/>
      <sheetName val="TỔNG_HỢP"/>
      <sheetName val="PL_Vua"/>
      <sheetName val="_후다_x005f_x0001___x005f_x0010__x005f_x0000__x0003"/>
      <sheetName val="MAIN GATE HOUSE"/>
      <sheetName val="CPK"/>
      <sheetName val="7_공정표"/>
      <sheetName val="ጊ후다내역_XLS_0_0ControlSheet31"/>
      <sheetName val="외주대비_-석축____x1"/>
      <sheetName val="Đầu_tư"/>
      <sheetName val="RAB_AR&amp;STR"/>
      <sheetName val="3__CNT"/>
      <sheetName val="unit_price_list(M)"/>
      <sheetName val="Breakdown_(B)"/>
      <sheetName val="thông_tin"/>
      <sheetName val="Ton_Kho"/>
      <sheetName val="삼홍테크"/>
      <sheetName val="DFA"/>
      <sheetName val="T.KE CP1"/>
      <sheetName val="proj"/>
      <sheetName val="Buy vs. Lease Car"/>
      <sheetName val="Cash2"/>
      <sheetName val="Z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총괄표_1"/>
      <sheetName val="PRECAST_lightconc-II"/>
      <sheetName val="Danh muc"/>
      <sheetName val="SGC RATE"/>
      <sheetName val="TinhGiaNC"/>
      <sheetName val="THKL"/>
      <sheetName val="가설공사비"/>
      <sheetName val="도로구조공사비"/>
      <sheetName val="도로토공공사비"/>
      <sheetName val="여수토공사비"/>
      <sheetName val="운동장_(2)3"/>
      <sheetName val="04_12월건강보험(일용직)3"/>
      <sheetName val="06_일위대가목록3"/>
      <sheetName val="5_2_6~7공사요율3"/>
      <sheetName val="외주대비_-석É3"/>
      <sheetName val="2_원가집계3"/>
      <sheetName val="주공_갑지3"/>
      <sheetName val="1_내역(청_하역장전등)3"/>
      <sheetName val="05_유류비자금청구(완)3"/>
      <sheetName val="토__공3"/>
      <sheetName val="PAD_TR보호대기초3"/>
      <sheetName val="경율산정_XLS3"/>
      <sheetName val="grid_(1)3"/>
      <sheetName val="19_07월_세_계3"/>
      <sheetName val="19_07항목별(시트복사금지100번쓰기)3"/>
      <sheetName val="19_05월3"/>
      <sheetName val="자재기성_신청서_xlsx2"/>
      <sheetName val="4_수량산출서3"/>
      <sheetName val="안양동교_1안3"/>
      <sheetName val="4_예산내역서2"/>
      <sheetName val="A_견적2"/>
      <sheetName val="SP-ኬ"/>
      <sheetName val="1_관로3"/>
      <sheetName val="입찰내역_발주처_양식2"/>
      <sheetName val="const_2"/>
      <sheetName val="보도내역_("/>
      <sheetName val="C_배수관공"/>
      <sheetName val="I_설계조건"/>
      <sheetName val="3_바닥판설계"/>
      <sheetName val="6_RJP이토처리시간"/>
      <sheetName val="7_RJP지층별제원"/>
      <sheetName val="간접비_총괄표"/>
      <sheetName val="드럼사이즈_내역"/>
      <sheetName val="_갑"/>
      <sheetName val="도급표지__(3"/>
      <sheetName val="Shጾ"/>
      <sheetName val="도급표지__(怀꿟"/>
      <sheetName val="1공구_건䘢䠂檱䠛檳"/>
      <sheetName val="4_L速뇥ᝠ"/>
      <sheetName val="소야공정계罈_"/>
      <sheetName val="외주대비_-석축_x2"/>
      <sheetName val="외주대비_-석축_x3"/>
      <sheetName val="외주대비_-석축_x4"/>
      <sheetName val="외주대비_-석축_x5"/>
      <sheetName val="외주대비_-석축_x6"/>
      <sheetName val="외주대비_-석축[후다내역_XLS]_____4"/>
      <sheetName val="골조타설일정표"/>
      <sheetName val="앉음벽 (2)"/>
      <sheetName val="차량별점검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장비투입 (2)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교각怀"/>
      <sheetName val="연령현황"/>
      <sheetName val="금회_청구사항(기계)1"/>
      <sheetName val="기성갑지_(소방)1"/>
      <sheetName val="금회_청구사항(소방)1"/>
      <sheetName val="D_B1"/>
      <sheetName val="1_청구서1"/>
      <sheetName val="2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동강_배관1"/>
      <sheetName val="WCR_외주1"/>
      <sheetName val="ANILINE_-_OPTION1"/>
      <sheetName val="MDI_-_OPTION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내역서1999_8최종2"/>
      <sheetName val="3_전기산출기초2"/>
      <sheetName val="금회_청구사항(기계)2"/>
      <sheetName val="기성갑지_(소방)2"/>
      <sheetName val="금회_청구사항(소방)2"/>
      <sheetName val="D_B2"/>
      <sheetName val="1_청구서2"/>
      <sheetName val="2_내역서2"/>
      <sheetName val="1_12"/>
      <sheetName val="K2_site_Total_내역서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도시정비_1"/>
      <sheetName val="3_1_6_전산처리결과1"/>
      <sheetName val="1공구_건정토건_토_x0000__x0000_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[회다내역,X켊楳켎攳嶪剃嶮布쵌섌)"/>
      <sheetName val="코드일람표"/>
      <sheetName val="외Å_x0000_怀"/>
      <sheetName val="피벗테이블데이터분석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건_裪选"/>
      <sheetName val="건_䃪氼᠝"/>
      <sheetName val="표지 (3_x0005_"/>
      <sheetName val="_x0000__x0008__x0000__x0005__x0000_"/>
      <sheetName val="_x0000__x0004__x0000__x0004__x0000_"/>
      <sheetName val="_x0000__x0003__x0000__x0004__x0000__x0000__x0000__x0000_"/>
      <sheetName val="원가 (2)"/>
      <sheetName val="일위대가 "/>
      <sheetName val="1공구 건정토건 철¬"/>
      <sheetName val="비주거용"/>
      <sheetName val="PHU LUC2"/>
      <sheetName val="G"/>
      <sheetName val="1.R18 BF"/>
      <sheetName val="F-B"/>
      <sheetName val="sh1"/>
      <sheetName val="요약&amp;결과"/>
      <sheetName val="보도내 _x005f_x0000__x005f_x0000_䪾"/>
      <sheetName val="내역(최종본浳き_x005f_x0000__x005f_x0000_"/>
      <sheetName val="내역(최종본浳⿢_x005f_x0000__x005f_x0000_"/>
      <sheetName val="내역(최종본浳ぁ_x005f_x0000__x005f_x0000_"/>
      <sheetName val="공업용수_x0000__x0000_"/>
      <sheetName val="[후다내역.XLS]__H4018_c_ESTI96___57"/>
      <sheetName val="[후다내역.XLS]__H4018_c_ESTI96___19"/>
      <sheetName val="[후다내역.XLS]__H4018_c_ESTI96___20"/>
      <sheetName val="[후다내역.XLS]__H4018_c_ESTI96___21"/>
      <sheetName val="[후다내역.XLS]__H4018_c_ESTI96___22"/>
      <sheetName val="[후다내역.XLS]__H4018_c_ESTI96___23"/>
      <sheetName val="[후다내역.XLS]__H4018_c_ESTI96___24"/>
      <sheetName val="[후다내역.XLS]__H4018_c_ESTI96___25"/>
      <sheetName val="[후다내역.XLS]__H4018_c_ESTI96___26"/>
      <sheetName val="[후다내역.XLS]__H4018_c_ESTI96___27"/>
      <sheetName val="[후다내역.XLS]__H4018_c_ESTI96___28"/>
      <sheetName val="[후다내역.XLS]__H4018_c_ESTI96___29"/>
      <sheetName val="[후다내역.XLS]__H4018_c_ESTI96___30"/>
      <sheetName val="[후다내역.XLS]__H4018_c_ESTI96___31"/>
      <sheetName val="[후다내역.XLS]__H4018_c_ESTI96___32"/>
      <sheetName val="[후다내역.XLS]__H4018_c_ESTI96___33"/>
      <sheetName val="[후다내역.XLS]__H4018_c_ESTI96___34"/>
      <sheetName val="[후다내역.XLS]__H4018_c_ESTI96___35"/>
      <sheetName val="[후다내역.XLS]__H4018_c_ESTI96___36"/>
      <sheetName val="[후다내역.XLS]__H4018_c_ESTI96___37"/>
      <sheetName val="[후다내역.XLS]__H4018_c_ESTI96___38"/>
      <sheetName val="[후다내역.XLS]__H4018_c_ESTI96___39"/>
      <sheetName val="[후다내역.XLS]__H4018_c_ESTI96___40"/>
      <sheetName val="[후다내역.XLS]__H4018_c_ESTI96___41"/>
      <sheetName val="[후다내역.XLS]__H4018_c_ESTI96___42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[후다내역.XLS]__H4018_c_ESTI96___55"/>
      <sheetName val="[후다내역.XLS]__H4018_c_ESTI96___56"/>
      <sheetName val="경비TABLE"/>
      <sheetName val="손익차9월2"/>
      <sheetName val="전㾼ǚ뛠"/>
      <sheetName val="총투입계"/>
      <sheetName val="사업수지"/>
      <sheetName val="규격별"/>
      <sheetName val="청구갑지"/>
      <sheetName val="도면"/>
      <sheetName val="M3A"/>
      <sheetName val="W3A"/>
      <sheetName val="M3B"/>
      <sheetName val="T4A"/>
      <sheetName val="T4B"/>
      <sheetName val="M3C"/>
      <sheetName val="T4C2"/>
      <sheetName val="T4D"/>
      <sheetName val="T4E"/>
      <sheetName val="MICE동"/>
      <sheetName val="지하층"/>
      <sheetName val="지하층(카페)"/>
      <sheetName val="품郀傲"/>
      <sheetName val="재"/>
      <sheetName val="흥양2교토공집_x0000__x0000_"/>
      <sheetName val="[후다내역.XLS]__H4018_c_ESTI96__106"/>
      <sheetName val="소방내역서"/>
      <sheetName val="건내역(중)"/>
      <sheetName val="지시서"/>
      <sheetName val="Sh´"/>
      <sheetName val="CAUDIT"/>
      <sheetName val="일위(이설)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FD"/>
      <sheetName val="GI"/>
      <sheetName val="EE (3)"/>
      <sheetName val="PAVEMENT"/>
      <sheetName val="TRAFFIC"/>
      <sheetName val="DG3285"/>
      <sheetName val="임율요율"/>
      <sheetName val="[후다내역.XLS]__H4018_c_ESTI96___58"/>
      <sheetName val="[후다내역.XLS]__H4018_c_ESTI96___59"/>
      <sheetName val="[후다내역.XLS]__H4018_c_ESTI96___60"/>
      <sheetName val="T6-6(2)"/>
      <sheetName val="설계설명서"/>
      <sheetName val="제거(위험목굴)"/>
      <sheetName val="작업로개설산정표"/>
      <sheetName val="예방나무주사"/>
      <sheetName val="나무주사 ha당 단가"/>
      <sheetName val="소군락모두베기 등 면적조서"/>
      <sheetName val="조사야장"/>
      <sheetName val="적용요율"/>
      <sheetName val="원가계산서(자원)"/>
      <sheetName val="원가계산서(보호)"/>
      <sheetName val="관급자재내역서"/>
      <sheetName val="교각토공_(_x0000__x0000_Ā"/>
      <sheetName val="[후다내역.XLS]__H4018_c_ESTI96___66"/>
      <sheetName val="[후다내역.XLS]__H4018_c_ESTI96___61"/>
      <sheetName val="[후다내역.XLS]__H4018_c_ESTI96___63"/>
      <sheetName val="[후다내역.XLS]__H4018_c_ESTI96___62"/>
      <sheetName val="[후다내역.XLS]__H4018_c_ESTI96___64"/>
      <sheetName val="도급표지É윀_xdc8d__x0002__x0000_"/>
      <sheetName val="[후다내역.XLS]__H4018_c_ESTI96_강__2"/>
      <sheetName val="시멘혷_xdf67__x0000__x0000_"/>
      <sheetName val="시멘혾_xdf67__x0000__x0000_"/>
      <sheetName val="표지 ¬_x0000__x0000_"/>
      <sheetName val="변경요청내역"/>
      <sheetName val="자재단가표"/>
      <sheetName val="gyun"/>
      <sheetName val="4ⶌ쌈"/>
      <sheetName val="4_x0000__x0000_Ԁ"/>
      <sheetName val="1차3회-개소별명세서-빨간색-인쇄용(2187_x0000__x0000_"/>
      <sheetName val="전_x0000_"/>
      <sheetName val="2.입력sheet"/>
      <sheetName val="측구_x0000_"/>
      <sheetName val="교각¾_x0000_"/>
      <sheetName val="갑漅⿊"/>
      <sheetName val="18.궤도재료"/>
      <sheetName val="내역 "/>
      <sheetName val="급수공사"/>
      <sheetName val="내역서변⢳쨁"/>
      <sheetName val="내역서변⢳쉨쨁"/>
      <sheetName val="내역서변⢳쨁"/>
      <sheetName val="내역서변ꙭ _x0000_"/>
      <sheetName val="[후다내역.XLS]__H1775_c_ESTI96____2"/>
      <sheetName val="장비명"/>
      <sheetName val="신축이음"/>
      <sheetName val="업무량"/>
      <sheetName val="PMT"/>
      <sheetName val="기본데이타입력"/>
      <sheetName val="변경갑지"/>
      <sheetName val="증감(갑지)"/>
      <sheetName val="3BL공동구__x0000__x0000_"/>
      <sheetName val="견적(._x0000__x0000_"/>
      <sheetName val="홈용접표"/>
      <sheetName val="2_대외ɡ_x0000_က"/>
      <sheetName val="2_대외ⱔⰀ"/>
      <sheetName val="수⋜Ɇ녈"/>
      <sheetName val="가시설흙막이"/>
      <sheetName val="수정시산표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2.교_x0000__x0000__xdd08_̚벝"/>
      <sheetName val="인원계획-미화"/>
      <sheetName val="제작계획"/>
      <sheetName val="토목내역서 (도급단가) (2)"/>
      <sheetName val="A1내역_총괄표"/>
      <sheetName val="1공구_건정토건_철槜〩"/>
      <sheetName val="단가산출서(토공사)"/>
      <sheetName val="외Å_x0000_"/>
      <sheetName val="외Å_x0000_退"/>
      <sheetName val="1공구_건정토건_철㑸4"/>
      <sheetName val="정보매체A동"/>
      <sheetName val="1공구_건정토건_철_x0000__x0000_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조명율ၒ"/>
      <sheetName val="Assumptions"/>
      <sheetName val="부대공(집계)"/>
      <sheetName val="NOM³_x005f_x0000_Ԁ"/>
      <sheetName val="NOMֳ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인부신상ĺ"/>
      <sheetName val="_x0015__x0000_"/>
      <sheetName val="CTEၒ_x0000__x0000__x0000__x0000_"/>
      <sheetName val="1.외주공사"/>
      <sheetName val="2.직영공사"/>
      <sheetName val="점_x0000__x0000_촀"/>
      <sheetName val="[후다내역.XLS]__H4018_c_ESTI96___65"/>
      <sheetName val="도급표지__(ꀀ႑"/>
      <sheetName val="1_수"/>
      <sheetName val="부대내"/>
      <sheetName val="공사비_내역_(가)"/>
      <sheetName val="견적刀"/>
      <sheetName val="외주대비_-ʶ"/>
      <sheetName val="지점비용"/>
      <sheetName val="[후다내역.XLS]__H4018_c_ESTI96___68"/>
      <sheetName val="[후다내역.XLS]__H4018_c_ESTI96___67"/>
      <sheetName val="[후다내역.XLS]__H4018_c_ESTI96__105"/>
      <sheetName val="[후다내역.XLS]__H4018_c_ESTI96__101"/>
      <sheetName val="실행_x0002__x0000_먐"/>
      <sheetName val="실행_x0002__x0000_笀"/>
      <sheetName val="실행_x0002__x0000_廸"/>
      <sheetName val="실행ʜᔖ"/>
      <sheetName val="일위대가_집"/>
      <sheetName val="BREAKDOW頀ᵛ瀞囏攀"/>
      <sheetName val="도급표지É_x005f_x0000__x005f_x0000__x005f_x0001_Ԁ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[후다내역.XLS]__H4018_c_ESTI96___87"/>
      <sheetName val="[후다내역.XLS]__H4018_c_ESTI96___69"/>
      <sheetName val="[후다내역.XLS]__H4018_c_ESTI96___70"/>
      <sheetName val="[후다내역.XLS]__H4018_c_ESTI96___71"/>
      <sheetName val="[후다내역.XLS]__H4018_c_ESTI96___72"/>
      <sheetName val="[후다내역.XLS]__H4018_c_ESTI96___73"/>
      <sheetName val="[후다내역.XLS]__H4018_c_ESTI96___74"/>
      <sheetName val="[후다내역.XLS]__H4018_c_ESTI96___75"/>
      <sheetName val="[후다내역.XLS]__H4018_c_ESTI96___76"/>
      <sheetName val="[후다내역.XLS]__H4018_c_ESTI96___77"/>
      <sheetName val="[후다내역.XLS]__H4018_c_ESTI96___78"/>
      <sheetName val="[후다내역.XLS]__H4018_c_ESTI96___79"/>
      <sheetName val="[후다내역.XLS]__H4018_c_ESTI96___80"/>
      <sheetName val="[후다내역.XLS]__H4018_c_ESTI96___81"/>
      <sheetName val="[후다내역.XLS]__H4018_c_ESTI96___82"/>
      <sheetName val="[후다내역.XLS]__H4018_c_ESTI96___83"/>
      <sheetName val="[후다내역.XLS]__H4018_c_ESTI96___84"/>
      <sheetName val="[후다내역.XLS]__H4018_c_ESTI96___85"/>
      <sheetName val="[후다내역.XLS]__H4018_c_ESTI96___86"/>
      <sheetName val="[후다내역.XLS]__H4018_c_ESTI96___95"/>
      <sheetName val="[후다내역.XLS]__H4018_c_ESTI96___88"/>
      <sheetName val="[후다내역.XLS]__H4018_c_ESTI96___89"/>
      <sheetName val="[후다내역.XLS]__H4018_c_ESTI96___90"/>
      <sheetName val="[후다내역.XLS]__H4018_c_ESTI96___91"/>
      <sheetName val="[후다내역.XLS]__H4018_c_ESTI96___92"/>
      <sheetName val="[후다내역.XLS]__H4018_c_ESTI96___93"/>
      <sheetName val="[후다내역.XLS]__H4018_c_ESTI96___94"/>
      <sheetName val="[후다내역.XLS]__H4018_c_ESTI96___96"/>
      <sheetName val="[후다내역.XLS]__H4018_c_ESTI96___97"/>
      <sheetName val="[후다내역.XLS]__H4018_c_ESTI96___98"/>
      <sheetName val="[후다내역.XLS]__H4018_c_ESTI96__100"/>
      <sheetName val="[후다내역.XLS]__H4018_c_ESTI96___99"/>
      <sheetName val="부재예실1월"/>
      <sheetName val="List"/>
      <sheetName val="GRD䋜¯"/>
      <sheetName val="[후다내역.XLS]__H4018_c_ESTI96__102"/>
      <sheetName val="관리,공감"/>
      <sheetName val="본경"/>
      <sheetName val="HRSG_SMALက_x0000_骨쌁ﴅ/"/>
      <sheetName val="HRSG_SMAL쌄ﴅ/_x0000_瀀þ_x0000_"/>
      <sheetName val="일정"/>
      <sheetName val="도급표지  헾⽊_x0005_"/>
      <sheetName val="도급표지  瓈¼甌"/>
      <sheetName val="도급표지  鞸ď韼"/>
      <sheetName val="BREAKDOW"/>
      <sheetName val="BREAKDOW頀ᵛ瀞囏_x001c_"/>
      <sheetName val="입력데이타(비"/>
      <sheetName val="실행_x0002_"/>
      <sheetName val="외Å"/>
      <sheetName val="자재테이블"/>
      <sheetName val="[후다내역.XLS]__H4018_c_ESTI96__103"/>
      <sheetName val="X17-TOTAL"/>
      <sheetName val="발주서"/>
      <sheetName val="1차설계逷≙"/>
      <sheetName val="6공구("/>
      <sheetName val="1공구 건"/>
      <sheetName val="단가(마감)"/>
      <sheetName val="諸経費"/>
      <sheetName val="清水計算営業税率関連"/>
      <sheetName val="[후다내역.XLS]__H4018_c_ESTI96__104"/>
      <sheetName val="표지_(3)10"/>
      <sheetName val="표지_(2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6__안전관리비18"/>
      <sheetName val="HRSG_SMALL0722010"/>
      <sheetName val="교각토공__2_10"/>
      <sheetName val="3_공통공사대비10"/>
      <sheetName val="준검_내역서11"/>
      <sheetName val="7__현장관리비_9"/>
      <sheetName val="97년_추정10"/>
      <sheetName val="6PILE__(돌출)11"/>
      <sheetName val="조건표_(2)9"/>
      <sheetName val="목차_9"/>
      <sheetName val="입출재고현황_(2)10"/>
      <sheetName val="하도내역_(철콘)9"/>
      <sheetName val="BSD_(2)10"/>
      <sheetName val="2차전체변경예정_(2)9"/>
      <sheetName val="노무비_근거9"/>
      <sheetName val="임율_Data9"/>
      <sheetName val="b_balju_(2)9"/>
      <sheetName val="1_설계기준9"/>
      <sheetName val="단면_(2)9"/>
      <sheetName val="8_현장관리비9"/>
      <sheetName val="7_안전관리비9"/>
      <sheetName val="토공유동표(전체_당초)9"/>
      <sheetName val="8_PILE__(돌출)9"/>
      <sheetName val="1__설계조건_2_단면가정_3__하중계산10"/>
      <sheetName val="DATA_입력란10"/>
      <sheetName val="구조______8"/>
      <sheetName val="노무비_8"/>
      <sheetName val="현장관리비_산출내역10"/>
      <sheetName val="5__현장관리비(new)_8"/>
      <sheetName val="실행내역서_10"/>
      <sheetName val="Customer_Databas8"/>
      <sheetName val="화재_탐지_설비8"/>
      <sheetName val="4_일위대가집계8"/>
      <sheetName val="5__현장관리비_new__8"/>
      <sheetName val="내역서_제출8"/>
      <sheetName val="간_지18"/>
      <sheetName val="중기조종사_단위단가9"/>
      <sheetName val="1_설계조건10"/>
      <sheetName val="방배동내역_(총괄)8"/>
      <sheetName val="Temporary_Mooring8"/>
      <sheetName val="A_LINE8"/>
      <sheetName val="2_대외공문11"/>
      <sheetName val="설내역서_9"/>
      <sheetName val="7_PILE__(돌출)8"/>
      <sheetName val="1_취수장10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내역(최종본4_5)11"/>
      <sheetName val="1_수인터널11"/>
      <sheetName val="설_계11"/>
      <sheetName val="AS포장복구_11"/>
      <sheetName val="6__안전관리비19"/>
      <sheetName val="총_원가계산8"/>
      <sheetName val="_갑지8"/>
      <sheetName val="집_계_표8"/>
      <sheetName val="2_2_오피스텔(12~32F)8"/>
      <sheetName val="4_LINE8"/>
      <sheetName val="7_th8"/>
      <sheetName val="일위대가_집계표8"/>
      <sheetName val="9_1지하2층하부보8"/>
      <sheetName val="Sheet1_(2)10"/>
      <sheetName val="기술부_VENDOR_LIST8"/>
      <sheetName val="자__재8"/>
      <sheetName val="노원열병합__건축공사기성내역서10"/>
      <sheetName val="할증_8"/>
      <sheetName val="개인별_순위표8"/>
      <sheetName val="CM_18"/>
      <sheetName val="단계별내역_(2)8"/>
      <sheetName val="제출내역_(2)8"/>
      <sheetName val="2_2_띠장의_설계8"/>
      <sheetName val="BOX_본체7"/>
      <sheetName val="4_일위대가8"/>
      <sheetName val="MP_MOB7"/>
      <sheetName val="플랜트_설치10"/>
      <sheetName val="4_2_1_마루높이_검토7"/>
      <sheetName val="명일작업계획_(3)7"/>
      <sheetName val="TABLE_DB7"/>
      <sheetName val="쌍용_data_base7"/>
      <sheetName val="unit_48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단가_7"/>
      <sheetName val="변압기_및_발전기_용량7"/>
      <sheetName val="조도계산서_(도서)7"/>
      <sheetName val="빌딩_안내7"/>
      <sheetName val="CABLE_(2)7"/>
      <sheetName val="G_R300경비7"/>
      <sheetName val="단가대비표_(3)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수목데이타_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세골재__T2_변경_현황7"/>
      <sheetName val="내역서_(2)7"/>
      <sheetName val="전화공사_공량_및_집계표7"/>
      <sheetName val="참조_(2)7"/>
      <sheetName val="6__직접경비7"/>
      <sheetName val="대가_(보완)7"/>
      <sheetName val="3_자재비(총괄)7"/>
      <sheetName val="5호광장_(만점)8"/>
      <sheetName val="인천국제_(만점)_(2)8"/>
      <sheetName val="제조_경영7"/>
      <sheetName val="인건비_10"/>
      <sheetName val="4_전기7"/>
      <sheetName val="노_무_비7"/>
      <sheetName val="미납품_현황7"/>
      <sheetName val="신설개소별_총집계표(동해-배전)7"/>
      <sheetName val="6_이토처리시간7"/>
      <sheetName val="전_체7"/>
      <sheetName val="STEEL_BOX_단면설계(SEC_8)7"/>
      <sheetName val="2_1외주7"/>
      <sheetName val="2_3노무7"/>
      <sheetName val="2_4자재7"/>
      <sheetName val="2_2장비7"/>
      <sheetName val="2_5경비7"/>
      <sheetName val="2_6수목대7"/>
      <sheetName val="3련_BOX7"/>
      <sheetName val="용선_C_L7"/>
      <sheetName val="Xunit_(단위환산)7"/>
      <sheetName val="울진항공등화_내역서7"/>
      <sheetName val="SHEET_PILE단가7"/>
      <sheetName val="0_0ControlSheet11"/>
      <sheetName val="0_1keyAssumption11"/>
      <sheetName val="전차선로_물량표10"/>
      <sheetName val="4_내진설계10"/>
      <sheetName val="현장별계약현황('98_10_31)10"/>
      <sheetName val="96보완계획7_1210"/>
      <sheetName val="부대입찰_내역서10"/>
      <sheetName val="_총괄표10"/>
      <sheetName val="제잡비_xls10"/>
      <sheetName val="Eq__Mobilization10"/>
      <sheetName val="3BL공동구_수량10"/>
      <sheetName val="토공(우물통,기타)_10"/>
      <sheetName val="2_고용보험료산출근거10"/>
      <sheetName val="원가계산_(2)10"/>
      <sheetName val="장비당단가_(1)9"/>
      <sheetName val="Sheet2_(2)9"/>
      <sheetName val="내___역8"/>
      <sheetName val="프라임_강변역(4,236)8"/>
      <sheetName val="콤보박스와_리스트박스의_연결10"/>
      <sheetName val="2000년_공정표8"/>
      <sheetName val="수_량_명_세_서_-_19"/>
      <sheetName val="2_교량(신설)8"/>
      <sheetName val="5_2코핑8"/>
      <sheetName val="2_건축9"/>
      <sheetName val="공정표_9"/>
      <sheetName val="P_M_별8"/>
      <sheetName val="4_경비_5_영업외수지8"/>
      <sheetName val="_견적서8"/>
      <sheetName val="배수공_시멘트_및_골재량_산출8"/>
      <sheetName val="별표_9"/>
      <sheetName val="전체내역_(2)7"/>
      <sheetName val="Hyundai_Unit_cost_xls7"/>
      <sheetName val="일_위_대_가_표7"/>
      <sheetName val="영흥TL(UP,DOWN)_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단가_및_재료비7"/>
      <sheetName val="내역서_6"/>
      <sheetName val="모선자재_집계표6"/>
      <sheetName val="재료의_할증6"/>
      <sheetName val="99_조정금액4"/>
      <sheetName val="광통신_견적내역서18"/>
      <sheetName val="DATA_입력부8"/>
      <sheetName val="CIP_공사9"/>
      <sheetName val="수량산출서_갑지8"/>
      <sheetName val="1_3_1절점좌표8"/>
      <sheetName val="1_1설계기준8"/>
      <sheetName val="2000_058"/>
      <sheetName val="1_본부별8"/>
      <sheetName val="기초입력_DATA8"/>
      <sheetName val="EQUIP_LIST8"/>
      <sheetName val="단양_00_아파트-세부내역8"/>
      <sheetName val="4_장비손료8"/>
      <sheetName val="재활용_악취_먼지DUCT산출8"/>
      <sheetName val="5_정산서8"/>
      <sheetName val="설계기준_및_하중계산7"/>
      <sheetName val="원내역서_그대로7"/>
      <sheetName val="남양시작동자105노65기1_3화1_27"/>
      <sheetName val="관음목장(제출용)자105인97_57"/>
      <sheetName val="1062-X방향_7"/>
      <sheetName val="PROJECT_BRIEF7"/>
      <sheetName val="969910(_R)7"/>
      <sheetName val="전선_및_전선관7"/>
      <sheetName val="VENDOR_LIST7"/>
      <sheetName val="표__지6"/>
      <sheetName val="D1_2_COF모듈자재_입출재고_(B급)6"/>
      <sheetName val="샌딩_에폭시_도장5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일위대가_(PM)7"/>
      <sheetName val="1차_내역서7"/>
      <sheetName val="외주대비_ᨀ晙ԯ5"/>
      <sheetName val="108_수선비7"/>
      <sheetName val="2F_회의실견적(5_14_일대)7"/>
      <sheetName val="경비_(1)7"/>
      <sheetName val="Sight_n_M_H7"/>
      <sheetName val="매출요약(월별)_-년간7"/>
      <sheetName val="Piping_Design_Data7"/>
      <sheetName val="4_&amp;_10-inch,_CO2_Combo_&amp;_Sweep7"/>
      <sheetName val="①idea_pipeline7"/>
      <sheetName val="IMP_통일양식7"/>
      <sheetName val="LYS_통일양식7"/>
      <sheetName val="유통기한_프로그램7"/>
      <sheetName val="1_䷨수장7"/>
      <sheetName val="4_뀴진설Ⳅ7"/>
      <sheetName val="전䰨선로_물량표7"/>
      <sheetName val="㶀대입찰_내역서7"/>
      <sheetName val="총괄집계_7"/>
      <sheetName val="중기쥰종사_단위단가7"/>
      <sheetName val="한성교회_신축공사(050713)_CheckList7"/>
      <sheetName val="중기사용료_(2)4"/>
      <sheetName val="기존단가_(2)5"/>
      <sheetName val="strut_type7"/>
      <sheetName val="-15_06"/>
      <sheetName val="사__업__비__수__지__예__산__서6"/>
      <sheetName val="FRP_PIPING_일위대가7"/>
      <sheetName val="10_경제성분석6"/>
      <sheetName val="2_16"/>
      <sheetName val="청_구5"/>
      <sheetName val="공내역_및_견적조건6"/>
      <sheetName val="기계_도급내역서6"/>
      <sheetName val="7_전산해석결과5"/>
      <sheetName val="4_하중5"/>
      <sheetName val="kimre_scrubber7"/>
      <sheetName val="_ｹ-ﾌﾞﾙ4"/>
      <sheetName val="신평리_권리자명부4"/>
      <sheetName val="97_사업추정(WEKI)4"/>
      <sheetName val="PTVT_(MAU)7"/>
      <sheetName val="Div26_-_Elect6"/>
      <sheetName val="함열량_db6"/>
      <sheetName val="고객사_관리_코드7"/>
      <sheetName val="cong_thuc_tinh_chi_tiet6"/>
      <sheetName val="Bảng_mã_VT6"/>
      <sheetName val="Khoi_luong6"/>
      <sheetName val="DonGia_chetao6"/>
      <sheetName val="DonGia_VatTuLK6"/>
      <sheetName val="Fr_Revit6"/>
      <sheetName val="NSA_Summary6"/>
      <sheetName val="H__MECHANICAL4"/>
      <sheetName val="J__FIRE_FIGHTING4"/>
      <sheetName val="Gia_VLNCMTC4"/>
      <sheetName val="chi_tiet5"/>
      <sheetName val="PPC_Summary5"/>
      <sheetName val="3_단가산출서4"/>
      <sheetName val="4_단가산출기초4"/>
      <sheetName val="_IL-3_XLSY갑지8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àn_T14"/>
      <sheetName val="Lỗ_thông_gió4"/>
      <sheetName val="Thống_kê4"/>
      <sheetName val="Tai_khoan4"/>
      <sheetName val="SCOPE_OF_WORK4"/>
      <sheetName val="Tong_hop4"/>
      <sheetName val="Phan_lap_dat4"/>
      <sheetName val="Lắp_Ráp4"/>
      <sheetName val="KET_CAU-_MJV24"/>
      <sheetName val="Ví_dụ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대3류_4"/>
      <sheetName val="BEND_LOSS4"/>
      <sheetName val="01__DATA4"/>
      <sheetName val="보도내_3"/>
      <sheetName val="외주대비_-석축_x005f_x0000__x005f_x0000__x005f_x0000__2"/>
      <sheetName val="태화42_3"/>
      <sheetName val="ጊ후다내역_XLS]0_0ControlSheet33"/>
      <sheetName val="投标材料清单_3"/>
      <sheetName val="토공_total4"/>
      <sheetName val="TRAY_헹거산출4"/>
      <sheetName val="Dầm_13"/>
      <sheetName val="Unit_Rate(non_print)3"/>
      <sheetName val="Bang_gia_2011_10_123"/>
      <sheetName val="Sàn_tầng_01_(_old_)3"/>
      <sheetName val="5_6_NTKL_ĐHKK_3"/>
      <sheetName val="5_12_NTKL_PCCC3"/>
      <sheetName val="Gia_thanh_chuoi_su3"/>
      <sheetName val="Tiep_dia3"/>
      <sheetName val="Don_gia_vung_III-Can_Tho3"/>
      <sheetName val="TH_MEP3"/>
      <sheetName val="Cọc_nhồi3"/>
      <sheetName val="Bang_TH3"/>
      <sheetName val="5_NKTC3"/>
      <sheetName val="4_BBNT-LĐ3"/>
      <sheetName val="ESTI_2"/>
      <sheetName val="1_Requisition(E)2"/>
      <sheetName val="dtct_cong2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D_&amp;_W_sizes3"/>
      <sheetName val="Goc_CC3"/>
      <sheetName val="220_(2)3"/>
      <sheetName val="3_관로전환기3"/>
      <sheetName val="외주현황_wq13"/>
      <sheetName val="_3"/>
      <sheetName val="F_월별기성수금현황_3"/>
      <sheetName val="TL_rieng2"/>
      <sheetName val="Elec_LG3"/>
      <sheetName val="외주대비_-석축???_x3"/>
      <sheetName val="IMF_Code3"/>
      <sheetName val="Doi_so2"/>
      <sheetName val="Du_thau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Measure_13062"/>
      <sheetName val="DM_ChiPhi2"/>
      <sheetName val="C_MECHANICAL3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Sh"/>
      <sheetName val="부대표지츀_"/>
      <sheetName val="Land_Dev't__Ph-1"/>
      <sheetName val="CHITIET_VL-NC-TT1p"/>
      <sheetName val="THONG_KE_CAU_KIEN"/>
      <sheetName val="Thoat_nuoc"/>
      <sheetName val="Tax_Ref"/>
      <sheetName val="3_일반사상"/>
      <sheetName val="실행駐"/>
      <sheetName val="도급표지__㧈冈"/>
      <sheetName val="[후다내역_XLS]__H4018_c_ESTI96____2"/>
      <sheetName val="[후다내역_XLS]__H4018_c_ESTI96____4"/>
      <sheetName val="[후다내역_XLS]__H4018_c_ESTI96____3"/>
      <sheetName val="[후다내역_XLS]__H4018_c_ESTI96____6"/>
      <sheetName val="[후다내역_XLS]__H4018_c_ESTI96____5"/>
      <sheetName val="[후다내역_XLS]__H4018_c_ESTI96___30"/>
      <sheetName val="[후다내역_XLS]__H4018_c_ESTI96____7"/>
      <sheetName val="[후다내역_XLS]__H4018_c_ESTI96____8"/>
      <sheetName val="[후다내역_XLS]__H4018_c_ESTI96____9"/>
      <sheetName val="[후다내역_XLS]__H4018_c_ESTI96___10"/>
      <sheetName val="[후다내역_XLS]__H4018_c_ESTI96___11"/>
      <sheetName val="[후다내역_XLS]__H4018_c_ESTI96___12"/>
      <sheetName val="[후다내역_XLS]__H4018_c_ESTI96___15"/>
      <sheetName val="[후다내역_XLS]__H4018_c_ESTI96___13"/>
      <sheetName val="[후다내역_XLS]__H4018_c_ESTI96___14"/>
      <sheetName val="[후다내역_XLS]__H4018_c_ESTI96___21"/>
      <sheetName val="[후다내역_XLS]__H4018_c_ESTI96___16"/>
      <sheetName val="[후다내역_XLS]__H4018_c_ESTI96___17"/>
      <sheetName val="[후다내역_XLS]__H4018_c_ESTI96___18"/>
      <sheetName val="[후다내역_XLS]__H4018_c_ESTI96___19"/>
      <sheetName val="[후다내역_XLS]__H4018_c_ESTI96___20"/>
      <sheetName val="[후다내역_XLS]__H4018_c_ESTI96___24"/>
      <sheetName val="[후다내역_XLS]__H4018_c_ESTI96___22"/>
      <sheetName val="[후다내역_XLS]__H4018_c_ESTI96___23"/>
      <sheetName val="[후다내역_XLS]__H4018_c_ESTI96___27"/>
      <sheetName val="[후다내역_XLS]__H4018_c_ESTI96___25"/>
      <sheetName val="[후다내역_XLS]__H4018_c_ESTI96___26"/>
      <sheetName val="[후다내역_XLS]__H4018_c_ESTI96___28"/>
      <sheetName val="[후다내역_XLS]__H4018_c_ESTI96___29"/>
      <sheetName val="[후다내역_XLS]__H4018_c_ESTI96___31"/>
      <sheetName val="[후다내역_XLS]__H4018_c_ESTI96___32"/>
      <sheetName val="[후다내역_XLS]__H4018_c_ESTI96___33"/>
      <sheetName val="[후다내역_XLS]__H4018_c_ESTI96___34"/>
      <sheetName val="ExcelObject"/>
      <sheetName val="요기"/>
      <sheetName val="VXXXXXX"/>
      <sheetName val="출력"/>
      <sheetName val="노무비 명세표_일용"/>
      <sheetName val="ITEM_QTY"/>
      <sheetName val="ITEM_W"/>
      <sheetName val="(참고)WBS유형 분류방법"/>
      <sheetName val="J直ᄐ"/>
      <sheetName val="DESIGN_CRETERI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/>
      <sheetData sheetId="956"/>
      <sheetData sheetId="957"/>
      <sheetData sheetId="958"/>
      <sheetData sheetId="959" refreshError="1"/>
      <sheetData sheetId="960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>
        <row r="1">
          <cell r="A1" t="str">
            <v>PHIẾU XỬ LÝ HỒ SƠ THANH TOÁN VƯỢT THẨM QUYỀN PD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 refreshError="1"/>
      <sheetData sheetId="1806"/>
      <sheetData sheetId="1807"/>
      <sheetData sheetId="1808"/>
      <sheetData sheetId="1809" refreshError="1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/>
      <sheetData sheetId="2142" refreshError="1"/>
      <sheetData sheetId="2143" refreshError="1"/>
      <sheetData sheetId="2144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>
        <row r="1">
          <cell r="A1" t="str">
            <v>PHIẾU XỬ LÝ HỒ SƠ THANH TOÁN VƯỢT THẨM QUYỀN PD</v>
          </cell>
        </row>
      </sheetData>
      <sheetData sheetId="2388">
        <row r="1">
          <cell r="A1" t="str">
            <v>PHIẾU XỬ LÝ HỒ SƠ THANH TOÁN VƯỢT THẨM QUYỀN PD</v>
          </cell>
        </row>
      </sheetData>
      <sheetData sheetId="2389">
        <row r="1">
          <cell r="A1" t="str">
            <v>PHIẾU XỬ LÝ HỒ SƠ THANH TOÁN VƯỢT THẨM QUYỀN PD</v>
          </cell>
        </row>
      </sheetData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/>
      <sheetData sheetId="2398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>
        <row r="1">
          <cell r="A1" t="str">
            <v>PHIẾU XỬ LÝ HỒ SƠ THANH TOÁN VƯỢT THẨM QUYỀN PD</v>
          </cell>
        </row>
      </sheetData>
      <sheetData sheetId="2435">
        <row r="1">
          <cell r="A1" t="str">
            <v>PHIẾU XỬ LÝ HỒ SƠ THANH TOÁN VƯỢT THẨM QUYỀN PD</v>
          </cell>
        </row>
      </sheetData>
      <sheetData sheetId="2436">
        <row r="1">
          <cell r="A1" t="str">
            <v>PHIẾU XỬ LÝ HỒ SƠ THANH TOÁN VƯỢT THẨM QUYỀN PD</v>
          </cell>
        </row>
      </sheetData>
      <sheetData sheetId="2437">
        <row r="1">
          <cell r="A1" t="str">
            <v>PHIẾU XỬ LÝ HỒ SƠ THANH TOÁN VƯỢT THẨM QUYỀN PD</v>
          </cell>
        </row>
      </sheetData>
      <sheetData sheetId="2438">
        <row r="1">
          <cell r="A1" t="str">
            <v>PHIẾU XỬ LÝ HỒ SƠ THANH TOÁN VƯỢT THẨM QUYỀN PD</v>
          </cell>
        </row>
      </sheetData>
      <sheetData sheetId="2439">
        <row r="1">
          <cell r="A1" t="str">
            <v>PHIẾU XỬ LÝ HỒ SƠ THANH TOÁN VƯỢT THẨM QUYỀN PD</v>
          </cell>
        </row>
      </sheetData>
      <sheetData sheetId="2440">
        <row r="1">
          <cell r="A1" t="str">
            <v>PHIẾU XỬ LÝ HỒ SƠ THANH TOÁN VƯỢT THẨM QUYỀN PD</v>
          </cell>
        </row>
      </sheetData>
      <sheetData sheetId="2441">
        <row r="1">
          <cell r="A1" t="str">
            <v>PHIẾU XỬ LÝ HỒ SƠ THANH TOÁN VƯỢT THẨM QUYỀN PD</v>
          </cell>
        </row>
      </sheetData>
      <sheetData sheetId="2442">
        <row r="1">
          <cell r="A1" t="str">
            <v>PHIẾU XỬ LÝ HỒ SƠ THANH TOÁN VƯỢT THẨM QUYỀN PD</v>
          </cell>
        </row>
      </sheetData>
      <sheetData sheetId="2443">
        <row r="1">
          <cell r="A1" t="str">
            <v>PHIẾU XỬ LÝ HỒ SƠ THANH TOÁN VƯỢT THẨM QUYỀN PD</v>
          </cell>
        </row>
      </sheetData>
      <sheetData sheetId="2444">
        <row r="1">
          <cell r="A1" t="str">
            <v>PHIẾU XỬ LÝ HỒ SƠ THANH TOÁN VƯỢT THẨM QUYỀN PD</v>
          </cell>
        </row>
      </sheetData>
      <sheetData sheetId="2445">
        <row r="1">
          <cell r="A1" t="str">
            <v>PHIẾU XỬ LÝ HỒ SƠ THANH TOÁN VƯỢT THẨM QUYỀN PD</v>
          </cell>
        </row>
      </sheetData>
      <sheetData sheetId="2446">
        <row r="1">
          <cell r="A1" t="str">
            <v>PHIẾU XỬ LÝ HỒ SƠ THANH TOÁN VƯỢT THẨM QUYỀN PD</v>
          </cell>
        </row>
      </sheetData>
      <sheetData sheetId="2447">
        <row r="1">
          <cell r="A1" t="str">
            <v>PHIẾU XỬ LÝ HỒ SƠ THANH TOÁN VƯỢT THẨM QUYỀN PD</v>
          </cell>
        </row>
      </sheetData>
      <sheetData sheetId="2448">
        <row r="1">
          <cell r="A1" t="str">
            <v>PHIẾU XỬ LÝ HỒ SƠ THANH TOÁN VƯỢT THẨM QUYỀN PD</v>
          </cell>
        </row>
      </sheetData>
      <sheetData sheetId="2449">
        <row r="1">
          <cell r="A1" t="str">
            <v>PHIẾU XỬ LÝ HỒ SƠ THANH TOÁN VƯỢT THẨM QUYỀN PD</v>
          </cell>
        </row>
      </sheetData>
      <sheetData sheetId="2450">
        <row r="1">
          <cell r="A1" t="str">
            <v>PHIẾU XỬ LÝ HỒ SƠ THANH TOÁN VƯỢT THẨM QUYỀN PD</v>
          </cell>
        </row>
      </sheetData>
      <sheetData sheetId="2451">
        <row r="1">
          <cell r="A1" t="str">
            <v>PHIẾU XỬ LÝ HỒ SƠ THANH TOÁN VƯỢT THẨM QUYỀN PD</v>
          </cell>
        </row>
      </sheetData>
      <sheetData sheetId="2452">
        <row r="1">
          <cell r="A1" t="str">
            <v>PHIẾU XỬ LÝ HỒ SƠ THANH TOÁN VƯỢT THẨM QUYỀN PD</v>
          </cell>
        </row>
      </sheetData>
      <sheetData sheetId="2453">
        <row r="1">
          <cell r="A1" t="str">
            <v>PHIẾU XỬ LÝ HỒ SƠ THANH TOÁN VƯỢT THẨM QUYỀN PD</v>
          </cell>
        </row>
      </sheetData>
      <sheetData sheetId="2454">
        <row r="1">
          <cell r="A1" t="str">
            <v>PHIẾU XỬ LÝ HỒ SƠ THANH TOÁN VƯỢT THẨM QUYỀN PD</v>
          </cell>
        </row>
      </sheetData>
      <sheetData sheetId="2455">
        <row r="1">
          <cell r="A1" t="str">
            <v>PHIẾU XỬ LÝ HỒ SƠ THANH TOÁN VƯỢT THẨM QUYỀN PD</v>
          </cell>
        </row>
      </sheetData>
      <sheetData sheetId="2456">
        <row r="1">
          <cell r="A1" t="str">
            <v>PHIẾU XỬ LÝ HỒ SƠ THANH TOÁN VƯỢT THẨM QUYỀN PD</v>
          </cell>
        </row>
      </sheetData>
      <sheetData sheetId="2457">
        <row r="1">
          <cell r="A1" t="str">
            <v>PHIẾU XỬ LÝ HỒ SƠ THANH TOÁN VƯỢT THẨM QUYỀN PD</v>
          </cell>
        </row>
      </sheetData>
      <sheetData sheetId="2458">
        <row r="1">
          <cell r="A1" t="str">
            <v>PHIẾU XỬ LÝ HỒ SƠ THANH TOÁN VƯỢT THẨM QUYỀN PD</v>
          </cell>
        </row>
      </sheetData>
      <sheetData sheetId="2459">
        <row r="1">
          <cell r="A1" t="str">
            <v>PHIẾU XỬ LÝ HỒ SƠ THANH TOÁN VƯỢT THẨM QUYỀN PD</v>
          </cell>
        </row>
      </sheetData>
      <sheetData sheetId="2460">
        <row r="1">
          <cell r="A1" t="str">
            <v>PHIẾU XỬ LÝ HỒ SƠ THANH TOÁN VƯỢT THẨM QUYỀN PD</v>
          </cell>
        </row>
      </sheetData>
      <sheetData sheetId="2461">
        <row r="1">
          <cell r="A1" t="str">
            <v>PHIẾU XỬ LÝ HỒ SƠ THANH TOÁN VƯỢT THẨM QUYỀN PD</v>
          </cell>
        </row>
      </sheetData>
      <sheetData sheetId="2462">
        <row r="1">
          <cell r="A1" t="str">
            <v>PHIẾU XỬ LÝ HỒ SƠ THANH TOÁN VƯỢT THẨM QUYỀN PD</v>
          </cell>
        </row>
      </sheetData>
      <sheetData sheetId="2463">
        <row r="1">
          <cell r="A1" t="str">
            <v>PHIẾU XỬ LÝ HỒ SƠ THANH TOÁN VƯỢT THẨM QUYỀN PD</v>
          </cell>
        </row>
      </sheetData>
      <sheetData sheetId="2464">
        <row r="1">
          <cell r="A1" t="str">
            <v>PHIẾU XỬ LÝ HỒ SƠ THANH TOÁN VƯỢT THẨM QUYỀN PD</v>
          </cell>
        </row>
      </sheetData>
      <sheetData sheetId="2465">
        <row r="1">
          <cell r="A1" t="str">
            <v>PHIẾU XỬ LÝ HỒ SƠ THANH TOÁN VƯỢT THẨM QUYỀN PD</v>
          </cell>
        </row>
      </sheetData>
      <sheetData sheetId="2466">
        <row r="1">
          <cell r="A1" t="str">
            <v>PHIẾU XỬ LÝ HỒ SƠ THANH TOÁN VƯỢT THẨM QUYỀN PD</v>
          </cell>
        </row>
      </sheetData>
      <sheetData sheetId="2467">
        <row r="1">
          <cell r="A1" t="str">
            <v>PHIẾU XỬ LÝ HỒ SƠ THANH TOÁN VƯỢT THẨM QUYỀN PD</v>
          </cell>
        </row>
      </sheetData>
      <sheetData sheetId="2468">
        <row r="1">
          <cell r="A1" t="str">
            <v>PHIẾU XỬ LÝ HỒ SƠ THANH TOÁN VƯỢT THẨM QUYỀN PD</v>
          </cell>
        </row>
      </sheetData>
      <sheetData sheetId="2469" refreshError="1"/>
      <sheetData sheetId="2470" refreshError="1"/>
      <sheetData sheetId="2471">
        <row r="1">
          <cell r="A1" t="str">
            <v>PHIẾU XỬ LÝ HỒ SƠ THANH TOÁN VƯỢT THẨM QUYỀN PD</v>
          </cell>
        </row>
      </sheetData>
      <sheetData sheetId="2472">
        <row r="1">
          <cell r="A1" t="str">
            <v>PHIẾU XỬ LÝ HỒ SƠ THANH TOÁN VƯỢT THẨM QUYỀN PD</v>
          </cell>
        </row>
      </sheetData>
      <sheetData sheetId="2473">
        <row r="1">
          <cell r="A1" t="str">
            <v>PHIẾU XỬ LÝ HỒ SƠ THANH TOÁN VƯỢT THẨM QUYỀN PD</v>
          </cell>
        </row>
      </sheetData>
      <sheetData sheetId="2474">
        <row r="1">
          <cell r="A1" t="str">
            <v>PHIẾU XỬ LÝ HỒ SƠ THANH TOÁN VƯỢT THẨM QUYỀN PD</v>
          </cell>
        </row>
      </sheetData>
      <sheetData sheetId="2475">
        <row r="1">
          <cell r="A1" t="str">
            <v>PHIẾU XỬ LÝ HỒ SƠ THANH TOÁN VƯỢT THẨM QUYỀN PD</v>
          </cell>
        </row>
      </sheetData>
      <sheetData sheetId="2476">
        <row r="1">
          <cell r="A1" t="str">
            <v>PHIẾU XỬ LÝ HỒ SƠ THANH TOÁN VƯỢT THẨM QUYỀN PD</v>
          </cell>
        </row>
      </sheetData>
      <sheetData sheetId="2477">
        <row r="1">
          <cell r="A1" t="str">
            <v>PHIẾU XỬ LÝ HỒ SƠ THANH TOÁN VƯỢT THẨM QUYỀN PD</v>
          </cell>
        </row>
      </sheetData>
      <sheetData sheetId="2478">
        <row r="1">
          <cell r="A1" t="str">
            <v>PHIẾU XỬ LÝ HỒ SƠ THANH TOÁN VƯỢT THẨM QUYỀN PD</v>
          </cell>
        </row>
      </sheetData>
      <sheetData sheetId="2479">
        <row r="1">
          <cell r="A1" t="str">
            <v>PHIẾU XỬ LÝ HỒ SƠ THANH TOÁN VƯỢT THẨM QUYỀN PD</v>
          </cell>
        </row>
      </sheetData>
      <sheetData sheetId="2480">
        <row r="1">
          <cell r="A1" t="str">
            <v>PHIẾU XỬ LÝ HỒ SƠ THANH TOÁN VƯỢT THẨM QUYỀN PD</v>
          </cell>
        </row>
      </sheetData>
      <sheetData sheetId="2481">
        <row r="1">
          <cell r="A1" t="str">
            <v>PHIẾU XỬ LÝ HỒ SƠ THANH TOÁN VƯỢT THẨM QUYỀN PD</v>
          </cell>
        </row>
      </sheetData>
      <sheetData sheetId="2482" refreshError="1"/>
      <sheetData sheetId="2483" refreshError="1"/>
      <sheetData sheetId="2484" refreshError="1"/>
      <sheetData sheetId="2485" refreshError="1"/>
      <sheetData sheetId="2486">
        <row r="1">
          <cell r="A1" t="str">
            <v>PHIẾU XỬ LÝ HỒ SƠ THANH TOÁN VƯỢT THẨM QUYỀN PD</v>
          </cell>
        </row>
      </sheetData>
      <sheetData sheetId="2487">
        <row r="1">
          <cell r="A1" t="str">
            <v>PHIẾU XỬ LÝ HỒ SƠ THANH TOÁN VƯỢT THẨM QUYỀN PD</v>
          </cell>
        </row>
      </sheetData>
      <sheetData sheetId="2488">
        <row r="1">
          <cell r="A1" t="str">
            <v>PHIẾU XỬ LÝ HỒ SƠ THANH TOÁN VƯỢT THẨM QUYỀN PD</v>
          </cell>
        </row>
      </sheetData>
      <sheetData sheetId="2489">
        <row r="1">
          <cell r="A1" t="str">
            <v>PHIẾU XỬ LÝ HỒ SƠ THANH TOÁN VƯỢT THẨM QUYỀN PD</v>
          </cell>
        </row>
      </sheetData>
      <sheetData sheetId="2490">
        <row r="1">
          <cell r="A1" t="str">
            <v>PHIẾU XỬ LÝ HỒ SƠ THANH TOÁN VƯỢT THẨM QUYỀN PD</v>
          </cell>
        </row>
      </sheetData>
      <sheetData sheetId="2491">
        <row r="1">
          <cell r="A1" t="str">
            <v>PHIẾU XỬ LÝ HỒ SƠ THANH TOÁN VƯỢT THẨM QUYỀN PD</v>
          </cell>
        </row>
      </sheetData>
      <sheetData sheetId="2492">
        <row r="1">
          <cell r="A1" t="str">
            <v>PHIẾU XỬ LÝ HỒ SƠ THANH TOÁN VƯỢT THẨM QUYỀN PD</v>
          </cell>
        </row>
      </sheetData>
      <sheetData sheetId="2493">
        <row r="1">
          <cell r="A1" t="str">
            <v>PHIẾU XỬ LÝ HỒ SƠ THANH TOÁN VƯỢT THẨM QUYỀN PD</v>
          </cell>
        </row>
      </sheetData>
      <sheetData sheetId="2494">
        <row r="1">
          <cell r="A1" t="str">
            <v>PHIẾU XỬ LÝ HỒ SƠ THANH TOÁN VƯỢT THẨM QUYỀN PD</v>
          </cell>
        </row>
      </sheetData>
      <sheetData sheetId="2495">
        <row r="1">
          <cell r="A1" t="str">
            <v>PHIẾU XỬ LÝ HỒ SƠ THANH TOÁN VƯỢT THẨM QUYỀN PD</v>
          </cell>
        </row>
      </sheetData>
      <sheetData sheetId="2496">
        <row r="1">
          <cell r="A1" t="str">
            <v>PHIẾU XỬ LÝ HỒ SƠ THANH TOÁN VƯỢT THẨM QUYỀN PD</v>
          </cell>
        </row>
      </sheetData>
      <sheetData sheetId="2497">
        <row r="1">
          <cell r="A1" t="str">
            <v>PHIẾU XỬ LÝ HỒ SƠ THANH TOÁN VƯỢT THẨM QUYỀN PD</v>
          </cell>
        </row>
      </sheetData>
      <sheetData sheetId="2498">
        <row r="1">
          <cell r="A1" t="str">
            <v>PHIẾU XỬ LÝ HỒ SƠ THANH TOÁN VƯỢT THẨM QUYỀN PD</v>
          </cell>
        </row>
      </sheetData>
      <sheetData sheetId="2499">
        <row r="1">
          <cell r="A1" t="str">
            <v>PHIẾU XỬ LÝ HỒ SƠ THANH TOÁN VƯỢT THẨM QUYỀN PD</v>
          </cell>
        </row>
      </sheetData>
      <sheetData sheetId="2500">
        <row r="1">
          <cell r="A1" t="str">
            <v>PHIẾU XỬ LÝ HỒ SƠ THANH TOÁN VƯỢT THẨM QUYỀN PD</v>
          </cell>
        </row>
      </sheetData>
      <sheetData sheetId="2501">
        <row r="1">
          <cell r="A1" t="str">
            <v>PHIẾU XỬ LÝ HỒ SƠ THANH TOÁN VƯỢT THẨM QUYỀN PD</v>
          </cell>
        </row>
      </sheetData>
      <sheetData sheetId="2502">
        <row r="1">
          <cell r="A1" t="str">
            <v>PHIẾU XỬ LÝ HỒ SƠ THANH TOÁN VƯỢT THẨM QUYỀN PD</v>
          </cell>
        </row>
      </sheetData>
      <sheetData sheetId="2503">
        <row r="1">
          <cell r="A1" t="str">
            <v>PHIẾU XỬ LÝ HỒ SƠ THANH TOÁN VƯỢT THẨM QUYỀN PD</v>
          </cell>
        </row>
      </sheetData>
      <sheetData sheetId="2504">
        <row r="1">
          <cell r="A1" t="str">
            <v>PHIẾU XỬ LÝ HỒ SƠ THANH TOÁN VƯỢT THẨM QUYỀN PD</v>
          </cell>
        </row>
      </sheetData>
      <sheetData sheetId="2505">
        <row r="1">
          <cell r="A1" t="str">
            <v>PHIẾU XỬ LÝ HỒ SƠ THANH TOÁN VƯỢT THẨM QUYỀN PD</v>
          </cell>
        </row>
      </sheetData>
      <sheetData sheetId="2506">
        <row r="1">
          <cell r="A1" t="str">
            <v>PHIẾU XỬ LÝ HỒ SƠ THANH TOÁN VƯỢT THẨM QUYỀN PD</v>
          </cell>
        </row>
      </sheetData>
      <sheetData sheetId="2507">
        <row r="1">
          <cell r="A1" t="str">
            <v>PHIẾU XỬ LÝ HỒ SƠ THANH TOÁN VƯỢT THẨM QUYỀN PD</v>
          </cell>
        </row>
      </sheetData>
      <sheetData sheetId="2508">
        <row r="1">
          <cell r="A1" t="str">
            <v>PHIẾU XỬ LÝ HỒ SƠ THANH TOÁN VƯỢT THẨM QUYỀN PD</v>
          </cell>
        </row>
      </sheetData>
      <sheetData sheetId="2509">
        <row r="1">
          <cell r="A1" t="str">
            <v>PHIẾU XỬ LÝ HỒ SƠ THANH TOÁN VƯỢT THẨM QUYỀN PD</v>
          </cell>
        </row>
      </sheetData>
      <sheetData sheetId="2510">
        <row r="1">
          <cell r="A1" t="str">
            <v>PHIẾU XỬ LÝ HỒ SƠ THANH TOÁN VƯỢT THẨM QUYỀN PD</v>
          </cell>
        </row>
      </sheetData>
      <sheetData sheetId="2511">
        <row r="1">
          <cell r="A1" t="str">
            <v>PHIẾU XỬ LÝ HỒ SƠ THANH TOÁN VƯỢT THẨM QUYỀN PD</v>
          </cell>
        </row>
      </sheetData>
      <sheetData sheetId="2512">
        <row r="1">
          <cell r="A1" t="str">
            <v>PHIẾU XỬ LÝ HỒ SƠ THANH TOÁN VƯỢT THẨM QUYỀN PD</v>
          </cell>
        </row>
      </sheetData>
      <sheetData sheetId="2513">
        <row r="1">
          <cell r="A1" t="str">
            <v>PHIẾU XỬ LÝ HỒ SƠ THANH TOÁN VƯỢT THẨM QUYỀN PD</v>
          </cell>
        </row>
      </sheetData>
      <sheetData sheetId="2514">
        <row r="1">
          <cell r="A1" t="str">
            <v>PHIẾU XỬ LÝ HỒ SƠ THANH TOÁN VƯỢT THẨM QUYỀN PD</v>
          </cell>
        </row>
      </sheetData>
      <sheetData sheetId="2515">
        <row r="1">
          <cell r="A1" t="str">
            <v>PHIẾU XỬ LÝ HỒ SƠ THANH TOÁN VƯỢT THẨM QUYỀN PD</v>
          </cell>
        </row>
      </sheetData>
      <sheetData sheetId="2516">
        <row r="1">
          <cell r="A1" t="str">
            <v>PHIẾU XỬ LÝ HỒ SƠ THANH TOÁN VƯỢT THẨM QUYỀN PD</v>
          </cell>
        </row>
      </sheetData>
      <sheetData sheetId="2517">
        <row r="1">
          <cell r="A1" t="str">
            <v>PHIẾU XỬ LÝ HỒ SƠ THANH TOÁN VƯỢT THẨM QUYỀN PD</v>
          </cell>
        </row>
      </sheetData>
      <sheetData sheetId="2518">
        <row r="1">
          <cell r="A1" t="str">
            <v>PHIẾU XỬ LÝ HỒ SƠ THANH TOÁN VƯỢT THẨM QUYỀN PD</v>
          </cell>
        </row>
      </sheetData>
      <sheetData sheetId="2519">
        <row r="1">
          <cell r="A1" t="str">
            <v>PHIẾU XỬ LÝ HỒ SƠ THANH TOÁN VƯỢT THẨM QUYỀN PD</v>
          </cell>
        </row>
      </sheetData>
      <sheetData sheetId="2520">
        <row r="1">
          <cell r="A1" t="str">
            <v>PHIẾU XỬ LÝ HỒ SƠ THANH TOÁN VƯỢT THẨM QUYỀN PD</v>
          </cell>
        </row>
      </sheetData>
      <sheetData sheetId="2521">
        <row r="1">
          <cell r="A1" t="str">
            <v>PHIẾU XỬ LÝ HỒ SƠ THANH TOÁN VƯỢT THẨM QUYỀN PD</v>
          </cell>
        </row>
      </sheetData>
      <sheetData sheetId="2522">
        <row r="1">
          <cell r="A1" t="str">
            <v>PHIẾU XỬ LÝ HỒ SƠ THANH TOÁN VƯỢT THẨM QUYỀN PD</v>
          </cell>
        </row>
      </sheetData>
      <sheetData sheetId="2523">
        <row r="1">
          <cell r="A1" t="str">
            <v>PHIẾU XỬ LÝ HỒ SƠ THANH TOÁN VƯỢT THẨM QUYỀN PD</v>
          </cell>
        </row>
      </sheetData>
      <sheetData sheetId="2524">
        <row r="1">
          <cell r="A1" t="str">
            <v>PHIẾU XỬ LÝ HỒ SƠ THANH TOÁN VƯỢT THẨM QUYỀN PD</v>
          </cell>
        </row>
      </sheetData>
      <sheetData sheetId="2525">
        <row r="1">
          <cell r="A1" t="str">
            <v>PHIẾU XỬ LÝ HỒ SƠ THANH TOÁN VƯỢT THẨM QUYỀN PD</v>
          </cell>
        </row>
      </sheetData>
      <sheetData sheetId="2526">
        <row r="1">
          <cell r="A1" t="str">
            <v>PHIẾU XỬ LÝ HỒ SƠ THANH TOÁN VƯỢT THẨM QUYỀN PD</v>
          </cell>
        </row>
      </sheetData>
      <sheetData sheetId="2527">
        <row r="1">
          <cell r="A1" t="str">
            <v>PHIẾU XỬ LÝ HỒ SƠ THANH TOÁN VƯỢT THẨM QUYỀN PD</v>
          </cell>
        </row>
      </sheetData>
      <sheetData sheetId="2528">
        <row r="1">
          <cell r="A1" t="str">
            <v>PHIẾU XỬ LÝ HỒ SƠ THANH TOÁN VƯỢT THẨM QUYỀN PD</v>
          </cell>
        </row>
      </sheetData>
      <sheetData sheetId="2529">
        <row r="1">
          <cell r="A1" t="str">
            <v>PHIẾU XỬ LÝ HỒ SƠ THANH TOÁN VƯỢT THẨM QUYỀN PD</v>
          </cell>
        </row>
      </sheetData>
      <sheetData sheetId="2530">
        <row r="1">
          <cell r="A1" t="str">
            <v>PHIẾU XỬ LÝ HỒ SƠ THANH TOÁN VƯỢT THẨM QUYỀN PD</v>
          </cell>
        </row>
      </sheetData>
      <sheetData sheetId="2531">
        <row r="1">
          <cell r="A1" t="str">
            <v>PHIẾU XỬ LÝ HỒ SƠ THANH TOÁN VƯỢT THẨM QUYỀN PD</v>
          </cell>
        </row>
      </sheetData>
      <sheetData sheetId="2532">
        <row r="1">
          <cell r="A1" t="str">
            <v>PHIẾU XỬ LÝ HỒ SƠ THANH TOÁN VƯỢT THẨM QUYỀN PD</v>
          </cell>
        </row>
      </sheetData>
      <sheetData sheetId="2533">
        <row r="1">
          <cell r="A1" t="str">
            <v>PHIẾU XỬ LÝ HỒ SƠ THANH TOÁN VƯỢT THẨM QUYỀN PD</v>
          </cell>
        </row>
      </sheetData>
      <sheetData sheetId="2534">
        <row r="1">
          <cell r="A1" t="str">
            <v>PHIẾU XỬ LÝ HỒ SƠ THANH TOÁN VƯỢT THẨM QUYỀN PD</v>
          </cell>
        </row>
      </sheetData>
      <sheetData sheetId="2535">
        <row r="1">
          <cell r="A1" t="str">
            <v>PHIẾU XỬ LÝ HỒ SƠ THANH TOÁN VƯỢT THẨM QUYỀN PD</v>
          </cell>
        </row>
      </sheetData>
      <sheetData sheetId="2536">
        <row r="1">
          <cell r="A1" t="str">
            <v>PHIẾU XỬ LÝ HỒ SƠ THANH TOÁN VƯỢT THẨM QUYỀN PD</v>
          </cell>
        </row>
      </sheetData>
      <sheetData sheetId="2537">
        <row r="1">
          <cell r="A1" t="str">
            <v>PHIẾU XỬ LÝ HỒ SƠ THANH TOÁN VƯỢT THẨM QUYỀN PD</v>
          </cell>
        </row>
      </sheetData>
      <sheetData sheetId="2538">
        <row r="1">
          <cell r="A1" t="str">
            <v>PHIẾU XỬ LÝ HỒ SƠ THANH TOÁN VƯỢT THẨM QUYỀN PD</v>
          </cell>
        </row>
      </sheetData>
      <sheetData sheetId="2539">
        <row r="1">
          <cell r="A1" t="str">
            <v>PHIẾU XỬ LÝ HỒ SƠ THANH TOÁN VƯỢT THẨM QUYỀN PD</v>
          </cell>
        </row>
      </sheetData>
      <sheetData sheetId="2540">
        <row r="1">
          <cell r="A1" t="str">
            <v>PHIẾU XỬ LÝ HỒ SƠ THANH TOÁN VƯỢT THẨM QUYỀN PD</v>
          </cell>
        </row>
      </sheetData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>
        <row r="1">
          <cell r="A1" t="str">
            <v>PHIẾU XỬ LÝ HỒ SƠ THANH TOÁN VƯỢT THẨM QUYỀN PD</v>
          </cell>
        </row>
      </sheetData>
      <sheetData sheetId="2579">
        <row r="1">
          <cell r="A1" t="str">
            <v>PHIẾU XỬ LÝ HỒ SƠ THANH TOÁN VƯỢT THẨM QUYỀN PD</v>
          </cell>
        </row>
      </sheetData>
      <sheetData sheetId="2580">
        <row r="1">
          <cell r="A1" t="str">
            <v>PHIẾU XỬ LÝ HỒ SƠ THANH TOÁN VƯỢT THẨM QUYỀN PD</v>
          </cell>
        </row>
      </sheetData>
      <sheetData sheetId="2581">
        <row r="1">
          <cell r="A1" t="str">
            <v>PHIẾU XỬ LÝ HỒ SƠ THANH TOÁN VƯỢT THẨM QUYỀN PD</v>
          </cell>
        </row>
      </sheetData>
      <sheetData sheetId="2582">
        <row r="1">
          <cell r="A1" t="str">
            <v>PHIẾU XỬ LÝ HỒ SƠ THANH TOÁN VƯỢT THẨM QUYỀN PD</v>
          </cell>
        </row>
      </sheetData>
      <sheetData sheetId="2583">
        <row r="1">
          <cell r="A1" t="str">
            <v>PHIẾU XỬ LÝ HỒ SƠ THANH TOÁN VƯỢT THẨM QUYỀN PD</v>
          </cell>
        </row>
      </sheetData>
      <sheetData sheetId="2584">
        <row r="1">
          <cell r="A1" t="str">
            <v>PHIẾU XỬ LÝ HỒ SƠ THANH TOÁN VƯỢT THẨM QUYỀN PD</v>
          </cell>
        </row>
      </sheetData>
      <sheetData sheetId="2585">
        <row r="1">
          <cell r="A1" t="str">
            <v>PHIẾU XỬ LÝ HỒ SƠ THANH TOÁN VƯỢT THẨM QUYỀN PD</v>
          </cell>
        </row>
      </sheetData>
      <sheetData sheetId="2586">
        <row r="1">
          <cell r="A1" t="str">
            <v>PHIẾU XỬ LÝ HỒ SƠ THANH TOÁN VƯỢT THẨM QUYỀN PD</v>
          </cell>
        </row>
      </sheetData>
      <sheetData sheetId="2587">
        <row r="1">
          <cell r="A1" t="str">
            <v>PHIẾU XỬ LÝ HỒ SƠ THANH TOÁN VƯỢT THẨM QUYỀN PD</v>
          </cell>
        </row>
      </sheetData>
      <sheetData sheetId="2588">
        <row r="1">
          <cell r="A1" t="str">
            <v>PHIẾU XỬ LÝ HỒ SƠ THANH TOÁN VƯỢT THẨM QUYỀN PD</v>
          </cell>
        </row>
      </sheetData>
      <sheetData sheetId="2589">
        <row r="1">
          <cell r="A1" t="str">
            <v>PHIẾU XỬ LÝ HỒ SƠ THANH TOÁN VƯỢT THẨM QUYỀN PD</v>
          </cell>
        </row>
      </sheetData>
      <sheetData sheetId="2590">
        <row r="1">
          <cell r="A1" t="str">
            <v>PHIẾU XỬ LÝ HỒ SƠ THANH TOÁN VƯỢT THẨM QUYỀN PD</v>
          </cell>
        </row>
      </sheetData>
      <sheetData sheetId="2591">
        <row r="1">
          <cell r="A1" t="str">
            <v>PHIẾU XỬ LÝ HỒ SƠ THANH TOÁN VƯỢT THẨM QUYỀN PD</v>
          </cell>
        </row>
      </sheetData>
      <sheetData sheetId="2592">
        <row r="1">
          <cell r="A1" t="str">
            <v>PHIẾU XỬ LÝ HỒ SƠ THANH TOÁN VƯỢT THẨM QUYỀN PD</v>
          </cell>
        </row>
      </sheetData>
      <sheetData sheetId="2593">
        <row r="1">
          <cell r="A1" t="str">
            <v>PHIẾU XỬ LÝ HỒ SƠ THANH TOÁN VƯỢT THẨM QUYỀN PD</v>
          </cell>
        </row>
      </sheetData>
      <sheetData sheetId="2594">
        <row r="1">
          <cell r="A1" t="str">
            <v>PHIẾU XỬ LÝ HỒ SƠ THANH TOÁN VƯỢT THẨM QUYỀN PD</v>
          </cell>
        </row>
      </sheetData>
      <sheetData sheetId="2595">
        <row r="1">
          <cell r="A1" t="str">
            <v>PHIẾU XỬ LÝ HỒ SƠ THANH TOÁN VƯỢT THẨM QUYỀN PD</v>
          </cell>
        </row>
      </sheetData>
      <sheetData sheetId="2596">
        <row r="1">
          <cell r="A1" t="str">
            <v>PHIẾU XỬ LÝ HỒ SƠ THANH TOÁN VƯỢT THẨM QUYỀN PD</v>
          </cell>
        </row>
      </sheetData>
      <sheetData sheetId="2597">
        <row r="1">
          <cell r="A1" t="str">
            <v>PHIẾU XỬ LÝ HỒ SƠ THANH TOÁN VƯỢT THẨM QUYỀN PD</v>
          </cell>
        </row>
      </sheetData>
      <sheetData sheetId="2598">
        <row r="1">
          <cell r="A1" t="str">
            <v>PHIẾU XỬ LÝ HỒ SƠ THANH TOÁN VƯỢT THẨM QUYỀN PD</v>
          </cell>
        </row>
      </sheetData>
      <sheetData sheetId="2599">
        <row r="1">
          <cell r="A1" t="str">
            <v>PHIẾU XỬ LÝ HỒ SƠ THANH TOÁN VƯỢT THẨM QUYỀN PD</v>
          </cell>
        </row>
      </sheetData>
      <sheetData sheetId="2600">
        <row r="1">
          <cell r="A1" t="str">
            <v>PHIẾU XỬ LÝ HỒ SƠ THANH TOÁN VƯỢT THẨM QUYỀN PD</v>
          </cell>
        </row>
      </sheetData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>
        <row r="1">
          <cell r="A1" t="str">
            <v>PHIẾU XỬ LÝ HỒ SƠ THANH TOÁN VƯỢT THẨM QUYỀN PD</v>
          </cell>
        </row>
      </sheetData>
      <sheetData sheetId="2604">
        <row r="1">
          <cell r="A1" t="str">
            <v>PHIẾU XỬ LÝ HỒ SƠ THANH TOÁN VƯỢT THẨM QUYỀN PD</v>
          </cell>
        </row>
      </sheetData>
      <sheetData sheetId="2605">
        <row r="1">
          <cell r="A1" t="str">
            <v>PHIẾU XỬ LÝ HỒ SƠ THANH TOÁN VƯỢT THẨM QUYỀN PD</v>
          </cell>
        </row>
      </sheetData>
      <sheetData sheetId="2606">
        <row r="1">
          <cell r="A1" t="str">
            <v>PHIẾU XỬ LÝ HỒ SƠ THANH TOÁN VƯỢT THẨM QUYỀN PD</v>
          </cell>
        </row>
      </sheetData>
      <sheetData sheetId="2607">
        <row r="1">
          <cell r="A1" t="str">
            <v>PHIẾU XỬ LÝ HỒ SƠ THANH TOÁN VƯỢT THẨM QUYỀN PD</v>
          </cell>
        </row>
      </sheetData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>
        <row r="1">
          <cell r="A1" t="str">
            <v>PHIẾU XỬ LÝ HỒ SƠ THANH TOÁN VƯỢT THẨM QUYỀN PD</v>
          </cell>
        </row>
      </sheetData>
      <sheetData sheetId="2660">
        <row r="1">
          <cell r="A1" t="str">
            <v>PHIẾU XỬ LÝ HỒ SƠ THANH TOÁN VƯỢT THẨM QUYỀN PD</v>
          </cell>
        </row>
      </sheetData>
      <sheetData sheetId="2661">
        <row r="1">
          <cell r="A1" t="str">
            <v>PHIẾU XỬ LÝ HỒ SƠ THANH TOÁN VƯỢT THẨM QUYỀN PD</v>
          </cell>
        </row>
      </sheetData>
      <sheetData sheetId="2662">
        <row r="1">
          <cell r="A1" t="str">
            <v>PHIẾU XỬ LÝ HỒ SƠ THANH TOÁN VƯỢT THẨM QUYỀN PD</v>
          </cell>
        </row>
      </sheetData>
      <sheetData sheetId="2663">
        <row r="1">
          <cell r="A1" t="str">
            <v>PHIẾU XỬ LÝ HỒ SƠ THANH TOÁN VƯỢT THẨM QUYỀN PD</v>
          </cell>
        </row>
      </sheetData>
      <sheetData sheetId="2664">
        <row r="1">
          <cell r="A1" t="str">
            <v>PHIẾU XỬ LÝ HỒ SƠ THANH TOÁN VƯỢT THẨM QUYỀN PD</v>
          </cell>
        </row>
      </sheetData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>
        <row r="1">
          <cell r="A1" t="str">
            <v>PHIẾU XỬ LÝ HỒ SƠ THANH TOÁN VƯỢT THẨM QUYỀN PD</v>
          </cell>
        </row>
      </sheetData>
      <sheetData sheetId="2842">
        <row r="1">
          <cell r="A1" t="str">
            <v>PHIẾU XỬ LÝ HỒ SƠ THANH TOÁN VƯỢT THẨM QUYỀN PD</v>
          </cell>
        </row>
      </sheetData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>
        <row r="1">
          <cell r="A1" t="str">
            <v>PHIẾU XỬ LÝ HỒ SƠ THANH TOÁN VƯỢT THẨM QUYỀN PD</v>
          </cell>
        </row>
      </sheetData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>
        <row r="1">
          <cell r="A1" t="str">
            <v>PHIẾU XỬ LÝ HỒ SƠ THANH TOÁN VƯỢT THẨM QUYỀN PD</v>
          </cell>
        </row>
      </sheetData>
      <sheetData sheetId="2859">
        <row r="1">
          <cell r="A1" t="str">
            <v>PHIẾU XỬ LÝ HỒ SƠ THANH TOÁN VƯỢT THẨM QUYỀN PD</v>
          </cell>
        </row>
      </sheetData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>
        <row r="1">
          <cell r="A1" t="str">
            <v>PHIẾU XỬ LÝ HỒ SƠ THANH TOÁN VƯỢT THẨM QUYỀN PD</v>
          </cell>
        </row>
      </sheetData>
      <sheetData sheetId="2877">
        <row r="1">
          <cell r="A1" t="str">
            <v>PHIẾU XỬ LÝ HỒ SƠ THANH TOÁN VƯỢT THẨM QUYỀN PD</v>
          </cell>
        </row>
      </sheetData>
      <sheetData sheetId="2878">
        <row r="1">
          <cell r="A1" t="str">
            <v>PHIẾU XỬ LÝ HỒ SƠ THANH TOÁN VƯỢT THẨM QUYỀN PD</v>
          </cell>
        </row>
      </sheetData>
      <sheetData sheetId="2879">
        <row r="1">
          <cell r="A1" t="str">
            <v>PHIẾU XỬ LÝ HỒ SƠ THANH TOÁN VƯỢT THẨM QUYỀN PD</v>
          </cell>
        </row>
      </sheetData>
      <sheetData sheetId="2880">
        <row r="1">
          <cell r="A1" t="str">
            <v>PHIẾU XỬ LÝ HỒ SƠ THANH TOÁN VƯỢT THẨM QUYỀN PD</v>
          </cell>
        </row>
      </sheetData>
      <sheetData sheetId="2881">
        <row r="1">
          <cell r="A1" t="str">
            <v>PHIẾU XỬ LÝ HỒ SƠ THANH TOÁN VƯỢT THẨM QUYỀN PD</v>
          </cell>
        </row>
      </sheetData>
      <sheetData sheetId="2882">
        <row r="1">
          <cell r="A1" t="str">
            <v>PHIẾU XỬ LÝ HỒ SƠ THANH TOÁN VƯỢT THẨM QUYỀN PD</v>
          </cell>
        </row>
      </sheetData>
      <sheetData sheetId="2883">
        <row r="1">
          <cell r="A1" t="str">
            <v>PHIẾU XỬ LÝ HỒ SƠ THANH TOÁN VƯỢT THẨM QUYỀN PD</v>
          </cell>
        </row>
      </sheetData>
      <sheetData sheetId="2884">
        <row r="1">
          <cell r="A1" t="str">
            <v>PHIẾU XỬ LÝ HỒ SƠ THANH TOÁN VƯỢT THẨM QUYỀN PD</v>
          </cell>
        </row>
      </sheetData>
      <sheetData sheetId="2885">
        <row r="1">
          <cell r="A1" t="str">
            <v>PHIẾU XỬ LÝ HỒ SƠ THANH TOÁN VƯỢT THẨM QUYỀN PD</v>
          </cell>
        </row>
      </sheetData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 refreshError="1"/>
      <sheetData sheetId="3501" refreshError="1"/>
      <sheetData sheetId="3502" refreshError="1"/>
      <sheetData sheetId="3503" refreshError="1"/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 refreshError="1"/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 refreshError="1"/>
      <sheetData sheetId="3512" refreshError="1"/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 refreshError="1"/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 refreshError="1"/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 refreshError="1"/>
      <sheetData sheetId="3534" refreshError="1"/>
      <sheetData sheetId="3535" refreshError="1"/>
      <sheetData sheetId="3536" refreshError="1"/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>
        <row r="1">
          <cell r="A1" t="str">
            <v>PHIẾU XỬ LÝ HỒ SƠ THANH TOÁN VƯỢT THẨM QUYỀN PD</v>
          </cell>
        </row>
      </sheetData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PHIẾU XỬ LÝ HỒ SƠ THANH TOÁN VƯỢT THẨM QUYỀN PD</v>
          </cell>
        </row>
      </sheetData>
      <sheetData sheetId="3595" refreshError="1"/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>
        <row r="1">
          <cell r="A1" t="str">
            <v>PHIẾU XỬ LÝ HỒ SƠ THANH TOÁN VƯỢT THẨM QUYỀN PD</v>
          </cell>
        </row>
      </sheetData>
      <sheetData sheetId="3605" refreshError="1"/>
      <sheetData sheetId="3606" refreshError="1"/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 refreshError="1"/>
      <sheetData sheetId="3622" refreshError="1"/>
      <sheetData sheetId="3623" refreshError="1"/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>
        <row r="1">
          <cell r="A1" t="str">
            <v>PHIẾU XỬ LÝ HỒ SƠ THANH TOÁN VƯỢT THẨM QUYỀN PD</v>
          </cell>
        </row>
      </sheetData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>
        <row r="1">
          <cell r="A1" t="str">
            <v>PHIẾU XỬ LÝ HỒ SƠ THANH TOÁN VƯỢT THẨM QUYỀN PD</v>
          </cell>
        </row>
      </sheetData>
      <sheetData sheetId="3774">
        <row r="1">
          <cell r="A1" t="str">
            <v>PHIẾU XỬ LÝ HỒ SƠ THANH TOÁN VƯỢT THẨM QUYỀN PD</v>
          </cell>
        </row>
      </sheetData>
      <sheetData sheetId="3775">
        <row r="1">
          <cell r="A1" t="str">
            <v>PHIẾU XỬ LÝ HỒ SƠ THANH TOÁN VƯỢT THẨM QUYỀN PD</v>
          </cell>
        </row>
      </sheetData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>
        <row r="1">
          <cell r="A1" t="str">
            <v>PHIẾU XỬ LÝ HỒ SƠ THANH TOÁN VƯỢT THẨM QUYỀN PD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>
        <row r="1">
          <cell r="A1" t="str">
            <v>PHIẾU XỬ LÝ HỒ SƠ THANH TOÁN VƯỢT THẨM QUYỀN PD</v>
          </cell>
        </row>
      </sheetData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>
        <row r="1">
          <cell r="A1" t="str">
            <v>PHIẾU XỬ LÝ HỒ SƠ THANH TOÁN VƯỢT THẨM QUYỀN PD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>
        <row r="1">
          <cell r="A1" t="str">
            <v>PHIẾU XỬ LÝ HỒ SƠ THANH TOÁN VƯỢT THẨM QUYỀN PD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>
        <row r="1">
          <cell r="A1" t="str">
            <v>PHIẾU XỬ LÝ HỒ SƠ THANH TOÁN VƯỢT THẨM QUYỀN PD</v>
          </cell>
        </row>
      </sheetData>
      <sheetData sheetId="4137">
        <row r="1">
          <cell r="A1" t="str">
            <v>PHIẾU XỬ LÝ HỒ SƠ THANH TOÁN VƯỢT THẨM QUYỀN PD</v>
          </cell>
        </row>
      </sheetData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>
        <row r="1">
          <cell r="A1" t="str">
            <v>PHIẾU XỬ LÝ HỒ SƠ THANH TOÁN VƯỢT THẨM QUYỀN PD</v>
          </cell>
        </row>
      </sheetData>
      <sheetData sheetId="4142">
        <row r="1">
          <cell r="A1" t="str">
            <v>PHIẾU XỬ LÝ HỒ SƠ THANH TOÁN VƯỢT THẨM QUYỀN PD</v>
          </cell>
        </row>
      </sheetData>
      <sheetData sheetId="4143">
        <row r="1">
          <cell r="A1" t="str">
            <v>PHIẾU XỬ LÝ HỒ SƠ THANH TOÁN VƯỢT THẨM QUYỀN PD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>
        <row r="1">
          <cell r="A1" t="str">
            <v>PHIẾU XỬ LÝ HỒ SƠ THANH TOÁN VƯỢT THẨM QUYỀN PD</v>
          </cell>
        </row>
      </sheetData>
      <sheetData sheetId="4185" refreshError="1"/>
      <sheetData sheetId="4186" refreshError="1"/>
      <sheetData sheetId="4187" refreshError="1"/>
      <sheetData sheetId="4188">
        <row r="1">
          <cell r="A1" t="str">
            <v>PHIẾU XỬ LÝ HỒ SƠ THANH TOÁN VƯỢT THẨM QUYỀN PD</v>
          </cell>
        </row>
      </sheetData>
      <sheetData sheetId="4189">
        <row r="1">
          <cell r="A1" t="str">
            <v>PHIẾU XỬ LÝ HỒ SƠ THANH TOÁN VƯỢT THẨM QUYỀN PD</v>
          </cell>
        </row>
      </sheetData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>
        <row r="1">
          <cell r="A1" t="str">
            <v>PHIẾU XỬ LÝ HỒ SƠ THANH TOÁN VƯỢT THẨM QUYỀN PD</v>
          </cell>
        </row>
      </sheetData>
      <sheetData sheetId="5003">
        <row r="1">
          <cell r="A1" t="str">
            <v>PHIẾU XỬ LÝ HỒ SƠ THANH TOÁN VƯỢT THẨM QUYỀN PD</v>
          </cell>
        </row>
      </sheetData>
      <sheetData sheetId="5004">
        <row r="1">
          <cell r="A1" t="str">
            <v>PHIẾU XỬ LÝ HỒ SƠ THANH TOÁN VƯỢT THẨM QUYỀN PD</v>
          </cell>
        </row>
      </sheetData>
      <sheetData sheetId="5005">
        <row r="1">
          <cell r="A1" t="str">
            <v>PHIẾU XỬ LÝ HỒ SƠ THANH TOÁN VƯỢT THẨM QUYỀN PD</v>
          </cell>
        </row>
      </sheetData>
      <sheetData sheetId="5006">
        <row r="1">
          <cell r="A1" t="str">
            <v>PHIẾU XỬ LÝ HỒ SƠ THANH TOÁN VƯỢT THẨM QUYỀN PD</v>
          </cell>
        </row>
      </sheetData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 refreshError="1"/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/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>
        <row r="1">
          <cell r="A1" t="str">
            <v>PHIẾU XỬ LÝ HỒ SƠ THANH TOÁN VƯỢT THẨM QUYỀN PD</v>
          </cell>
        </row>
      </sheetData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>
        <row r="1">
          <cell r="A1" t="str">
            <v>PHIẾU XỬ LÝ HỒ SƠ THANH TOÁN VƯỢT THẨM QUYỀN PD</v>
          </cell>
        </row>
      </sheetData>
      <sheetData sheetId="5350">
        <row r="1">
          <cell r="A1" t="str">
            <v>PHIẾU XỬ LÝ HỒ SƠ THANH TOÁN VƯỢT THẨM QUYỀN PD</v>
          </cell>
        </row>
      </sheetData>
      <sheetData sheetId="5351">
        <row r="1">
          <cell r="A1" t="str">
            <v>PHIẾU XỬ LÝ HỒ SƠ THANH TOÁN VƯỢT THẨM QUYỀN PD</v>
          </cell>
        </row>
      </sheetData>
      <sheetData sheetId="5352">
        <row r="1">
          <cell r="A1" t="str">
            <v>PHIẾU XỬ LÝ HỒ SƠ THANH TOÁN VƯỢT THẨM QUYỀN PD</v>
          </cell>
        </row>
      </sheetData>
      <sheetData sheetId="5353" refreshError="1"/>
      <sheetData sheetId="5354">
        <row r="1">
          <cell r="A1" t="str">
            <v>PHIẾU XỬ LÝ HỒ SƠ THANH TOÁN VƯỢT THẨM QUYỀN PD</v>
          </cell>
        </row>
      </sheetData>
      <sheetData sheetId="5355">
        <row r="1">
          <cell r="A1" t="str">
            <v>PHIẾU XỬ LÝ HỒ SƠ THANH TOÁN VƯỢT THẨM QUYỀN PD</v>
          </cell>
        </row>
      </sheetData>
      <sheetData sheetId="5356" refreshError="1"/>
      <sheetData sheetId="5357" refreshError="1"/>
      <sheetData sheetId="5358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>
        <row r="1">
          <cell r="A1" t="str">
            <v>PHIẾU XỬ LÝ HỒ SƠ THANH TOÁN VƯỢT THẨM QUYỀN PD</v>
          </cell>
        </row>
      </sheetData>
      <sheetData sheetId="5366">
        <row r="1">
          <cell r="A1" t="str">
            <v>PHIẾU XỬ LÝ HỒ SƠ THANH TOÁN VƯỢT THẨM QUYỀN PD</v>
          </cell>
        </row>
      </sheetData>
      <sheetData sheetId="5367">
        <row r="1">
          <cell r="A1" t="str">
            <v>PHIẾU XỬ LÝ HỒ SƠ THANH TOÁN VƯỢT THẨM QUYỀN PD</v>
          </cell>
        </row>
      </sheetData>
      <sheetData sheetId="5368">
        <row r="1">
          <cell r="A1" t="str">
            <v>PHIẾU XỬ LÝ HỒ SƠ THANH TOÁN VƯỢT THẨM QUYỀN PD</v>
          </cell>
        </row>
      </sheetData>
      <sheetData sheetId="5369">
        <row r="1">
          <cell r="A1" t="str">
            <v>PHIẾU XỬ LÝ HỒ SƠ THANH TOÁN VƯỢT THẨM QUYỀN PD</v>
          </cell>
        </row>
      </sheetData>
      <sheetData sheetId="5370">
        <row r="1">
          <cell r="A1" t="str">
            <v>PHIẾU XỬ LÝ HỒ SƠ THANH TOÁN VƯỢT THẨM QUYỀN PD</v>
          </cell>
        </row>
      </sheetData>
      <sheetData sheetId="5371">
        <row r="1">
          <cell r="A1" t="str">
            <v>PHIẾU XỬ LÝ HỒ SƠ THANH TOÁN VƯỢT THẨM QUYỀN PD</v>
          </cell>
        </row>
      </sheetData>
      <sheetData sheetId="5372">
        <row r="1">
          <cell r="A1" t="str">
            <v>PHIẾU XỬ LÝ HỒ SƠ THANH TOÁN VƯỢT THẨM QUYỀN PD</v>
          </cell>
        </row>
      </sheetData>
      <sheetData sheetId="5373">
        <row r="1">
          <cell r="A1" t="str">
            <v>PHIẾU XỬ LÝ HỒ SƠ THANH TOÁN VƯỢT THẨM QUYỀN PD</v>
          </cell>
        </row>
      </sheetData>
      <sheetData sheetId="5374">
        <row r="1">
          <cell r="A1" t="str">
            <v>PHIẾU XỬ LÝ HỒ SƠ THANH TOÁN VƯỢT THẨM QUYỀN PD</v>
          </cell>
        </row>
      </sheetData>
      <sheetData sheetId="5375">
        <row r="1">
          <cell r="A1" t="str">
            <v>PHIẾU XỬ LÝ HỒ SƠ THANH TOÁN VƯỢT THẨM QUYỀN PD</v>
          </cell>
        </row>
      </sheetData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>
        <row r="1">
          <cell r="A1" t="str">
            <v>PHIẾU XỬ LÝ HỒ SƠ THANH TOÁN VƯỢT THẨM QUYỀN PD</v>
          </cell>
        </row>
      </sheetData>
      <sheetData sheetId="5381">
        <row r="1">
          <cell r="A1" t="str">
            <v>PHIẾU XỬ LÝ HỒ SƠ THANH TOÁN VƯỢT THẨM QUYỀN PD</v>
          </cell>
        </row>
      </sheetData>
      <sheetData sheetId="5382">
        <row r="1">
          <cell r="A1" t="str">
            <v>PHIẾU XỬ LÝ HỒ SƠ THANH TOÁN VƯỢT THẨM QUYỀN PD</v>
          </cell>
        </row>
      </sheetData>
      <sheetData sheetId="5383">
        <row r="1">
          <cell r="A1" t="str">
            <v>PHIẾU XỬ LÝ HỒ SƠ THANH TOÁN VƯỢT THẨM QUYỀN PD</v>
          </cell>
        </row>
      </sheetData>
      <sheetData sheetId="5384">
        <row r="1">
          <cell r="A1" t="str">
            <v>PHIẾU XỬ LÝ HỒ SƠ THANH TOÁN VƯỢT THẨM QUYỀN PD</v>
          </cell>
        </row>
      </sheetData>
      <sheetData sheetId="5385">
        <row r="1">
          <cell r="A1" t="str">
            <v>PHIẾU XỬ LÝ HỒ SƠ THANH TOÁN VƯỢT THẨM QUYỀN PD</v>
          </cell>
        </row>
      </sheetData>
      <sheetData sheetId="5386">
        <row r="1">
          <cell r="A1" t="str">
            <v>PHIẾU XỬ LÝ HỒ SƠ THANH TOÁN VƯỢT THẨM QUYỀN PD</v>
          </cell>
        </row>
      </sheetData>
      <sheetData sheetId="5387">
        <row r="1">
          <cell r="A1" t="str">
            <v>PHIẾU XỬ LÝ HỒ SƠ THANH TOÁN VƯỢT THẨM QUYỀN PD</v>
          </cell>
        </row>
      </sheetData>
      <sheetData sheetId="5388">
        <row r="1">
          <cell r="A1" t="str">
            <v>PHIẾU XỬ LÝ HỒ SƠ THANH TOÁN VƯỢT THẨM QUYỀN PD</v>
          </cell>
        </row>
      </sheetData>
      <sheetData sheetId="5389">
        <row r="1">
          <cell r="A1" t="str">
            <v>PHIẾU XỬ LÝ HỒ SƠ THANH TOÁN VƯỢT THẨM QUYỀN PD</v>
          </cell>
        </row>
      </sheetData>
      <sheetData sheetId="5390">
        <row r="1">
          <cell r="A1" t="str">
            <v>PHIẾU XỬ LÝ HỒ SƠ THANH TOÁN VƯỢT THẨM QUYỀN PD</v>
          </cell>
        </row>
      </sheetData>
      <sheetData sheetId="5391">
        <row r="1">
          <cell r="A1" t="str">
            <v>PHIẾU XỬ LÝ HỒ SƠ THANH TOÁN VƯỢT THẨM QUYỀN PD</v>
          </cell>
        </row>
      </sheetData>
      <sheetData sheetId="5392">
        <row r="1">
          <cell r="A1" t="str">
            <v>PHIẾU XỬ LÝ HỒ SƠ THANH TOÁN VƯỢT THẨM QUYỀN PD</v>
          </cell>
        </row>
      </sheetData>
      <sheetData sheetId="5393">
        <row r="1">
          <cell r="A1" t="str">
            <v>PHIẾU XỬ LÝ HỒ SƠ THANH TOÁN VƯỢT THẨM QUYỀN PD</v>
          </cell>
        </row>
      </sheetData>
      <sheetData sheetId="5394">
        <row r="1">
          <cell r="A1" t="str">
            <v>PHIẾU XỬ LÝ HỒ SƠ THANH TOÁN VƯỢT THẨM QUYỀN PD</v>
          </cell>
        </row>
      </sheetData>
      <sheetData sheetId="5395">
        <row r="1">
          <cell r="A1" t="str">
            <v>PHIẾU XỬ LÝ HỒ SƠ THANH TOÁN VƯỢT THẨM QUYỀN PD</v>
          </cell>
        </row>
      </sheetData>
      <sheetData sheetId="5396">
        <row r="1">
          <cell r="A1" t="str">
            <v>PHIẾU XỬ LÝ HỒ SƠ THANH TOÁN VƯỢT THẨM QUYỀN PD</v>
          </cell>
        </row>
      </sheetData>
      <sheetData sheetId="5397">
        <row r="1">
          <cell r="A1" t="str">
            <v>PHIẾU XỬ LÝ HỒ SƠ THANH TOÁN VƯỢT THẨM QUYỀN PD</v>
          </cell>
        </row>
      </sheetData>
      <sheetData sheetId="5398">
        <row r="1">
          <cell r="A1" t="str">
            <v>PHIẾU XỬ LÝ HỒ SƠ THANH TOÁN VƯỢT THẨM QUYỀN PD</v>
          </cell>
        </row>
      </sheetData>
      <sheetData sheetId="5399">
        <row r="1">
          <cell r="A1" t="str">
            <v>PHIẾU XỬ LÝ HỒ SƠ THANH TOÁN VƯỢT THẨM QUYỀN PD</v>
          </cell>
        </row>
      </sheetData>
      <sheetData sheetId="5400">
        <row r="1">
          <cell r="A1" t="str">
            <v>PHIẾU XỬ LÝ HỒ SƠ THANH TOÁN VƯỢT THẨM QUYỀN PD</v>
          </cell>
        </row>
      </sheetData>
      <sheetData sheetId="5401">
        <row r="1">
          <cell r="A1" t="str">
            <v>PHIẾU XỬ LÝ HỒ SƠ THANH TOÁN VƯỢT THẨM QUYỀN PD</v>
          </cell>
        </row>
      </sheetData>
      <sheetData sheetId="5402">
        <row r="1">
          <cell r="A1" t="str">
            <v>PHIẾU XỬ LÝ HỒ SƠ THANH TOÁN VƯỢT THẨM QUYỀN PD</v>
          </cell>
        </row>
      </sheetData>
      <sheetData sheetId="5403">
        <row r="1">
          <cell r="A1" t="str">
            <v>PHIẾU XỬ LÝ HỒ SƠ THANH TOÁN VƯỢT THẨM QUYỀN PD</v>
          </cell>
        </row>
      </sheetData>
      <sheetData sheetId="5404">
        <row r="1">
          <cell r="A1" t="str">
            <v>PHIẾU XỬ LÝ HỒ SƠ THANH TOÁN VƯỢT THẨM QUYỀN PD</v>
          </cell>
        </row>
      </sheetData>
      <sheetData sheetId="5405">
        <row r="1">
          <cell r="A1" t="str">
            <v>PHIẾU XỬ LÝ HỒ SƠ THANH TOÁN VƯỢT THẨM QUYỀN PD</v>
          </cell>
        </row>
      </sheetData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>
        <row r="1">
          <cell r="A1" t="str">
            <v>PHIẾU XỬ LÝ HỒ SƠ THANH TOÁN VƯỢT THẨM QUYỀN PD</v>
          </cell>
        </row>
      </sheetData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>
        <row r="1">
          <cell r="A1" t="str">
            <v>PHIẾU XỬ LÝ HỒ SƠ THANH TOÁN VƯỢT THẨM QUYỀN PD</v>
          </cell>
        </row>
      </sheetData>
      <sheetData sheetId="5414">
        <row r="1">
          <cell r="A1" t="str">
            <v>PHIẾU XỬ LÝ HỒ SƠ THANH TOÁN VƯỢT THẨM QUYỀN PD</v>
          </cell>
        </row>
      </sheetData>
      <sheetData sheetId="5415">
        <row r="1">
          <cell r="A1" t="str">
            <v>PHIẾU XỬ LÝ HỒ SƠ THANH TOÁN VƯỢT THẨM QUYỀN PD</v>
          </cell>
        </row>
      </sheetData>
      <sheetData sheetId="5416">
        <row r="1">
          <cell r="A1" t="str">
            <v>PHIẾU XỬ LÝ HỒ SƠ THANH TOÁN VƯỢT THẨM QUYỀN PD</v>
          </cell>
        </row>
      </sheetData>
      <sheetData sheetId="5417">
        <row r="1">
          <cell r="A1" t="str">
            <v>PHIẾU XỬ LÝ HỒ SƠ THANH TOÁN VƯỢT THẨM QUYỀN PD</v>
          </cell>
        </row>
      </sheetData>
      <sheetData sheetId="5418">
        <row r="1">
          <cell r="A1" t="str">
            <v>PHIẾU XỬ LÝ HỒ SƠ THANH TOÁN VƯỢT THẨM QUYỀN PD</v>
          </cell>
        </row>
      </sheetData>
      <sheetData sheetId="5419">
        <row r="1">
          <cell r="A1" t="str">
            <v>PHIẾU XỬ LÝ HỒ SƠ THANH TOÁN VƯỢT THẨM QUYỀN PD</v>
          </cell>
        </row>
      </sheetData>
      <sheetData sheetId="5420">
        <row r="1">
          <cell r="A1" t="str">
            <v>PHIẾU XỬ LÝ HỒ SƠ THANH TOÁN VƯỢT THẨM QUYỀN PD</v>
          </cell>
        </row>
      </sheetData>
      <sheetData sheetId="5421">
        <row r="1">
          <cell r="A1" t="str">
            <v>PHIẾU XỬ LÝ HỒ SƠ THANH TOÁN VƯỢT THẨM QUYỀN PD</v>
          </cell>
        </row>
      </sheetData>
      <sheetData sheetId="5422">
        <row r="1">
          <cell r="A1" t="str">
            <v>PHIẾU XỬ LÝ HỒ SƠ THANH TOÁN VƯỢT THẨM QUYỀN PD</v>
          </cell>
        </row>
      </sheetData>
      <sheetData sheetId="5423">
        <row r="1">
          <cell r="A1" t="str">
            <v>PHIẾU XỬ LÝ HỒ SƠ THANH TOÁN VƯỢT THẨM QUYỀN PD</v>
          </cell>
        </row>
      </sheetData>
      <sheetData sheetId="5424">
        <row r="1">
          <cell r="A1" t="str">
            <v>PHIẾU XỬ LÝ HỒ SƠ THANH TOÁN VƯỢT THẨM QUYỀN PD</v>
          </cell>
        </row>
      </sheetData>
      <sheetData sheetId="5425">
        <row r="1">
          <cell r="A1" t="str">
            <v>PHIẾU XỬ LÝ HỒ SƠ THANH TOÁN VƯỢT THẨM QUYỀN PD</v>
          </cell>
        </row>
      </sheetData>
      <sheetData sheetId="5426">
        <row r="1">
          <cell r="A1" t="str">
            <v>PHIẾU XỬ LÝ HỒ SƠ THANH TOÁN VƯỢT THẨM QUYỀN PD</v>
          </cell>
        </row>
      </sheetData>
      <sheetData sheetId="5427">
        <row r="1">
          <cell r="A1" t="str">
            <v>PHIẾU XỬ LÝ HỒ SƠ THANH TOÁN VƯỢT THẨM QUYỀN PD</v>
          </cell>
        </row>
      </sheetData>
      <sheetData sheetId="5428">
        <row r="1">
          <cell r="A1" t="str">
            <v>PHIẾU XỬ LÝ HỒ SƠ THANH TOÁN VƯỢT THẨM QUYỀN PD</v>
          </cell>
        </row>
      </sheetData>
      <sheetData sheetId="5429">
        <row r="1">
          <cell r="A1" t="str">
            <v>PHIẾU XỬ LÝ HỒ SƠ THANH TOÁN VƯỢT THẨM QUYỀN PD</v>
          </cell>
        </row>
      </sheetData>
      <sheetData sheetId="5430">
        <row r="1">
          <cell r="A1" t="str">
            <v>PHIẾU XỬ LÝ HỒ SƠ THANH TOÁN VƯỢT THẨM QUYỀN PD</v>
          </cell>
        </row>
      </sheetData>
      <sheetData sheetId="5431">
        <row r="1">
          <cell r="A1" t="str">
            <v>PHIẾU XỬ LÝ HỒ SƠ THANH TOÁN VƯỢT THẨM QUYỀN PD</v>
          </cell>
        </row>
      </sheetData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>
        <row r="1">
          <cell r="A1" t="str">
            <v>PHIẾU XỬ LÝ HỒ SƠ THANH TOÁN VƯỢT THẨM QUYỀN PD</v>
          </cell>
        </row>
      </sheetData>
      <sheetData sheetId="5456">
        <row r="1">
          <cell r="A1" t="str">
            <v>PHIẾU XỬ LÝ HỒ SƠ THANH TOÁN VƯỢT THẨM QUYỀN PD</v>
          </cell>
        </row>
      </sheetData>
      <sheetData sheetId="5457">
        <row r="1">
          <cell r="A1" t="str">
            <v>PHIẾU XỬ LÝ HỒ SƠ THANH TOÁN VƯỢT THẨM QUYỀN PD</v>
          </cell>
        </row>
      </sheetData>
      <sheetData sheetId="5458">
        <row r="1">
          <cell r="A1" t="str">
            <v>PHIẾU XỬ LÝ HỒ SƠ THANH TOÁN VƯỢT THẨM QUYỀN PD</v>
          </cell>
        </row>
      </sheetData>
      <sheetData sheetId="5459">
        <row r="1">
          <cell r="A1" t="str">
            <v>PHIẾU XỬ LÝ HỒ SƠ THANH TOÁN VƯỢT THẨM QUYỀN PD</v>
          </cell>
        </row>
      </sheetData>
      <sheetData sheetId="5460">
        <row r="1">
          <cell r="A1" t="str">
            <v>PHIẾU XỬ LÝ HỒ SƠ THANH TOÁN VƯỢT THẨM QUYỀN PD</v>
          </cell>
        </row>
      </sheetData>
      <sheetData sheetId="5461">
        <row r="1">
          <cell r="A1" t="str">
            <v>PHIẾU XỬ LÝ HỒ SƠ THANH TOÁN VƯỢT THẨM QUYỀN PD</v>
          </cell>
        </row>
      </sheetData>
      <sheetData sheetId="5462">
        <row r="1">
          <cell r="A1" t="str">
            <v>PHIẾU XỬ LÝ HỒ SƠ THANH TOÁN VƯỢT THẨM QUYỀN PD</v>
          </cell>
        </row>
      </sheetData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>
        <row r="1">
          <cell r="A1" t="str">
            <v>PHIẾU XỬ LÝ HỒ SƠ THANH TOÁN VƯỢT THẨM QUYỀN PD</v>
          </cell>
        </row>
      </sheetData>
      <sheetData sheetId="5466">
        <row r="1">
          <cell r="A1" t="str">
            <v>PHIẾU XỬ LÝ HỒ SƠ THANH TOÁN VƯỢT THẨM QUYỀN PD</v>
          </cell>
        </row>
      </sheetData>
      <sheetData sheetId="5467">
        <row r="1">
          <cell r="A1" t="str">
            <v>PHIẾU XỬ LÝ HỒ SƠ THANH TOÁN VƯỢT THẨM QUYỀN PD</v>
          </cell>
        </row>
      </sheetData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/>
      <sheetData sheetId="5482" refreshError="1"/>
      <sheetData sheetId="5483" refreshError="1"/>
      <sheetData sheetId="5484" refreshError="1"/>
      <sheetData sheetId="5485" refreshError="1"/>
      <sheetData sheetId="5486">
        <row r="1">
          <cell r="A1" t="str">
            <v>PHIẾU XỬ LÝ HỒ SƠ THANH TOÁN VƯỢT THẨM QUYỀN PD</v>
          </cell>
        </row>
      </sheetData>
      <sheetData sheetId="5487">
        <row r="1">
          <cell r="A1" t="str">
            <v>PHIẾU XỬ LÝ HỒ SƠ THANH TOÁN VƯỢT THẨM QUYỀN PD</v>
          </cell>
        </row>
      </sheetData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>
        <row r="1">
          <cell r="A1" t="str">
            <v>PHIẾU XỬ LÝ HỒ SƠ THANH TOÁN VƯỢT THẨM QUYỀN PD</v>
          </cell>
        </row>
      </sheetData>
      <sheetData sheetId="5494">
        <row r="1">
          <cell r="A1" t="str">
            <v>PHIẾU XỬ LÝ HỒ SƠ THANH TOÁN VƯỢT THẨM QUYỀN PD</v>
          </cell>
        </row>
      </sheetData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>
        <row r="1">
          <cell r="A1" t="str">
            <v>PHIẾU XỬ LÝ HỒ SƠ THANH TOÁN VƯỢT THẨM QUYỀN PD</v>
          </cell>
        </row>
      </sheetData>
      <sheetData sheetId="5498">
        <row r="1">
          <cell r="A1" t="str">
            <v>PHIẾU XỬ LÝ HỒ SƠ THANH TOÁN VƯỢT THẨM QUYỀN PD</v>
          </cell>
        </row>
      </sheetData>
      <sheetData sheetId="5499">
        <row r="1">
          <cell r="A1" t="str">
            <v>PHIẾU XỬ LÝ HỒ SƠ THANH TOÁN VƯỢT THẨM QUYỀN PD</v>
          </cell>
        </row>
      </sheetData>
      <sheetData sheetId="5500">
        <row r="1">
          <cell r="A1" t="str">
            <v>PHIẾU XỬ LÝ HỒ SƠ THANH TOÁN VƯỢT THẨM QUYỀN PD</v>
          </cell>
        </row>
      </sheetData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>
        <row r="1">
          <cell r="A1" t="str">
            <v>PHIẾU XỬ LÝ HỒ SƠ THANH TOÁN VƯỢT THẨM QUYỀN PD</v>
          </cell>
        </row>
      </sheetData>
      <sheetData sheetId="5504">
        <row r="1">
          <cell r="A1" t="str">
            <v>PHIẾU XỬ LÝ HỒ SƠ THANH TOÁN VƯỢT THẨM QUYỀN PD</v>
          </cell>
        </row>
      </sheetData>
      <sheetData sheetId="5505">
        <row r="1">
          <cell r="A1" t="str">
            <v>PHIẾU XỬ LÝ HỒ SƠ THANH TOÁN VƯỢT THẨM QUYỀN PD</v>
          </cell>
        </row>
      </sheetData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>
        <row r="1">
          <cell r="A1" t="str">
            <v>PHIẾU XỬ LÝ HỒ SƠ THANH TOÁN VƯỢT THẨM QUYỀN PD</v>
          </cell>
        </row>
      </sheetData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>
        <row r="1">
          <cell r="A1" t="str">
            <v>PHIẾU XỬ LÝ HỒ SƠ THANH TOÁN VƯỢT THẨM QUYỀN PD</v>
          </cell>
        </row>
      </sheetData>
      <sheetData sheetId="5546">
        <row r="1">
          <cell r="A1" t="str">
            <v>PHIẾU XỬ LÝ HỒ SƠ THANH TOÁN VƯỢT THẨM QUYỀN PD</v>
          </cell>
        </row>
      </sheetData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>
        <row r="1">
          <cell r="A1" t="str">
            <v>PHIẾU XỬ LÝ HỒ SƠ THANH TOÁN VƯỢT THẨM QUYỀN PD</v>
          </cell>
        </row>
      </sheetData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>
        <row r="1">
          <cell r="A1" t="str">
            <v>PHIẾU XỬ LÝ HỒ SƠ THANH TOÁN VƯỢT THẨM QUYỀN PD</v>
          </cell>
        </row>
      </sheetData>
      <sheetData sheetId="5575">
        <row r="1">
          <cell r="A1" t="str">
            <v>PHIẾU XỬ LÝ HỒ SƠ THANH TOÁN VƯỢT THẨM QUYỀN PD</v>
          </cell>
        </row>
      </sheetData>
      <sheetData sheetId="5576">
        <row r="1">
          <cell r="A1" t="str">
            <v>PHIẾU XỬ LÝ HỒ SƠ THANH TOÁN VƯỢT THẨM QUYỀN PD</v>
          </cell>
        </row>
      </sheetData>
      <sheetData sheetId="5577">
        <row r="1">
          <cell r="A1" t="str">
            <v>PHIẾU XỬ LÝ HỒ SƠ THANH TOÁN VƯỢT THẨM QUYỀN PD</v>
          </cell>
        </row>
      </sheetData>
      <sheetData sheetId="5578">
        <row r="1">
          <cell r="A1" t="str">
            <v>PHIẾU XỬ LÝ HỒ SƠ THANH TOÁN VƯỢT THẨM QUYỀN PD</v>
          </cell>
        </row>
      </sheetData>
      <sheetData sheetId="5579">
        <row r="1">
          <cell r="A1" t="str">
            <v>PHIẾU XỬ LÝ HỒ SƠ THANH TOÁN VƯỢT THẨM QUYỀN PD</v>
          </cell>
        </row>
      </sheetData>
      <sheetData sheetId="5580">
        <row r="1">
          <cell r="A1" t="str">
            <v>PHIẾU XỬ LÝ HỒ SƠ THANH TOÁN VƯỢT THẨM QUYỀN PD</v>
          </cell>
        </row>
      </sheetData>
      <sheetData sheetId="5581">
        <row r="1">
          <cell r="A1" t="str">
            <v>PHIẾU XỬ LÝ HỒ SƠ THANH TOÁN VƯỢT THẨM QUYỀN PD</v>
          </cell>
        </row>
      </sheetData>
      <sheetData sheetId="5582">
        <row r="1">
          <cell r="A1" t="str">
            <v>PHIẾU XỬ LÝ HỒ SƠ THANH TOÁN VƯỢT THẨM QUYỀN PD</v>
          </cell>
        </row>
      </sheetData>
      <sheetData sheetId="5583">
        <row r="1">
          <cell r="A1" t="str">
            <v>PHIẾU XỬ LÝ HỒ SƠ THANH TOÁN VƯỢT THẨM QUYỀN PD</v>
          </cell>
        </row>
      </sheetData>
      <sheetData sheetId="5584">
        <row r="1">
          <cell r="A1" t="str">
            <v>PHIẾU XỬ LÝ HỒ SƠ THANH TOÁN VƯỢT THẨM QUYỀN PD</v>
          </cell>
        </row>
      </sheetData>
      <sheetData sheetId="5585">
        <row r="1">
          <cell r="A1" t="str">
            <v>PHIẾU XỬ LÝ HỒ SƠ THANH TOÁN VƯỢT THẨM QUYỀN PD</v>
          </cell>
        </row>
      </sheetData>
      <sheetData sheetId="5586">
        <row r="1">
          <cell r="A1" t="str">
            <v>PHIẾU XỬ LÝ HỒ SƠ THANH TOÁN VƯỢT THẨM QUYỀN PD</v>
          </cell>
        </row>
      </sheetData>
      <sheetData sheetId="5587">
        <row r="1">
          <cell r="A1" t="str">
            <v>PHIẾU XỬ LÝ HỒ SƠ THANH TOÁN VƯỢT THẨM QUYỀN PD</v>
          </cell>
        </row>
      </sheetData>
      <sheetData sheetId="5588">
        <row r="1">
          <cell r="A1" t="str">
            <v>PHIẾU XỬ LÝ HỒ SƠ THANH TOÁN VƯỢT THẨM QUYỀN PD</v>
          </cell>
        </row>
      </sheetData>
      <sheetData sheetId="5589">
        <row r="1">
          <cell r="A1" t="str">
            <v>PHIẾU XỬ LÝ HỒ SƠ THANH TOÁN VƯỢT THẨM QUYỀN PD</v>
          </cell>
        </row>
      </sheetData>
      <sheetData sheetId="5590">
        <row r="1">
          <cell r="A1" t="str">
            <v>PHIẾU XỬ LÝ HỒ SƠ THANH TOÁN VƯỢT THẨM QUYỀN PD</v>
          </cell>
        </row>
      </sheetData>
      <sheetData sheetId="5591">
        <row r="1">
          <cell r="A1" t="str">
            <v>PHIẾU XỬ LÝ HỒ SƠ THANH TOÁN VƯỢT THẨM QUYỀN PD</v>
          </cell>
        </row>
      </sheetData>
      <sheetData sheetId="5592">
        <row r="1">
          <cell r="A1" t="str">
            <v>PHIẾU XỬ LÝ HỒ SƠ THANH TOÁN VƯỢT THẨM QUYỀN PD</v>
          </cell>
        </row>
      </sheetData>
      <sheetData sheetId="5593">
        <row r="1">
          <cell r="A1" t="str">
            <v>PHIẾU XỬ LÝ HỒ SƠ THANH TOÁN VƯỢT THẨM QUYỀN PD</v>
          </cell>
        </row>
      </sheetData>
      <sheetData sheetId="5594">
        <row r="1">
          <cell r="A1" t="str">
            <v>PHIẾU XỬ LÝ HỒ SƠ THANH TOÁN VƯỢT THẨM QUYỀN PD</v>
          </cell>
        </row>
      </sheetData>
      <sheetData sheetId="5595">
        <row r="1">
          <cell r="A1" t="str">
            <v>PHIẾU XỬ LÝ HỒ SƠ THANH TOÁN VƯỢT THẨM QUYỀN PD</v>
          </cell>
        </row>
      </sheetData>
      <sheetData sheetId="5596">
        <row r="1">
          <cell r="A1" t="str">
            <v>PHIẾU XỬ LÝ HỒ SƠ THANH TOÁN VƯỢT THẨM QUYỀN PD</v>
          </cell>
        </row>
      </sheetData>
      <sheetData sheetId="5597">
        <row r="1">
          <cell r="A1" t="str">
            <v>PHIẾU XỬ LÝ HỒ SƠ THANH TOÁN VƯỢT THẨM QUYỀN PD</v>
          </cell>
        </row>
      </sheetData>
      <sheetData sheetId="5598">
        <row r="1">
          <cell r="A1" t="str">
            <v>PHIẾU XỬ LÝ HỒ SƠ THANH TOÁN VƯỢT THẨM QUYỀN PD</v>
          </cell>
        </row>
      </sheetData>
      <sheetData sheetId="5599">
        <row r="1">
          <cell r="A1" t="str">
            <v>PHIẾU XỬ LÝ HỒ SƠ THANH TOÁN VƯỢT THẨM QUYỀN PD</v>
          </cell>
        </row>
      </sheetData>
      <sheetData sheetId="5600">
        <row r="1">
          <cell r="A1" t="str">
            <v>PHIẾU XỬ LÝ HỒ SƠ THANH TOÁN VƯỢT THẨM QUYỀN PD</v>
          </cell>
        </row>
      </sheetData>
      <sheetData sheetId="5601">
        <row r="1">
          <cell r="A1" t="str">
            <v>PHIẾU XỬ LÝ HỒ SƠ THANH TOÁN VƯỢT THẨM QUYỀN PD</v>
          </cell>
        </row>
      </sheetData>
      <sheetData sheetId="5602">
        <row r="1">
          <cell r="A1" t="str">
            <v>PHIẾU XỬ LÝ HỒ SƠ THANH TOÁN VƯỢT THẨM QUYỀN PD</v>
          </cell>
        </row>
      </sheetData>
      <sheetData sheetId="5603">
        <row r="1">
          <cell r="A1" t="str">
            <v>PHIẾU XỬ LÝ HỒ SƠ THANH TOÁN VƯỢT THẨM QUYỀN PD</v>
          </cell>
        </row>
      </sheetData>
      <sheetData sheetId="5604">
        <row r="1">
          <cell r="A1" t="str">
            <v>PHIẾU XỬ LÝ HỒ SƠ THANH TOÁN VƯỢT THẨM QUYỀN PD</v>
          </cell>
        </row>
      </sheetData>
      <sheetData sheetId="5605">
        <row r="1">
          <cell r="A1" t="str">
            <v>PHIẾU XỬ LÝ HỒ SƠ THANH TOÁN VƯỢT THẨM QUYỀN PD</v>
          </cell>
        </row>
      </sheetData>
      <sheetData sheetId="5606">
        <row r="1">
          <cell r="A1" t="str">
            <v>PHIẾU XỬ LÝ HỒ SƠ THANH TOÁN VƯỢT THẨM QUYỀN PD</v>
          </cell>
        </row>
      </sheetData>
      <sheetData sheetId="5607">
        <row r="1">
          <cell r="A1" t="str">
            <v>PHIẾU XỬ LÝ HỒ SƠ THANH TOÁN VƯỢT THẨM QUYỀN PD</v>
          </cell>
        </row>
      </sheetData>
      <sheetData sheetId="5608">
        <row r="1">
          <cell r="A1" t="str">
            <v>PHIẾU XỬ LÝ HỒ SƠ THANH TOÁN VƯỢT THẨM QUYỀN PD</v>
          </cell>
        </row>
      </sheetData>
      <sheetData sheetId="5609">
        <row r="1">
          <cell r="A1" t="str">
            <v>PHIẾU XỬ LÝ HỒ SƠ THANH TOÁN VƯỢT THẨM QUYỀN PD</v>
          </cell>
        </row>
      </sheetData>
      <sheetData sheetId="5610">
        <row r="1">
          <cell r="A1" t="str">
            <v>PHIẾU XỬ LÝ HỒ SƠ THANH TOÁN VƯỢT THẨM QUYỀN PD</v>
          </cell>
        </row>
      </sheetData>
      <sheetData sheetId="5611">
        <row r="1">
          <cell r="A1" t="str">
            <v>PHIẾU XỬ LÝ HỒ SƠ THANH TOÁN VƯỢT THẨM QUYỀN PD</v>
          </cell>
        </row>
      </sheetData>
      <sheetData sheetId="5612">
        <row r="1">
          <cell r="A1" t="str">
            <v>PHIẾU XỬ LÝ HỒ SƠ THANH TOÁN VƯỢT THẨM QUYỀN PD</v>
          </cell>
        </row>
      </sheetData>
      <sheetData sheetId="5613">
        <row r="1">
          <cell r="A1" t="str">
            <v>PHIẾU XỬ LÝ HỒ SƠ THANH TOÁN VƯỢT THẨM QUYỀN PD</v>
          </cell>
        </row>
      </sheetData>
      <sheetData sheetId="5614">
        <row r="1">
          <cell r="A1" t="str">
            <v>PHIẾU XỬ LÝ HỒ SƠ THANH TOÁN VƯỢT THẨM QUYỀN PD</v>
          </cell>
        </row>
      </sheetData>
      <sheetData sheetId="5615">
        <row r="1">
          <cell r="A1" t="str">
            <v>PHIẾU XỬ LÝ HỒ SƠ THANH TOÁN VƯỢT THẨM QUYỀN PD</v>
          </cell>
        </row>
      </sheetData>
      <sheetData sheetId="5616">
        <row r="1">
          <cell r="A1" t="str">
            <v>PHIẾU XỬ LÝ HỒ SƠ THANH TOÁN VƯỢT THẨM QUYỀN PD</v>
          </cell>
        </row>
      </sheetData>
      <sheetData sheetId="5617">
        <row r="1">
          <cell r="A1" t="str">
            <v>PHIẾU XỬ LÝ HỒ SƠ THANH TOÁN VƯỢT THẨM QUYỀN PD</v>
          </cell>
        </row>
      </sheetData>
      <sheetData sheetId="5618">
        <row r="1">
          <cell r="A1" t="str">
            <v>PHIẾU XỬ LÝ HỒ SƠ THANH TOÁN VƯỢT THẨM QUYỀN PD</v>
          </cell>
        </row>
      </sheetData>
      <sheetData sheetId="5619">
        <row r="1">
          <cell r="A1" t="str">
            <v>PHIẾU XỬ LÝ HỒ SƠ THANH TOÁN VƯỢT THẨM QUYỀN PD</v>
          </cell>
        </row>
      </sheetData>
      <sheetData sheetId="5620">
        <row r="1">
          <cell r="A1" t="str">
            <v>PHIẾU XỬ LÝ HỒ SƠ THANH TOÁN VƯỢT THẨM QUYỀN PD</v>
          </cell>
        </row>
      </sheetData>
      <sheetData sheetId="5621">
        <row r="1">
          <cell r="A1" t="str">
            <v>PHIẾU XỬ LÝ HỒ SƠ THANH TOÁN VƯỢT THẨM QUYỀN PD</v>
          </cell>
        </row>
      </sheetData>
      <sheetData sheetId="5622">
        <row r="1">
          <cell r="A1" t="str">
            <v>PHIẾU XỬ LÝ HỒ SƠ THANH TOÁN VƯỢT THẨM QUYỀN PD</v>
          </cell>
        </row>
      </sheetData>
      <sheetData sheetId="5623">
        <row r="1">
          <cell r="A1" t="str">
            <v>PHIẾU XỬ LÝ HỒ SƠ THANH TOÁN VƯỢT THẨM QUYỀN PD</v>
          </cell>
        </row>
      </sheetData>
      <sheetData sheetId="5624">
        <row r="1">
          <cell r="A1" t="str">
            <v>PHIẾU XỬ LÝ HỒ SƠ THANH TOÁN VƯỢT THẨM QUYỀN PD</v>
          </cell>
        </row>
      </sheetData>
      <sheetData sheetId="5625">
        <row r="1">
          <cell r="A1" t="str">
            <v>PHIẾU XỬ LÝ HỒ SƠ THANH TOÁN VƯỢT THẨM QUYỀN PD</v>
          </cell>
        </row>
      </sheetData>
      <sheetData sheetId="5626">
        <row r="1">
          <cell r="A1" t="str">
            <v>PHIẾU XỬ LÝ HỒ SƠ THANH TOÁN VƯỢT THẨM QUYỀN PD</v>
          </cell>
        </row>
      </sheetData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 refreshError="1"/>
      <sheetData sheetId="5666" refreshError="1"/>
      <sheetData sheetId="5667">
        <row r="1">
          <cell r="A1" t="str">
            <v>PHIẾU XỬ LÝ HỒ SƠ THANH TOÁN VƯỢT THẨM QUYỀN PD</v>
          </cell>
        </row>
      </sheetData>
      <sheetData sheetId="5668" refreshError="1"/>
      <sheetData sheetId="5669">
        <row r="1">
          <cell r="A1" t="str">
            <v>PHIẾU XỬ LÝ HỒ SƠ THANH TOÁN VƯỢT THẨM QUYỀN PD</v>
          </cell>
        </row>
      </sheetData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>
        <row r="1">
          <cell r="A1" t="str">
            <v>PHIẾU XỬ LÝ HỒ SƠ THANH TOÁN VƯỢT THẨM QUYỀN PD</v>
          </cell>
        </row>
      </sheetData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>
        <row r="1">
          <cell r="A1" t="str">
            <v>PHIẾU XỬ LÝ HỒ SƠ THANH TOÁN VƯỢT THẨM QUYỀN PD</v>
          </cell>
        </row>
      </sheetData>
      <sheetData sheetId="5901">
        <row r="1">
          <cell r="A1" t="str">
            <v>PHIẾU XỬ LÝ HỒ SƠ THANH TOÁN VƯỢT THẨM QUYỀN PD</v>
          </cell>
        </row>
      </sheetData>
      <sheetData sheetId="5902">
        <row r="1">
          <cell r="A1" t="str">
            <v>PHIẾU XỬ LÝ HỒ SƠ THANH TOÁN VƯỢT THẨM QUYỀN PD</v>
          </cell>
        </row>
      </sheetData>
      <sheetData sheetId="5903">
        <row r="1">
          <cell r="A1" t="str">
            <v>PHIẾU XỬ LÝ HỒ SƠ THANH TOÁN VƯỢT THẨM QUYỀN PD</v>
          </cell>
        </row>
      </sheetData>
      <sheetData sheetId="5904">
        <row r="1">
          <cell r="A1" t="str">
            <v>PHIẾU XỬ LÝ HỒ SƠ THANH TOÁN VƯỢT THẨM QUYỀN PD</v>
          </cell>
        </row>
      </sheetData>
      <sheetData sheetId="5905">
        <row r="1">
          <cell r="A1" t="str">
            <v>PHIẾU XỬ LÝ HỒ SƠ THANH TOÁN VƯỢT THẨM QUYỀN PD</v>
          </cell>
        </row>
      </sheetData>
      <sheetData sheetId="5906">
        <row r="1">
          <cell r="A1" t="str">
            <v>PHIẾU XỬ LÝ HỒ SƠ THANH TOÁN VƯỢT THẨM QUYỀN PD</v>
          </cell>
        </row>
      </sheetData>
      <sheetData sheetId="5907">
        <row r="1">
          <cell r="A1" t="str">
            <v>PHIẾU XỬ LÝ HỒ SƠ THANH TOÁN VƯỢT THẨM QUYỀN PD</v>
          </cell>
        </row>
      </sheetData>
      <sheetData sheetId="5908">
        <row r="1">
          <cell r="A1" t="str">
            <v>PHIẾU XỬ LÝ HỒ SƠ THANH TOÁN VƯỢT THẨM QUYỀN PD</v>
          </cell>
        </row>
      </sheetData>
      <sheetData sheetId="5909">
        <row r="1">
          <cell r="A1" t="str">
            <v>PHIẾU XỬ LÝ HỒ SƠ THANH TOÁN VƯỢT THẨM QUYỀN PD</v>
          </cell>
        </row>
      </sheetData>
      <sheetData sheetId="5910">
        <row r="1">
          <cell r="A1" t="str">
            <v>PHIẾU XỬ LÝ HỒ SƠ THANH TOÁN VƯỢT THẨM QUYỀN PD</v>
          </cell>
        </row>
      </sheetData>
      <sheetData sheetId="5911">
        <row r="1">
          <cell r="A1" t="str">
            <v>PHIẾU XỬ LÝ HỒ SƠ THANH TOÁN VƯỢT THẨM QUYỀN PD</v>
          </cell>
        </row>
      </sheetData>
      <sheetData sheetId="5912">
        <row r="1">
          <cell r="A1" t="str">
            <v>PHIẾU XỬ LÝ HỒ SƠ THANH TOÁN VƯỢT THẨM QUYỀN PD</v>
          </cell>
        </row>
      </sheetData>
      <sheetData sheetId="5913">
        <row r="1">
          <cell r="A1" t="str">
            <v>PHIẾU XỬ LÝ HỒ SƠ THANH TOÁN VƯỢT THẨM QUYỀN PD</v>
          </cell>
        </row>
      </sheetData>
      <sheetData sheetId="5914">
        <row r="1">
          <cell r="A1" t="str">
            <v>PHIẾU XỬ LÝ HỒ SƠ THANH TOÁN VƯỢT THẨM QUYỀN PD</v>
          </cell>
        </row>
      </sheetData>
      <sheetData sheetId="5915">
        <row r="1">
          <cell r="A1" t="str">
            <v>PHIẾU XỬ LÝ HỒ SƠ THANH TOÁN VƯỢT THẨM QUYỀN PD</v>
          </cell>
        </row>
      </sheetData>
      <sheetData sheetId="5916">
        <row r="1">
          <cell r="A1" t="str">
            <v>PHIẾU XỬ LÝ HỒ SƠ THANH TOÁN VƯỢT THẨM QUYỀN PD</v>
          </cell>
        </row>
      </sheetData>
      <sheetData sheetId="5917">
        <row r="1">
          <cell r="A1" t="str">
            <v>PHIẾU XỬ LÝ HỒ SƠ THANH TOÁN VƯỢT THẨM QUYỀN PD</v>
          </cell>
        </row>
      </sheetData>
      <sheetData sheetId="5918">
        <row r="1">
          <cell r="A1" t="str">
            <v>PHIẾU XỬ LÝ HỒ SƠ THANH TOÁN VƯỢT THẨM QUYỀN PD</v>
          </cell>
        </row>
      </sheetData>
      <sheetData sheetId="5919">
        <row r="1">
          <cell r="A1" t="str">
            <v>PHIẾU XỬ LÝ HỒ SƠ THANH TOÁN VƯỢT THẨM QUYỀN PD</v>
          </cell>
        </row>
      </sheetData>
      <sheetData sheetId="5920">
        <row r="1">
          <cell r="A1" t="str">
            <v>PHIẾU XỬ LÝ HỒ SƠ THANH TOÁN VƯỢT THẨM QUYỀN PD</v>
          </cell>
        </row>
      </sheetData>
      <sheetData sheetId="5921">
        <row r="1">
          <cell r="A1" t="str">
            <v>PHIẾU XỬ LÝ HỒ SƠ THANH TOÁN VƯỢT THẨM QUYỀN PD</v>
          </cell>
        </row>
      </sheetData>
      <sheetData sheetId="5922">
        <row r="1">
          <cell r="A1" t="str">
            <v>PHIẾU XỬ LÝ HỒ SƠ THANH TOÁN VƯỢT THẨM QUYỀN PD</v>
          </cell>
        </row>
      </sheetData>
      <sheetData sheetId="5923">
        <row r="1">
          <cell r="A1" t="str">
            <v>PHIẾU XỬ LÝ HỒ SƠ THANH TOÁN VƯỢT THẨM QUYỀN PD</v>
          </cell>
        </row>
      </sheetData>
      <sheetData sheetId="5924">
        <row r="1">
          <cell r="A1" t="str">
            <v>PHIẾU XỬ LÝ HỒ SƠ THANH TOÁN VƯỢT THẨM QUYỀN PD</v>
          </cell>
        </row>
      </sheetData>
      <sheetData sheetId="5925">
        <row r="1">
          <cell r="A1" t="str">
            <v>PHIẾU XỬ LÝ HỒ SƠ THANH TOÁN VƯỢT THẨM QUYỀN PD</v>
          </cell>
        </row>
      </sheetData>
      <sheetData sheetId="5926">
        <row r="1">
          <cell r="A1" t="str">
            <v>PHIẾU XỬ LÝ HỒ SƠ THANH TOÁN VƯỢT THẨM QUYỀN PD</v>
          </cell>
        </row>
      </sheetData>
      <sheetData sheetId="5927">
        <row r="1">
          <cell r="A1" t="str">
            <v>PHIẾU XỬ LÝ HỒ SƠ THANH TOÁN VƯỢT THẨM QUYỀN PD</v>
          </cell>
        </row>
      </sheetData>
      <sheetData sheetId="5928">
        <row r="1">
          <cell r="A1" t="str">
            <v>PHIẾU XỬ LÝ HỒ SƠ THANH TOÁN VƯỢT THẨM QUYỀN PD</v>
          </cell>
        </row>
      </sheetData>
      <sheetData sheetId="5929">
        <row r="1">
          <cell r="A1" t="str">
            <v>PHIẾU XỬ LÝ HỒ SƠ THANH TOÁN VƯỢT THẨM QUYỀN PD</v>
          </cell>
        </row>
      </sheetData>
      <sheetData sheetId="5930">
        <row r="1">
          <cell r="A1" t="str">
            <v>PHIẾU XỬ LÝ HỒ SƠ THANH TOÁN VƯỢT THẨM QUYỀN PD</v>
          </cell>
        </row>
      </sheetData>
      <sheetData sheetId="5931">
        <row r="1">
          <cell r="A1" t="str">
            <v>PHIẾU XỬ LÝ HỒ SƠ THANH TOÁN VƯỢT THẨM QUYỀN PD</v>
          </cell>
        </row>
      </sheetData>
      <sheetData sheetId="5932">
        <row r="1">
          <cell r="A1" t="str">
            <v>PHIẾU XỬ LÝ HỒ SƠ THANH TOÁN VƯỢT THẨM QUYỀN PD</v>
          </cell>
        </row>
      </sheetData>
      <sheetData sheetId="5933">
        <row r="1">
          <cell r="A1" t="str">
            <v>PHIẾU XỬ LÝ HỒ SƠ THANH TOÁN VƯỢT THẨM QUYỀN PD</v>
          </cell>
        </row>
      </sheetData>
      <sheetData sheetId="5934">
        <row r="1">
          <cell r="A1" t="str">
            <v>PHIẾU XỬ LÝ HỒ SƠ THANH TOÁN VƯỢT THẨM QUYỀN PD</v>
          </cell>
        </row>
      </sheetData>
      <sheetData sheetId="5935">
        <row r="1">
          <cell r="A1" t="str">
            <v>PHIẾU XỬ LÝ HỒ SƠ THANH TOÁN VƯỢT THẨM QUYỀN PD</v>
          </cell>
        </row>
      </sheetData>
      <sheetData sheetId="5936">
        <row r="1">
          <cell r="A1" t="str">
            <v>PHIẾU XỬ LÝ HỒ SƠ THANH TOÁN VƯỢT THẨM QUYỀN PD</v>
          </cell>
        </row>
      </sheetData>
      <sheetData sheetId="5937">
        <row r="1">
          <cell r="A1" t="str">
            <v>PHIẾU XỬ LÝ HỒ SƠ THANH TOÁN VƯỢT THẨM QUYỀN PD</v>
          </cell>
        </row>
      </sheetData>
      <sheetData sheetId="5938">
        <row r="1">
          <cell r="A1" t="str">
            <v>PHIẾU XỬ LÝ HỒ SƠ THANH TOÁN VƯỢT THẨM QUYỀN PD</v>
          </cell>
        </row>
      </sheetData>
      <sheetData sheetId="5939">
        <row r="1">
          <cell r="A1" t="str">
            <v>PHIẾU XỬ LÝ HỒ SƠ THANH TOÁN VƯỢT THẨM QUYỀN PD</v>
          </cell>
        </row>
      </sheetData>
      <sheetData sheetId="5940">
        <row r="1">
          <cell r="A1" t="str">
            <v>PHIẾU XỬ LÝ HỒ SƠ THANH TOÁN VƯỢT THẨM QUYỀN PD</v>
          </cell>
        </row>
      </sheetData>
      <sheetData sheetId="5941">
        <row r="1">
          <cell r="A1" t="str">
            <v>PHIẾU XỬ LÝ HỒ SƠ THANH TOÁN VƯỢT THẨM QUYỀN PD</v>
          </cell>
        </row>
      </sheetData>
      <sheetData sheetId="5942">
        <row r="1">
          <cell r="A1" t="str">
            <v>PHIẾU XỬ LÝ HỒ SƠ THANH TOÁN VƯỢT THẨM QUYỀN PD</v>
          </cell>
        </row>
      </sheetData>
      <sheetData sheetId="5943">
        <row r="1">
          <cell r="A1" t="str">
            <v>PHIẾU XỬ LÝ HỒ SƠ THANH TOÁN VƯỢT THẨM QUYỀN PD</v>
          </cell>
        </row>
      </sheetData>
      <sheetData sheetId="5944">
        <row r="1">
          <cell r="A1" t="str">
            <v>PHIẾU XỬ LÝ HỒ SƠ THANH TOÁN VƯỢT THẨM QUYỀN PD</v>
          </cell>
        </row>
      </sheetData>
      <sheetData sheetId="5945">
        <row r="1">
          <cell r="A1" t="str">
            <v>PHIẾU XỬ LÝ HỒ SƠ THANH TOÁN VƯỢT THẨM QUYỀN PD</v>
          </cell>
        </row>
      </sheetData>
      <sheetData sheetId="5946">
        <row r="1">
          <cell r="A1" t="str">
            <v>PHIẾU XỬ LÝ HỒ SƠ THANH TOÁN VƯỢT THẨM QUYỀN PD</v>
          </cell>
        </row>
      </sheetData>
      <sheetData sheetId="5947">
        <row r="1">
          <cell r="A1" t="str">
            <v>PHIẾU XỬ LÝ HỒ SƠ THANH TOÁN VƯỢT THẨM QUYỀN PD</v>
          </cell>
        </row>
      </sheetData>
      <sheetData sheetId="5948">
        <row r="1">
          <cell r="A1" t="str">
            <v>PHIẾU XỬ LÝ HỒ SƠ THANH TOÁN VƯỢT THẨM QUYỀN PD</v>
          </cell>
        </row>
      </sheetData>
      <sheetData sheetId="5949">
        <row r="1">
          <cell r="A1" t="str">
            <v>PHIẾU XỬ LÝ HỒ SƠ THANH TOÁN VƯỢT THẨM QUYỀN PD</v>
          </cell>
        </row>
      </sheetData>
      <sheetData sheetId="5950">
        <row r="1">
          <cell r="A1" t="str">
            <v>PHIẾU XỬ LÝ HỒ SƠ THANH TOÁN VƯỢT THẨM QUYỀN PD</v>
          </cell>
        </row>
      </sheetData>
      <sheetData sheetId="5951">
        <row r="1">
          <cell r="A1" t="str">
            <v>PHIẾU XỬ LÝ HỒ SƠ THANH TOÁN VƯỢT THẨM QUYỀN PD</v>
          </cell>
        </row>
      </sheetData>
      <sheetData sheetId="5952">
        <row r="1">
          <cell r="A1" t="str">
            <v>PHIẾU XỬ LÝ HỒ SƠ THANH TOÁN VƯỢT THẨM QUYỀN PD</v>
          </cell>
        </row>
      </sheetData>
      <sheetData sheetId="5953">
        <row r="1">
          <cell r="A1" t="str">
            <v>PHIẾU XỬ LÝ HỒ SƠ THANH TOÁN VƯỢT THẨM QUYỀN PD</v>
          </cell>
        </row>
      </sheetData>
      <sheetData sheetId="5954">
        <row r="1">
          <cell r="A1" t="str">
            <v>PHIẾU XỬ LÝ HỒ SƠ THANH TOÁN VƯỢT THẨM QUYỀN PD</v>
          </cell>
        </row>
      </sheetData>
      <sheetData sheetId="5955">
        <row r="1">
          <cell r="A1" t="str">
            <v>PHIẾU XỬ LÝ HỒ SƠ THANH TOÁN VƯỢT THẨM QUYỀN PD</v>
          </cell>
        </row>
      </sheetData>
      <sheetData sheetId="5956">
        <row r="1">
          <cell r="A1" t="str">
            <v>PHIẾU XỬ LÝ HỒ SƠ THANH TOÁN VƯỢT THẨM QUYỀN PD</v>
          </cell>
        </row>
      </sheetData>
      <sheetData sheetId="5957">
        <row r="1">
          <cell r="A1" t="str">
            <v>PHIẾU XỬ LÝ HỒ SƠ THANH TOÁN VƯỢT THẨM QUYỀN PD</v>
          </cell>
        </row>
      </sheetData>
      <sheetData sheetId="5958">
        <row r="1">
          <cell r="A1" t="str">
            <v>PHIẾU XỬ LÝ HỒ SƠ THANH TOÁN VƯỢT THẨM QUYỀN PD</v>
          </cell>
        </row>
      </sheetData>
      <sheetData sheetId="5959">
        <row r="1">
          <cell r="A1" t="str">
            <v>PHIẾU XỬ LÝ HỒ SƠ THANH TOÁN VƯỢT THẨM QUYỀN PD</v>
          </cell>
        </row>
      </sheetData>
      <sheetData sheetId="5960">
        <row r="1">
          <cell r="A1" t="str">
            <v>PHIẾU XỬ LÝ HỒ SƠ THANH TOÁN VƯỢT THẨM QUYỀN PD</v>
          </cell>
        </row>
      </sheetData>
      <sheetData sheetId="5961">
        <row r="1">
          <cell r="A1" t="str">
            <v>PHIẾU XỬ LÝ HỒ SƠ THANH TOÁN VƯỢT THẨM QUYỀN PD</v>
          </cell>
        </row>
      </sheetData>
      <sheetData sheetId="5962">
        <row r="1">
          <cell r="A1" t="str">
            <v>PHIẾU XỬ LÝ HỒ SƠ THANH TOÁN VƯỢT THẨM QUYỀN PD</v>
          </cell>
        </row>
      </sheetData>
      <sheetData sheetId="5963">
        <row r="1">
          <cell r="A1" t="str">
            <v>PHIẾU XỬ LÝ HỒ SƠ THANH TOÁN VƯỢT THẨM QUYỀN PD</v>
          </cell>
        </row>
      </sheetData>
      <sheetData sheetId="5964">
        <row r="1">
          <cell r="A1" t="str">
            <v>PHIẾU XỬ LÝ HỒ SƠ THANH TOÁN VƯỢT THẨM QUYỀN PD</v>
          </cell>
        </row>
      </sheetData>
      <sheetData sheetId="5965">
        <row r="1">
          <cell r="A1" t="str">
            <v>PHIẾU XỬ LÝ HỒ SƠ THANH TOÁN VƯỢT THẨM QUYỀN PD</v>
          </cell>
        </row>
      </sheetData>
      <sheetData sheetId="5966">
        <row r="1">
          <cell r="A1" t="str">
            <v>PHIẾU XỬ LÝ HỒ SƠ THANH TOÁN VƯỢT THẨM QUYỀN PD</v>
          </cell>
        </row>
      </sheetData>
      <sheetData sheetId="5967">
        <row r="1">
          <cell r="A1" t="str">
            <v>PHIẾU XỬ LÝ HỒ SƠ THANH TOÁN VƯỢT THẨM QUYỀN PD</v>
          </cell>
        </row>
      </sheetData>
      <sheetData sheetId="5968">
        <row r="1">
          <cell r="A1" t="str">
            <v>PHIẾU XỬ LÝ HỒ SƠ THANH TOÁN VƯỢT THẨM QUYỀN PD</v>
          </cell>
        </row>
      </sheetData>
      <sheetData sheetId="5969">
        <row r="1">
          <cell r="A1" t="str">
            <v>PHIẾU XỬ LÝ HỒ SƠ THANH TOÁN VƯỢT THẨM QUYỀN PD</v>
          </cell>
        </row>
      </sheetData>
      <sheetData sheetId="5970">
        <row r="1">
          <cell r="A1" t="str">
            <v>PHIẾU XỬ LÝ HỒ SƠ THANH TOÁN VƯỢT THẨM QUYỀN PD</v>
          </cell>
        </row>
      </sheetData>
      <sheetData sheetId="5971">
        <row r="1">
          <cell r="A1" t="str">
            <v>PHIẾU XỬ LÝ HỒ SƠ THANH TOÁN VƯỢT THẨM QUYỀN PD</v>
          </cell>
        </row>
      </sheetData>
      <sheetData sheetId="5972">
        <row r="1">
          <cell r="A1" t="str">
            <v>PHIẾU XỬ LÝ HỒ SƠ THANH TOÁN VƯỢT THẨM QUYỀN PD</v>
          </cell>
        </row>
      </sheetData>
      <sheetData sheetId="5973">
        <row r="1">
          <cell r="A1" t="str">
            <v>PHIẾU XỬ LÝ HỒ SƠ THANH TOÁN VƯỢT THẨM QUYỀN PD</v>
          </cell>
        </row>
      </sheetData>
      <sheetData sheetId="5974">
        <row r="1">
          <cell r="A1" t="str">
            <v>PHIẾU XỬ LÝ HỒ SƠ THANH TOÁN VƯỢT THẨM QUYỀN PD</v>
          </cell>
        </row>
      </sheetData>
      <sheetData sheetId="5975">
        <row r="1">
          <cell r="A1" t="str">
            <v>PHIẾU XỬ LÝ HỒ SƠ THANH TOÁN VƯỢT THẨM QUYỀN PD</v>
          </cell>
        </row>
      </sheetData>
      <sheetData sheetId="5976">
        <row r="1">
          <cell r="A1" t="str">
            <v>PHIẾU XỬ LÝ HỒ SƠ THANH TOÁN VƯỢT THẨM QUYỀN PD</v>
          </cell>
        </row>
      </sheetData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>
        <row r="1">
          <cell r="A1" t="str">
            <v>PHIẾU XỬ LÝ HỒ SƠ THANH TOÁN VƯỢT THẨM QUYỀN PD</v>
          </cell>
        </row>
      </sheetData>
      <sheetData sheetId="6023">
        <row r="1">
          <cell r="A1" t="str">
            <v>PHIẾU XỬ LÝ HỒ SƠ THANH TOÁN VƯỢT THẨM QUYỀN PD</v>
          </cell>
        </row>
      </sheetData>
      <sheetData sheetId="6024">
        <row r="1">
          <cell r="A1" t="str">
            <v>PHIẾU XỬ LÝ HỒ SƠ THANH TOÁN VƯỢT THẨM QUYỀN PD</v>
          </cell>
        </row>
      </sheetData>
      <sheetData sheetId="6025">
        <row r="1">
          <cell r="A1" t="str">
            <v>PHIẾU XỬ LÝ HỒ SƠ THANH TOÁN VƯỢT THẨM QUYỀN PD</v>
          </cell>
        </row>
      </sheetData>
      <sheetData sheetId="6026">
        <row r="1">
          <cell r="A1" t="str">
            <v>PHIẾU XỬ LÝ HỒ SƠ THANH TOÁN VƯỢT THẨM QUYỀN PD</v>
          </cell>
        </row>
      </sheetData>
      <sheetData sheetId="6027">
        <row r="1">
          <cell r="A1" t="str">
            <v>PHIẾU XỬ LÝ HỒ SƠ THANH TOÁN VƯỢT THẨM QUYỀN PD</v>
          </cell>
        </row>
      </sheetData>
      <sheetData sheetId="6028">
        <row r="1">
          <cell r="A1" t="str">
            <v>PHIẾU XỬ LÝ HỒ SƠ THANH TOÁN VƯỢT THẨM QUYỀN PD</v>
          </cell>
        </row>
      </sheetData>
      <sheetData sheetId="6029">
        <row r="1">
          <cell r="A1" t="str">
            <v>PHIẾU XỬ LÝ HỒ SƠ THANH TOÁN VƯỢT THẨM QUYỀN PD</v>
          </cell>
        </row>
      </sheetData>
      <sheetData sheetId="6030">
        <row r="1">
          <cell r="A1" t="str">
            <v>PHIẾU XỬ LÝ HỒ SƠ THANH TOÁN VƯỢT THẨM QUYỀN PD</v>
          </cell>
        </row>
      </sheetData>
      <sheetData sheetId="6031">
        <row r="1">
          <cell r="A1" t="str">
            <v>PHIẾU XỬ LÝ HỒ SƠ THANH TOÁN VƯỢT THẨM QUYỀN PD</v>
          </cell>
        </row>
      </sheetData>
      <sheetData sheetId="6032">
        <row r="1">
          <cell r="A1" t="str">
            <v>PHIẾU XỬ LÝ HỒ SƠ THANH TOÁN VƯỢT THẨM QUYỀN PD</v>
          </cell>
        </row>
      </sheetData>
      <sheetData sheetId="6033">
        <row r="1">
          <cell r="A1" t="str">
            <v>PHIẾU XỬ LÝ HỒ SƠ THANH TOÁN VƯỢT THẨM QUYỀN PD</v>
          </cell>
        </row>
      </sheetData>
      <sheetData sheetId="6034">
        <row r="1">
          <cell r="A1" t="str">
            <v>PHIẾU XỬ LÝ HỒ SƠ THANH TOÁN VƯỢT THẨM QUYỀN PD</v>
          </cell>
        </row>
      </sheetData>
      <sheetData sheetId="6035">
        <row r="1">
          <cell r="A1" t="str">
            <v>PHIẾU XỬ LÝ HỒ SƠ THANH TOÁN VƯỢT THẨM QUYỀN PD</v>
          </cell>
        </row>
      </sheetData>
      <sheetData sheetId="6036">
        <row r="1">
          <cell r="A1" t="str">
            <v>PHIẾU XỬ LÝ HỒ SƠ THANH TOÁN VƯỢT THẨM QUYỀN PD</v>
          </cell>
        </row>
      </sheetData>
      <sheetData sheetId="6037">
        <row r="1">
          <cell r="A1" t="str">
            <v>PHIẾU XỬ LÝ HỒ SƠ THANH TOÁN VƯỢT THẨM QUYỀN PD</v>
          </cell>
        </row>
      </sheetData>
      <sheetData sheetId="6038">
        <row r="1">
          <cell r="A1" t="str">
            <v>PHIẾU XỬ LÝ HỒ SƠ THANH TOÁN VƯỢT THẨM QUYỀN PD</v>
          </cell>
        </row>
      </sheetData>
      <sheetData sheetId="6039">
        <row r="1">
          <cell r="A1" t="str">
            <v>PHIẾU XỬ LÝ HỒ SƠ THANH TOÁN VƯỢT THẨM QUYỀN PD</v>
          </cell>
        </row>
      </sheetData>
      <sheetData sheetId="6040">
        <row r="1">
          <cell r="A1" t="str">
            <v>PHIẾU XỬ LÝ HỒ SƠ THANH TOÁN VƯỢT THẨM QUYỀN PD</v>
          </cell>
        </row>
      </sheetData>
      <sheetData sheetId="6041">
        <row r="1">
          <cell r="A1" t="str">
            <v>PHIẾU XỬ LÝ HỒ SƠ THANH TOÁN VƯỢT THẨM QUYỀN PD</v>
          </cell>
        </row>
      </sheetData>
      <sheetData sheetId="6042">
        <row r="1">
          <cell r="A1" t="str">
            <v>PHIẾU XỬ LÝ HỒ SƠ THANH TOÁN VƯỢT THẨM QUYỀN PD</v>
          </cell>
        </row>
      </sheetData>
      <sheetData sheetId="6043">
        <row r="1">
          <cell r="A1" t="str">
            <v>PHIẾU XỬ LÝ HỒ SƠ THANH TOÁN VƯỢT THẨM QUYỀN PD</v>
          </cell>
        </row>
      </sheetData>
      <sheetData sheetId="6044">
        <row r="1">
          <cell r="A1" t="str">
            <v>PHIẾU XỬ LÝ HỒ SƠ THANH TOÁN VƯỢT THẨM QUYỀN PD</v>
          </cell>
        </row>
      </sheetData>
      <sheetData sheetId="6045">
        <row r="1">
          <cell r="A1" t="str">
            <v>PHIẾU XỬ LÝ HỒ SƠ THANH TOÁN VƯỢT THẨM QUYỀN PD</v>
          </cell>
        </row>
      </sheetData>
      <sheetData sheetId="6046">
        <row r="1">
          <cell r="A1" t="str">
            <v>PHIẾU XỬ LÝ HỒ SƠ THANH TOÁN VƯỢT THẨM QUYỀN PD</v>
          </cell>
        </row>
      </sheetData>
      <sheetData sheetId="6047">
        <row r="1">
          <cell r="A1" t="str">
            <v>PHIẾU XỬ LÝ HỒ SƠ THANH TOÁN VƯỢT THẨM QUYỀN PD</v>
          </cell>
        </row>
      </sheetData>
      <sheetData sheetId="6048">
        <row r="1">
          <cell r="A1" t="str">
            <v>PHIẾU XỬ LÝ HỒ SƠ THANH TOÁN VƯỢT THẨM QUYỀN PD</v>
          </cell>
        </row>
      </sheetData>
      <sheetData sheetId="6049">
        <row r="1">
          <cell r="A1" t="str">
            <v>PHIẾU XỬ LÝ HỒ SƠ THANH TOÁN VƯỢT THẨM QUYỀN PD</v>
          </cell>
        </row>
      </sheetData>
      <sheetData sheetId="6050">
        <row r="1">
          <cell r="A1" t="str">
            <v>PHIẾU XỬ LÝ HỒ SƠ THANH TOÁN VƯỢT THẨM QUYỀN PD</v>
          </cell>
        </row>
      </sheetData>
      <sheetData sheetId="6051">
        <row r="1">
          <cell r="A1" t="str">
            <v>PHIẾU XỬ LÝ HỒ SƠ THANH TOÁN VƯỢT THẨM QUYỀN PD</v>
          </cell>
        </row>
      </sheetData>
      <sheetData sheetId="6052">
        <row r="1">
          <cell r="A1" t="str">
            <v>PHIẾU XỬ LÝ HỒ SƠ THANH TOÁN VƯỢT THẨM QUYỀN PD</v>
          </cell>
        </row>
      </sheetData>
      <sheetData sheetId="6053">
        <row r="1">
          <cell r="A1" t="str">
            <v>PHIẾU XỬ LÝ HỒ SƠ THANH TOÁN VƯỢT THẨM QUYỀN PD</v>
          </cell>
        </row>
      </sheetData>
      <sheetData sheetId="6054">
        <row r="1">
          <cell r="A1" t="str">
            <v>PHIẾU XỬ LÝ HỒ SƠ THANH TOÁN VƯỢT THẨM QUYỀN PD</v>
          </cell>
        </row>
      </sheetData>
      <sheetData sheetId="6055">
        <row r="1">
          <cell r="A1" t="str">
            <v>PHIẾU XỬ LÝ HỒ SƠ THANH TOÁN VƯỢT THẨM QUYỀN PD</v>
          </cell>
        </row>
      </sheetData>
      <sheetData sheetId="6056">
        <row r="1">
          <cell r="A1" t="str">
            <v>PHIẾU XỬ LÝ HỒ SƠ THANH TOÁN VƯỢT THẨM QUYỀN PD</v>
          </cell>
        </row>
      </sheetData>
      <sheetData sheetId="6057">
        <row r="1">
          <cell r="A1" t="str">
            <v>PHIẾU XỬ LÝ HỒ SƠ THANH TOÁN VƯỢT THẨM QUYỀN PD</v>
          </cell>
        </row>
      </sheetData>
      <sheetData sheetId="6058">
        <row r="1">
          <cell r="A1" t="str">
            <v>PHIẾU XỬ LÝ HỒ SƠ THANH TOÁN VƯỢT THẨM QUYỀN PD</v>
          </cell>
        </row>
      </sheetData>
      <sheetData sheetId="6059">
        <row r="1">
          <cell r="A1" t="str">
            <v>PHIẾU XỬ LÝ HỒ SƠ THANH TOÁN VƯỢT THẨM QUYỀN PD</v>
          </cell>
        </row>
      </sheetData>
      <sheetData sheetId="6060">
        <row r="1">
          <cell r="A1" t="str">
            <v>PHIẾU XỬ LÝ HỒ SƠ THANH TOÁN VƯỢT THẨM QUYỀN PD</v>
          </cell>
        </row>
      </sheetData>
      <sheetData sheetId="6061">
        <row r="1">
          <cell r="A1" t="str">
            <v>PHIẾU XỬ LÝ HỒ SƠ THANH TOÁN VƯỢT THẨM QUYỀN PD</v>
          </cell>
        </row>
      </sheetData>
      <sheetData sheetId="6062">
        <row r="1">
          <cell r="A1" t="str">
            <v>PHIẾU XỬ LÝ HỒ SƠ THANH TOÁN VƯỢT THẨM QUYỀN PD</v>
          </cell>
        </row>
      </sheetData>
      <sheetData sheetId="6063">
        <row r="1">
          <cell r="A1" t="str">
            <v>PHIẾU XỬ LÝ HỒ SƠ THANH TOÁN VƯỢT THẨM QUYỀN PD</v>
          </cell>
        </row>
      </sheetData>
      <sheetData sheetId="6064">
        <row r="1">
          <cell r="A1" t="str">
            <v>PHIẾU XỬ LÝ HỒ SƠ THANH TOÁN VƯỢT THẨM QUYỀN PD</v>
          </cell>
        </row>
      </sheetData>
      <sheetData sheetId="6065">
        <row r="1">
          <cell r="A1" t="str">
            <v>PHIẾU XỬ LÝ HỒ SƠ THANH TOÁN VƯỢT THẨM QUYỀN PD</v>
          </cell>
        </row>
      </sheetData>
      <sheetData sheetId="6066">
        <row r="1">
          <cell r="A1" t="str">
            <v>PHIẾU XỬ LÝ HỒ SƠ THANH TOÁN VƯỢT THẨM QUYỀN PD</v>
          </cell>
        </row>
      </sheetData>
      <sheetData sheetId="6067">
        <row r="1">
          <cell r="A1" t="str">
            <v>PHIẾU XỬ LÝ HỒ SƠ THANH TOÁN VƯỢT THẨM QUYỀN PD</v>
          </cell>
        </row>
      </sheetData>
      <sheetData sheetId="6068">
        <row r="1">
          <cell r="A1" t="str">
            <v>PHIẾU XỬ LÝ HỒ SƠ THANH TOÁN VƯỢT THẨM QUYỀN PD</v>
          </cell>
        </row>
      </sheetData>
      <sheetData sheetId="6069">
        <row r="1">
          <cell r="A1" t="str">
            <v>PHIẾU XỬ LÝ HỒ SƠ THANH TOÁN VƯỢT THẨM QUYỀN PD</v>
          </cell>
        </row>
      </sheetData>
      <sheetData sheetId="6070">
        <row r="1">
          <cell r="A1" t="str">
            <v>PHIẾU XỬ LÝ HỒ SƠ THANH TOÁN VƯỢT THẨM QUYỀN PD</v>
          </cell>
        </row>
      </sheetData>
      <sheetData sheetId="6071">
        <row r="1">
          <cell r="A1" t="str">
            <v>PHIẾU XỬ LÝ HỒ SƠ THANH TOÁN VƯỢT THẨM QUYỀN PD</v>
          </cell>
        </row>
      </sheetData>
      <sheetData sheetId="6072">
        <row r="1">
          <cell r="A1" t="str">
            <v>PHIẾU XỬ LÝ HỒ SƠ THANH TOÁN VƯỢT THẨM QUYỀN PD</v>
          </cell>
        </row>
      </sheetData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>
        <row r="1">
          <cell r="A1" t="str">
            <v>PHIẾU XỬ LÝ HỒ SƠ THANH TOÁN VƯỢT THẨM QUYỀN PD</v>
          </cell>
        </row>
      </sheetData>
      <sheetData sheetId="6104"/>
      <sheetData sheetId="6105">
        <row r="1">
          <cell r="A1" t="str">
            <v>PHIẾU XỬ LÝ HỒ SƠ THANH TOÁN VƯỢT THẨM QUYỀN PD</v>
          </cell>
        </row>
      </sheetData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>
        <row r="1">
          <cell r="A1" t="str">
            <v>PHIẾU XỬ LÝ HỒ SƠ THANH TOÁN VƯỢT THẨM QUYỀN PD</v>
          </cell>
        </row>
      </sheetData>
      <sheetData sheetId="6209">
        <row r="1">
          <cell r="A1" t="str">
            <v>PHIẾU XỬ LÝ HỒ SƠ THANH TOÁN VƯỢT THẨM QUYỀN PD</v>
          </cell>
        </row>
      </sheetData>
      <sheetData sheetId="6210">
        <row r="1">
          <cell r="A1" t="str">
            <v>PHIẾU XỬ LÝ HỒ SƠ THANH TOÁN VƯỢT THẨM QUYỀN PD</v>
          </cell>
        </row>
      </sheetData>
      <sheetData sheetId="6211">
        <row r="1">
          <cell r="A1" t="str">
            <v>PHIẾU XỬ LÝ HỒ SƠ THANH TOÁN VƯỢT THẨM QUYỀN PD</v>
          </cell>
        </row>
      </sheetData>
      <sheetData sheetId="6212">
        <row r="1">
          <cell r="A1" t="str">
            <v>PHIẾU XỬ LÝ HỒ SƠ THANH TOÁN VƯỢT THẨM QUYỀN PD</v>
          </cell>
        </row>
      </sheetData>
      <sheetData sheetId="6213">
        <row r="1">
          <cell r="A1" t="str">
            <v>PHIẾU XỬ LÝ HỒ SƠ THANH TOÁN VƯỢT THẨM QUYỀN PD</v>
          </cell>
        </row>
      </sheetData>
      <sheetData sheetId="6214">
        <row r="1">
          <cell r="A1" t="str">
            <v>PHIẾU XỬ LÝ HỒ SƠ THANH TOÁN VƯỢT THẨM QUYỀN PD</v>
          </cell>
        </row>
      </sheetData>
      <sheetData sheetId="6215">
        <row r="1">
          <cell r="A1" t="str">
            <v>PHIẾU XỬ LÝ HỒ SƠ THANH TOÁN VƯỢT THẨM QUYỀN PD</v>
          </cell>
        </row>
      </sheetData>
      <sheetData sheetId="6216">
        <row r="1">
          <cell r="A1" t="str">
            <v>PHIẾU XỬ LÝ HỒ SƠ THANH TOÁN VƯỢT THẨM QUYỀN PD</v>
          </cell>
        </row>
      </sheetData>
      <sheetData sheetId="6217">
        <row r="1">
          <cell r="A1" t="str">
            <v>PHIẾU XỬ LÝ HỒ SƠ THANH TOÁN VƯỢT THẨM QUYỀN PD</v>
          </cell>
        </row>
      </sheetData>
      <sheetData sheetId="6218">
        <row r="1">
          <cell r="A1" t="str">
            <v>PHIẾU XỬ LÝ HỒ SƠ THANH TOÁN VƯỢT THẨM QUYỀN PD</v>
          </cell>
        </row>
      </sheetData>
      <sheetData sheetId="6219"/>
      <sheetData sheetId="6220">
        <row r="1">
          <cell r="A1" t="str">
            <v>PHIẾU XỬ LÝ HỒ SƠ THANH TOÁN VƯỢT THẨM QUYỀN PD</v>
          </cell>
        </row>
      </sheetData>
      <sheetData sheetId="6221"/>
      <sheetData sheetId="6222">
        <row r="1">
          <cell r="A1" t="str">
            <v>PHIẾU XỬ LÝ HỒ SƠ THANH TOÁN VƯỢT THẨM QUYỀN PD</v>
          </cell>
        </row>
      </sheetData>
      <sheetData sheetId="6223"/>
      <sheetData sheetId="6224">
        <row r="1">
          <cell r="A1" t="str">
            <v>PHIẾU XỬ LÝ HỒ SƠ THANH TOÁN VƯỢT THẨM QUYỀN PD</v>
          </cell>
        </row>
      </sheetData>
      <sheetData sheetId="6225">
        <row r="1">
          <cell r="A1" t="str">
            <v>PHIẾU XỬ LÝ HỒ SƠ THANH TOÁN VƯỢT THẨM QUYỀN PD</v>
          </cell>
        </row>
      </sheetData>
      <sheetData sheetId="6226"/>
      <sheetData sheetId="6227">
        <row r="1">
          <cell r="A1" t="str">
            <v>PHIẾU XỬ LÝ HỒ SƠ THANH TOÁN VƯỢT THẨM QUYỀN PD</v>
          </cell>
        </row>
      </sheetData>
      <sheetData sheetId="6228">
        <row r="1">
          <cell r="A1" t="str">
            <v>PHIẾU XỬ LÝ HỒ SƠ THANH TOÁN VƯỢT THẨM QUYỀN PD</v>
          </cell>
        </row>
      </sheetData>
      <sheetData sheetId="6229">
        <row r="1">
          <cell r="A1" t="str">
            <v>PHIẾU XỬ LÝ HỒ SƠ THANH TOÁN VƯỢT THẨM QUYỀN PD</v>
          </cell>
        </row>
      </sheetData>
      <sheetData sheetId="6230">
        <row r="1">
          <cell r="A1" t="str">
            <v>PHIẾU XỬ LÝ HỒ SƠ THANH TOÁN VƯỢT THẨM QUYỀN PD</v>
          </cell>
        </row>
      </sheetData>
      <sheetData sheetId="6231">
        <row r="1">
          <cell r="A1" t="str">
            <v>PHIẾU XỬ LÝ HỒ SƠ THANH TOÁN VƯỢT THẨM QUYỀN PD</v>
          </cell>
        </row>
      </sheetData>
      <sheetData sheetId="6232">
        <row r="1">
          <cell r="A1" t="str">
            <v>PHIẾU XỬ LÝ HỒ SƠ THANH TOÁN VƯỢT THẨM QUYỀN PD</v>
          </cell>
        </row>
      </sheetData>
      <sheetData sheetId="6233">
        <row r="1">
          <cell r="A1" t="str">
            <v>PHIẾU XỬ LÝ HỒ SƠ THANH TOÁN VƯỢT THẨM QUYỀN PD</v>
          </cell>
        </row>
      </sheetData>
      <sheetData sheetId="6234">
        <row r="1">
          <cell r="A1" t="str">
            <v>PHIẾU XỬ LÝ HỒ SƠ THANH TOÁN VƯỢT THẨM QUYỀN PD</v>
          </cell>
        </row>
      </sheetData>
      <sheetData sheetId="6235">
        <row r="1">
          <cell r="A1" t="str">
            <v>PHIẾU XỬ LÝ HỒ SƠ THANH TOÁN VƯỢT THẨM QUYỀN PD</v>
          </cell>
        </row>
      </sheetData>
      <sheetData sheetId="6236">
        <row r="1">
          <cell r="A1" t="str">
            <v>PHIẾU XỬ LÝ HỒ SƠ THANH TOÁN VƯỢT THẨM QUYỀN PD</v>
          </cell>
        </row>
      </sheetData>
      <sheetData sheetId="6237">
        <row r="1">
          <cell r="A1" t="str">
            <v>PHIẾU XỬ LÝ HỒ SƠ THANH TOÁN VƯỢT THẨM QUYỀN PD</v>
          </cell>
        </row>
      </sheetData>
      <sheetData sheetId="6238">
        <row r="1">
          <cell r="A1" t="str">
            <v>PHIẾU XỬ LÝ HỒ SƠ THANH TOÁN VƯỢT THẨM QUYỀN PD</v>
          </cell>
        </row>
      </sheetData>
      <sheetData sheetId="6239">
        <row r="1">
          <cell r="A1" t="str">
            <v>PHIẾU XỬ LÝ HỒ SƠ THANH TOÁN VƯỢT THẨM QUYỀN PD</v>
          </cell>
        </row>
      </sheetData>
      <sheetData sheetId="6240">
        <row r="1">
          <cell r="A1" t="str">
            <v>PHIẾU XỬ LÝ HỒ SƠ THANH TOÁN VƯỢT THẨM QUYỀN PD</v>
          </cell>
        </row>
      </sheetData>
      <sheetData sheetId="6241">
        <row r="1">
          <cell r="A1" t="str">
            <v>PHIẾU XỬ LÝ HỒ SƠ THANH TOÁN VƯỢT THẨM QUYỀN PD</v>
          </cell>
        </row>
      </sheetData>
      <sheetData sheetId="6242">
        <row r="1">
          <cell r="A1" t="str">
            <v>PHIẾU XỬ LÝ HỒ SƠ THANH TOÁN VƯỢT THẨM QUYỀN PD</v>
          </cell>
        </row>
      </sheetData>
      <sheetData sheetId="6243">
        <row r="1">
          <cell r="A1" t="str">
            <v>PHIẾU XỬ LÝ HỒ SƠ THANH TOÁN VƯỢT THẨM QUYỀN PD</v>
          </cell>
        </row>
      </sheetData>
      <sheetData sheetId="6244">
        <row r="1">
          <cell r="A1" t="str">
            <v>PHIẾU XỬ LÝ HỒ SƠ THANH TOÁN VƯỢT THẨM QUYỀN PD</v>
          </cell>
        </row>
      </sheetData>
      <sheetData sheetId="6245">
        <row r="1">
          <cell r="A1" t="str">
            <v>PHIẾU XỬ LÝ HỒ SƠ THANH TOÁN VƯỢT THẨM QUYỀN PD</v>
          </cell>
        </row>
      </sheetData>
      <sheetData sheetId="6246">
        <row r="1">
          <cell r="A1" t="str">
            <v>PHIẾU XỬ LÝ HỒ SƠ THANH TOÁN VƯỢT THẨM QUYỀN PD</v>
          </cell>
        </row>
      </sheetData>
      <sheetData sheetId="6247">
        <row r="1">
          <cell r="A1" t="str">
            <v>PHIẾU XỬ LÝ HỒ SƠ THANH TOÁN VƯỢT THẨM QUYỀN PD</v>
          </cell>
        </row>
      </sheetData>
      <sheetData sheetId="6248">
        <row r="1">
          <cell r="A1" t="str">
            <v>PHIẾU XỬ LÝ HỒ SƠ THANH TOÁN VƯỢT THẨM QUYỀN PD</v>
          </cell>
        </row>
      </sheetData>
      <sheetData sheetId="6249">
        <row r="1">
          <cell r="A1" t="str">
            <v>PHIẾU XỬ LÝ HỒ SƠ THANH TOÁN VƯỢT THẨM QUYỀN PD</v>
          </cell>
        </row>
      </sheetData>
      <sheetData sheetId="6250">
        <row r="1">
          <cell r="A1" t="str">
            <v>PHIẾU XỬ LÝ HỒ SƠ THANH TOÁN VƯỢT THẨM QUYỀN PD</v>
          </cell>
        </row>
      </sheetData>
      <sheetData sheetId="6251">
        <row r="1">
          <cell r="A1" t="str">
            <v>PHIẾU XỬ LÝ HỒ SƠ THANH TOÁN VƯỢT THẨM QUYỀN PD</v>
          </cell>
        </row>
      </sheetData>
      <sheetData sheetId="6252">
        <row r="1">
          <cell r="A1" t="str">
            <v>PHIẾU XỬ LÝ HỒ SƠ THANH TOÁN VƯỢT THẨM QUYỀN PD</v>
          </cell>
        </row>
      </sheetData>
      <sheetData sheetId="6253">
        <row r="1">
          <cell r="A1" t="str">
            <v>PHIẾU XỬ LÝ HỒ SƠ THANH TOÁN VƯỢT THẨM QUYỀN PD</v>
          </cell>
        </row>
      </sheetData>
      <sheetData sheetId="6254">
        <row r="1">
          <cell r="A1" t="str">
            <v>PHIẾU XỬ LÝ HỒ SƠ THANH TOÁN VƯỢT THẨM QUYỀN PD</v>
          </cell>
        </row>
      </sheetData>
      <sheetData sheetId="6255">
        <row r="1">
          <cell r="A1" t="str">
            <v>PHIẾU XỬ LÝ HỒ SƠ THANH TOÁN VƯỢT THẨM QUYỀN PD</v>
          </cell>
        </row>
      </sheetData>
      <sheetData sheetId="6256">
        <row r="1">
          <cell r="A1" t="str">
            <v>PHIẾU XỬ LÝ HỒ SƠ THANH TOÁN VƯỢT THẨM QUYỀN PD</v>
          </cell>
        </row>
      </sheetData>
      <sheetData sheetId="6257">
        <row r="1">
          <cell r="A1" t="str">
            <v>PHIẾU XỬ LÝ HỒ SƠ THANH TOÁN VƯỢT THẨM QUYỀN PD</v>
          </cell>
        </row>
      </sheetData>
      <sheetData sheetId="6258">
        <row r="1">
          <cell r="A1" t="str">
            <v>PHIẾU XỬ LÝ HỒ SƠ THANH TOÁN VƯỢT THẨM QUYỀN PD</v>
          </cell>
        </row>
      </sheetData>
      <sheetData sheetId="6259">
        <row r="1">
          <cell r="A1" t="str">
            <v>PHIẾU XỬ LÝ HỒ SƠ THANH TOÁN VƯỢT THẨM QUYỀN PD</v>
          </cell>
        </row>
      </sheetData>
      <sheetData sheetId="6260">
        <row r="1">
          <cell r="A1" t="str">
            <v>PHIẾU XỬ LÝ HỒ SƠ THANH TOÁN VƯỢT THẨM QUYỀN PD</v>
          </cell>
        </row>
      </sheetData>
      <sheetData sheetId="6261">
        <row r="1">
          <cell r="A1" t="str">
            <v>PHIẾU XỬ LÝ HỒ SƠ THANH TOÁN VƯỢT THẨM QUYỀN PD</v>
          </cell>
        </row>
      </sheetData>
      <sheetData sheetId="6262">
        <row r="1">
          <cell r="A1" t="str">
            <v>PHIẾU XỬ LÝ HỒ SƠ THANH TOÁN VƯỢT THẨM QUYỀN PD</v>
          </cell>
        </row>
      </sheetData>
      <sheetData sheetId="6263">
        <row r="1">
          <cell r="A1" t="str">
            <v>PHIẾU XỬ LÝ HỒ SƠ THANH TOÁN VƯỢT THẨM QUYỀN PD</v>
          </cell>
        </row>
      </sheetData>
      <sheetData sheetId="6264">
        <row r="1">
          <cell r="A1" t="str">
            <v>PHIẾU XỬ LÝ HỒ SƠ THANH TOÁN VƯỢT THẨM QUYỀN PD</v>
          </cell>
        </row>
      </sheetData>
      <sheetData sheetId="6265">
        <row r="1">
          <cell r="A1" t="str">
            <v>PHIẾU XỬ LÝ HỒ SƠ THANH TOÁN VƯỢT THẨM QUYỀN PD</v>
          </cell>
        </row>
      </sheetData>
      <sheetData sheetId="6266">
        <row r="1">
          <cell r="A1" t="str">
            <v>PHIẾU XỬ LÝ HỒ SƠ THANH TOÁN VƯỢT THẨM QUYỀN PD</v>
          </cell>
        </row>
      </sheetData>
      <sheetData sheetId="6267">
        <row r="1">
          <cell r="A1" t="str">
            <v>PHIẾU XỬ LÝ HỒ SƠ THANH TOÁN VƯỢT THẨM QUYỀN PD</v>
          </cell>
        </row>
      </sheetData>
      <sheetData sheetId="6268">
        <row r="1">
          <cell r="A1" t="str">
            <v>PHIẾU XỬ LÝ HỒ SƠ THANH TOÁN VƯỢT THẨM QUYỀN PD</v>
          </cell>
        </row>
      </sheetData>
      <sheetData sheetId="6269">
        <row r="1">
          <cell r="A1" t="str">
            <v>PHIẾU XỬ LÝ HỒ SƠ THANH TOÁN VƯỢT THẨM QUYỀN PD</v>
          </cell>
        </row>
      </sheetData>
      <sheetData sheetId="6270">
        <row r="1">
          <cell r="A1" t="str">
            <v>PHIẾU XỬ LÝ HỒ SƠ THANH TOÁN VƯỢT THẨM QUYỀN PD</v>
          </cell>
        </row>
      </sheetData>
      <sheetData sheetId="6271">
        <row r="1">
          <cell r="A1" t="str">
            <v>PHIẾU XỬ LÝ HỒ SƠ THANH TOÁN VƯỢT THẨM QUYỀN PD</v>
          </cell>
        </row>
      </sheetData>
      <sheetData sheetId="6272">
        <row r="1">
          <cell r="A1" t="str">
            <v>PHIẾU XỬ LÝ HỒ SƠ THANH TOÁN VƯỢT THẨM QUYỀN PD</v>
          </cell>
        </row>
      </sheetData>
      <sheetData sheetId="6273">
        <row r="1">
          <cell r="A1" t="str">
            <v>PHIẾU XỬ LÝ HỒ SƠ THANH TOÁN VƯỢT THẨM QUYỀN PD</v>
          </cell>
        </row>
      </sheetData>
      <sheetData sheetId="6274">
        <row r="1">
          <cell r="A1" t="str">
            <v>PHIẾU XỬ LÝ HỒ SƠ THANH TOÁN VƯỢT THẨM QUYỀN PD</v>
          </cell>
        </row>
      </sheetData>
      <sheetData sheetId="6275">
        <row r="1">
          <cell r="A1" t="str">
            <v>PHIẾU XỬ LÝ HỒ SƠ THANH TOÁN VƯỢT THẨM QUYỀN PD</v>
          </cell>
        </row>
      </sheetData>
      <sheetData sheetId="6276">
        <row r="1">
          <cell r="A1" t="str">
            <v>PHIẾU XỬ LÝ HỒ SƠ THANH TOÁN VƯỢT THẨM QUYỀN PD</v>
          </cell>
        </row>
      </sheetData>
      <sheetData sheetId="6277">
        <row r="1">
          <cell r="A1" t="str">
            <v>PHIẾU XỬ LÝ HỒ SƠ THANH TOÁN VƯỢT THẨM QUYỀN PD</v>
          </cell>
        </row>
      </sheetData>
      <sheetData sheetId="6278">
        <row r="1">
          <cell r="A1" t="str">
            <v>PHIẾU XỬ LÝ HỒ SƠ THANH TOÁN VƯỢT THẨM QUYỀN PD</v>
          </cell>
        </row>
      </sheetData>
      <sheetData sheetId="6279">
        <row r="1">
          <cell r="A1" t="str">
            <v>PHIẾU XỬ LÝ HỒ SƠ THANH TOÁN VƯỢT THẨM QUYỀN PD</v>
          </cell>
        </row>
      </sheetData>
      <sheetData sheetId="6280">
        <row r="1">
          <cell r="A1" t="str">
            <v>PHIẾU XỬ LÝ HỒ SƠ THANH TOÁN VƯỢT THẨM QUYỀN PD</v>
          </cell>
        </row>
      </sheetData>
      <sheetData sheetId="6281">
        <row r="1">
          <cell r="A1" t="str">
            <v>PHIẾU XỬ LÝ HỒ SƠ THANH TOÁN VƯỢT THẨM QUYỀN PD</v>
          </cell>
        </row>
      </sheetData>
      <sheetData sheetId="6282">
        <row r="1">
          <cell r="A1" t="str">
            <v>PHIẾU XỬ LÝ HỒ SƠ THANH TOÁN VƯỢT THẨM QUYỀN PD</v>
          </cell>
        </row>
      </sheetData>
      <sheetData sheetId="6283">
        <row r="1">
          <cell r="A1" t="str">
            <v>PHIẾU XỬ LÝ HỒ SƠ THANH TOÁN VƯỢT THẨM QUYỀN PD</v>
          </cell>
        </row>
      </sheetData>
      <sheetData sheetId="6284">
        <row r="1">
          <cell r="A1" t="str">
            <v>PHIẾU XỬ LÝ HỒ SƠ THANH TOÁN VƯỢT THẨM QUYỀN PD</v>
          </cell>
        </row>
      </sheetData>
      <sheetData sheetId="6285">
        <row r="1">
          <cell r="A1" t="str">
            <v>PHIẾU XỬ LÝ HỒ SƠ THANH TOÁN VƯỢT THẨM QUYỀN PD</v>
          </cell>
        </row>
      </sheetData>
      <sheetData sheetId="6286">
        <row r="1">
          <cell r="A1" t="str">
            <v>PHIẾU XỬ LÝ HỒ SƠ THANH TOÁN VƯỢT THẨM QUYỀN PD</v>
          </cell>
        </row>
      </sheetData>
      <sheetData sheetId="6287">
        <row r="1">
          <cell r="A1" t="str">
            <v>PHIẾU XỬ LÝ HỒ SƠ THANH TOÁN VƯỢT THẨM QUYỀN PD</v>
          </cell>
        </row>
      </sheetData>
      <sheetData sheetId="6288">
        <row r="1">
          <cell r="A1" t="str">
            <v>PHIẾU XỬ LÝ HỒ SƠ THANH TOÁN VƯỢT THẨM QUYỀN PD</v>
          </cell>
        </row>
      </sheetData>
      <sheetData sheetId="6289">
        <row r="1">
          <cell r="A1" t="str">
            <v>PHIẾU XỬ LÝ HỒ SƠ THANH TOÁN VƯỢT THẨM QUYỀN PD</v>
          </cell>
        </row>
      </sheetData>
      <sheetData sheetId="6290">
        <row r="1">
          <cell r="A1" t="str">
            <v>PHIẾU XỬ LÝ HỒ SƠ THANH TOÁN VƯỢT THẨM QUYỀN PD</v>
          </cell>
        </row>
      </sheetData>
      <sheetData sheetId="6291">
        <row r="1">
          <cell r="A1" t="str">
            <v>PHIẾU XỬ LÝ HỒ SƠ THANH TOÁN VƯỢT THẨM QUYỀN PD</v>
          </cell>
        </row>
      </sheetData>
      <sheetData sheetId="6292">
        <row r="1">
          <cell r="A1" t="str">
            <v>PHIẾU XỬ LÝ HỒ SƠ THANH TOÁN VƯỢT THẨM QUYỀN PD</v>
          </cell>
        </row>
      </sheetData>
      <sheetData sheetId="6293">
        <row r="1">
          <cell r="A1" t="str">
            <v>PHIẾU XỬ LÝ HỒ SƠ THANH TOÁN VƯỢT THẨM QUYỀN PD</v>
          </cell>
        </row>
      </sheetData>
      <sheetData sheetId="6294">
        <row r="1">
          <cell r="A1" t="str">
            <v>PHIẾU XỬ LÝ HỒ SƠ THANH TOÁN VƯỢT THẨM QUYỀN PD</v>
          </cell>
        </row>
      </sheetData>
      <sheetData sheetId="6295">
        <row r="1">
          <cell r="A1" t="str">
            <v>PHIẾU XỬ LÝ HỒ SƠ THANH TOÁN VƯỢT THẨM QUYỀN PD</v>
          </cell>
        </row>
      </sheetData>
      <sheetData sheetId="6296">
        <row r="1">
          <cell r="A1" t="str">
            <v>PHIẾU XỬ LÝ HỒ SƠ THANH TOÁN VƯỢT THẨM QUYỀN PD</v>
          </cell>
        </row>
      </sheetData>
      <sheetData sheetId="6297">
        <row r="1">
          <cell r="A1" t="str">
            <v>PHIẾU XỬ LÝ HỒ SƠ THANH TOÁN VƯỢT THẨM QUYỀN PD</v>
          </cell>
        </row>
      </sheetData>
      <sheetData sheetId="6298">
        <row r="1">
          <cell r="A1" t="str">
            <v>PHIẾU XỬ LÝ HỒ SƠ THANH TOÁN VƯỢT THẨM QUYỀN PD</v>
          </cell>
        </row>
      </sheetData>
      <sheetData sheetId="6299">
        <row r="1">
          <cell r="A1" t="str">
            <v>PHIẾU XỬ LÝ HỒ SƠ THANH TOÁN VƯỢT THẨM QUYỀN PD</v>
          </cell>
        </row>
      </sheetData>
      <sheetData sheetId="6300">
        <row r="1">
          <cell r="A1" t="str">
            <v>PHIẾU XỬ LÝ HỒ SƠ THANH TOÁN VƯỢT THẨM QUYỀN PD</v>
          </cell>
        </row>
      </sheetData>
      <sheetData sheetId="6301">
        <row r="1">
          <cell r="A1" t="str">
            <v>PHIẾU XỬ LÝ HỒ SƠ THANH TOÁN VƯỢT THẨM QUYỀN PD</v>
          </cell>
        </row>
      </sheetData>
      <sheetData sheetId="6302">
        <row r="1">
          <cell r="A1" t="str">
            <v>PHIẾU XỬ LÝ HỒ SƠ THANH TOÁN VƯỢT THẨM QUYỀN PD</v>
          </cell>
        </row>
      </sheetData>
      <sheetData sheetId="6303">
        <row r="1">
          <cell r="A1" t="str">
            <v>PHIẾU XỬ LÝ HỒ SƠ THANH TOÁN VƯỢT THẨM QUYỀN PD</v>
          </cell>
        </row>
      </sheetData>
      <sheetData sheetId="6304">
        <row r="1">
          <cell r="A1" t="str">
            <v>PHIẾU XỬ LÝ HỒ SƠ THANH TOÁN VƯỢT THẨM QUYỀN PD</v>
          </cell>
        </row>
      </sheetData>
      <sheetData sheetId="6305">
        <row r="1">
          <cell r="A1" t="str">
            <v>PHIẾU XỬ LÝ HỒ SƠ THANH TOÁN VƯỢT THẨM QUYỀN PD</v>
          </cell>
        </row>
      </sheetData>
      <sheetData sheetId="6306">
        <row r="1">
          <cell r="A1" t="str">
            <v>PHIẾU XỬ LÝ HỒ SƠ THANH TOÁN VƯỢT THẨM QUYỀN PD</v>
          </cell>
        </row>
      </sheetData>
      <sheetData sheetId="6307">
        <row r="1">
          <cell r="A1" t="str">
            <v>PHIẾU XỬ LÝ HỒ SƠ THANH TOÁN VƯỢT THẨM QUYỀN PD</v>
          </cell>
        </row>
      </sheetData>
      <sheetData sheetId="6308">
        <row r="1">
          <cell r="A1" t="str">
            <v>PHIẾU XỬ LÝ HỒ SƠ THANH TOÁN VƯỢT THẨM QUYỀN PD</v>
          </cell>
        </row>
      </sheetData>
      <sheetData sheetId="6309">
        <row r="1">
          <cell r="A1" t="str">
            <v>PHIẾU XỬ LÝ HỒ SƠ THANH TOÁN VƯỢT THẨM QUYỀN PD</v>
          </cell>
        </row>
      </sheetData>
      <sheetData sheetId="6310">
        <row r="1">
          <cell r="A1" t="str">
            <v>PHIẾU XỬ LÝ HỒ SƠ THANH TOÁN VƯỢT THẨM QUYỀN PD</v>
          </cell>
        </row>
      </sheetData>
      <sheetData sheetId="6311">
        <row r="1">
          <cell r="A1" t="str">
            <v>PHIẾU XỬ LÝ HỒ SƠ THANH TOÁN VƯỢT THẨM QUYỀN PD</v>
          </cell>
        </row>
      </sheetData>
      <sheetData sheetId="6312">
        <row r="1">
          <cell r="A1" t="str">
            <v>PHIẾU XỬ LÝ HỒ SƠ THANH TOÁN VƯỢT THẨM QUYỀN PD</v>
          </cell>
        </row>
      </sheetData>
      <sheetData sheetId="6313">
        <row r="1">
          <cell r="A1" t="str">
            <v>PHIẾU XỬ LÝ HỒ SƠ THANH TOÁN VƯỢT THẨM QUYỀN PD</v>
          </cell>
        </row>
      </sheetData>
      <sheetData sheetId="6314">
        <row r="1">
          <cell r="A1" t="str">
            <v>PHIẾU XỬ LÝ HỒ SƠ THANH TOÁN VƯỢT THẨM QUYỀN PD</v>
          </cell>
        </row>
      </sheetData>
      <sheetData sheetId="6315">
        <row r="1">
          <cell r="A1" t="str">
            <v>PHIẾU XỬ LÝ HỒ SƠ THANH TOÁN VƯỢT THẨM QUYỀN PD</v>
          </cell>
        </row>
      </sheetData>
      <sheetData sheetId="6316">
        <row r="1">
          <cell r="A1" t="str">
            <v>PHIẾU XỬ LÝ HỒ SƠ THANH TOÁN VƯỢT THẨM QUYỀN PD</v>
          </cell>
        </row>
      </sheetData>
      <sheetData sheetId="6317">
        <row r="1">
          <cell r="A1" t="str">
            <v>PHIẾU XỬ LÝ HỒ SƠ THANH TOÁN VƯỢT THẨM QUYỀN PD</v>
          </cell>
        </row>
      </sheetData>
      <sheetData sheetId="6318">
        <row r="1">
          <cell r="A1" t="str">
            <v>PHIẾU XỬ LÝ HỒ SƠ THANH TOÁN VƯỢT THẨM QUYỀN PD</v>
          </cell>
        </row>
      </sheetData>
      <sheetData sheetId="6319">
        <row r="1">
          <cell r="A1" t="str">
            <v>PHIẾU XỬ LÝ HỒ SƠ THANH TOÁN VƯỢT THẨM QUYỀN PD</v>
          </cell>
        </row>
      </sheetData>
      <sheetData sheetId="6320">
        <row r="1">
          <cell r="A1" t="str">
            <v>PHIẾU XỬ LÝ HỒ SƠ THANH TOÁN VƯỢT THẨM QUYỀN PD</v>
          </cell>
        </row>
      </sheetData>
      <sheetData sheetId="6321">
        <row r="1">
          <cell r="A1" t="str">
            <v>PHIẾU XỬ LÝ HỒ SƠ THANH TOÁN VƯỢT THẨM QUYỀN PD</v>
          </cell>
        </row>
      </sheetData>
      <sheetData sheetId="6322">
        <row r="1">
          <cell r="A1" t="str">
            <v>PHIẾU XỬ LÝ HỒ SƠ THANH TOÁN VƯỢT THẨM QUYỀN PD</v>
          </cell>
        </row>
      </sheetData>
      <sheetData sheetId="6323">
        <row r="1">
          <cell r="A1" t="str">
            <v>PHIẾU XỬ LÝ HỒ SƠ THANH TOÁN VƯỢT THẨM QUYỀN PD</v>
          </cell>
        </row>
      </sheetData>
      <sheetData sheetId="6324">
        <row r="1">
          <cell r="A1" t="str">
            <v>PHIẾU XỬ LÝ HỒ SƠ THANH TOÁN VƯỢT THẨM QUYỀN PD</v>
          </cell>
        </row>
      </sheetData>
      <sheetData sheetId="6325">
        <row r="1">
          <cell r="A1" t="str">
            <v>PHIẾU XỬ LÝ HỒ SƠ THANH TOÁN VƯỢT THẨM QUYỀN PD</v>
          </cell>
        </row>
      </sheetData>
      <sheetData sheetId="6326">
        <row r="1">
          <cell r="A1" t="str">
            <v>PHIẾU XỬ LÝ HỒ SƠ THANH TOÁN VƯỢT THẨM QUYỀN PD</v>
          </cell>
        </row>
      </sheetData>
      <sheetData sheetId="6327">
        <row r="1">
          <cell r="A1" t="str">
            <v>PHIẾU XỬ LÝ HỒ SƠ THANH TOÁN VƯỢT THẨM QUYỀN PD</v>
          </cell>
        </row>
      </sheetData>
      <sheetData sheetId="6328">
        <row r="1">
          <cell r="A1" t="str">
            <v>PHIẾU XỬ LÝ HỒ SƠ THANH TOÁN VƯỢT THẨM QUYỀN PD</v>
          </cell>
        </row>
      </sheetData>
      <sheetData sheetId="6329">
        <row r="1">
          <cell r="A1" t="str">
            <v>PHIẾU XỬ LÝ HỒ SƠ THANH TOÁN VƯỢT THẨM QUYỀN PD</v>
          </cell>
        </row>
      </sheetData>
      <sheetData sheetId="6330">
        <row r="1">
          <cell r="A1" t="str">
            <v>PHIẾU XỬ LÝ HỒ SƠ THANH TOÁN VƯỢT THẨM QUYỀN PD</v>
          </cell>
        </row>
      </sheetData>
      <sheetData sheetId="6331">
        <row r="1">
          <cell r="A1" t="str">
            <v>PHIẾU XỬ LÝ HỒ SƠ THANH TOÁN VƯỢT THẨM QUYỀN PD</v>
          </cell>
        </row>
      </sheetData>
      <sheetData sheetId="6332">
        <row r="1">
          <cell r="A1" t="str">
            <v>PHIẾU XỬ LÝ HỒ SƠ THANH TOÁN VƯỢT THẨM QUYỀN PD</v>
          </cell>
        </row>
      </sheetData>
      <sheetData sheetId="6333">
        <row r="1">
          <cell r="A1" t="str">
            <v>PHIẾU XỬ LÝ HỒ SƠ THANH TOÁN VƯỢT THẨM QUYỀN PD</v>
          </cell>
        </row>
      </sheetData>
      <sheetData sheetId="6334">
        <row r="1">
          <cell r="A1" t="str">
            <v>PHIẾU XỬ LÝ HỒ SƠ THANH TOÁN VƯỢT THẨM QUYỀN PD</v>
          </cell>
        </row>
      </sheetData>
      <sheetData sheetId="6335">
        <row r="1">
          <cell r="A1" t="str">
            <v>PHIẾU XỬ LÝ HỒ SƠ THANH TOÁN VƯỢT THẨM QUYỀN PD</v>
          </cell>
        </row>
      </sheetData>
      <sheetData sheetId="6336">
        <row r="1">
          <cell r="A1" t="str">
            <v>PHIẾU XỬ LÝ HỒ SƠ THANH TOÁN VƯỢT THẨM QUYỀN PD</v>
          </cell>
        </row>
      </sheetData>
      <sheetData sheetId="6337">
        <row r="1">
          <cell r="A1" t="str">
            <v>PHIẾU XỬ LÝ HỒ SƠ THANH TOÁN VƯỢT THẨM QUYỀN PD</v>
          </cell>
        </row>
      </sheetData>
      <sheetData sheetId="6338">
        <row r="1">
          <cell r="A1" t="str">
            <v>PHIẾU XỬ LÝ HỒ SƠ THANH TOÁN VƯỢT THẨM QUYỀN PD</v>
          </cell>
        </row>
      </sheetData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>
        <row r="1">
          <cell r="A1" t="str">
            <v>PHIẾU XỬ LÝ HỒ SƠ THANH TOÁN VƯỢT THẨM QUYỀN PD</v>
          </cell>
        </row>
      </sheetData>
      <sheetData sheetId="6343">
        <row r="1">
          <cell r="A1" t="str">
            <v>PHIẾU XỬ LÝ HỒ SƠ THANH TOÁN VƯỢT THẨM QUYỀN PD</v>
          </cell>
        </row>
      </sheetData>
      <sheetData sheetId="6344">
        <row r="1">
          <cell r="A1" t="str">
            <v>PHIẾU XỬ LÝ HỒ SƠ THANH TOÁN VƯỢT THẨM QUYỀN PD</v>
          </cell>
        </row>
      </sheetData>
      <sheetData sheetId="6345">
        <row r="1">
          <cell r="A1" t="str">
            <v>PHIẾU XỬ LÝ HỒ SƠ THANH TOÁN VƯỢT THẨM QUYỀN PD</v>
          </cell>
        </row>
      </sheetData>
      <sheetData sheetId="6346">
        <row r="1">
          <cell r="A1" t="str">
            <v>PHIẾU XỬ LÝ HỒ SƠ THANH TOÁN VƯỢT THẨM QUYỀN PD</v>
          </cell>
        </row>
      </sheetData>
      <sheetData sheetId="6347">
        <row r="1">
          <cell r="A1" t="str">
            <v>PHIẾU XỬ LÝ HỒ SƠ THANH TOÁN VƯỢT THẨM QUYỀN PD</v>
          </cell>
        </row>
      </sheetData>
      <sheetData sheetId="6348">
        <row r="1">
          <cell r="A1" t="str">
            <v>PHIẾU XỬ LÝ HỒ SƠ THANH TOÁN VƯỢT THẨM QUYỀN PD</v>
          </cell>
        </row>
      </sheetData>
      <sheetData sheetId="6349">
        <row r="1">
          <cell r="A1" t="str">
            <v>PHIẾU XỬ LÝ HỒ SƠ THANH TOÁN VƯỢT THẨM QUYỀN PD</v>
          </cell>
        </row>
      </sheetData>
      <sheetData sheetId="6350">
        <row r="1">
          <cell r="A1" t="str">
            <v>PHIẾU XỬ LÝ HỒ SƠ THANH TOÁN VƯỢT THẨM QUYỀN PD</v>
          </cell>
        </row>
      </sheetData>
      <sheetData sheetId="6351">
        <row r="1">
          <cell r="A1" t="str">
            <v>PHIẾU XỬ LÝ HỒ SƠ THANH TOÁN VƯỢT THẨM QUYỀN PD</v>
          </cell>
        </row>
      </sheetData>
      <sheetData sheetId="6352">
        <row r="1">
          <cell r="A1" t="str">
            <v>PHIẾU XỬ LÝ HỒ SƠ THANH TOÁN VƯỢT THẨM QUYỀN PD</v>
          </cell>
        </row>
      </sheetData>
      <sheetData sheetId="6353">
        <row r="1">
          <cell r="A1" t="str">
            <v>PHIẾU XỬ LÝ HỒ SƠ THANH TOÁN VƯỢT THẨM QUYỀN PD</v>
          </cell>
        </row>
      </sheetData>
      <sheetData sheetId="6354">
        <row r="1">
          <cell r="A1" t="str">
            <v>PHIẾU XỬ LÝ HỒ SƠ THANH TOÁN VƯỢT THẨM QUYỀN PD</v>
          </cell>
        </row>
      </sheetData>
      <sheetData sheetId="6355">
        <row r="1">
          <cell r="A1" t="str">
            <v>PHIẾU XỬ LÝ HỒ SƠ THANH TOÁN VƯỢT THẨM QUYỀN PD</v>
          </cell>
        </row>
      </sheetData>
      <sheetData sheetId="6356">
        <row r="1">
          <cell r="A1" t="str">
            <v>PHIẾU XỬ LÝ HỒ SƠ THANH TOÁN VƯỢT THẨM QUYỀN PD</v>
          </cell>
        </row>
      </sheetData>
      <sheetData sheetId="6357">
        <row r="1">
          <cell r="A1" t="str">
            <v>PHIẾU XỬ LÝ HỒ SƠ THANH TOÁN VƯỢT THẨM QUYỀN PD</v>
          </cell>
        </row>
      </sheetData>
      <sheetData sheetId="6358">
        <row r="1">
          <cell r="A1" t="str">
            <v>PHIẾU XỬ LÝ HỒ SƠ THANH TOÁN VƯỢT THẨM QUYỀN PD</v>
          </cell>
        </row>
      </sheetData>
      <sheetData sheetId="6359">
        <row r="1">
          <cell r="A1" t="str">
            <v>PHIẾU XỬ LÝ HỒ SƠ THANH TOÁN VƯỢT THẨM QUYỀN PD</v>
          </cell>
        </row>
      </sheetData>
      <sheetData sheetId="6360">
        <row r="1">
          <cell r="A1" t="str">
            <v>PHIẾU XỬ LÝ HỒ SƠ THANH TOÁN VƯỢT THẨM QUYỀN PD</v>
          </cell>
        </row>
      </sheetData>
      <sheetData sheetId="6361">
        <row r="1">
          <cell r="A1" t="str">
            <v>PHIẾU XỬ LÝ HỒ SƠ THANH TOÁN VƯỢT THẨM QUYỀN PD</v>
          </cell>
        </row>
      </sheetData>
      <sheetData sheetId="6362">
        <row r="1">
          <cell r="A1" t="str">
            <v>PHIẾU XỬ LÝ HỒ SƠ THANH TOÁN VƯỢT THẨM QUYỀN PD</v>
          </cell>
        </row>
      </sheetData>
      <sheetData sheetId="6363">
        <row r="1">
          <cell r="A1" t="str">
            <v>PHIẾU XỬ LÝ HỒ SƠ THANH TOÁN VƯỢT THẨM QUYỀN PD</v>
          </cell>
        </row>
      </sheetData>
      <sheetData sheetId="6364">
        <row r="1">
          <cell r="A1" t="str">
            <v>PHIẾU XỬ LÝ HỒ SƠ THANH TOÁN VƯỢT THẨM QUYỀN PD</v>
          </cell>
        </row>
      </sheetData>
      <sheetData sheetId="6365">
        <row r="1">
          <cell r="A1" t="str">
            <v>PHIẾU XỬ LÝ HỒ SƠ THANH TOÁN VƯỢT THẨM QUYỀN PD</v>
          </cell>
        </row>
      </sheetData>
      <sheetData sheetId="6366">
        <row r="1">
          <cell r="A1" t="str">
            <v>PHIẾU XỬ LÝ HỒ SƠ THANH TOÁN VƯỢT THẨM QUYỀN PD</v>
          </cell>
        </row>
      </sheetData>
      <sheetData sheetId="6367">
        <row r="1">
          <cell r="A1" t="str">
            <v>PHIẾU XỬ LÝ HỒ SƠ THANH TOÁN VƯỢT THẨM QUYỀN PD</v>
          </cell>
        </row>
      </sheetData>
      <sheetData sheetId="6368">
        <row r="1">
          <cell r="A1" t="str">
            <v>PHIẾU XỬ LÝ HỒ SƠ THANH TOÁN VƯỢT THẨM QUYỀN PD</v>
          </cell>
        </row>
      </sheetData>
      <sheetData sheetId="6369">
        <row r="1">
          <cell r="A1" t="str">
            <v>PHIẾU XỬ LÝ HỒ SƠ THANH TOÁN VƯỢT THẨM QUYỀN PD</v>
          </cell>
        </row>
      </sheetData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/>
      <sheetData sheetId="6381"/>
      <sheetData sheetId="6382">
        <row r="1">
          <cell r="A1" t="str">
            <v>PHIẾU XỬ LÝ HỒ SƠ THANH TOÁN VƯỢT THẨM QUYỀN PD</v>
          </cell>
        </row>
      </sheetData>
      <sheetData sheetId="6383"/>
      <sheetData sheetId="6384"/>
      <sheetData sheetId="6385"/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/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/>
      <sheetData sheetId="6398"/>
      <sheetData sheetId="6399"/>
      <sheetData sheetId="6400"/>
      <sheetData sheetId="640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>
        <row r="1">
          <cell r="A1" t="str">
            <v>PHIẾU XỬ LÝ HỒ SƠ THANH TOÁN VƯỢT THẨM QUYỀN PD</v>
          </cell>
        </row>
      </sheetData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>
        <row r="1">
          <cell r="A1" t="str">
            <v>PHIẾU XỬ LÝ HỒ SƠ THANH TOÁN VƯỢT THẨM QUYỀN PD</v>
          </cell>
        </row>
      </sheetData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>
        <row r="1">
          <cell r="A1" t="str">
            <v>PHIẾU XỬ LÝ HỒ SƠ THANH TOÁN VƯỢT THẨM QUYỀN PD</v>
          </cell>
        </row>
      </sheetData>
      <sheetData sheetId="6453">
        <row r="1">
          <cell r="A1" t="str">
            <v>PHIẾU XỬ LÝ HỒ SƠ THANH TOÁN VƯỢT THẨM QUYỀN PD</v>
          </cell>
        </row>
      </sheetData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>
        <row r="1">
          <cell r="A1" t="str">
            <v>PHIẾU XỬ LÝ HỒ SƠ THANH TOÁN VƯỢT THẨM QUYỀN PD</v>
          </cell>
        </row>
      </sheetData>
      <sheetData sheetId="6532">
        <row r="1">
          <cell r="A1" t="str">
            <v>PHIẾU XỬ LÝ HỒ SƠ THANH TOÁN VƯỢT THẨM QUYỀN PD</v>
          </cell>
        </row>
      </sheetData>
      <sheetData sheetId="6533">
        <row r="1">
          <cell r="A1" t="str">
            <v>PHIẾU XỬ LÝ HỒ SƠ THANH TOÁN VƯỢT THẨM QUYỀN PD</v>
          </cell>
        </row>
      </sheetData>
      <sheetData sheetId="6534">
        <row r="1">
          <cell r="A1" t="str">
            <v>PHIẾU XỬ LÝ HỒ SƠ THANH TOÁN VƯỢT THẨM QUYỀN PD</v>
          </cell>
        </row>
      </sheetData>
      <sheetData sheetId="6535">
        <row r="1">
          <cell r="A1" t="str">
            <v>PHIẾU XỬ LÝ HỒ SƠ THANH TOÁN VƯỢT THẨM QUYỀN PD</v>
          </cell>
        </row>
      </sheetData>
      <sheetData sheetId="6536">
        <row r="1">
          <cell r="A1" t="str">
            <v>PHIẾU XỬ LÝ HỒ SƠ THANH TOÁN VƯỢT THẨM QUYỀN PD</v>
          </cell>
        </row>
      </sheetData>
      <sheetData sheetId="6537">
        <row r="1">
          <cell r="A1" t="str">
            <v>PHIẾU XỬ LÝ HỒ SƠ THANH TOÁN VƯỢT THẨM QUYỀN PD</v>
          </cell>
        </row>
      </sheetData>
      <sheetData sheetId="6538">
        <row r="1">
          <cell r="A1" t="str">
            <v>PHIẾU XỬ LÝ HỒ SƠ THANH TOÁN VƯỢT THẨM QUYỀN PD</v>
          </cell>
        </row>
      </sheetData>
      <sheetData sheetId="6539">
        <row r="1">
          <cell r="A1" t="str">
            <v>PHIẾU XỬ LÝ HỒ SƠ THANH TOÁN VƯỢT THẨM QUYỀN PD</v>
          </cell>
        </row>
      </sheetData>
      <sheetData sheetId="6540">
        <row r="1">
          <cell r="A1" t="str">
            <v>PHIẾU XỬ LÝ HỒ SƠ THANH TOÁN VƯỢT THẨM QUYỀN PD</v>
          </cell>
        </row>
      </sheetData>
      <sheetData sheetId="6541">
        <row r="1">
          <cell r="A1" t="str">
            <v>PHIẾU XỬ LÝ HỒ SƠ THANH TOÁN VƯỢT THẨM QUYỀN PD</v>
          </cell>
        </row>
      </sheetData>
      <sheetData sheetId="6542">
        <row r="1">
          <cell r="A1" t="str">
            <v>PHIẾU XỬ LÝ HỒ SƠ THANH TOÁN VƯỢT THẨM QUYỀN PD</v>
          </cell>
        </row>
      </sheetData>
      <sheetData sheetId="6543">
        <row r="1">
          <cell r="A1" t="str">
            <v>PHIẾU XỬ LÝ HỒ SƠ THANH TOÁN VƯỢT THẨM QUYỀN PD</v>
          </cell>
        </row>
      </sheetData>
      <sheetData sheetId="6544">
        <row r="1">
          <cell r="A1" t="str">
            <v>PHIẾU XỬ LÝ HỒ SƠ THANH TOÁN VƯỢT THẨM QUYỀN PD</v>
          </cell>
        </row>
      </sheetData>
      <sheetData sheetId="6545">
        <row r="1">
          <cell r="A1" t="str">
            <v>PHIẾU XỬ LÝ HỒ SƠ THANH TOÁN VƯỢT THẨM QUYỀN PD</v>
          </cell>
        </row>
      </sheetData>
      <sheetData sheetId="6546">
        <row r="1">
          <cell r="A1" t="str">
            <v>PHIẾU XỬ LÝ HỒ SƠ THANH TOÁN VƯỢT THẨM QUYỀN PD</v>
          </cell>
        </row>
      </sheetData>
      <sheetData sheetId="6547">
        <row r="1">
          <cell r="A1" t="str">
            <v>PHIẾU XỬ LÝ HỒ SƠ THANH TOÁN VƯỢT THẨM QUYỀN PD</v>
          </cell>
        </row>
      </sheetData>
      <sheetData sheetId="6548">
        <row r="1">
          <cell r="A1" t="str">
            <v>PHIẾU XỬ LÝ HỒ SƠ THANH TOÁN VƯỢT THẨM QUYỀN PD</v>
          </cell>
        </row>
      </sheetData>
      <sheetData sheetId="6549">
        <row r="1">
          <cell r="A1" t="str">
            <v>PHIẾU XỬ LÝ HỒ SƠ THANH TOÁN VƯỢT THẨM QUYỀN PD</v>
          </cell>
        </row>
      </sheetData>
      <sheetData sheetId="6550">
        <row r="1">
          <cell r="A1" t="str">
            <v>PHIẾU XỬ LÝ HỒ SƠ THANH TOÁN VƯỢT THẨM QUYỀN PD</v>
          </cell>
        </row>
      </sheetData>
      <sheetData sheetId="6551">
        <row r="1">
          <cell r="A1" t="str">
            <v>PHIẾU XỬ LÝ HỒ SƠ THANH TOÁN VƯỢT THẨM QUYỀN PD</v>
          </cell>
        </row>
      </sheetData>
      <sheetData sheetId="6552">
        <row r="1">
          <cell r="A1" t="str">
            <v>PHIẾU XỬ LÝ HỒ SƠ THANH TOÁN VƯỢT THẨM QUYỀN PD</v>
          </cell>
        </row>
      </sheetData>
      <sheetData sheetId="6553">
        <row r="1">
          <cell r="A1" t="str">
            <v>PHIẾU XỬ LÝ HỒ SƠ THANH TOÁN VƯỢT THẨM QUYỀN PD</v>
          </cell>
        </row>
      </sheetData>
      <sheetData sheetId="6554">
        <row r="1">
          <cell r="A1" t="str">
            <v>PHIẾU XỬ LÝ HỒ SƠ THANH TOÁN VƯỢT THẨM QUYỀN PD</v>
          </cell>
        </row>
      </sheetData>
      <sheetData sheetId="6555">
        <row r="1">
          <cell r="A1" t="str">
            <v>PHIẾU XỬ LÝ HỒ SƠ THANH TOÁN VƯỢT THẨM QUYỀN PD</v>
          </cell>
        </row>
      </sheetData>
      <sheetData sheetId="6556">
        <row r="1">
          <cell r="A1" t="str">
            <v>PHIẾU XỬ LÝ HỒ SƠ THANH TOÁN VƯỢT THẨM QUYỀN PD</v>
          </cell>
        </row>
      </sheetData>
      <sheetData sheetId="6557">
        <row r="1">
          <cell r="A1" t="str">
            <v>PHIẾU XỬ LÝ HỒ SƠ THANH TOÁN VƯỢT THẨM QUYỀN PD</v>
          </cell>
        </row>
      </sheetData>
      <sheetData sheetId="6558">
        <row r="1">
          <cell r="A1" t="str">
            <v>PHIẾU XỬ LÝ HỒ SƠ THANH TOÁN VƯỢT THẨM QUYỀN PD</v>
          </cell>
        </row>
      </sheetData>
      <sheetData sheetId="6559">
        <row r="1">
          <cell r="A1" t="str">
            <v>PHIẾU XỬ LÝ HỒ SƠ THANH TOÁN VƯỢT THẨM QUYỀN PD</v>
          </cell>
        </row>
      </sheetData>
      <sheetData sheetId="6560">
        <row r="1">
          <cell r="A1" t="str">
            <v>PHIẾU XỬ LÝ HỒ SƠ THANH TOÁN VƯỢT THẨM QUYỀN PD</v>
          </cell>
        </row>
      </sheetData>
      <sheetData sheetId="6561">
        <row r="1">
          <cell r="A1" t="str">
            <v>PHIẾU XỬ LÝ HỒ SƠ THANH TOÁN VƯỢT THẨM QUYỀN PD</v>
          </cell>
        </row>
      </sheetData>
      <sheetData sheetId="6562">
        <row r="1">
          <cell r="A1" t="str">
            <v>PHIẾU XỬ LÝ HỒ SƠ THANH TOÁN VƯỢT THẨM QUYỀN PD</v>
          </cell>
        </row>
      </sheetData>
      <sheetData sheetId="6563" refreshError="1"/>
      <sheetData sheetId="6564">
        <row r="1">
          <cell r="A1" t="str">
            <v>PHIẾU XỬ LÝ HỒ SƠ THANH TOÁN VƯỢT THẨM QUYỀN PD</v>
          </cell>
        </row>
      </sheetData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>
        <row r="1">
          <cell r="A1" t="str">
            <v>PHIẾU XỬ LÝ HỒ SƠ THANH TOÁN VƯỢT THẨM QUYỀN PD</v>
          </cell>
        </row>
      </sheetData>
      <sheetData sheetId="6571">
        <row r="1">
          <cell r="A1" t="str">
            <v>PHIẾU XỬ LÝ HỒ SƠ THANH TOÁN VƯỢT THẨM QUYỀN PD</v>
          </cell>
        </row>
      </sheetData>
      <sheetData sheetId="6572">
        <row r="1">
          <cell r="A1" t="str">
            <v>PHIẾU XỬ LÝ HỒ SƠ THANH TOÁN VƯỢT THẨM QUYỀN PD</v>
          </cell>
        </row>
      </sheetData>
      <sheetData sheetId="6573">
        <row r="1">
          <cell r="A1" t="str">
            <v>PHIẾU XỬ LÝ HỒ SƠ THANH TOÁN VƯỢT THẨM QUYỀN PD</v>
          </cell>
        </row>
      </sheetData>
      <sheetData sheetId="6574">
        <row r="1">
          <cell r="A1" t="str">
            <v>PHIẾU XỬ LÝ HỒ SƠ THANH TOÁN VƯỢT THẨM QUYỀN PD</v>
          </cell>
        </row>
      </sheetData>
      <sheetData sheetId="6575">
        <row r="1">
          <cell r="A1" t="str">
            <v>PHIẾU XỬ LÝ HỒ SƠ THANH TOÁN VƯỢT THẨM QUYỀN PD</v>
          </cell>
        </row>
      </sheetData>
      <sheetData sheetId="6576">
        <row r="1">
          <cell r="A1" t="str">
            <v>PHIẾU XỬ LÝ HỒ SƠ THANH TOÁN VƯỢT THẨM QUYỀN PD</v>
          </cell>
        </row>
      </sheetData>
      <sheetData sheetId="6577">
        <row r="1">
          <cell r="A1" t="str">
            <v>PHIẾU XỬ LÝ HỒ SƠ THANH TOÁN VƯỢT THẨM QUYỀN PD</v>
          </cell>
        </row>
      </sheetData>
      <sheetData sheetId="6578">
        <row r="1">
          <cell r="A1" t="str">
            <v>PHIẾU XỬ LÝ HỒ SƠ THANH TOÁN VƯỢT THẨM QUYỀN PD</v>
          </cell>
        </row>
      </sheetData>
      <sheetData sheetId="6579">
        <row r="1">
          <cell r="A1" t="str">
            <v>PHIẾU XỬ LÝ HỒ SƠ THANH TOÁN VƯỢT THẨM QUYỀN PD</v>
          </cell>
        </row>
      </sheetData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 refreshError="1"/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>
        <row r="1">
          <cell r="A1" t="str">
            <v>PHIẾU XỬ LÝ HỒ SƠ THANH TOÁN VƯỢT THẨM QUYỀN PD</v>
          </cell>
        </row>
      </sheetData>
      <sheetData sheetId="6617">
        <row r="1">
          <cell r="A1" t="str">
            <v>PHIẾU XỬ LÝ HỒ SƠ THANH TOÁN VƯỢT THẨM QUYỀN PD</v>
          </cell>
        </row>
      </sheetData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/>
      <sheetData sheetId="6642"/>
      <sheetData sheetId="6643"/>
      <sheetData sheetId="6644"/>
      <sheetData sheetId="6645"/>
      <sheetData sheetId="6646"/>
      <sheetData sheetId="6647"/>
      <sheetData sheetId="6648">
        <row r="1">
          <cell r="A1" t="str">
            <v>PHIẾU XỬ LÝ HỒ SƠ THANH TOÁN VƯỢT THẨM QUYỀN PD</v>
          </cell>
        </row>
      </sheetData>
      <sheetData sheetId="6649"/>
      <sheetData sheetId="6650">
        <row r="1">
          <cell r="A1" t="str">
            <v>PHIẾU XỬ LÝ HỒ SƠ THANH TOÁN VƯỢT THẨM QUYỀN PD</v>
          </cell>
        </row>
      </sheetData>
      <sheetData sheetId="6651">
        <row r="1">
          <cell r="A1" t="str">
            <v>PHIẾU XỬ LÝ HỒ SƠ THANH TOÁN VƯỢT THẨM QUYỀN PD</v>
          </cell>
        </row>
      </sheetData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>
        <row r="1">
          <cell r="A1" t="str">
            <v>PHIẾU XỬ LÝ HỒ SƠ THANH TOÁN VƯỢT THẨM QUYỀN PD</v>
          </cell>
        </row>
      </sheetData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>
        <row r="1">
          <cell r="A1" t="str">
            <v>PHIẾU XỬ LÝ HỒ SƠ THANH TOÁN VƯỢT THẨM QUYỀN PD</v>
          </cell>
        </row>
      </sheetData>
      <sheetData sheetId="6886">
        <row r="1">
          <cell r="A1" t="str">
            <v>PHIẾU XỬ LÝ HỒ SƠ THANH TOÁN VƯỢT THẨM QUYỀN PD</v>
          </cell>
        </row>
      </sheetData>
      <sheetData sheetId="6887">
        <row r="1">
          <cell r="A1" t="str">
            <v>PHIẾU XỬ LÝ HỒ SƠ THANH TOÁN VƯỢT THẨM QUYỀN PD</v>
          </cell>
        </row>
      </sheetData>
      <sheetData sheetId="6888">
        <row r="1">
          <cell r="A1" t="str">
            <v>PHIẾU XỬ LÝ HỒ SƠ THANH TOÁN VƯỢT THẨM QUYỀN PD</v>
          </cell>
        </row>
      </sheetData>
      <sheetData sheetId="6889">
        <row r="1">
          <cell r="A1" t="str">
            <v>PHIẾU XỬ LÝ HỒ SƠ THANH TOÁN VƯỢT THẨM QUYỀN PD</v>
          </cell>
        </row>
      </sheetData>
      <sheetData sheetId="6890">
        <row r="1">
          <cell r="A1" t="str">
            <v>PHIẾU XỬ LÝ HỒ SƠ THANH TOÁN VƯỢT THẨM QUYỀN PD</v>
          </cell>
        </row>
      </sheetData>
      <sheetData sheetId="6891">
        <row r="1">
          <cell r="A1" t="str">
            <v>PHIẾU XỬ LÝ HỒ SƠ THANH TOÁN VƯỢT THẨM QUYỀN PD</v>
          </cell>
        </row>
      </sheetData>
      <sheetData sheetId="6892">
        <row r="1">
          <cell r="A1" t="str">
            <v>PHIẾU XỬ LÝ HỒ SƠ THANH TOÁN VƯỢT THẨM QUYỀN PD</v>
          </cell>
        </row>
      </sheetData>
      <sheetData sheetId="6893">
        <row r="1">
          <cell r="A1" t="str">
            <v>PHIẾU XỬ LÝ HỒ SƠ THANH TOÁN VƯỢT THẨM QUYỀN PD</v>
          </cell>
        </row>
      </sheetData>
      <sheetData sheetId="6894">
        <row r="1">
          <cell r="A1" t="str">
            <v>PHIẾU XỬ LÝ HỒ SƠ THANH TOÁN VƯỢT THẨM QUYỀN PD</v>
          </cell>
        </row>
      </sheetData>
      <sheetData sheetId="6895">
        <row r="1">
          <cell r="A1" t="str">
            <v>PHIẾU XỬ LÝ HỒ SƠ THANH TOÁN VƯỢT THẨM QUYỀN PD</v>
          </cell>
        </row>
      </sheetData>
      <sheetData sheetId="6896">
        <row r="1">
          <cell r="A1" t="str">
            <v>PHIẾU XỬ LÝ HỒ SƠ THANH TOÁN VƯỢT THẨM QUYỀN PD</v>
          </cell>
        </row>
      </sheetData>
      <sheetData sheetId="6897">
        <row r="1">
          <cell r="A1" t="str">
            <v>PHIẾU XỬ LÝ HỒ SƠ THANH TOÁN VƯỢT THẨM QUYỀN PD</v>
          </cell>
        </row>
      </sheetData>
      <sheetData sheetId="6898">
        <row r="1">
          <cell r="A1" t="str">
            <v>PHIẾU XỬ LÝ HỒ SƠ THANH TOÁN VƯỢT THẨM QUYỀN PD</v>
          </cell>
        </row>
      </sheetData>
      <sheetData sheetId="6899">
        <row r="1">
          <cell r="A1" t="str">
            <v>PHIẾU XỬ LÝ HỒ SƠ THANH TOÁN VƯỢT THẨM QUYỀN PD</v>
          </cell>
        </row>
      </sheetData>
      <sheetData sheetId="6900">
        <row r="1">
          <cell r="A1" t="str">
            <v>PHIẾU XỬ LÝ HỒ SƠ THANH TOÁN VƯỢT THẨM QUYỀN PD</v>
          </cell>
        </row>
      </sheetData>
      <sheetData sheetId="6901">
        <row r="1">
          <cell r="A1" t="str">
            <v>PHIẾU XỬ LÝ HỒ SƠ THANH TOÁN VƯỢT THẨM QUYỀN PD</v>
          </cell>
        </row>
      </sheetData>
      <sheetData sheetId="6902">
        <row r="1">
          <cell r="A1" t="str">
            <v>PHIẾU XỬ LÝ HỒ SƠ THANH TOÁN VƯỢT THẨM QUYỀN PD</v>
          </cell>
        </row>
      </sheetData>
      <sheetData sheetId="6903">
        <row r="1">
          <cell r="A1" t="str">
            <v>PHIẾU XỬ LÝ HỒ SƠ THANH TOÁN VƯỢT THẨM QUYỀN PD</v>
          </cell>
        </row>
      </sheetData>
      <sheetData sheetId="6904">
        <row r="1">
          <cell r="A1" t="str">
            <v>PHIẾU XỬ LÝ HỒ SƠ THANH TOÁN VƯỢT THẨM QUYỀN PD</v>
          </cell>
        </row>
      </sheetData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/>
      <sheetData sheetId="6908"/>
      <sheetData sheetId="6909"/>
      <sheetData sheetId="6910"/>
      <sheetData sheetId="6911">
        <row r="1">
          <cell r="A1" t="str">
            <v>PHIẾU XỬ LÝ HỒ SƠ THANH TOÁN VƯỢT THẨM QUYỀN PD</v>
          </cell>
        </row>
      </sheetData>
      <sheetData sheetId="6912">
        <row r="1">
          <cell r="A1" t="str">
            <v>PHIẾU XỬ LÝ HỒ SƠ THANH TOÁN VƯỢT THẨM QUYỀN PD</v>
          </cell>
        </row>
      </sheetData>
      <sheetData sheetId="6913">
        <row r="1">
          <cell r="A1" t="str">
            <v>PHIẾU XỬ LÝ HỒ SƠ THANH TOÁN VƯỢT THẨM QUYỀN PD</v>
          </cell>
        </row>
      </sheetData>
      <sheetData sheetId="6914">
        <row r="1">
          <cell r="A1" t="str">
            <v>PHIẾU XỬ LÝ HỒ SƠ THANH TOÁN VƯỢT THẨM QUYỀN PD</v>
          </cell>
        </row>
      </sheetData>
      <sheetData sheetId="6915">
        <row r="1">
          <cell r="A1" t="str">
            <v>PHIẾU XỬ LÝ HỒ SƠ THANH TOÁN VƯỢT THẨM QUYỀN PD</v>
          </cell>
        </row>
      </sheetData>
      <sheetData sheetId="6916">
        <row r="1">
          <cell r="A1" t="str">
            <v>PHIẾU XỬ LÝ HỒ SƠ THANH TOÁN VƯỢT THẨM QUYỀN PD</v>
          </cell>
        </row>
      </sheetData>
      <sheetData sheetId="6917">
        <row r="1">
          <cell r="A1" t="str">
            <v>PHIẾU XỬ LÝ HỒ SƠ THANH TOÁN VƯỢT THẨM QUYỀN PD</v>
          </cell>
        </row>
      </sheetData>
      <sheetData sheetId="6918">
        <row r="1">
          <cell r="A1" t="str">
            <v>PHIẾU XỬ LÝ HỒ SƠ THANH TOÁN VƯỢT THẨM QUYỀN PD</v>
          </cell>
        </row>
      </sheetData>
      <sheetData sheetId="6919">
        <row r="1">
          <cell r="A1" t="str">
            <v>PHIẾU XỬ LÝ HỒ SƠ THANH TOÁN VƯỢT THẨM QUYỀN PD</v>
          </cell>
        </row>
      </sheetData>
      <sheetData sheetId="6920">
        <row r="1">
          <cell r="A1" t="str">
            <v>PHIẾU XỬ LÝ HỒ SƠ THANH TOÁN VƯỢT THẨM QUYỀN PD</v>
          </cell>
        </row>
      </sheetData>
      <sheetData sheetId="6921">
        <row r="1">
          <cell r="A1" t="str">
            <v>PHIẾU XỬ LÝ HỒ SƠ THANH TOÁN VƯỢT THẨM QUYỀN PD</v>
          </cell>
        </row>
      </sheetData>
      <sheetData sheetId="6922">
        <row r="1">
          <cell r="A1" t="str">
            <v>PHIẾU XỬ LÝ HỒ SƠ THANH TOÁN VƯỢT THẨM QUYỀN PD</v>
          </cell>
        </row>
      </sheetData>
      <sheetData sheetId="6923">
        <row r="1">
          <cell r="A1" t="str">
            <v>PHIẾU XỬ LÝ HỒ SƠ THANH TOÁN VƯỢT THẨM QUYỀN PD</v>
          </cell>
        </row>
      </sheetData>
      <sheetData sheetId="6924">
        <row r="1">
          <cell r="A1" t="str">
            <v>PHIẾU XỬ LÝ HỒ SƠ THANH TOÁN VƯỢT THẨM QUYỀN PD</v>
          </cell>
        </row>
      </sheetData>
      <sheetData sheetId="6925">
        <row r="1">
          <cell r="A1" t="str">
            <v>PHIẾU XỬ LÝ HỒ SƠ THANH TOÁN VƯỢT THẨM QUYỀN PD</v>
          </cell>
        </row>
      </sheetData>
      <sheetData sheetId="6926">
        <row r="1">
          <cell r="A1" t="str">
            <v>PHIẾU XỬ LÝ HỒ SƠ THANH TOÁN VƯỢT THẨM QUYỀN PD</v>
          </cell>
        </row>
      </sheetData>
      <sheetData sheetId="6927">
        <row r="1">
          <cell r="A1" t="str">
            <v>PHIẾU XỬ LÝ HỒ SƠ THANH TOÁN VƯỢT THẨM QUYỀN PD</v>
          </cell>
        </row>
      </sheetData>
      <sheetData sheetId="6928">
        <row r="1">
          <cell r="A1" t="str">
            <v>PHIẾU XỬ LÝ HỒ SƠ THANH TOÁN VƯỢT THẨM QUYỀN PD</v>
          </cell>
        </row>
      </sheetData>
      <sheetData sheetId="6929">
        <row r="1">
          <cell r="A1" t="str">
            <v>PHIẾU XỬ LÝ HỒ SƠ THANH TOÁN VƯỢT THẨM QUYỀN PD</v>
          </cell>
        </row>
      </sheetData>
      <sheetData sheetId="6930">
        <row r="1">
          <cell r="A1" t="str">
            <v>PHIẾU XỬ LÝ HỒ SƠ THANH TOÁN VƯỢT THẨM QUYỀN PD</v>
          </cell>
        </row>
      </sheetData>
      <sheetData sheetId="6931">
        <row r="1">
          <cell r="A1" t="str">
            <v>PHIẾU XỬ LÝ HỒ SƠ THANH TOÁN VƯỢT THẨM QUYỀN PD</v>
          </cell>
        </row>
      </sheetData>
      <sheetData sheetId="6932">
        <row r="1">
          <cell r="A1" t="str">
            <v>PHIẾU XỬ LÝ HỒ SƠ THANH TOÁN VƯỢT THẨM QUYỀN PD</v>
          </cell>
        </row>
      </sheetData>
      <sheetData sheetId="6933">
        <row r="1">
          <cell r="A1" t="str">
            <v>PHIẾU XỬ LÝ HỒ SƠ THANH TOÁN VƯỢT THẨM QUYỀN PD</v>
          </cell>
        </row>
      </sheetData>
      <sheetData sheetId="6934">
        <row r="1">
          <cell r="A1" t="str">
            <v>PHIẾU XỬ LÝ HỒ SƠ THANH TOÁN VƯỢT THẨM QUYỀN PD</v>
          </cell>
        </row>
      </sheetData>
      <sheetData sheetId="6935">
        <row r="1">
          <cell r="A1" t="str">
            <v>PHIẾU XỬ LÝ HỒ SƠ THANH TOÁN VƯỢT THẨM QUYỀN PD</v>
          </cell>
        </row>
      </sheetData>
      <sheetData sheetId="6936">
        <row r="1">
          <cell r="A1" t="str">
            <v>PHIẾU XỬ LÝ HỒ SƠ THANH TOÁN VƯỢT THẨM QUYỀN PD</v>
          </cell>
        </row>
      </sheetData>
      <sheetData sheetId="6937">
        <row r="1">
          <cell r="A1" t="str">
            <v>PHIẾU XỬ LÝ HỒ SƠ THANH TOÁN VƯỢT THẨM QUYỀN PD</v>
          </cell>
        </row>
      </sheetData>
      <sheetData sheetId="6938">
        <row r="1">
          <cell r="A1" t="str">
            <v>PHIẾU XỬ LÝ HỒ SƠ THANH TOÁN VƯỢT THẨM QUYỀN PD</v>
          </cell>
        </row>
      </sheetData>
      <sheetData sheetId="6939">
        <row r="1">
          <cell r="A1" t="str">
            <v>PHIẾU XỬ LÝ HỒ SƠ THANH TOÁN VƯỢT THẨM QUYỀN PD</v>
          </cell>
        </row>
      </sheetData>
      <sheetData sheetId="6940">
        <row r="1">
          <cell r="A1" t="str">
            <v>PHIẾU XỬ LÝ HỒ SƠ THANH TOÁN VƯỢT THẨM QUYỀN PD</v>
          </cell>
        </row>
      </sheetData>
      <sheetData sheetId="6941">
        <row r="1">
          <cell r="A1" t="str">
            <v>PHIẾU XỬ LÝ HỒ SƠ THANH TOÁN VƯỢT THẨM QUYỀN PD</v>
          </cell>
        </row>
      </sheetData>
      <sheetData sheetId="6942">
        <row r="1">
          <cell r="A1" t="str">
            <v>PHIẾU XỬ LÝ HỒ SƠ THANH TOÁN VƯỢT THẨM QUYỀN PD</v>
          </cell>
        </row>
      </sheetData>
      <sheetData sheetId="6943">
        <row r="1">
          <cell r="A1" t="str">
            <v>PHIẾU XỬ LÝ HỒ SƠ THANH TOÁN VƯỢT THẨM QUYỀN PD</v>
          </cell>
        </row>
      </sheetData>
      <sheetData sheetId="6944">
        <row r="1">
          <cell r="A1" t="str">
            <v>PHIẾU XỬ LÝ HỒ SƠ THANH TOÁN VƯỢT THẨM QUYỀN PD</v>
          </cell>
        </row>
      </sheetData>
      <sheetData sheetId="6945">
        <row r="1">
          <cell r="A1" t="str">
            <v>PHIẾU XỬ LÝ HỒ SƠ THANH TOÁN VƯỢT THẨM QUYỀN PD</v>
          </cell>
        </row>
      </sheetData>
      <sheetData sheetId="6946">
        <row r="1">
          <cell r="A1" t="str">
            <v>PHIẾU XỬ LÝ HỒ SƠ THANH TOÁN VƯỢT THẨM QUYỀN PD</v>
          </cell>
        </row>
      </sheetData>
      <sheetData sheetId="6947">
        <row r="1">
          <cell r="A1" t="str">
            <v>PHIẾU XỬ LÝ HỒ SƠ THANH TOÁN VƯỢT THẨM QUYỀN PD</v>
          </cell>
        </row>
      </sheetData>
      <sheetData sheetId="6948">
        <row r="1">
          <cell r="A1" t="str">
            <v>PHIẾU XỬ LÝ HỒ SƠ THANH TOÁN VƯỢT THẨM QUYỀN PD</v>
          </cell>
        </row>
      </sheetData>
      <sheetData sheetId="6949">
        <row r="1">
          <cell r="A1" t="str">
            <v>PHIẾU XỬ LÝ HỒ SƠ THANH TOÁN VƯỢT THẨM QUYỀN PD</v>
          </cell>
        </row>
      </sheetData>
      <sheetData sheetId="6950">
        <row r="1">
          <cell r="A1" t="str">
            <v>PHIẾU XỬ LÝ HỒ SƠ THANH TOÁN VƯỢT THẨM QUYỀN PD</v>
          </cell>
        </row>
      </sheetData>
      <sheetData sheetId="6951">
        <row r="1">
          <cell r="A1" t="str">
            <v>PHIẾU XỬ LÝ HỒ SƠ THANH TOÁN VƯỢT THẨM QUYỀN PD</v>
          </cell>
        </row>
      </sheetData>
      <sheetData sheetId="6952">
        <row r="1">
          <cell r="A1" t="str">
            <v>PHIẾU XỬ LÝ HỒ SƠ THANH TOÁN VƯỢT THẨM QUYỀN PD</v>
          </cell>
        </row>
      </sheetData>
      <sheetData sheetId="6953">
        <row r="1">
          <cell r="A1" t="str">
            <v>PHIẾU XỬ LÝ HỒ SƠ THANH TOÁN VƯỢT THẨM QUYỀN PD</v>
          </cell>
        </row>
      </sheetData>
      <sheetData sheetId="6954">
        <row r="1">
          <cell r="A1" t="str">
            <v>PHIẾU XỬ LÝ HỒ SƠ THANH TOÁN VƯỢT THẨM QUYỀN PD</v>
          </cell>
        </row>
      </sheetData>
      <sheetData sheetId="6955">
        <row r="1">
          <cell r="A1" t="str">
            <v>PHIẾU XỬ LÝ HỒ SƠ THANH TOÁN VƯỢT THẨM QUYỀN PD</v>
          </cell>
        </row>
      </sheetData>
      <sheetData sheetId="6956">
        <row r="1">
          <cell r="A1" t="str">
            <v>PHIẾU XỬ LÝ HỒ SƠ THANH TOÁN VƯỢT THẨM QUYỀN PD</v>
          </cell>
        </row>
      </sheetData>
      <sheetData sheetId="6957">
        <row r="1">
          <cell r="A1" t="str">
            <v>PHIẾU XỬ LÝ HỒ SƠ THANH TOÁN VƯỢT THẨM QUYỀN PD</v>
          </cell>
        </row>
      </sheetData>
      <sheetData sheetId="6958">
        <row r="1">
          <cell r="A1" t="str">
            <v>PHIẾU XỬ LÝ HỒ SƠ THANH TOÁN VƯỢT THẨM QUYỀN PD</v>
          </cell>
        </row>
      </sheetData>
      <sheetData sheetId="6959">
        <row r="1">
          <cell r="A1" t="str">
            <v>PHIẾU XỬ LÝ HỒ SƠ THANH TOÁN VƯỢT THẨM QUYỀN PD</v>
          </cell>
        </row>
      </sheetData>
      <sheetData sheetId="6960">
        <row r="1">
          <cell r="A1" t="str">
            <v>PHIẾU XỬ LÝ HỒ SƠ THANH TOÁN VƯỢT THẨM QUYỀN PD</v>
          </cell>
        </row>
      </sheetData>
      <sheetData sheetId="6961">
        <row r="1">
          <cell r="A1" t="str">
            <v>PHIẾU XỬ LÝ HỒ SƠ THANH TOÁN VƯỢT THẨM QUYỀN PD</v>
          </cell>
        </row>
      </sheetData>
      <sheetData sheetId="6962">
        <row r="1">
          <cell r="A1" t="str">
            <v>PHIẾU XỬ LÝ HỒ SƠ THANH TOÁN VƯỢT THẨM QUYỀN PD</v>
          </cell>
        </row>
      </sheetData>
      <sheetData sheetId="6963">
        <row r="1">
          <cell r="A1" t="str">
            <v>PHIẾU XỬ LÝ HỒ SƠ THANH TOÁN VƯỢT THẨM QUYỀN PD</v>
          </cell>
        </row>
      </sheetData>
      <sheetData sheetId="6964">
        <row r="1">
          <cell r="A1" t="str">
            <v>PHIẾU XỬ LÝ HỒ SƠ THANH TOÁN VƯỢT THẨM QUYỀN PD</v>
          </cell>
        </row>
      </sheetData>
      <sheetData sheetId="6965">
        <row r="1">
          <cell r="A1" t="str">
            <v>PHIẾU XỬ LÝ HỒ SƠ THANH TOÁN VƯỢT THẨM QUYỀN PD</v>
          </cell>
        </row>
      </sheetData>
      <sheetData sheetId="6966">
        <row r="1">
          <cell r="A1" t="str">
            <v>PHIẾU XỬ LÝ HỒ SƠ THANH TOÁN VƯỢT THẨM QUYỀN PD</v>
          </cell>
        </row>
      </sheetData>
      <sheetData sheetId="6967">
        <row r="1">
          <cell r="A1" t="str">
            <v>PHIẾU XỬ LÝ HỒ SƠ THANH TOÁN VƯỢT THẨM QUYỀN PD</v>
          </cell>
        </row>
      </sheetData>
      <sheetData sheetId="6968">
        <row r="1">
          <cell r="A1" t="str">
            <v>PHIẾU XỬ LÝ HỒ SƠ THANH TOÁN VƯỢT THẨM QUYỀN PD</v>
          </cell>
        </row>
      </sheetData>
      <sheetData sheetId="6969">
        <row r="1">
          <cell r="A1" t="str">
            <v>PHIẾU XỬ LÝ HỒ SƠ THANH TOÁN VƯỢT THẨM QUYỀN PD</v>
          </cell>
        </row>
      </sheetData>
      <sheetData sheetId="6970">
        <row r="1">
          <cell r="A1" t="str">
            <v>PHIẾU XỬ LÝ HỒ SƠ THANH TOÁN VƯỢT THẨM QUYỀN PD</v>
          </cell>
        </row>
      </sheetData>
      <sheetData sheetId="6971">
        <row r="1">
          <cell r="A1" t="str">
            <v>PHIẾU XỬ LÝ HỒ SƠ THANH TOÁN VƯỢT THẨM QUYỀN PD</v>
          </cell>
        </row>
      </sheetData>
      <sheetData sheetId="6972">
        <row r="1">
          <cell r="A1" t="str">
            <v>PHIẾU XỬ LÝ HỒ SƠ THANH TOÁN VƯỢT THẨM QUYỀN PD</v>
          </cell>
        </row>
      </sheetData>
      <sheetData sheetId="6973">
        <row r="1">
          <cell r="A1" t="str">
            <v>PHIẾU XỬ LÝ HỒ SƠ THANH TOÁN VƯỢT THẨM QUYỀN PD</v>
          </cell>
        </row>
      </sheetData>
      <sheetData sheetId="6974">
        <row r="1">
          <cell r="A1" t="str">
            <v>PHIẾU XỬ LÝ HỒ SƠ THANH TOÁN VƯỢT THẨM QUYỀN PD</v>
          </cell>
        </row>
      </sheetData>
      <sheetData sheetId="6975">
        <row r="1">
          <cell r="A1" t="str">
            <v>PHIẾU XỬ LÝ HỒ SƠ THANH TOÁN VƯỢT THẨM QUYỀN PD</v>
          </cell>
        </row>
      </sheetData>
      <sheetData sheetId="6976">
        <row r="1">
          <cell r="A1" t="str">
            <v>PHIẾU XỬ LÝ HỒ SƠ THANH TOÁN VƯỢT THẨM QUYỀN PD</v>
          </cell>
        </row>
      </sheetData>
      <sheetData sheetId="6977">
        <row r="1">
          <cell r="A1" t="str">
            <v>PHIẾU XỬ LÝ HỒ SƠ THANH TOÁN VƯỢT THẨM QUYỀN PD</v>
          </cell>
        </row>
      </sheetData>
      <sheetData sheetId="6978">
        <row r="1">
          <cell r="A1" t="str">
            <v>PHIẾU XỬ LÝ HỒ SƠ THANH TOÁN VƯỢT THẨM QUYỀN PD</v>
          </cell>
        </row>
      </sheetData>
      <sheetData sheetId="6979">
        <row r="1">
          <cell r="A1" t="str">
            <v>PHIẾU XỬ LÝ HỒ SƠ THANH TOÁN VƯỢT THẨM QUYỀN PD</v>
          </cell>
        </row>
      </sheetData>
      <sheetData sheetId="6980">
        <row r="1">
          <cell r="A1" t="str">
            <v>PHIẾU XỬ LÝ HỒ SƠ THANH TOÁN VƯỢT THẨM QUYỀN PD</v>
          </cell>
        </row>
      </sheetData>
      <sheetData sheetId="6981">
        <row r="1">
          <cell r="A1" t="str">
            <v>PHIẾU XỬ LÝ HỒ SƠ THANH TOÁN VƯỢT THẨM QUYỀN PD</v>
          </cell>
        </row>
      </sheetData>
      <sheetData sheetId="6982">
        <row r="1">
          <cell r="A1" t="str">
            <v>PHIẾU XỬ LÝ HỒ SƠ THANH TOÁN VƯỢT THẨM QUYỀN PD</v>
          </cell>
        </row>
      </sheetData>
      <sheetData sheetId="6983">
        <row r="1">
          <cell r="A1" t="str">
            <v>PHIẾU XỬ LÝ HỒ SƠ THANH TOÁN VƯỢT THẨM QUYỀN PD</v>
          </cell>
        </row>
      </sheetData>
      <sheetData sheetId="6984">
        <row r="1">
          <cell r="A1" t="str">
            <v>PHIẾU XỬ LÝ HỒ SƠ THANH TOÁN VƯỢT THẨM QUYỀN PD</v>
          </cell>
        </row>
      </sheetData>
      <sheetData sheetId="6985">
        <row r="1">
          <cell r="A1" t="str">
            <v>PHIẾU XỬ LÝ HỒ SƠ THANH TOÁN VƯỢT THẨM QUYỀN PD</v>
          </cell>
        </row>
      </sheetData>
      <sheetData sheetId="6986">
        <row r="1">
          <cell r="A1" t="str">
            <v>PHIẾU XỬ LÝ HỒ SƠ THANH TOÁN VƯỢT THẨM QUYỀN PD</v>
          </cell>
        </row>
      </sheetData>
      <sheetData sheetId="6987">
        <row r="1">
          <cell r="A1" t="str">
            <v>PHIẾU XỬ LÝ HỒ SƠ THANH TOÁN VƯỢT THẨM QUYỀN PD</v>
          </cell>
        </row>
      </sheetData>
      <sheetData sheetId="6988">
        <row r="1">
          <cell r="A1" t="str">
            <v>PHIẾU XỬ LÝ HỒ SƠ THANH TOÁN VƯỢT THẨM QUYỀN PD</v>
          </cell>
        </row>
      </sheetData>
      <sheetData sheetId="6989">
        <row r="1">
          <cell r="A1" t="str">
            <v>PHIẾU XỬ LÝ HỒ SƠ THANH TOÁN VƯỢT THẨM QUYỀN PD</v>
          </cell>
        </row>
      </sheetData>
      <sheetData sheetId="6990">
        <row r="1">
          <cell r="A1" t="str">
            <v>PHIẾU XỬ LÝ HỒ SƠ THANH TOÁN VƯỢT THẨM QUYỀN PD</v>
          </cell>
        </row>
      </sheetData>
      <sheetData sheetId="6991">
        <row r="1">
          <cell r="A1" t="str">
            <v>PHIẾU XỬ LÝ HỒ SƠ THANH TOÁN VƯỢT THẨM QUYỀN PD</v>
          </cell>
        </row>
      </sheetData>
      <sheetData sheetId="6992">
        <row r="1">
          <cell r="A1" t="str">
            <v>PHIẾU XỬ LÝ HỒ SƠ THANH TOÁN VƯỢT THẨM QUYỀN PD</v>
          </cell>
        </row>
      </sheetData>
      <sheetData sheetId="6993">
        <row r="1">
          <cell r="A1" t="str">
            <v>PHIẾU XỬ LÝ HỒ SƠ THANH TOÁN VƯỢT THẨM QUYỀN PD</v>
          </cell>
        </row>
      </sheetData>
      <sheetData sheetId="6994"/>
      <sheetData sheetId="6995" refreshError="1"/>
      <sheetData sheetId="6996" refreshError="1"/>
      <sheetData sheetId="6997">
        <row r="1">
          <cell r="A1" t="str">
            <v>PHIẾU XỬ LÝ HỒ SƠ THANH TOÁN VƯỢT THẨM QUYỀN PD</v>
          </cell>
        </row>
      </sheetData>
      <sheetData sheetId="6998">
        <row r="1">
          <cell r="A1" t="str">
            <v>PHIẾU XỬ LÝ HỒ SƠ THANH TOÁN VƯỢT THẨM QUYỀN PD</v>
          </cell>
        </row>
      </sheetData>
      <sheetData sheetId="6999">
        <row r="1">
          <cell r="A1" t="str">
            <v>PHIẾU XỬ LÝ HỒ SƠ THANH TOÁN VƯỢT THẨM QUYỀN PD</v>
          </cell>
        </row>
      </sheetData>
      <sheetData sheetId="7000">
        <row r="1">
          <cell r="A1" t="str">
            <v>PHIẾU XỬ LÝ HỒ SƠ THANH TOÁN VƯỢT THẨM QUYỀN PD</v>
          </cell>
        </row>
      </sheetData>
      <sheetData sheetId="7001">
        <row r="1">
          <cell r="A1" t="str">
            <v>PHIẾU XỬ LÝ HỒ SƠ THANH TOÁN VƯỢT THẨM QUYỀN PD</v>
          </cell>
        </row>
      </sheetData>
      <sheetData sheetId="7002">
        <row r="1">
          <cell r="A1" t="str">
            <v>PHIẾU XỬ LÝ HỒ SƠ THANH TOÁN VƯỢT THẨM QUYỀN PD</v>
          </cell>
        </row>
      </sheetData>
      <sheetData sheetId="7003">
        <row r="1">
          <cell r="A1" t="str">
            <v>PHIẾU XỬ LÝ HỒ SƠ THANH TOÁN VƯỢT THẨM QUYỀN PD</v>
          </cell>
        </row>
      </sheetData>
      <sheetData sheetId="7004">
        <row r="1">
          <cell r="A1" t="str">
            <v>PHIẾU XỬ LÝ HỒ SƠ THANH TOÁN VƯỢT THẨM QUYỀN PD</v>
          </cell>
        </row>
      </sheetData>
      <sheetData sheetId="7005">
        <row r="1">
          <cell r="A1" t="str">
            <v>PHIẾU XỬ LÝ HỒ SƠ THANH TOÁN VƯỢT THẨM QUYỀN PD</v>
          </cell>
        </row>
      </sheetData>
      <sheetData sheetId="7006">
        <row r="1">
          <cell r="A1" t="str">
            <v>PHIẾU XỬ LÝ HỒ SƠ THANH TOÁN VƯỢT THẨM QUYỀN PD</v>
          </cell>
        </row>
      </sheetData>
      <sheetData sheetId="7007">
        <row r="1">
          <cell r="A1" t="str">
            <v>PHIẾU XỬ LÝ HỒ SƠ THANH TOÁN VƯỢT THẨM QUYỀN PD</v>
          </cell>
        </row>
      </sheetData>
      <sheetData sheetId="7008">
        <row r="1">
          <cell r="A1" t="str">
            <v>PHIẾU XỬ LÝ HỒ SƠ THANH TOÁN VƯỢT THẨM QUYỀN PD</v>
          </cell>
        </row>
      </sheetData>
      <sheetData sheetId="7009">
        <row r="1">
          <cell r="A1" t="str">
            <v>PHIẾU XỬ LÝ HỒ SƠ THANH TOÁN VƯỢT THẨM QUYỀN PD</v>
          </cell>
        </row>
      </sheetData>
      <sheetData sheetId="7010">
        <row r="1">
          <cell r="A1" t="str">
            <v>PHIẾU XỬ LÝ HỒ SƠ THANH TOÁN VƯỢT THẨM QUYỀN PD</v>
          </cell>
        </row>
      </sheetData>
      <sheetData sheetId="7011">
        <row r="1">
          <cell r="A1" t="str">
            <v>PHIẾU XỬ LÝ HỒ SƠ THANH TOÁN VƯỢT THẨM QUYỀN PD</v>
          </cell>
        </row>
      </sheetData>
      <sheetData sheetId="7012">
        <row r="1">
          <cell r="A1" t="str">
            <v>PHIẾU XỬ LÝ HỒ SƠ THANH TOÁN VƯỢT THẨM QUYỀN PD</v>
          </cell>
        </row>
      </sheetData>
      <sheetData sheetId="7013">
        <row r="1">
          <cell r="A1" t="str">
            <v>PHIẾU XỬ LÝ HỒ SƠ THANH TOÁN VƯỢT THẨM QUYỀN PD</v>
          </cell>
        </row>
      </sheetData>
      <sheetData sheetId="7014">
        <row r="1">
          <cell r="A1" t="str">
            <v>PHIẾU XỬ LÝ HỒ SƠ THANH TOÁN VƯỢT THẨM QUYỀN PD</v>
          </cell>
        </row>
      </sheetData>
      <sheetData sheetId="7015">
        <row r="1">
          <cell r="A1" t="str">
            <v>PHIẾU XỬ LÝ HỒ SƠ THANH TOÁN VƯỢT THẨM QUYỀN PD</v>
          </cell>
        </row>
      </sheetData>
      <sheetData sheetId="7016">
        <row r="1">
          <cell r="A1" t="str">
            <v>PHIẾU XỬ LÝ HỒ SƠ THANH TOÁN VƯỢT THẨM QUYỀN PD</v>
          </cell>
        </row>
      </sheetData>
      <sheetData sheetId="7017">
        <row r="1">
          <cell r="A1" t="str">
            <v>PHIẾU XỬ LÝ HỒ SƠ THANH TOÁN VƯỢT THẨM QUYỀN PD</v>
          </cell>
        </row>
      </sheetData>
      <sheetData sheetId="7018">
        <row r="1">
          <cell r="A1" t="str">
            <v>PHIẾU XỬ LÝ HỒ SƠ THANH TOÁN VƯỢT THẨM QUYỀN PD</v>
          </cell>
        </row>
      </sheetData>
      <sheetData sheetId="7019">
        <row r="1">
          <cell r="A1" t="str">
            <v>PHIẾU XỬ LÝ HỒ SƠ THANH TOÁN VƯỢT THẨM QUYỀN PD</v>
          </cell>
        </row>
      </sheetData>
      <sheetData sheetId="7020">
        <row r="1">
          <cell r="A1" t="str">
            <v>PHIẾU XỬ LÝ HỒ SƠ THANH TOÁN VƯỢT THẨM QUYỀN PD</v>
          </cell>
        </row>
      </sheetData>
      <sheetData sheetId="7021">
        <row r="1">
          <cell r="A1" t="str">
            <v>PHIẾU XỬ LÝ HỒ SƠ THANH TOÁN VƯỢT THẨM QUYỀN PD</v>
          </cell>
        </row>
      </sheetData>
      <sheetData sheetId="7022">
        <row r="1">
          <cell r="A1" t="str">
            <v>PHIẾU XỬ LÝ HỒ SƠ THANH TOÁN VƯỢT THẨM QUYỀN PD</v>
          </cell>
        </row>
      </sheetData>
      <sheetData sheetId="7023">
        <row r="1">
          <cell r="A1" t="str">
            <v>PHIẾU XỬ LÝ HỒ SƠ THANH TOÁN VƯỢT THẨM QUYỀN PD</v>
          </cell>
        </row>
      </sheetData>
      <sheetData sheetId="7024">
        <row r="1">
          <cell r="A1" t="str">
            <v>PHIẾU XỬ LÝ HỒ SƠ THANH TOÁN VƯỢT THẨM QUYỀN PD</v>
          </cell>
        </row>
      </sheetData>
      <sheetData sheetId="7025">
        <row r="1">
          <cell r="A1" t="str">
            <v>PHIẾU XỬ LÝ HỒ SƠ THANH TOÁN VƯỢT THẨM QUYỀN PD</v>
          </cell>
        </row>
      </sheetData>
      <sheetData sheetId="7026">
        <row r="1">
          <cell r="A1" t="str">
            <v>PHIẾU XỬ LÝ HỒ SƠ THANH TOÁN VƯỢT THẨM QUYỀN PD</v>
          </cell>
        </row>
      </sheetData>
      <sheetData sheetId="7027">
        <row r="1">
          <cell r="A1" t="str">
            <v>PHIẾU XỬ LÝ HỒ SƠ THANH TOÁN VƯỢT THẨM QUYỀN PD</v>
          </cell>
        </row>
      </sheetData>
      <sheetData sheetId="7028">
        <row r="1">
          <cell r="A1" t="str">
            <v>PHIẾU XỬ LÝ HỒ SƠ THANH TOÁN VƯỢT THẨM QUYỀN PD</v>
          </cell>
        </row>
      </sheetData>
      <sheetData sheetId="7029">
        <row r="1">
          <cell r="A1" t="str">
            <v>PHIẾU XỬ LÝ HỒ SƠ THANH TOÁN VƯỢT THẨM QUYỀN PD</v>
          </cell>
        </row>
      </sheetData>
      <sheetData sheetId="7030">
        <row r="1">
          <cell r="A1" t="str">
            <v>PHIẾU XỬ LÝ HỒ SƠ THANH TOÁN VƯỢT THẨM QUYỀN PD</v>
          </cell>
        </row>
      </sheetData>
      <sheetData sheetId="7031">
        <row r="1">
          <cell r="A1" t="str">
            <v>PHIẾU XỬ LÝ HỒ SƠ THANH TOÁN VƯỢT THẨM QUYỀN PD</v>
          </cell>
        </row>
      </sheetData>
      <sheetData sheetId="7032">
        <row r="1">
          <cell r="A1" t="str">
            <v>PHIẾU XỬ LÝ HỒ SƠ THANH TOÁN VƯỢT THẨM QUYỀN PD</v>
          </cell>
        </row>
      </sheetData>
      <sheetData sheetId="7033">
        <row r="1">
          <cell r="A1" t="str">
            <v>PHIẾU XỬ LÝ HỒ SƠ THANH TOÁN VƯỢT THẨM QUYỀN PD</v>
          </cell>
        </row>
      </sheetData>
      <sheetData sheetId="7034">
        <row r="1">
          <cell r="A1" t="str">
            <v>PHIẾU XỬ LÝ HỒ SƠ THANH TOÁN VƯỢT THẨM QUYỀN PD</v>
          </cell>
        </row>
      </sheetData>
      <sheetData sheetId="7035">
        <row r="1">
          <cell r="A1" t="str">
            <v>PHIẾU XỬ LÝ HỒ SƠ THANH TOÁN VƯỢT THẨM QUYỀN PD</v>
          </cell>
        </row>
      </sheetData>
      <sheetData sheetId="7036">
        <row r="1">
          <cell r="A1" t="str">
            <v>PHIẾU XỬ LÝ HỒ SƠ THANH TOÁN VƯỢT THẨM QUYỀN PD</v>
          </cell>
        </row>
      </sheetData>
      <sheetData sheetId="7037">
        <row r="1">
          <cell r="A1" t="str">
            <v>PHIẾU XỬ LÝ HỒ SƠ THANH TOÁN VƯỢT THẨM QUYỀN PD</v>
          </cell>
        </row>
      </sheetData>
      <sheetData sheetId="7038">
        <row r="1">
          <cell r="A1" t="str">
            <v>PHIẾU XỬ LÝ HỒ SƠ THANH TOÁN VƯỢT THẨM QUYỀN PD</v>
          </cell>
        </row>
      </sheetData>
      <sheetData sheetId="7039">
        <row r="1">
          <cell r="A1" t="str">
            <v>PHIẾU XỬ LÝ HỒ SƠ THANH TOÁN VƯỢT THẨM QUYỀN PD</v>
          </cell>
        </row>
      </sheetData>
      <sheetData sheetId="7040">
        <row r="1">
          <cell r="A1" t="str">
            <v>PHIẾU XỬ LÝ HỒ SƠ THANH TOÁN VƯỢT THẨM QUYỀN PD</v>
          </cell>
        </row>
      </sheetData>
      <sheetData sheetId="7041">
        <row r="1">
          <cell r="A1" t="str">
            <v>PHIẾU XỬ LÝ HỒ SƠ THANH TOÁN VƯỢT THẨM QUYỀN PD</v>
          </cell>
        </row>
      </sheetData>
      <sheetData sheetId="7042">
        <row r="1">
          <cell r="A1" t="str">
            <v>PHIẾU XỬ LÝ HỒ SƠ THANH TOÁN VƯỢT THẨM QUYỀN PD</v>
          </cell>
        </row>
      </sheetData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>
        <row r="1">
          <cell r="A1" t="str">
            <v>PHIẾU XỬ LÝ HỒ SƠ THANH TOÁN VƯỢT THẨM QUYỀN PD</v>
          </cell>
        </row>
      </sheetData>
      <sheetData sheetId="7062">
        <row r="1">
          <cell r="A1" t="str">
            <v>PHIẾU XỬ LÝ HỒ SƠ THANH TOÁN VƯỢT THẨM QUYỀN PD</v>
          </cell>
        </row>
      </sheetData>
      <sheetData sheetId="7063">
        <row r="1">
          <cell r="A1" t="str">
            <v>PHIẾU XỬ LÝ HỒ SƠ THANH TOÁN VƯỢT THẨM QUYỀN PD</v>
          </cell>
        </row>
      </sheetData>
      <sheetData sheetId="7064">
        <row r="1">
          <cell r="A1" t="str">
            <v>PHIẾU XỬ LÝ HỒ SƠ THANH TOÁN VƯỢT THẨM QUYỀN PD</v>
          </cell>
        </row>
      </sheetData>
      <sheetData sheetId="7065">
        <row r="1">
          <cell r="A1" t="str">
            <v>PHIẾU XỬ LÝ HỒ SƠ THANH TOÁN VƯỢT THẨM QUYỀN PD</v>
          </cell>
        </row>
      </sheetData>
      <sheetData sheetId="7066">
        <row r="1">
          <cell r="A1" t="str">
            <v>PHIẾU XỬ LÝ HỒ SƠ THANH TOÁN VƯỢT THẨM QUYỀN PD</v>
          </cell>
        </row>
      </sheetData>
      <sheetData sheetId="7067">
        <row r="1">
          <cell r="A1" t="str">
            <v>PHIẾU XỬ LÝ HỒ SƠ THANH TOÁN VƯỢT THẨM QUYỀN PD</v>
          </cell>
        </row>
      </sheetData>
      <sheetData sheetId="7068">
        <row r="1">
          <cell r="A1" t="str">
            <v>PHIẾU XỬ LÝ HỒ SƠ THANH TOÁN VƯỢT THẨM QUYỀN PD</v>
          </cell>
        </row>
      </sheetData>
      <sheetData sheetId="7069">
        <row r="1">
          <cell r="A1" t="str">
            <v>PHIẾU XỬ LÝ HỒ SƠ THANH TOÁN VƯỢT THẨM QUYỀN PD</v>
          </cell>
        </row>
      </sheetData>
      <sheetData sheetId="7070">
        <row r="1">
          <cell r="A1" t="str">
            <v>PHIẾU XỬ LÝ HỒ SƠ THANH TOÁN VƯỢT THẨM QUYỀN PD</v>
          </cell>
        </row>
      </sheetData>
      <sheetData sheetId="7071">
        <row r="1">
          <cell r="A1" t="str">
            <v>PHIẾU XỬ LÝ HỒ SƠ THANH TOÁN VƯỢT THẨM QUYỀN PD</v>
          </cell>
        </row>
      </sheetData>
      <sheetData sheetId="7072">
        <row r="1">
          <cell r="A1" t="str">
            <v>PHIẾU XỬ LÝ HỒ SƠ THANH TOÁN VƯỢT THẨM QUYỀN PD</v>
          </cell>
        </row>
      </sheetData>
      <sheetData sheetId="7073">
        <row r="1">
          <cell r="A1" t="str">
            <v>PHIẾU XỬ LÝ HỒ SƠ THANH TOÁN VƯỢT THẨM QUYỀN PD</v>
          </cell>
        </row>
      </sheetData>
      <sheetData sheetId="7074">
        <row r="1">
          <cell r="A1" t="str">
            <v>PHIẾU XỬ LÝ HỒ SƠ THANH TOÁN VƯỢT THẨM QUYỀN PD</v>
          </cell>
        </row>
      </sheetData>
      <sheetData sheetId="7075">
        <row r="1">
          <cell r="A1" t="str">
            <v>PHIẾU XỬ LÝ HỒ SƠ THANH TOÁN VƯỢT THẨM QUYỀN PD</v>
          </cell>
        </row>
      </sheetData>
      <sheetData sheetId="7076">
        <row r="1">
          <cell r="A1" t="str">
            <v>PHIẾU XỬ LÝ HỒ SƠ THANH TOÁN VƯỢT THẨM QUYỀN PD</v>
          </cell>
        </row>
      </sheetData>
      <sheetData sheetId="7077">
        <row r="1">
          <cell r="A1" t="str">
            <v>PHIẾU XỬ LÝ HỒ SƠ THANH TOÁN VƯỢT THẨM QUYỀN PD</v>
          </cell>
        </row>
      </sheetData>
      <sheetData sheetId="7078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>
        <row r="1">
          <cell r="A1" t="str">
            <v>PHIẾU XỬ LÝ HỒ SƠ THANH TOÁN VƯỢT THẨM QUYỀN PD</v>
          </cell>
        </row>
      </sheetData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/>
      <sheetData sheetId="7167">
        <row r="1">
          <cell r="A1" t="str">
            <v>PHIẾU XỬ LÝ HỒ SƠ THANH TOÁN VƯỢT THẨM QUYỀN PD</v>
          </cell>
        </row>
      </sheetData>
      <sheetData sheetId="7168">
        <row r="1">
          <cell r="A1" t="str">
            <v>PHIẾU XỬ LÝ HỒ SƠ THANH TOÁN VƯỢT THẨM QUYỀN PD</v>
          </cell>
        </row>
      </sheetData>
      <sheetData sheetId="7169"/>
      <sheetData sheetId="7170">
        <row r="1">
          <cell r="A1" t="str">
            <v>PHIẾU XỬ LÝ HỒ SƠ THANH TOÁN VƯỢT THẨM QUYỀN PD</v>
          </cell>
        </row>
      </sheetData>
      <sheetData sheetId="7171"/>
      <sheetData sheetId="7172">
        <row r="1">
          <cell r="A1" t="str">
            <v>PHIẾU XỬ LÝ HỒ SƠ THANH TOÁN VƯỢT THẨM QUYỀN PD</v>
          </cell>
        </row>
      </sheetData>
      <sheetData sheetId="7173">
        <row r="1">
          <cell r="A1" t="str">
            <v>PHIẾU XỬ LÝ HỒ SƠ THANH TOÁN VƯỢT THẨM QUYỀN PD</v>
          </cell>
        </row>
      </sheetData>
      <sheetData sheetId="7174">
        <row r="1">
          <cell r="A1" t="str">
            <v>PHIẾU XỬ LÝ HỒ SƠ THANH TOÁN VƯỢT THẨM QUYỀN PD</v>
          </cell>
        </row>
      </sheetData>
      <sheetData sheetId="7175">
        <row r="1">
          <cell r="A1" t="str">
            <v>PHIẾU XỬ LÝ HỒ SƠ THANH TOÁN VƯỢT THẨM QUYỀN PD</v>
          </cell>
        </row>
      </sheetData>
      <sheetData sheetId="7176"/>
      <sheetData sheetId="7177">
        <row r="1">
          <cell r="A1" t="str">
            <v>PHIẾU XỬ LÝ HỒ SƠ THANH TOÁN VƯỢT THẨM QUYỀN PD</v>
          </cell>
        </row>
      </sheetData>
      <sheetData sheetId="7178">
        <row r="1">
          <cell r="A1" t="str">
            <v>PHIẾU XỬ LÝ HỒ SƠ THANH TOÁN VƯỢT THẨM QUYỀN PD</v>
          </cell>
        </row>
      </sheetData>
      <sheetData sheetId="7179">
        <row r="1">
          <cell r="A1" t="str">
            <v>PHIẾU XỬ LÝ HỒ SƠ THANH TOÁN VƯỢT THẨM QUYỀN PD</v>
          </cell>
        </row>
      </sheetData>
      <sheetData sheetId="7180">
        <row r="1">
          <cell r="A1" t="str">
            <v>PHIẾU XỬ LÝ HỒ SƠ THANH TOÁN VƯỢT THẨM QUYỀN PD</v>
          </cell>
        </row>
      </sheetData>
      <sheetData sheetId="7181">
        <row r="1">
          <cell r="A1" t="str">
            <v>PHIẾU XỬ LÝ HỒ SƠ THANH TOÁN VƯỢT THẨM QUYỀN PD</v>
          </cell>
        </row>
      </sheetData>
      <sheetData sheetId="7182">
        <row r="1">
          <cell r="A1" t="str">
            <v>PHIẾU XỬ LÝ HỒ SƠ THANH TOÁN VƯỢT THẨM QUYỀN PD</v>
          </cell>
        </row>
      </sheetData>
      <sheetData sheetId="7183">
        <row r="1">
          <cell r="A1" t="str">
            <v>PHIẾU XỬ LÝ HỒ SƠ THANH TOÁN VƯỢT THẨM QUYỀN PD</v>
          </cell>
        </row>
      </sheetData>
      <sheetData sheetId="7184">
        <row r="1">
          <cell r="A1" t="str">
            <v>PHIẾU XỬ LÝ HỒ SƠ THANH TOÁN VƯỢT THẨM QUYỀN PD</v>
          </cell>
        </row>
      </sheetData>
      <sheetData sheetId="7185">
        <row r="1">
          <cell r="A1" t="str">
            <v>PHIẾU XỬ LÝ HỒ SƠ THANH TOÁN VƯỢT THẨM QUYỀN PD</v>
          </cell>
        </row>
      </sheetData>
      <sheetData sheetId="7186">
        <row r="1">
          <cell r="A1" t="str">
            <v>PHIẾU XỬ LÝ HỒ SƠ THANH TOÁN VƯỢT THẨM QUYỀN PD</v>
          </cell>
        </row>
      </sheetData>
      <sheetData sheetId="7187">
        <row r="1">
          <cell r="A1" t="str">
            <v>PHIẾU XỬ LÝ HỒ SƠ THANH TOÁN VƯỢT THẨM QUYỀN PD</v>
          </cell>
        </row>
      </sheetData>
      <sheetData sheetId="7188">
        <row r="1">
          <cell r="A1" t="str">
            <v>PHIẾU XỬ LÝ HỒ SƠ THANH TOÁN VƯỢT THẨM QUYỀN PD</v>
          </cell>
        </row>
      </sheetData>
      <sheetData sheetId="7189">
        <row r="1">
          <cell r="A1" t="str">
            <v>PHIẾU XỬ LÝ HỒ SƠ THANH TOÁN VƯỢT THẨM QUYỀN PD</v>
          </cell>
        </row>
      </sheetData>
      <sheetData sheetId="7190">
        <row r="1">
          <cell r="A1" t="str">
            <v>PHIẾU XỬ LÝ HỒ SƠ THANH TOÁN VƯỢT THẨM QUYỀN PD</v>
          </cell>
        </row>
      </sheetData>
      <sheetData sheetId="7191">
        <row r="1">
          <cell r="A1" t="str">
            <v>PHIẾU XỬ LÝ HỒ SƠ THANH TOÁN VƯỢT THẨM QUYỀN PD</v>
          </cell>
        </row>
      </sheetData>
      <sheetData sheetId="7192">
        <row r="1">
          <cell r="A1" t="str">
            <v>PHIẾU XỬ LÝ HỒ SƠ THANH TOÁN VƯỢT THẨM QUYỀN PD</v>
          </cell>
        </row>
      </sheetData>
      <sheetData sheetId="7193">
        <row r="1">
          <cell r="A1" t="str">
            <v>PHIẾU XỬ LÝ HỒ SƠ THANH TOÁN VƯỢT THẨM QUYỀN PD</v>
          </cell>
        </row>
      </sheetData>
      <sheetData sheetId="7194">
        <row r="1">
          <cell r="A1" t="str">
            <v>PHIẾU XỬ LÝ HỒ SƠ THANH TOÁN VƯỢT THẨM QUYỀN PD</v>
          </cell>
        </row>
      </sheetData>
      <sheetData sheetId="7195">
        <row r="1">
          <cell r="A1" t="str">
            <v>PHIẾU XỬ LÝ HỒ SƠ THANH TOÁN VƯỢT THẨM QUYỀN PD</v>
          </cell>
        </row>
      </sheetData>
      <sheetData sheetId="7196">
        <row r="1">
          <cell r="A1" t="str">
            <v>PHIẾU XỬ LÝ HỒ SƠ THANH TOÁN VƯỢT THẨM QUYỀN PD</v>
          </cell>
        </row>
      </sheetData>
      <sheetData sheetId="7197">
        <row r="1">
          <cell r="A1" t="str">
            <v>PHIẾU XỬ LÝ HỒ SƠ THANH TOÁN VƯỢT THẨM QUYỀN PD</v>
          </cell>
        </row>
      </sheetData>
      <sheetData sheetId="7198">
        <row r="1">
          <cell r="A1" t="str">
            <v>PHIẾU XỬ LÝ HỒ SƠ THANH TOÁN VƯỢT THẨM QUYỀN PD</v>
          </cell>
        </row>
      </sheetData>
      <sheetData sheetId="7199">
        <row r="1">
          <cell r="A1" t="str">
            <v>PHIẾU XỬ LÝ HỒ SƠ THANH TOÁN VƯỢT THẨM QUYỀN PD</v>
          </cell>
        </row>
      </sheetData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/>
      <sheetData sheetId="7235"/>
      <sheetData sheetId="7236"/>
      <sheetData sheetId="7237"/>
      <sheetData sheetId="7238"/>
      <sheetData sheetId="7239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/>
      <sheetData sheetId="7335">
        <row r="1">
          <cell r="A1" t="str">
            <v>PHIẾU XỬ LÝ HỒ SƠ THANH TOÁN VƯỢT THẨM QUYỀN PD</v>
          </cell>
        </row>
      </sheetData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/>
      <sheetData sheetId="7535"/>
      <sheetData sheetId="7536"/>
      <sheetData sheetId="7537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/>
      <sheetData sheetId="7544"/>
      <sheetData sheetId="7545"/>
      <sheetData sheetId="7546" refreshError="1"/>
      <sheetData sheetId="7547" refreshError="1"/>
      <sheetData sheetId="7548" refreshError="1"/>
      <sheetData sheetId="7549" refreshError="1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>
        <row r="1">
          <cell r="A1" t="str">
            <v>PHIẾU XỬ LÝ HỒ SƠ THANH TOÁN VƯỢT THẨM QUYỀN PD</v>
          </cell>
        </row>
      </sheetData>
      <sheetData sheetId="7869"/>
      <sheetData sheetId="7870"/>
      <sheetData sheetId="7871"/>
      <sheetData sheetId="7872"/>
      <sheetData sheetId="7873"/>
      <sheetData sheetId="7874"/>
      <sheetData sheetId="7875">
        <row r="1">
          <cell r="A1" t="str">
            <v>PHIẾU XỬ LÝ HỒ SƠ THANH TOÁN VƯỢT THẨM QUYỀN PD</v>
          </cell>
        </row>
      </sheetData>
      <sheetData sheetId="7876">
        <row r="1">
          <cell r="A1" t="str">
            <v>PHIẾU XỬ LÝ HỒ SƠ THANH TOÁN VƯỢT THẨM QUYỀN PD</v>
          </cell>
        </row>
      </sheetData>
      <sheetData sheetId="7877"/>
      <sheetData sheetId="7878"/>
      <sheetData sheetId="7879"/>
      <sheetData sheetId="7880"/>
      <sheetData sheetId="7881"/>
      <sheetData sheetId="7882">
        <row r="1">
          <cell r="A1" t="str">
            <v>PHIẾU XỬ LÝ HỒ SƠ THANH TOÁN VƯỢT THẨM QUYỀN PD</v>
          </cell>
        </row>
      </sheetData>
      <sheetData sheetId="7883">
        <row r="1">
          <cell r="A1" t="str">
            <v>PHIẾU XỬ LÝ HỒ SƠ THANH TOÁN VƯỢT THẨM QUYỀN PD</v>
          </cell>
        </row>
      </sheetData>
      <sheetData sheetId="7884">
        <row r="1">
          <cell r="A1" t="str">
            <v>PHIẾU XỬ LÝ HỒ SƠ THANH TOÁN VƯỢT THẨM QUYỀN PD</v>
          </cell>
        </row>
      </sheetData>
      <sheetData sheetId="7885">
        <row r="1">
          <cell r="A1" t="str">
            <v>PHIẾU XỬ LÝ HỒ SƠ THANH TOÁN VƯỢT THẨM QUYỀN PD</v>
          </cell>
        </row>
      </sheetData>
      <sheetData sheetId="7886">
        <row r="1">
          <cell r="A1" t="str">
            <v>PHIẾU XỬ LÝ HỒ SƠ THANH TOÁN VƯỢT THẨM QUYỀN PD</v>
          </cell>
        </row>
      </sheetData>
      <sheetData sheetId="7887">
        <row r="1">
          <cell r="A1" t="str">
            <v>PHIẾU XỬ LÝ HỒ SƠ THANH TOÁN VƯỢT THẨM QUYỀN PD</v>
          </cell>
        </row>
      </sheetData>
      <sheetData sheetId="7888">
        <row r="1">
          <cell r="A1" t="str">
            <v>PHIẾU XỬ LÝ HỒ SƠ THANH TOÁN VƯỢT THẨM QUYỀN PD</v>
          </cell>
        </row>
      </sheetData>
      <sheetData sheetId="7889">
        <row r="1">
          <cell r="A1" t="str">
            <v>PHIẾU XỬ LÝ HỒ SƠ THANH TOÁN VƯỢT THẨM QUYỀN PD</v>
          </cell>
        </row>
      </sheetData>
      <sheetData sheetId="7890">
        <row r="1">
          <cell r="A1" t="str">
            <v>PHIẾU XỬ LÝ HỒ SƠ THANH TOÁN VƯỢT THẨM QUYỀN PD</v>
          </cell>
        </row>
      </sheetData>
      <sheetData sheetId="7891">
        <row r="1">
          <cell r="A1" t="str">
            <v>PHIẾU XỬ LÝ HỒ SƠ THANH TOÁN VƯỢT THẨM QUYỀN PD</v>
          </cell>
        </row>
      </sheetData>
      <sheetData sheetId="7892">
        <row r="1">
          <cell r="A1" t="str">
            <v>PHIẾU XỬ LÝ HỒ SƠ THANH TOÁN VƯỢT THẨM QUYỀN PD</v>
          </cell>
        </row>
      </sheetData>
      <sheetData sheetId="7893"/>
      <sheetData sheetId="7894"/>
      <sheetData sheetId="7895">
        <row r="1">
          <cell r="A1" t="str">
            <v>PHIẾU XỬ LÝ HỒ SƠ THANH TOÁN VƯỢT THẨM QUYỀN PD</v>
          </cell>
        </row>
      </sheetData>
      <sheetData sheetId="7896"/>
      <sheetData sheetId="7897">
        <row r="1">
          <cell r="A1" t="str">
            <v>PHIẾU XỬ LÝ HỒ SƠ THANH TOÁN VƯỢT THẨM QUYỀN PD</v>
          </cell>
        </row>
      </sheetData>
      <sheetData sheetId="7898">
        <row r="1">
          <cell r="A1" t="str">
            <v>PHIẾU XỬ LÝ HỒ SƠ THANH TOÁN VƯỢT THẨM QUYỀN PD</v>
          </cell>
        </row>
      </sheetData>
      <sheetData sheetId="7899">
        <row r="1">
          <cell r="A1" t="str">
            <v>PHIẾU XỬ LÝ HỒ SƠ THANH TOÁN VƯỢT THẨM QUYỀN PD</v>
          </cell>
        </row>
      </sheetData>
      <sheetData sheetId="7900">
        <row r="1">
          <cell r="A1" t="str">
            <v>PHIẾU XỬ LÝ HỒ SƠ THANH TOÁN VƯỢT THẨM QUYỀN PD</v>
          </cell>
        </row>
      </sheetData>
      <sheetData sheetId="7901">
        <row r="1">
          <cell r="A1" t="str">
            <v>PHIẾU XỬ LÝ HỒ SƠ THANH TOÁN VƯỢT THẨM QUYỀN PD</v>
          </cell>
        </row>
      </sheetData>
      <sheetData sheetId="7902">
        <row r="1">
          <cell r="A1" t="str">
            <v>PHIẾU XỬ LÝ HỒ SƠ THANH TOÁN VƯỢT THẨM QUYỀN PD</v>
          </cell>
        </row>
      </sheetData>
      <sheetData sheetId="7903">
        <row r="1">
          <cell r="A1" t="str">
            <v>PHIẾU XỬ LÝ HỒ SƠ THANH TOÁN VƯỢT THẨM QUYỀN PD</v>
          </cell>
        </row>
      </sheetData>
      <sheetData sheetId="7904">
        <row r="1">
          <cell r="A1" t="str">
            <v>PHIẾU XỬ LÝ HỒ SƠ THANH TOÁN VƯỢT THẨM QUYỀN PD</v>
          </cell>
        </row>
      </sheetData>
      <sheetData sheetId="7905">
        <row r="1">
          <cell r="A1" t="str">
            <v>PHIẾU XỬ LÝ HỒ SƠ THANH TOÁN VƯỢT THẨM QUYỀN PD</v>
          </cell>
        </row>
      </sheetData>
      <sheetData sheetId="7906"/>
      <sheetData sheetId="7907"/>
      <sheetData sheetId="7908"/>
      <sheetData sheetId="7909">
        <row r="1">
          <cell r="A1" t="str">
            <v>PHIẾU XỬ LÝ HỒ SƠ THANH TOÁN VƯỢT THẨM QUYỀN PD</v>
          </cell>
        </row>
      </sheetData>
      <sheetData sheetId="7910">
        <row r="1">
          <cell r="A1" t="str">
            <v>PHIẾU XỬ LÝ HỒ SƠ THANH TOÁN VƯỢT THẨM QUYỀN PD</v>
          </cell>
        </row>
      </sheetData>
      <sheetData sheetId="7911">
        <row r="1">
          <cell r="A1" t="str">
            <v>PHIẾU XỬ LÝ HỒ SƠ THANH TOÁN VƯỢT THẨM QUYỀN PD</v>
          </cell>
        </row>
      </sheetData>
      <sheetData sheetId="7912">
        <row r="1">
          <cell r="A1" t="str">
            <v>PHIẾU XỬ LÝ HỒ SƠ THANH TOÁN VƯỢT THẨM QUYỀN PD</v>
          </cell>
        </row>
      </sheetData>
      <sheetData sheetId="7913">
        <row r="1">
          <cell r="A1" t="str">
            <v>PHIẾU XỬ LÝ HỒ SƠ THANH TOÁN VƯỢT THẨM QUYỀN PD</v>
          </cell>
        </row>
      </sheetData>
      <sheetData sheetId="7914">
        <row r="1">
          <cell r="A1" t="str">
            <v>PHIẾU XỬ LÝ HỒ SƠ THANH TOÁN VƯỢT THẨM QUYỀN PD</v>
          </cell>
        </row>
      </sheetData>
      <sheetData sheetId="7915">
        <row r="1">
          <cell r="A1" t="str">
            <v>PHIẾU XỬ LÝ HỒ SƠ THANH TOÁN VƯỢT THẨM QUYỀN PD</v>
          </cell>
        </row>
      </sheetData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제경비"/>
      <sheetName val="투찰내역"/>
      <sheetName val="2000년1차"/>
      <sheetName val="2000전체분"/>
      <sheetName val="교통대책내역"/>
      <sheetName val="집계표"/>
      <sheetName val="부대공사비"/>
      <sheetName val="약품공급2"/>
      <sheetName val="조명일위"/>
      <sheetName val="조경일람"/>
      <sheetName val="단가일람"/>
      <sheetName val="정부노임단가"/>
      <sheetName val="차액보증"/>
      <sheetName val="내역서"/>
      <sheetName val="BID"/>
      <sheetName val="SLAB데이터"/>
      <sheetName val="간접1"/>
      <sheetName val="99총공사내역서"/>
      <sheetName val="퍼스트"/>
      <sheetName val="#REF"/>
      <sheetName val="C1ㅇ"/>
      <sheetName val="실행내역"/>
      <sheetName val="접지수량"/>
      <sheetName val="지질조사"/>
      <sheetName val="노임"/>
      <sheetName val="원가계산서"/>
      <sheetName val="Total 단위경유량집계"/>
      <sheetName val="MOTOR"/>
      <sheetName val="CALCULATION"/>
      <sheetName val="전체제잡비"/>
      <sheetName val="산근"/>
      <sheetName val="RE9604"/>
      <sheetName val="sheet1"/>
      <sheetName val="기계경비(시간당)"/>
      <sheetName val="마산월령동골조물량변경"/>
      <sheetName val="DB"/>
      <sheetName val="단가"/>
      <sheetName val="DANGA"/>
      <sheetName val="일위대가"/>
      <sheetName val="설계조건"/>
      <sheetName val="조명시설"/>
      <sheetName val="건축내역"/>
      <sheetName val="기본단가표"/>
      <sheetName val="재료집계표"/>
      <sheetName val="준검 내역서"/>
      <sheetName val="1,2공구원가계산서"/>
      <sheetName val="2공구산출내역"/>
      <sheetName val="1공구산출내역서"/>
      <sheetName val="실행철강하도"/>
      <sheetName val="잡철물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SIL98"/>
      <sheetName val="관급"/>
      <sheetName val="1001"/>
      <sheetName val="하남내역"/>
      <sheetName val="항목(1)"/>
      <sheetName val="총괄표"/>
      <sheetName val="교각1"/>
      <sheetName val="내역(원안-대안)"/>
      <sheetName val="금액내역서"/>
      <sheetName val="당진1,2호기전선관설치및접지4차공사내역서-을지"/>
      <sheetName val="기계내역서"/>
      <sheetName val="공사개요"/>
      <sheetName val="매입세율"/>
      <sheetName val="적점"/>
      <sheetName val="NYS"/>
      <sheetName val="품셈TABLE"/>
      <sheetName val="내역서(전기)"/>
      <sheetName val="기계경비일람"/>
      <sheetName val="대포2교접속"/>
      <sheetName val="천방교접속"/>
      <sheetName val="자재일람"/>
      <sheetName val="1.수인터널"/>
      <sheetName val="노임단가"/>
      <sheetName val="N賃率-職"/>
      <sheetName val="일반공사"/>
      <sheetName val="단위단가"/>
      <sheetName val="수량산출서"/>
      <sheetName val="공사비예산서(토목분)"/>
      <sheetName val="내역(중앙)"/>
      <sheetName val="관리비비계상"/>
      <sheetName val="예가내역서"/>
      <sheetName val="산출근거"/>
      <sheetName val="일위목록"/>
      <sheetName val="요율"/>
      <sheetName val="5회토적"/>
      <sheetName val="경비2내역"/>
      <sheetName val="4.전기"/>
      <sheetName val="결재갑지"/>
      <sheetName val="BH-1 (2)"/>
      <sheetName val="표  지"/>
      <sheetName val="직노"/>
      <sheetName val="현장설명"/>
      <sheetName val="자료"/>
      <sheetName val="ITEM"/>
      <sheetName val="공문"/>
      <sheetName val="설비2차"/>
      <sheetName val="제안서"/>
      <sheetName val="행정표준(1)"/>
      <sheetName val="행정표준(2)"/>
      <sheetName val="직공비"/>
      <sheetName val="간접(90)"/>
      <sheetName val="참조"/>
      <sheetName val="산출내역서"/>
      <sheetName val="현장지지물물량"/>
      <sheetName val="hvac(제어동)"/>
      <sheetName val="ABUT수량-A1"/>
      <sheetName val="앉음벽 (2)"/>
      <sheetName val="6호기"/>
      <sheetName val="금융비용"/>
      <sheetName val="예산서"/>
      <sheetName val="I.설계조건"/>
      <sheetName val="참조-(1)"/>
      <sheetName val="원가계산서구조조정"/>
      <sheetName val="접지1종"/>
      <sheetName val="조경"/>
      <sheetName val="설계내역서"/>
      <sheetName val="도급"/>
      <sheetName val="일위대가표"/>
      <sheetName val="예산변경원인분석"/>
      <sheetName val="터파기및재료"/>
      <sheetName val="초기화면"/>
      <sheetName val="폐기물"/>
      <sheetName val="인원계획"/>
      <sheetName val="DATA"/>
      <sheetName val="총괄내역서"/>
      <sheetName val="타공종이기"/>
      <sheetName val="데이타"/>
      <sheetName val="INPUT"/>
      <sheetName val="여과지동"/>
      <sheetName val="기초자료"/>
      <sheetName val="3련 BOX"/>
      <sheetName val="토목주소"/>
      <sheetName val="98지급계획"/>
      <sheetName val="일반부표"/>
      <sheetName val="견적조건"/>
      <sheetName val="실행(1)"/>
      <sheetName val="오저간내역서"/>
      <sheetName val="전기"/>
      <sheetName val="ancillary"/>
      <sheetName val="전기내역서(총계)"/>
      <sheetName val="토공A"/>
      <sheetName val="이형관"/>
      <sheetName val="운반"/>
      <sheetName val="001"/>
      <sheetName val="대전21토목내역서"/>
      <sheetName val="말뚝지지력산정"/>
      <sheetName val="작성방법"/>
      <sheetName val="노원열병합  건축공사기성내역서"/>
      <sheetName val="간접비계산"/>
      <sheetName val="적용단가"/>
      <sheetName val="분뇨"/>
      <sheetName val="세부내역"/>
      <sheetName val="구조물견적서"/>
      <sheetName val="입력데이타"/>
      <sheetName val="내역_ver1.0"/>
      <sheetName val="단가산출"/>
      <sheetName val="Macro1"/>
      <sheetName val="도급-집계"/>
      <sheetName val="증감내역서"/>
      <sheetName val="7. 현장관리비 "/>
      <sheetName val="6. 안전관리비"/>
      <sheetName val="_HIT__HMC 견적_3900_"/>
      <sheetName val="금호"/>
      <sheetName val="원가"/>
      <sheetName val="설계예산서"/>
      <sheetName val="ilch"/>
      <sheetName val="1.설계조건"/>
      <sheetName val="소포내역 (2)"/>
      <sheetName val="plan&amp;section of foundation"/>
      <sheetName val="pile bearing capa &amp; arrenge"/>
      <sheetName val="working load at the btm ft."/>
      <sheetName val="stability check"/>
      <sheetName val="design criteria"/>
      <sheetName val="연결임시"/>
      <sheetName val="인부노임"/>
      <sheetName val="신호등일위대가"/>
      <sheetName val="보증수수료산출"/>
      <sheetName val="을"/>
      <sheetName val="사업전망"/>
      <sheetName val="현장업무"/>
      <sheetName val="PIPING"/>
      <sheetName val="MSS 2"/>
      <sheetName val="전주2本1"/>
      <sheetName val="여수토토적"/>
      <sheetName val="구조물수량집계표"/>
      <sheetName val="프로젝트"/>
      <sheetName val="2.1  노무비 평균단가산출"/>
      <sheetName val="경비"/>
      <sheetName val="소야공정계획표"/>
      <sheetName val="보고서 기기리스트"/>
      <sheetName val="현장관리비"/>
      <sheetName val="상-교대(A1-A2)"/>
      <sheetName val="문학간접"/>
      <sheetName val="조도계산서 (도서)"/>
      <sheetName val="분전반"/>
      <sheetName val="전체"/>
      <sheetName val="우수관매설및 우수받이"/>
      <sheetName val="간이영수증"/>
      <sheetName val="적용표"/>
      <sheetName val="준공정산"/>
      <sheetName val="봉양~조차장간고하개명(신설)"/>
      <sheetName val="할증"/>
      <sheetName val="운반비"/>
      <sheetName val="2000양배"/>
      <sheetName val="을-ATYPE"/>
      <sheetName val="제1호단위수량"/>
      <sheetName val="코드표"/>
      <sheetName val="명세서"/>
      <sheetName val="A-4"/>
      <sheetName val="대비"/>
      <sheetName val="제출내역 (2)"/>
      <sheetName val="I一般比"/>
      <sheetName val="Sheet3"/>
      <sheetName val="내역원본"/>
      <sheetName val="결과조달"/>
      <sheetName val="COVER"/>
      <sheetName val="자재단가"/>
      <sheetName val="입력"/>
      <sheetName val="품셈"/>
      <sheetName val="일위대가목록"/>
      <sheetName val="예산총괄"/>
      <sheetName val="공사원가계산서"/>
      <sheetName val="신림자금"/>
      <sheetName val="횡배위치"/>
      <sheetName val="기초일위"/>
      <sheetName val="시설일위"/>
      <sheetName val="기성내역"/>
      <sheetName val="A 견적"/>
      <sheetName val="전기일위목록"/>
      <sheetName val="토목내역"/>
      <sheetName val="사급자재"/>
      <sheetName val="원가+내역"/>
      <sheetName val="JUCKEYK"/>
      <sheetName val="99월별경비계획"/>
      <sheetName val="단가조사-2"/>
      <sheetName val="CORE#2"/>
      <sheetName val="자재단가비교표"/>
      <sheetName val="전기일위대가"/>
      <sheetName val="전 기"/>
      <sheetName val="내역(가지)"/>
      <sheetName val="갑지"/>
      <sheetName val="추가예산"/>
      <sheetName val="배수내역"/>
      <sheetName val="노임단가표"/>
      <sheetName val="11.산출(전열)"/>
      <sheetName val="6.산출(동력)"/>
      <sheetName val="7.산출(TRAY)"/>
      <sheetName val="5.산출(전력)"/>
      <sheetName val="Total"/>
      <sheetName val="bearing"/>
      <sheetName val="광산내역"/>
      <sheetName val="소비자가"/>
      <sheetName val="내   역"/>
      <sheetName val="플랜트 설치"/>
      <sheetName val="마산방향"/>
      <sheetName val="진주방향"/>
      <sheetName val="기초수량집"/>
      <sheetName val="lee"/>
      <sheetName val="집계표소트"/>
      <sheetName val="11.우각부 보강"/>
      <sheetName val="단가대비표"/>
      <sheetName val="기계공사"/>
      <sheetName val="일위대가(1)"/>
      <sheetName val="설계서(7)"/>
      <sheetName val="예산서(6)"/>
      <sheetName val="역T형옹벽단위수량"/>
      <sheetName val="Resource2"/>
      <sheetName val="원계약고시공및준비구분"/>
      <sheetName val="가격조사서"/>
      <sheetName val="검암내역"/>
      <sheetName val="관급자재"/>
      <sheetName val="자재단가표"/>
      <sheetName val="교량"/>
      <sheetName val="8설7발"/>
      <sheetName val="99-0002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13LPMCC"/>
      <sheetName val="부재예실1월"/>
      <sheetName val="제품원재"/>
      <sheetName val="건설성적"/>
      <sheetName val="내역(창신)"/>
      <sheetName val="재료비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시멘트"/>
      <sheetName val="WORK"/>
      <sheetName val="내역표지"/>
      <sheetName val="SHEET PILE단가"/>
      <sheetName val="01AC"/>
      <sheetName val="정화조내역"/>
      <sheetName val="수정2"/>
      <sheetName val="1.설계기준"/>
      <sheetName val="중기일위대가"/>
      <sheetName val="설계"/>
      <sheetName val="배수내역 (2)"/>
      <sheetName val="공통가설"/>
      <sheetName val="70%"/>
      <sheetName val="측구터파기공수량집계"/>
      <sheetName val="배수공 시멘트 및 골재량 산출"/>
      <sheetName val="용소리교"/>
      <sheetName val="토목"/>
      <sheetName val="물량표S"/>
      <sheetName val="Macro(차단기)"/>
      <sheetName val="type-F"/>
      <sheetName val="단가집"/>
      <sheetName val="일위대가(가설)"/>
      <sheetName val="EUPDAT2"/>
      <sheetName val="일위집계(기존)"/>
      <sheetName val="조건표"/>
      <sheetName val="날개벽수량표"/>
      <sheetName val="EBSDATA"/>
      <sheetName val="목차 "/>
      <sheetName val="200"/>
      <sheetName val="산출내역서집계표"/>
      <sheetName val="전기실-1"/>
      <sheetName val="소방사항"/>
      <sheetName val="SUMMARY(S)"/>
      <sheetName val="갑지(추정)"/>
      <sheetName val="노임이"/>
      <sheetName val="현장관리비참조"/>
      <sheetName val="부대내역"/>
      <sheetName val="접속도로1"/>
      <sheetName val="공사비총괄"/>
      <sheetName val="BH_1 _2_"/>
      <sheetName val="건축공사"/>
      <sheetName val="b_balju"/>
      <sheetName val="일위"/>
      <sheetName val="장비단가표"/>
      <sheetName val="asd"/>
      <sheetName val="Customer Databas"/>
      <sheetName val=" HIT-&gt;HMC 견적(3900)"/>
      <sheetName val="화재 탐지 설비"/>
      <sheetName val="TYPE-A"/>
      <sheetName val="일용노임단가"/>
      <sheetName val="재집"/>
      <sheetName val="총"/>
      <sheetName val="물량표"/>
      <sheetName val="오산갈곳"/>
      <sheetName val="unit 4"/>
      <sheetName val="견적서"/>
      <sheetName val="PAINT"/>
      <sheetName val="단가조건(02년)"/>
      <sheetName val="기기리스트"/>
      <sheetName val="전라자금"/>
      <sheetName val="투찰추정"/>
      <sheetName val="검토"/>
      <sheetName val="INPUT-DATA"/>
      <sheetName val="총괄-1"/>
      <sheetName val="6PILE  (돌출)"/>
      <sheetName val="SLAB"/>
      <sheetName val="기초코드"/>
      <sheetName val="퇴직금(울산천상)"/>
      <sheetName val="POL6차-PIPING"/>
      <sheetName val="덕전리"/>
      <sheetName val="1,2,3,4,5단위수량"/>
      <sheetName val="현금흐름"/>
      <sheetName val="인사자료총집계"/>
      <sheetName val="부속동"/>
      <sheetName val="APT"/>
      <sheetName val="정렬"/>
      <sheetName val="Sheet2"/>
      <sheetName val="계산표지"/>
      <sheetName val="노임변동률"/>
      <sheetName val="시설물일위"/>
      <sheetName val="Y-WORK"/>
      <sheetName val="내역서1"/>
      <sheetName val="WING3"/>
      <sheetName val="전입"/>
      <sheetName val="d118"/>
      <sheetName val="원가총괄"/>
      <sheetName val="귀래 설계 공내역서"/>
      <sheetName val="FM"/>
      <sheetName val="전체_1설계"/>
      <sheetName val="중기"/>
      <sheetName val="파일구성"/>
      <sheetName val="동방설계서"/>
      <sheetName val="유입량"/>
      <sheetName val="spc 배관견적"/>
      <sheetName val="1.취수장"/>
      <sheetName val="구간별관경"/>
      <sheetName val="투입내역"/>
      <sheetName val="별첨1-임식"/>
      <sheetName val="기본자료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데리네이타현황"/>
      <sheetName val="계수시트"/>
      <sheetName val="정리계획CF평가"/>
      <sheetName val="설 계"/>
      <sheetName val="공기압축기실"/>
      <sheetName val="원도급"/>
      <sheetName val="하도급"/>
      <sheetName val="증감분석"/>
      <sheetName val="정산내역"/>
      <sheetName val="세골재  T2 변경 현황"/>
      <sheetName val="공통단가"/>
      <sheetName val="1월"/>
      <sheetName val="백암비스타내역"/>
      <sheetName val="설계서(본관)"/>
      <sheetName val="재개발"/>
      <sheetName val="EQT-ESTN"/>
      <sheetName val="바닥판"/>
      <sheetName val="입력DATA"/>
      <sheetName val="장비"/>
      <sheetName val="노무"/>
      <sheetName val="한전일위"/>
      <sheetName val="Sheet5"/>
      <sheetName val="101동"/>
      <sheetName val="입찰"/>
      <sheetName val="현경"/>
      <sheetName val="중기비"/>
      <sheetName val="신천3호용수로"/>
      <sheetName val="Cash Flow-1"/>
      <sheetName val="3.1공사현황 공정표"/>
      <sheetName val="단가(적용)"/>
      <sheetName val="기본일위"/>
      <sheetName val="모델명"/>
      <sheetName val="수량산출"/>
      <sheetName val="설치"/>
      <sheetName val="지불내역(자재외)"/>
      <sheetName val="편입토지조서"/>
      <sheetName val="배수통관(좌)"/>
      <sheetName val="PAY"/>
      <sheetName val="주관사업"/>
      <sheetName val="일위대가목차"/>
      <sheetName val="공정증감대ㅈ표"/>
      <sheetName val="SG"/>
      <sheetName val="시설물기초"/>
      <sheetName val="예가표"/>
      <sheetName val="안정계산"/>
      <sheetName val="단면검토"/>
      <sheetName val="2000년하반기"/>
      <sheetName val="노임 단가"/>
      <sheetName val="C97상"/>
      <sheetName val="#2_일위대가목록"/>
      <sheetName val="직재"/>
      <sheetName val="전동기"/>
      <sheetName val="일위대가(집계)"/>
      <sheetName val="1유리"/>
      <sheetName val="수량산출서집계(1-4차)"/>
      <sheetName val="수지예산"/>
      <sheetName val="저장소"/>
      <sheetName val="내역집계"/>
      <sheetName val="재료"/>
      <sheetName val="직접경비호표"/>
      <sheetName val="8.현장관리비"/>
      <sheetName val="7.안전관리비"/>
      <sheetName val="중기사용료산출근거"/>
      <sheetName val="단가산출1"/>
      <sheetName val="유림골조"/>
      <sheetName val="별표 "/>
      <sheetName val="인건비"/>
      <sheetName val="실행(ALT1)"/>
      <sheetName val="개인별 순위표"/>
      <sheetName val="INDEX"/>
      <sheetName val="프랜트면허"/>
      <sheetName val="냉천부속동"/>
      <sheetName val="네고율"/>
      <sheetName val="1안"/>
      <sheetName val="BQ"/>
      <sheetName val="집계및폼"/>
      <sheetName val="04_10_11"/>
      <sheetName val="6공구(당초)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ELEC"/>
      <sheetName val="손익분석"/>
      <sheetName val="연습"/>
      <sheetName val="장비단가"/>
      <sheetName val="MSS_2"/>
      <sheetName val="중사"/>
      <sheetName val="자료입력"/>
      <sheetName val="적용단위길이"/>
      <sheetName val="전기혼잡제경비(45)"/>
      <sheetName val="공사비집계"/>
      <sheetName val="재료비단가"/>
      <sheetName val="시운전연료비"/>
      <sheetName val="골조시행"/>
      <sheetName val="시운전연료"/>
      <sheetName val="조경수목"/>
      <sheetName val="퇴직공제부금"/>
      <sheetName val="평균노임"/>
      <sheetName val="실행"/>
      <sheetName val="내역서 "/>
      <sheetName val="분석"/>
      <sheetName val="입찰보고"/>
      <sheetName val="가설건물"/>
      <sheetName val="분전반일위대가"/>
      <sheetName val="공사비총괄표"/>
      <sheetName val="일위대가표48"/>
      <sheetName val="재료값"/>
      <sheetName val="10공구일위"/>
      <sheetName val="전기공사"/>
      <sheetName val="청천내"/>
      <sheetName val="합계"/>
      <sheetName val="부서코드표"/>
      <sheetName val="기별(종합)"/>
      <sheetName val="환율change"/>
      <sheetName val="당초"/>
      <sheetName val="단가표"/>
      <sheetName val="시화점실행"/>
      <sheetName val="대공종"/>
      <sheetName val="집 계 표"/>
      <sheetName val="RETAIL (ABOVE)"/>
      <sheetName val="철거산출근거"/>
      <sheetName val="지구단위계획"/>
      <sheetName val="단가산출서"/>
      <sheetName val="원형1호맨홀토공수량"/>
      <sheetName val="CC16-내역서"/>
      <sheetName val="협력업체"/>
      <sheetName val="코드1"/>
      <sheetName val="코드2"/>
      <sheetName val="AS복구"/>
      <sheetName val="중기터파기"/>
      <sheetName val="변수값"/>
      <sheetName val="중기상차"/>
      <sheetName val="코드일람표2001년10월"/>
      <sheetName val="품목납기"/>
      <sheetName val="도담구내 개소별 명세"/>
      <sheetName val="단가적용"/>
      <sheetName val="수량집계"/>
      <sheetName val="코드"/>
      <sheetName val="업체자료"/>
      <sheetName val="목차"/>
      <sheetName val="건축"/>
      <sheetName val="(1)본선수량집계"/>
      <sheetName val="개산공사비"/>
      <sheetName val="단중표"/>
      <sheetName val="7"/>
      <sheetName val="投标材料清单 "/>
      <sheetName val="원가서"/>
      <sheetName val="사유서제출현황-2"/>
      <sheetName val="미드수량"/>
      <sheetName val="부대공(BOQ)"/>
      <sheetName val="TCDB"/>
      <sheetName val="Macro(전선)"/>
      <sheetName val="결재란"/>
      <sheetName val="집계장(대목_실행)"/>
      <sheetName val="자재co"/>
      <sheetName val="인천제철"/>
      <sheetName val="단가조사서"/>
      <sheetName val="상수도토공집계표"/>
      <sheetName val="TOT"/>
      <sheetName val="대림경상68억"/>
      <sheetName val="관리,공감"/>
      <sheetName val="3.공통공사대비"/>
      <sheetName val="Sheet6"/>
      <sheetName val="인력터파기"/>
      <sheetName val="#3_일위대가목록"/>
      <sheetName val="자금청구"/>
      <sheetName val="9GNG운반"/>
      <sheetName val="제잡비"/>
      <sheetName val="개요"/>
      <sheetName val="남양내역"/>
      <sheetName val="MAIN_TABLE"/>
      <sheetName val="직접비"/>
      <sheetName val="손익차9월2"/>
      <sheetName val="득점현황"/>
      <sheetName val="공사비산출내역"/>
      <sheetName val="교각계산"/>
      <sheetName val="공량산출서"/>
      <sheetName val="구의33고"/>
      <sheetName val="유림총괄"/>
      <sheetName val="-배수구조총재료"/>
      <sheetName val="98수문일위"/>
      <sheetName val="sub"/>
      <sheetName val="검색방"/>
      <sheetName val="관공일위대가"/>
      <sheetName val="관자재"/>
      <sheetName val="단가 및 재료비"/>
      <sheetName val="관접합및자재집계표"/>
      <sheetName val="자동제어"/>
      <sheetName val="단가(반정1교-원주)"/>
      <sheetName val="MILL"/>
      <sheetName val="평3"/>
      <sheetName val="옥내소화전계산서"/>
      <sheetName val="건축내역서"/>
      <sheetName val="INSTR"/>
      <sheetName val="횡배수관토공수량"/>
      <sheetName val="Eq. Mobilization"/>
      <sheetName val="가시설단위수량"/>
      <sheetName val="건축2"/>
      <sheetName val="토공계산서(부체도로)"/>
      <sheetName val="단면가정"/>
      <sheetName val="CODE"/>
      <sheetName val="제노임"/>
      <sheetName val="입찰견적보고서"/>
      <sheetName val="제품목록"/>
      <sheetName val="암거"/>
      <sheetName val="현금예금"/>
      <sheetName val="내역서비교"/>
      <sheetName val="노임단가 (2)"/>
      <sheetName val="Sheet4"/>
      <sheetName val="심사물량"/>
      <sheetName val="인부신상자료"/>
      <sheetName val="투찰가"/>
      <sheetName val="BJJIN"/>
      <sheetName val="하중계산"/>
      <sheetName val="1공구(입찰내역)"/>
      <sheetName val="중기사용료"/>
      <sheetName val="소화실적"/>
      <sheetName val="단   산"/>
      <sheetName val="실    단"/>
      <sheetName val="기본단가"/>
      <sheetName val="현장별"/>
      <sheetName val="1단계"/>
      <sheetName val="신고조서"/>
      <sheetName val="EJ"/>
      <sheetName val="시중노임단가"/>
      <sheetName val="장비비 명세서1"/>
      <sheetName val="대치판정"/>
      <sheetName val="비주거용"/>
      <sheetName val="인원"/>
      <sheetName val="VE절감"/>
      <sheetName val="청주(철골발주의뢰서)"/>
      <sheetName val="분전함신설"/>
      <sheetName val="기본"/>
      <sheetName val="통신물량"/>
      <sheetName val="세부추진"/>
      <sheetName val="상용보강"/>
      <sheetName val="식재인부"/>
      <sheetName val="SHEET"/>
      <sheetName val="2000노임기준"/>
      <sheetName val="현관"/>
      <sheetName val="5. 현장관리비(new) "/>
      <sheetName val="원본"/>
      <sheetName val="제수변 수량집계표(보통)"/>
      <sheetName val="7.공정표"/>
      <sheetName val="단면 (2)"/>
      <sheetName val="간접비(1)"/>
      <sheetName val="울산자금"/>
      <sheetName val="월별수입"/>
      <sheetName val="점수계산1-2"/>
      <sheetName val="입력정보"/>
      <sheetName val="2.대외공문"/>
      <sheetName val="A1"/>
      <sheetName val="일위(시설)"/>
      <sheetName val="노무비 근거"/>
      <sheetName val="단가조사"/>
      <sheetName val="재료비노무비"/>
      <sheetName val="DHEQSUPT"/>
      <sheetName val="토사(PE)"/>
      <sheetName val="2련간지"/>
      <sheetName val="몰탈"/>
      <sheetName val="차수"/>
      <sheetName val="맨홀수량산출"/>
      <sheetName val="토공(1)"/>
      <sheetName val="준공조서갑지"/>
      <sheetName val="주beam"/>
      <sheetName val="일위_파일"/>
      <sheetName val="이토변실(A3-LINE)"/>
      <sheetName val="실행대비"/>
      <sheetName val="용수간선"/>
      <sheetName val=""/>
      <sheetName val="공사수행방안"/>
      <sheetName val="확정분요약"/>
      <sheetName val="확정분세부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맨홀토공"/>
      <sheetName val="제경비산출서"/>
      <sheetName val="김해토지조서"/>
      <sheetName val="Sheet1 (2)"/>
      <sheetName val="HVAC"/>
      <sheetName val="CODE1"/>
      <sheetName val="본사인상전"/>
      <sheetName val=" 갑지"/>
      <sheetName val="기계실냉난방"/>
      <sheetName val="학생내역"/>
      <sheetName val="표준건축비"/>
      <sheetName val="일위총괄"/>
      <sheetName val="일정"/>
      <sheetName val="일위단가"/>
      <sheetName val="기안"/>
      <sheetName val="철근량"/>
      <sheetName val="96수출"/>
      <sheetName val="실행(표지,갑,을)"/>
      <sheetName val="동해title"/>
      <sheetName val="N賃率_職"/>
      <sheetName val="5호광장_(만점)1"/>
      <sheetName val="인천국제_(만점)_(2)1"/>
      <sheetName val="Total_단위경유량집계1"/>
      <sheetName val="준검_내역서1"/>
      <sheetName val="토공유동표(전체_당초)1"/>
      <sheetName val="1_수인터널1"/>
      <sheetName val="표__지1"/>
      <sheetName val="1_설계조건1"/>
      <sheetName val="조도계산서_(도서)1"/>
      <sheetName val="I_설계조건1"/>
      <sheetName val="BH-1_(2)1"/>
      <sheetName val="4_전기1"/>
      <sheetName val="11_우각부_보강1"/>
      <sheetName val="제출내역_(2)1"/>
      <sheetName val="우수관매설및_우수받이1"/>
      <sheetName val="11_산출(전열)1"/>
      <sheetName val="6_산출(동력)1"/>
      <sheetName val="7_산출(TRAY)1"/>
      <sheetName val="노원열병합__건축공사기성내역서1"/>
      <sheetName val="3련_BOX1"/>
      <sheetName val="앉음벽_(2)1"/>
      <sheetName val="2_1__노무비_평균단가산출"/>
      <sheetName val="내역_ver1_01"/>
      <sheetName val="보고서_기기리스트"/>
      <sheetName val="소포내역_(2)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배수내역_(2)"/>
      <sheetName val="배수공_시멘트_및_골재량_산출"/>
      <sheetName val="_HIT__HMC_견적_3900_1"/>
      <sheetName val="7__현장관리비_1"/>
      <sheetName val="6__안전관리비1"/>
      <sheetName val="5_산출(전력)"/>
      <sheetName val="수량산출서(전력간선_지하D_C)"/>
      <sheetName val="내___역"/>
      <sheetName val="A_견적"/>
      <sheetName val="_HIT-&gt;HMC_견적(3900)"/>
      <sheetName val="플랜트_설치"/>
      <sheetName val="unit_4"/>
      <sheetName val="전_기"/>
      <sheetName val="6PILE__(돌출)"/>
      <sheetName val="목차_"/>
      <sheetName val="화재_탐지_설비"/>
      <sheetName val="SHEET_PILE단가"/>
      <sheetName val="귀래_설계_공내역서"/>
      <sheetName val="Customer_Databas"/>
      <sheetName val="2차전체변경예정_(2)"/>
      <sheetName val="spc_배관견적"/>
      <sheetName val="1_취수장"/>
      <sheetName val="노임_단가"/>
      <sheetName val="설_계"/>
      <sheetName val="개인별_순위표"/>
      <sheetName val="BH_1__2_"/>
      <sheetName val="3_1공사현황_공정표"/>
      <sheetName val="Cash_Flow-1"/>
      <sheetName val="3_공통공사대비"/>
      <sheetName val="세골재__T2_변경_현황"/>
      <sheetName val="금리계산"/>
      <sheetName val="Macro3"/>
      <sheetName val="대운반(철재)"/>
      <sheetName val="내역서을지"/>
      <sheetName val="현장경비"/>
      <sheetName val="guard(mac)"/>
      <sheetName val="위치"/>
      <sheetName val="일위대_x0000__x0000_Ԁ_x0000_䀀"/>
      <sheetName val="정산을지"/>
      <sheetName val="6. 수량산출서"/>
      <sheetName val="B"/>
      <sheetName val="Sheet16"/>
      <sheetName val="정산서"/>
      <sheetName val="일위대가(계측기설치)"/>
      <sheetName val="SHL"/>
      <sheetName val="적용환율"/>
      <sheetName val="공정코드"/>
      <sheetName val="이월"/>
      <sheetName val="단가비교"/>
      <sheetName val="MSS_21"/>
      <sheetName val="1_설계기준"/>
      <sheetName val="집_계_표"/>
      <sheetName val="8_현장관리비"/>
      <sheetName val="7_안전관리비"/>
      <sheetName val="별표_"/>
      <sheetName val="Eq__Mobilization"/>
      <sheetName val="내역서_"/>
      <sheetName val="도담구내_개소별_명세"/>
      <sheetName val="投标材料清单_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조작대(1연)"/>
      <sheetName val="가설식당"/>
      <sheetName val="COST"/>
      <sheetName val="양식_자재단가조사표"/>
      <sheetName val="장비 (2)"/>
      <sheetName val="3BL공동구 수량"/>
      <sheetName val="전선 및 전선관"/>
      <sheetName val="공조기"/>
      <sheetName val="실지수기호표"/>
      <sheetName val="CM 1"/>
      <sheetName val="5.동별횡주관경"/>
      <sheetName val="옥외외등집계표"/>
      <sheetName val="산출"/>
      <sheetName val="소방"/>
      <sheetName val="예산코드"/>
      <sheetName val="원가입력"/>
      <sheetName val="기준"/>
      <sheetName val="범례표"/>
      <sheetName val="Baby일위대가"/>
      <sheetName val="공통(20-91)"/>
      <sheetName val="내역서1999.8최종"/>
      <sheetName val="wall"/>
      <sheetName val="위치조서"/>
      <sheetName val="일위대㐀븁_x0000__x0000_退"/>
      <sheetName val="비교1"/>
      <sheetName val="자동세륜기"/>
      <sheetName val="입력데이타(비인쇄용)"/>
      <sheetName val="참조 (2)"/>
      <sheetName val="APT내역"/>
      <sheetName val="부대시설"/>
      <sheetName val="Sheet17"/>
      <sheetName val="LF자재단가"/>
      <sheetName val="제품정보"/>
      <sheetName val="상품수불(합산)"/>
      <sheetName val="효율표"/>
      <sheetName val="에어샵공사"/>
      <sheetName val="전사 (2)"/>
      <sheetName val="BA (2)"/>
      <sheetName val="CP (2)"/>
      <sheetName val="시산표"/>
      <sheetName val="일위CODE"/>
      <sheetName val="동물이동통로"/>
      <sheetName val="골조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도실건시"/>
      <sheetName val="전산망"/>
      <sheetName val="콘크리트타설집계표"/>
      <sheetName val="일위산출근거"/>
      <sheetName val="전철"/>
      <sheetName val="설계명세서"/>
      <sheetName val="도급FORM"/>
      <sheetName val="조도계산서_(도서_x0000_"/>
      <sheetName val="인건-측정"/>
      <sheetName val="I_설계조_x0000_"/>
      <sheetName val="본사공가현황"/>
      <sheetName val="노무비"/>
      <sheetName val="기계실"/>
      <sheetName val="간접"/>
      <sheetName val="수량산출서 (2)"/>
      <sheetName val="목록"/>
      <sheetName val="도수로현황"/>
      <sheetName val="일위대가집계"/>
      <sheetName val="재적표"/>
      <sheetName val="환경평가"/>
      <sheetName val="95MAKER"/>
      <sheetName val="계정"/>
      <sheetName val="1회"/>
      <sheetName val="구성비"/>
      <sheetName val="산식3"/>
      <sheetName val="암거 제원표"/>
      <sheetName val="부총"/>
      <sheetName val="단위수량"/>
      <sheetName val="장비집계"/>
      <sheetName val="자재"/>
      <sheetName val="산근1"/>
      <sheetName val="조립1부실적"/>
      <sheetName val="수문일1"/>
      <sheetName val="재정비내역"/>
      <sheetName val="지적고시내역"/>
      <sheetName val="기성(1차) "/>
      <sheetName val="NOMUBI"/>
      <sheetName val="sw1"/>
      <sheetName val="관경별내역서"/>
      <sheetName val="수량명세서"/>
      <sheetName val="집계표(육상)"/>
      <sheetName val="목록표"/>
      <sheetName val="포장(수량)-관로부"/>
      <sheetName val="新철폐복2"/>
      <sheetName val="新철폐복3"/>
      <sheetName val="新철폐복"/>
      <sheetName val="20관리비율"/>
      <sheetName val="아파트 "/>
      <sheetName val="실적공사비"/>
      <sheetName val="토목내역서"/>
      <sheetName val="보고서_기기리스트1"/>
      <sheetName val="형상"/>
      <sheetName val="토공 토적표"/>
      <sheetName val="현황산출서"/>
      <sheetName val="esc"/>
      <sheetName val="NNV"/>
      <sheetName val="투찰"/>
      <sheetName val="수량산출서집계"/>
      <sheetName val="맨홀수량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견내"/>
      <sheetName val="수배전(갑)"/>
      <sheetName val="5사남"/>
      <sheetName val="공기압舓⿫_x0005_"/>
      <sheetName val="공기압妐&quot;姜"/>
      <sheetName val="REDUCER"/>
      <sheetName val="WE'T"/>
      <sheetName val="CON'C"/>
      <sheetName val="간접비"/>
      <sheetName val="콘_재료분리(1)"/>
      <sheetName val="1.CB"/>
      <sheetName val="변수"/>
      <sheetName val="단위중량"/>
      <sheetName val="일위대가 "/>
      <sheetName val="1ST"/>
      <sheetName val="4 LINE"/>
      <sheetName val="7 th"/>
      <sheetName val="CTEMCOST"/>
      <sheetName val="ELECTRIC"/>
      <sheetName val="SCHEDULE"/>
      <sheetName val="04변경-상하"/>
      <sheetName val="설계서"/>
      <sheetName val="토공 total"/>
      <sheetName val="울산자동제어"/>
      <sheetName val="기성갑지"/>
      <sheetName val="실행내역서(DCU)"/>
      <sheetName val="전기단가조사서"/>
      <sheetName val="조직"/>
      <sheetName val="내역서(100%)"/>
      <sheetName val="견적의뢰서"/>
      <sheetName val="자재단가리스트"/>
      <sheetName val="수우미양가(Vlookup)"/>
      <sheetName val="안정검토"/>
      <sheetName val="골재산출"/>
      <sheetName val="포장수량집계"/>
      <sheetName val="지급자재"/>
      <sheetName val="예산조서(전송)"/>
      <sheetName val="간접경상비"/>
      <sheetName val="현장조사"/>
      <sheetName val="apt수량"/>
      <sheetName val="현금"/>
      <sheetName val="첨부1"/>
      <sheetName val="식음료"/>
      <sheetName val="난간벽단위"/>
      <sheetName val="하수급견적대비"/>
      <sheetName val="마스터원본"/>
      <sheetName val="MSS"/>
      <sheetName val="정화조"/>
      <sheetName val="변경내역"/>
      <sheetName val="상반기손익차2총괄"/>
      <sheetName val="전압강하자료"/>
      <sheetName val="경비_원본"/>
      <sheetName val="주bea_xdcf0_"/>
      <sheetName val="LIST"/>
      <sheetName val="유효폭의 계산"/>
      <sheetName val="다곡2교"/>
      <sheetName val="날개수집"/>
      <sheetName val="한일양산"/>
      <sheetName val="2-2.매출분석"/>
      <sheetName val="J"/>
      <sheetName val="간지"/>
      <sheetName val="견적시담(송포2공구)"/>
      <sheetName val="(당평)자재"/>
      <sheetName val="감가상각비대체내역"/>
      <sheetName val="MIJIBI"/>
      <sheetName val="0Title"/>
      <sheetName val="할빙수"/>
      <sheetName val="가시설(TYPE-A)"/>
      <sheetName val="1-1평균터파기고(1)"/>
      <sheetName val="2"/>
      <sheetName val="변경명신물량 (2)"/>
      <sheetName val="갑지.을지"/>
      <sheetName val="기타"/>
      <sheetName val="각종양식"/>
      <sheetName val="&lt;--"/>
      <sheetName val="접속도수량집계표"/>
      <sheetName val="H-pile(298x299)"/>
      <sheetName val="H-pile(250x250)"/>
      <sheetName val="조경수량"/>
      <sheetName val="K1자재(3차등)"/>
      <sheetName val="설계내역(2001)"/>
      <sheetName val="제수변수량"/>
      <sheetName val="일위대가목록표"/>
      <sheetName val="교대(A1)"/>
      <sheetName val="물류최종8월7"/>
      <sheetName val="송전기본"/>
      <sheetName val="부대대비"/>
      <sheetName val="냉연집계"/>
      <sheetName val="15100"/>
      <sheetName val="월별손익"/>
      <sheetName val="PI"/>
      <sheetName val="미납품 현황"/>
      <sheetName val="집계"/>
      <sheetName val="F4-F7"/>
      <sheetName val="자재집계"/>
      <sheetName val="덤프트럭계수"/>
      <sheetName val="보할"/>
      <sheetName val="95년12월말"/>
      <sheetName val="전도품의"/>
      <sheetName val="건축원가계산서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시추조사비"/>
      <sheetName val="원료"/>
      <sheetName val="설-원가"/>
      <sheetName val="세목별"/>
      <sheetName val="부하LOAD"/>
      <sheetName val="일위1"/>
      <sheetName val="I_설계조多"/>
      <sheetName val="선정요령"/>
      <sheetName val="을부담운반비"/>
      <sheetName val="자갈,시멘트,모래산출"/>
      <sheetName val="S0"/>
      <sheetName val="기준액"/>
      <sheetName val="STEEL BOX 단면설계(SEC.8)"/>
      <sheetName val="11"/>
      <sheetName val="내역1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화설내"/>
      <sheetName val="FAB별"/>
      <sheetName val="2분기"/>
      <sheetName val="예산실적전체당월"/>
      <sheetName val="건축집계"/>
      <sheetName val="임차비용"/>
      <sheetName val="우석문틀"/>
      <sheetName val="담보"/>
      <sheetName val="수정계획3"/>
      <sheetName val="기존단가 (2)"/>
      <sheetName val="대_x0000__x0000_"/>
      <sheetName val="GDP"/>
      <sheetName val="일일입력"/>
      <sheetName val="품목등록"/>
      <sheetName val="수완하도"/>
      <sheetName val="김포내역"/>
      <sheetName val="실_인건비(5월부터)"/>
      <sheetName val="현장별정리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판정1교토공"/>
      <sheetName val="WEON"/>
      <sheetName val="제조노임"/>
      <sheetName val="인입관수량총괄"/>
      <sheetName val="단가조사-1"/>
      <sheetName val="갑지_설계 내역서"/>
      <sheetName val="Scenario"/>
      <sheetName val="현장실사자료"/>
      <sheetName val="인적사항(누적)"/>
      <sheetName val="제1영업소"/>
      <sheetName val="제2영업소"/>
      <sheetName val="제3영업소"/>
      <sheetName val="설명서 "/>
      <sheetName val="FACTOR"/>
      <sheetName val="데이터유효성검사자료"/>
      <sheetName val="자격 땡겨오기"/>
      <sheetName val="사업부구분코드"/>
      <sheetName val="급,배기팬"/>
      <sheetName val="단양 00 아파트-세부내역"/>
      <sheetName val="코_x0000_"/>
      <sheetName val="결재_x0000_"/>
      <sheetName val="05년 상"/>
      <sheetName val="영흥TL(UP,DOWN) "/>
      <sheetName val="학익동신동아5차CD365"/>
      <sheetName val="배수관연장조서"/>
      <sheetName val="2.단면가정 (양곡1교)"/>
      <sheetName val="영업소실적"/>
      <sheetName val="기본설계기준"/>
      <sheetName val="표지 (2)"/>
      <sheetName val="기타#9"/>
      <sheetName val="만년달력"/>
      <sheetName val="직접뀀鞖/_x0000_"/>
      <sheetName val="매입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1,2,3,4_x0000__x0000_界Þ多⽬"/>
      <sheetName val="자재테이블"/>
      <sheetName val="관급현황"/>
      <sheetName val="기술조건"/>
      <sheetName val="1.내역(청.하역장전등)"/>
      <sheetName val="기계"/>
      <sheetName val="투찰(하수)"/>
      <sheetName val="집계장"/>
      <sheetName val="산출근거#2-3"/>
      <sheetName val="설계명세"/>
      <sheetName val="하조서"/>
      <sheetName val="2002상반기노임기준"/>
      <sheetName val="ITB COST"/>
      <sheetName val="매출그래프"/>
      <sheetName val="7_산출(⠀榅弁䘿_x0000_"/>
      <sheetName val="LD"/>
      <sheetName val="수량산출서 갑지"/>
      <sheetName val="과업지시서"/>
      <sheetName val="단가비교표_공통1"/>
      <sheetName val="8.PILE  (돌출)"/>
      <sheetName val="인구"/>
      <sheetName val="6__안전관慨⻥"/>
      <sheetName val="단가시흥"/>
      <sheetName val="4.2.1 마루높이 검토"/>
      <sheetName val="건축공사집계"/>
      <sheetName val="설변단가적용현황"/>
      <sheetName val="변경내역서"/>
      <sheetName val="시운전"/>
      <sheetName val="시운전绸7"/>
      <sheetName val="125x125"/>
      <sheetName val="4. VOs summary"/>
      <sheetName val="SEX"/>
      <sheetName val="Quantity"/>
      <sheetName val="TOSHIBA-Structure"/>
      <sheetName val="예총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돈암사업"/>
      <sheetName val="DATA LISTS"/>
      <sheetName val="Chiet tinh dz35"/>
      <sheetName val="RATE"/>
      <sheetName val="유지정비"/>
      <sheetName val="용역인건비"/>
      <sheetName val="JUCK"/>
      <sheetName val="문10"/>
      <sheetName val="미장"/>
      <sheetName val="철골"/>
      <sheetName val=" 견적서"/>
      <sheetName val="수량계산"/>
      <sheetName val="일위산출"/>
      <sheetName val="개요2"/>
      <sheetName val="램머"/>
      <sheetName val="1,2,3,4_x0005__x0000__x0000__x0000__x0000_"/>
      <sheetName val="6_산출닑⾱_x0005__x0000_"/>
      <sheetName val="용산1(해보)"/>
      <sheetName val="종단계산"/>
      <sheetName val="보활"/>
      <sheetName val="집행(2-1)"/>
      <sheetName val="2000.05"/>
      <sheetName val="장문교(대전)"/>
      <sheetName val="품셈 "/>
      <sheetName val="음성cable"/>
      <sheetName val="M-EMS GP-570(BIT)"/>
      <sheetName val="일위집계"/>
      <sheetName val="일위대"/>
      <sheetName val="일위대㐀븁"/>
      <sheetName val="토공(완충)"/>
      <sheetName val="재료할증"/>
      <sheetName val="6동"/>
      <sheetName val="design_crit_x0000__x0000__x0005__x0000_"/>
      <sheetName val="일반수량총괄집계"/>
      <sheetName val="내역_verᔈ_x0000__x0000_"/>
      <sheetName val="계산_x0000__x0000_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량·_x0000__x0000_"/>
      <sheetName val="공량×"/>
      <sheetName val="제수문집계"/>
      <sheetName val="신대방33(적용)"/>
      <sheetName val="보고"/>
      <sheetName val="계정1"/>
      <sheetName val="오동"/>
      <sheetName val="대조"/>
      <sheetName val="나한"/>
      <sheetName val="내역서 제출"/>
      <sheetName val="단가산출(T)"/>
      <sheetName val=" FURNACE현설"/>
      <sheetName val="97 사업추정(WEKI)"/>
      <sheetName val="8.설치품셈"/>
      <sheetName val="주bea?"/>
      <sheetName val="TABLE DB"/>
      <sheetName val="쌍용 data base"/>
      <sheetName val="업체별기성내역"/>
      <sheetName val="3련_B䀀㽚"/>
      <sheetName val="정리계槜〚_x0000__x0000_䇀"/>
      <sheetName val="구조물터파기수량집계"/>
      <sheetName val="소포내역_x0000__x0000__x0005__x0000_"/>
      <sheetName val="마감산출"/>
      <sheetName val="수량산출목록표"/>
      <sheetName val="설원"/>
      <sheetName val="사진첩"/>
      <sheetName val="설계예산서(2_소천우회토목)"/>
      <sheetName val="품셈총괄표"/>
      <sheetName val="수토공단위당"/>
      <sheetName val="부안변전"/>
      <sheetName val="ASP"/>
      <sheetName val="원_x0000__x0000_"/>
      <sheetName val="시약"/>
      <sheetName val="전기2005"/>
      <sheetName val="통신2005"/>
      <sheetName val="Data&amp;Result"/>
      <sheetName val="7월11일"/>
      <sheetName val="요율표"/>
      <sheetName val="조직관리비"/>
      <sheetName val="수선비"/>
      <sheetName val="원가명세"/>
      <sheetName val="사발차명세표"/>
      <sheetName val="손익"/>
      <sheetName val="분개장·원장"/>
      <sheetName val="[입찰안.xls]직접뀀鞖/_x0000_"/>
      <sheetName val="[입찰안.xls][입찰안.xls]직접뀀鞖/_x0000_"/>
      <sheetName val="조도계산서Å_x0000_Ԁ_x0000__x0000_"/>
      <sheetName val="조도계산서Å_x0000_Ԁ_x0000_耀"/>
      <sheetName val="내역(인테리어 실내)(도급)"/>
      <sheetName val="내역(인테리어 실외)(도급)"/>
      <sheetName val="납부서"/>
      <sheetName val="일위(토,포,부)"/>
      <sheetName val="10공-_x0000_Ԁ"/>
      <sheetName val="자단"/>
      <sheetName val="3련_Bꨀ덽"/>
      <sheetName val="working_load_at０ʵŚÃ堠ᴕ_x0000__x0000__x0000__x0000__x0000__x0000_"/>
      <sheetName val="자재기성 신청서.xlsx"/>
      <sheetName val="plan&amp;section_of__x0000__x0000__x0005__x0000_冰﹢Ƚ_x0000__x0000__x0000_"/>
      <sheetName val="Bảng mã VT"/>
      <sheetName val="가로등내역서"/>
      <sheetName val="공사비예산서"/>
      <sheetName val="부안일위"/>
      <sheetName val="만봉용지매수비(총괄)"/>
      <sheetName val="차량(구)"/>
      <sheetName val="세부내역서"/>
      <sheetName val="공기압¬_x0000_Ԁ"/>
      <sheetName val="수량산출서집계(_x0000__x0000__x0005__x0000_"/>
      <sheetName val="수량산출서집계(_x0000__x0000__x0005__x0000_瞀"/>
      <sheetName val="뚝토공"/>
      <sheetName val="공사비예"/>
      <sheetName val="5호광장_(만점)3"/>
      <sheetName val="인천국제_(만점)_(2)3"/>
      <sheetName val="Total_단위경유량집계3"/>
      <sheetName val="토공유동표(전체_당초)3"/>
      <sheetName val="준검_내역서3"/>
      <sheetName val="BH-1_(2)3"/>
      <sheetName val="4_전기3"/>
      <sheetName val="표__지3"/>
      <sheetName val="1_수인터널3"/>
      <sheetName val="I_설계조건3"/>
      <sheetName val="앉음벽_(2)3"/>
      <sheetName val="노원열병합__건축공사기성내역서3"/>
      <sheetName val="1_설계조건3"/>
      <sheetName val="소포내역_(2)3"/>
      <sheetName val="A_견적2"/>
      <sheetName val="조도계산서_(도서)3"/>
      <sheetName val="MSS_23"/>
      <sheetName val="2_1__노무비_평균단가산출2"/>
      <sheetName val="우수관매설및_우수받이3"/>
      <sheetName val="제출내역_(2)3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11_우각부_보강3"/>
      <sheetName val="보고서_기기리스트2"/>
      <sheetName val="7__현장관리비_3"/>
      <sheetName val="6__안전관리비3"/>
      <sheetName val="_HIT__HMC_견적_3900_3"/>
      <sheetName val="내___역2"/>
      <sheetName val="플랜트_설치2"/>
      <sheetName val="11_산출(전열)3"/>
      <sheetName val="6_산출(동력)3"/>
      <sheetName val="7_산출(TRAY)3"/>
      <sheetName val="3련_BOX3"/>
      <sheetName val="배수공_시멘트_및_골재량_산출2"/>
      <sheetName val="5_산출(전력)2"/>
      <sheetName val="배수내역_(2)2"/>
      <sheetName val="SHEET_PILE단가2"/>
      <sheetName val="전_기2"/>
      <sheetName val="Customer_Databas2"/>
      <sheetName val="_HIT-&gt;HMC_견적(3900)2"/>
      <sheetName val="세골재__T2_변경_현황2"/>
      <sheetName val="수량산출서(전력간선_지하D_C)2"/>
      <sheetName val="화재_탐지_설비2"/>
      <sheetName val="2차전체변경예정_(2)2"/>
      <sheetName val="6PILE__(돌출)2"/>
      <sheetName val="목차_2"/>
      <sheetName val="귀래_설계_공내역서2"/>
      <sheetName val="unit_42"/>
      <sheetName val="BH_1__2_2"/>
      <sheetName val="8_현장관리비2"/>
      <sheetName val="7_안전관리비2"/>
      <sheetName val="spc_배관견적2"/>
      <sheetName val="1_설계기준2"/>
      <sheetName val="1_취수장2"/>
      <sheetName val="개인별_순위표2"/>
      <sheetName val="내역서_2"/>
      <sheetName val="3_1공사현황_공정표2"/>
      <sheetName val="노임_단가2"/>
      <sheetName val="Cash_Flow-12"/>
      <sheetName val="설_계2"/>
      <sheetName val="도담구내_개소별_명세2"/>
      <sheetName val="별표_2"/>
      <sheetName val="投标材料清单_2"/>
      <sheetName val="3_공통공사대비2"/>
      <sheetName val="집_계_표2"/>
      <sheetName val="RETAIL_(ABOVE)2"/>
      <sheetName val="장비비_명세서12"/>
      <sheetName val="노임단가_(2)2"/>
      <sheetName val="단가_및_재료비2"/>
      <sheetName val="6__수량산출서1"/>
      <sheetName val="참조_(2)1"/>
      <sheetName val="7_공정표2"/>
      <sheetName val="단면_(2)2"/>
      <sheetName val="단___산1"/>
      <sheetName val="실____단1"/>
      <sheetName val="5__현장관리비(new)_2"/>
      <sheetName val="2_대외공문2"/>
      <sheetName val="Eq__Mobilization2"/>
      <sheetName val="제수변_수량집계표(보통)1"/>
      <sheetName val="Sheet1_(2)1"/>
      <sheetName val="수량산출서_(2)"/>
      <sheetName val="노무비_근거1"/>
      <sheetName val="_갑지1"/>
      <sheetName val="장비_(2)1"/>
      <sheetName val="CM_11"/>
      <sheetName val="5_동별횡주관경1"/>
      <sheetName val="전선_및_전선관1"/>
      <sheetName val="3BL공동구_수량1"/>
      <sheetName val="암거_제원표1"/>
      <sheetName val="내역서1999_8최종1"/>
      <sheetName val="기성(1차)_"/>
      <sheetName val="1_CB"/>
      <sheetName val="일위대가_1"/>
      <sheetName val="4_LINE1"/>
      <sheetName val="7_th1"/>
      <sheetName val="공기압舓⿫"/>
      <sheetName val="토공_total"/>
      <sheetName val="토공_토적표"/>
      <sheetName val="아파트_"/>
      <sheetName val="습식및_셀프레벨링1"/>
      <sheetName val="1차_내역서1"/>
      <sheetName val="BSD_(2)"/>
      <sheetName val="바_한일양산"/>
      <sheetName val="Project_Brief"/>
      <sheetName val="영업_일1"/>
      <sheetName val="기기_내역서"/>
      <sheetName val="전사_(2)"/>
      <sheetName val="BA_(2)"/>
      <sheetName val="CP_(2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갑지_을지"/>
      <sheetName val="변경명신물량_(2)"/>
      <sheetName val="2-2_매출분석"/>
      <sheetName val="설명서_"/>
      <sheetName val="주bea"/>
      <sheetName val="유효폭의_계산"/>
      <sheetName val="STEEL_BOX_단면설계(SEC_8)"/>
      <sheetName val="미납품_현황"/>
      <sheetName val="도담구내_개소별_명柖1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기존단가_(2)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0.목록1"/>
      <sheetName val="b_balju_cho"/>
      <sheetName val="중기조종사 단위단가"/>
      <sheetName val="정리계槜で_x0000__x0000_ｐ"/>
      <sheetName val="정리계槜で_x0000__x0000_㟠"/>
      <sheetName val="9GNG운¼"/>
      <sheetName val="공사비증감"/>
      <sheetName val="VXXXXXXX"/>
      <sheetName val="pile_bearing_capa_&amp;_¬웰ﾕ쀀_x0005_"/>
      <sheetName val="pile_bearing_capa_&amp;_¬웰ﾕ_x0000_ﳪ_x0005_"/>
      <sheetName val="(원)기흥상갈"/>
      <sheetName val="참조표"/>
      <sheetName val="토공집계표"/>
      <sheetName val="단_x0005__x0000_"/>
      <sheetName val="일위대가(집계_x0000_"/>
      <sheetName val="CONCRETE"/>
      <sheetName val="Front"/>
      <sheetName val="예산M12A"/>
      <sheetName val="cal1"/>
      <sheetName val="bqmpaloc"/>
      <sheetName val="식재"/>
      <sheetName val="시설물"/>
      <sheetName val="식재출력용"/>
      <sheetName val="유지관리"/>
      <sheetName val="[입찰안.xls][입찰안.xls][입찰안.xls]B__2"/>
      <sheetName val="[입찰안.xls][입찰안.xls][입찰안.xls]B__3"/>
      <sheetName val="물가시세"/>
      <sheetName val="자격증"/>
      <sheetName val="DHEQ㧈讄䰀漐"/>
      <sheetName val="교량전기"/>
      <sheetName val="대차대조표"/>
      <sheetName val="손익계산서"/>
      <sheetName val="이익잉여금"/>
      <sheetName val="상세손익"/>
      <sheetName val="PROJ. DATA"/>
      <sheetName val=" Beams Sched "/>
      <sheetName val="현장경비(공사금액별)"/>
      <sheetName val="4__VOs_summary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外構・目次"/>
      <sheetName val="工場棟・目次"/>
      <sheetName val="事務棟・目次"/>
      <sheetName val="gvl"/>
      <sheetName val="電気設備表"/>
      <sheetName val="预算"/>
      <sheetName val="Bảng_mã_VT"/>
      <sheetName val="Chiet_tinh_dz35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받을어음"/>
      <sheetName val="시작"/>
      <sheetName val="투자자산"/>
      <sheetName val="대손상각"/>
      <sheetName val="Translation"/>
      <sheetName val="D &amp; W sizes"/>
      <sheetName val="単価表"/>
      <sheetName val="Gia vat tu"/>
      <sheetName val="DI_ESTI"/>
      <sheetName val="dtct cong"/>
      <sheetName val="HS"/>
      <sheetName val="원가&amp;하도급원가"/>
      <sheetName val="적산"/>
      <sheetName val="제잡비1"/>
      <sheetName val="현우실적"/>
      <sheetName val="장비가동"/>
      <sheetName val="[입찰안.xls][입찰안.xls][입찰안.xls]B_17"/>
      <sheetName val="[입찰안.xls][입찰안.xls][입찰안.xls]B__5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5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3"/>
      <sheetName val="[입찰안.xls][입찰안.xls][입찰안.xls]B_24"/>
      <sheetName val="[입찰안.xls][입찰안.xls][입찰안.xls]B_26"/>
      <sheetName val="[입찰안.xls][입찰안.xls][입찰안.xls]B_27"/>
      <sheetName val="발주A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nhôm 1,2mm"/>
      <sheetName val="nhôm 1,4mm"/>
      <sheetName val="CB"/>
      <sheetName val="발주내역"/>
      <sheetName val="1,2,3,4"/>
      <sheetName val="H-PILE수량집계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[입찰안.xls][입찰안.xls][입찰안.xls]___2"/>
      <sheetName val="[입찰안.xls][입찰안.xls][입찰안.xls]___3"/>
      <sheetName val="배수로집계"/>
      <sheetName val="CableSchedule"/>
      <sheetName val="[입찰안.xls][입찰안.xls][입찰안.xls]B_31"/>
      <sheetName val="[입찰안.xls][입찰안.xls][입찰안.xls]B_28"/>
      <sheetName val="[입찰안.xls][입찰안.xls][입찰안.xls]B_29"/>
      <sheetName val="[입찰안.xls][입찰안.xls][입찰안.xls]B_30"/>
      <sheetName val="참고자료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SCOPE_OF_WORK"/>
      <sheetName val="0"/>
      <sheetName val="Cọc nhồi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ptvt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Gia VLNCMTC"/>
      <sheetName val="BIDDING-SUM"/>
      <sheetName val="Dầm 1"/>
      <sheetName val="제품마스터"/>
      <sheetName val="chitiet"/>
      <sheetName val="Config"/>
      <sheetName val="Chiet tinh don gia CM"/>
      <sheetName val="수량"/>
      <sheetName val="현장"/>
      <sheetName val="조경수볰"/>
      <sheetName val="wbs2차"/>
      <sheetName val="수량산출서집´_x0000_Ԁ_x0000_耀֜䌛"/>
      <sheetName val="자재대"/>
      <sheetName val="입상내역"/>
      <sheetName val="Gian"/>
      <sheetName val="총괄집계표"/>
      <sheetName val="[입찰안.xls][입찰안.xls][입찰안.xls]B_61"/>
      <sheetName val="본사업"/>
      <sheetName val="총투자비"/>
      <sheetName val="손익차9월頀"/>
      <sheetName val="[입찰안.xls][입찰안.xls][입찰안.xls]B_54"/>
      <sheetName val="[입찰안.xls][입찰안.xls][입찰안.xls]B_53"/>
      <sheetName val="[입찰안.xls][입찰안.xls][입찰안.xls]B_44"/>
      <sheetName val="[입찰안.xls][입찰안.xls][입찰안.xls]B_33"/>
      <sheetName val="[입찰안.xls][입찰안.xls][입찰안.xls]B_35"/>
      <sheetName val="[입찰안.xls][입찰안.xls][입찰안.xls]B_32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47"/>
      <sheetName val="[입찰안.xls][입찰안.xls][입찰안.xls]B_45"/>
      <sheetName val="중강당 내역"/>
      <sheetName val="[입찰안.xls][입찰안.xls][입찰안.xls]B_48"/>
      <sheetName val="[입찰안.xls][입찰안.xls][입찰안.xls]B_46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7"/>
      <sheetName val="[입찰안.xls][입찰안.xls][입찰안.xls]B_58"/>
      <sheetName val="[입찰안.xls][입찰안.xls][입찰안.xls]B_56"/>
      <sheetName val="노무비계"/>
      <sheetName val="1,2,3,4_x0005_"/>
      <sheetName val="EXCHANGE RATE"/>
      <sheetName val="[입찰안.xls][입찰안.xls][입찰안.xls]B_63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[입찰안.xls][입찰안.xls][입찰안.xls]B_62"/>
      <sheetName val="전기혼잡제경⻉ⴋԯ_x0000_缀"/>
      <sheetName val="일위총괄표"/>
      <sheetName val="[입찰안.xls][입찰안.xls][입찰안.xls]B_59"/>
      <sheetName val="[입찰안.xls][입찰안.xls][입찰안.xls]B_60"/>
      <sheetName val="[입찰안.xls][입찰안.xls][입찰안.xls]B_64"/>
      <sheetName val="[입찰안.xls][입찰안.xls][입찰안.xls]B_65"/>
      <sheetName val="[입찰안.xls][입찰안.xls][입찰안.xls]B_92"/>
      <sheetName val="의견양식"/>
      <sheetName val="중기가격"/>
      <sheetName val="거래처CODE"/>
      <sheetName val="pile_bearing_ca怀꿟세_x0000_䘀뤙_x0000__x0000_Ԁ_x0000_"/>
      <sheetName val="빗물받이(910-510-410)"/>
      <sheetName val="정리계槜〚"/>
      <sheetName val="10공-"/>
      <sheetName val="design_crit"/>
      <sheetName val="견적비교표 (2)"/>
      <sheetName val="작성방법(지우지마세요)"/>
      <sheetName val="결재방(지우지 마세요)"/>
      <sheetName val="[입찰안.xls][입찰안.xls][입찰안.xls]B_67"/>
      <sheetName val="[입찰안.xls][입찰안.xls][입찰안.xls]B_66"/>
      <sheetName val="[입찰안.xls][입찰안.xls][입찰안.xls]B_68"/>
      <sheetName val="[입찰안.xls][입찰안.xls][입찰안.xls]B_69"/>
      <sheetName val="[입찰안.xls][입찰안.xls][입찰안.xls]B_70"/>
      <sheetName val="[입찰안.xls][입찰안.xls][입찰안.xls]B_71"/>
      <sheetName val="[입찰안.xls][입찰안.xls][입찰안.xls]B_73"/>
      <sheetName val="[입찰안.xls][입찰안.xls][입찰안.xls]B_72"/>
      <sheetName val="[입찰안.xls][입찰안.xls][입찰안.xls]B_78"/>
      <sheetName val="[입찰안.xls][입찰안.xls][입찰안.xls]B_77"/>
      <sheetName val="[입찰안.xls][입찰안.xls][입찰안.xls]B_74"/>
      <sheetName val="[입찰안.xls][입찰안.xls][입찰안.xls]B_75"/>
      <sheetName val="[입찰안.xls][입찰안.xls][입찰안.xls]B_76"/>
      <sheetName val="[입찰안.xls][입찰안.xls][입찰안.xls]B_83"/>
      <sheetName val="[입찰안.xls][입찰안.xls][입찰안.xls]B_85"/>
      <sheetName val="[입찰안.xls][입찰안.xls][입찰안.xls]B_84"/>
      <sheetName val="[입찰안.xls][입찰안.xls][입찰안.xls]B_79"/>
      <sheetName val="[입찰안.xls][입찰안.xls][입찰안.xls]B_80"/>
      <sheetName val="[입찰안.xls][입찰안.xls][입찰안.xls]B_81"/>
      <sheetName val="[입찰안.xls][입찰안.xls][입찰안.xls]B_82"/>
      <sheetName val="[입찰안.xls][입찰안.xls][입찰안.xls]B_86"/>
      <sheetName val="[입찰안.xls][입찰안.xls][입찰안.xls]B_87"/>
      <sheetName val="[입찰안.xls][입찰안.xls][입찰안.xls]B_88"/>
      <sheetName val="[입찰안.xls][입찰안.xls][입찰안.xls]B_90"/>
      <sheetName val="[입찰안.xls][입찰안.xls][입찰안.xls]B_89"/>
      <sheetName val="[입찰안.xls][입찰안.xls][입찰안.xls]B_91"/>
      <sheetName val="조도계산서Å"/>
      <sheetName val="plan&amp;section_of_"/>
      <sheetName val="소포내역"/>
      <sheetName val="pile_bearing_capa_&amp;_¬웰ﾕ"/>
      <sheetName val="재학생"/>
      <sheetName val="[입찰안.xls][입찰안.xls][입찰안.xls]B_93"/>
      <sheetName val="[입찰안.xls][입찰안.xls][입찰안.xls]_116"/>
      <sheetName val="[입찰안.xls][입찰안.xls][입찰안.xls]_118"/>
      <sheetName val="[입찰안.xls][입찰안.xls][입찰안.xls]_117"/>
      <sheetName val="[입찰안.xls][입찰안.xls][입찰안.xls]_115"/>
      <sheetName val="[입찰안.xls][입찰안.xls][입찰안.xls]_113"/>
      <sheetName val="[입찰안.xls][입찰안.xls][입찰안.xls]_114"/>
      <sheetName val="[입찰안.xls][입찰안.xls][입찰안.xls]B_94"/>
      <sheetName val="[입찰안.xls][입찰안.xls][입찰안.xls]B_96"/>
      <sheetName val="[입찰안.xls][입찰안.xls][입찰안.xls]B_95"/>
      <sheetName val="실행내역서 "/>
      <sheetName val="일위대가갂窹"/>
      <sheetName val="일위대가_x0000__x0000_렀"/>
      <sheetName val="일위대가耀쾑_x0000_"/>
      <sheetName val="공사착공계"/>
      <sheetName val="조도계산서Ì_x0000_Ԁ_x0000_耀"/>
      <sheetName val="적용비율"/>
      <sheetName val="Sàn T1"/>
      <sheetName val="Lỗ thông gió"/>
      <sheetName val="Sàn tầng 01 ( old )"/>
      <sheetName val="KTCK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을지"/>
      <sheetName val="TOWER 12TON"/>
      <sheetName val="각종단가"/>
      <sheetName val="NP-총정리"/>
      <sheetName val="갑지_을지1"/>
      <sheetName val="2-2_매출분석1"/>
      <sheetName val="유효폭의_계산1"/>
      <sheetName val="미납품_현황1"/>
      <sheetName val="표지_(2)1"/>
      <sheetName val="STEEL_BOX_단면설계(SEC_8)1"/>
      <sheetName val="설명서_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ITB_COST1"/>
      <sheetName val="6_산출닑⾱"/>
      <sheetName val="1,2,3,4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0_목록1"/>
      <sheetName val="[입찰안_xls][입찰안_xls][입찰안_xls]___2"/>
      <sheetName val="내역(인테리어_실내)(도급)"/>
      <sheetName val="내역(인테리어_실외)(도급)"/>
      <sheetName val="할증 "/>
      <sheetName val="eq_data"/>
      <sheetName val="간접비 총괄표"/>
      <sheetName val="특수선일위대가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11_산출(전열)6"/>
      <sheetName val="6_산출(동력)6"/>
      <sheetName val="7_산출(TRAY)6"/>
      <sheetName val="5_산출(전력)5"/>
      <sheetName val="표__지6"/>
      <sheetName val="4_전기6"/>
      <sheetName val="BH-1_(2)6"/>
      <sheetName val="1_설계조건6"/>
      <sheetName val="조도계산서_(도서)6"/>
      <sheetName val="I_설계조건6"/>
      <sheetName val="앉음벽_(2)6"/>
      <sheetName val="노원열병합__건축공사기성내역서6"/>
      <sheetName val="수량산출서(전력간선_지하D_C)5"/>
      <sheetName val="소포내역_(2)6"/>
      <sheetName val="MSS_26"/>
      <sheetName val="우수관매설및_우수받이6"/>
      <sheetName val="11_우각부_보강6"/>
      <sheetName val="제출내역_(2)6"/>
      <sheetName val="A_견적5"/>
      <sheetName val="3련_BOX6"/>
      <sheetName val="2_1__노무비_평균단가산출5"/>
      <sheetName val="내역_ver1_06"/>
      <sheetName val="보고서_기기리스트5"/>
      <sheetName val="7__현장관리비_6"/>
      <sheetName val="6__안전관리비6"/>
      <sheetName val="_HIT__HMC_견적_3900_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배수공_시멘트_및_골재량_산출5"/>
      <sheetName val="배수내역_(2)5"/>
      <sheetName val="내___역5"/>
      <sheetName val="_HIT-&gt;HMC_견적(3900)5"/>
      <sheetName val="6PILE__(돌출)5"/>
      <sheetName val="SHEET_PILE단가5"/>
      <sheetName val="플랜트_설치5"/>
      <sheetName val="spc_배관견적5"/>
      <sheetName val="1_취수장5"/>
      <sheetName val="3_1공사현황_공정표5"/>
      <sheetName val="Customer_Databas5"/>
      <sheetName val="화재_탐지_설비5"/>
      <sheetName val="2차전체변경예정_(2)5"/>
      <sheetName val="전_기5"/>
      <sheetName val="설_계5"/>
      <sheetName val="목차_5"/>
      <sheetName val="unit_45"/>
      <sheetName val="노임_단가5"/>
      <sheetName val="귀래_설계_공내역서5"/>
      <sheetName val="BH_1__2_5"/>
      <sheetName val="세골재__T2_변경_현황5"/>
      <sheetName val="1_설계기준5"/>
      <sheetName val="집_계_표5"/>
      <sheetName val="참조_(2)4"/>
      <sheetName val="도담구내_개소별_명세5"/>
      <sheetName val="Cash_Flow-15"/>
      <sheetName val="8_현장관리비5"/>
      <sheetName val="7_안전관리비5"/>
      <sheetName val="개인별_순위표5"/>
      <sheetName val="별표_5"/>
      <sheetName val="내역서_5"/>
      <sheetName val="노임단가_(2)5"/>
      <sheetName val="제수변_수량집계표(보통)4"/>
      <sheetName val="投标材料清单_5"/>
      <sheetName val="3_공통공사대비5"/>
      <sheetName val="단가_및_재료비5"/>
      <sheetName val="RETAIL_(ABOVE)5"/>
      <sheetName val="5__현장관리비(new)_5"/>
      <sheetName val="장비비_명세서15"/>
      <sheetName val="단___산4"/>
      <sheetName val="실____단4"/>
      <sheetName val="암거_제원표4"/>
      <sheetName val="7_공정표5"/>
      <sheetName val="단면_(2)5"/>
      <sheetName val="2_대외공문5"/>
      <sheetName val="Eq__Mobilization5"/>
      <sheetName val="노무비_근거4"/>
      <sheetName val="전선_및_전선관4"/>
      <sheetName val="3BL공동구_수량4"/>
      <sheetName val="내역서1999_8최종4"/>
      <sheetName val="Sheet1_(2)4"/>
      <sheetName val="_갑지4"/>
      <sheetName val="5_동별횡주관경4"/>
      <sheetName val="CM_14"/>
      <sheetName val="6__수량산출서4"/>
      <sheetName val="장비_(2)4"/>
      <sheetName val="수량산출서_(2)3"/>
      <sheetName val="토공_total3"/>
      <sheetName val="기성(1차)_3"/>
      <sheetName val="일위대가_4"/>
      <sheetName val="4_LINE4"/>
      <sheetName val="7_th4"/>
      <sheetName val="습식및_셀프레벨링4"/>
      <sheetName val="1차_내역서4"/>
      <sheetName val="BSD_(2)3"/>
      <sheetName val="바_한일양산3"/>
      <sheetName val="Project_Brief3"/>
      <sheetName val="영업_일13"/>
      <sheetName val="기기_내역서3"/>
      <sheetName val="아파트_2"/>
      <sheetName val="1_CB3"/>
      <sheetName val="_소방공사_산출근거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전사_(2)3"/>
      <sheetName val="BA_(2)3"/>
      <sheetName val="CP_(2)3"/>
      <sheetName val="토공_토적표3"/>
      <sheetName val="변경명신물량_(2)3"/>
      <sheetName val="기존단가_(2)3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Cost_bd-&quot;A&quot;4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4__VOs_summary3"/>
      <sheetName val="Chiet_tinh_dz353"/>
      <sheetName val="19_07월_세_계1"/>
      <sheetName val="19_07항목별(시트복사금지100번쓰기)1"/>
      <sheetName val="19_05월1"/>
      <sheetName val="DATA_LISTS1"/>
      <sheetName val="_FURNACE현설1"/>
      <sheetName val="97_사업추정(WEKI)1"/>
      <sheetName val="8_설치품셈1"/>
      <sheetName val="내역서_제출2"/>
      <sheetName val="TABLE_DB1"/>
      <sheetName val="쌍용_data_base1"/>
      <sheetName val="Bảng_mã_VT3"/>
      <sheetName val="중기조종사_단위단가1"/>
      <sheetName val="자재기성_신청서_xlsx1"/>
      <sheetName val="0_목록11"/>
      <sheetName val="Elec_LG1"/>
      <sheetName val="ESTI_1"/>
      <sheetName val="[입찰안_xls][입찰안_xls][입찰안_xls]___1"/>
      <sheetName val="내역(인테리어_실내)(도급)1"/>
      <sheetName val="내역(인테리어_실외)(도급)1"/>
      <sheetName val="D_&amp;_W_sizes1"/>
      <sheetName val="Gia_vat_tu1"/>
      <sheetName val="dtct_cong1"/>
      <sheetName val="So_sanh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장비코드표_0506012"/>
      <sheetName val="2007년_생산1부장비2"/>
      <sheetName val="2008년_생산부전장비코드2"/>
      <sheetName val="DDB부_장비_관리현황2"/>
      <sheetName val="Xunit_(단위환산)2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DGCT_(01)1"/>
      <sheetName val="SCOPE_OF_WORK1"/>
      <sheetName val="Chi_tiet1"/>
      <sheetName val="nhôm_1,2mm1"/>
      <sheetName val="nhôm_1,4mm1"/>
      <sheetName val="01__DATA1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Requirement(Work Crew)"/>
      <sheetName val="[입찰안.xls][입찰안.xls][입찰안.xls]B_97"/>
      <sheetName val="[입찰안.xls][입찰안.xls][입찰안.xls]B_98"/>
      <sheetName val="[입찰안.xls][입찰안.xls][입찰안.xls]_112"/>
      <sheetName val="시운전壒》"/>
      <sheetName val="정리계槜〩_x0000__x0000_８"/>
      <sheetName val="[입찰안.xls][입찰안.xls][입찰안.xls]_103"/>
      <sheetName val="집계장(뀀ﰡ 縞悧縳"/>
      <sheetName val="집계장(뀀ﰡ_x0000_䀰"/>
      <sheetName val="[입찰안.xls][입찰안.xls][입찰안.xls]_108"/>
      <sheetName val="[입찰안.xls][입찰안.xls][입찰안.xls]B_99"/>
      <sheetName val="[입찰안.xls][입찰안.xls][입찰안.xls]_100"/>
      <sheetName val="[입찰안.xls][입찰안.xls][입찰안.xls]_101"/>
      <sheetName val="[입찰안.xls][입찰안.xls][입찰안.xls]_102"/>
      <sheetName val="[입찰안.xls][입찰안.xls][입찰안.xls]_104"/>
      <sheetName val="[입찰안.xls][입찰안.xls][입찰안.xls]_105"/>
      <sheetName val="[입찰안.xls][입찰안.xls][입찰안.xls]_107"/>
      <sheetName val="[입찰안.xls][입찰안.xls][입찰안.xls]_106"/>
      <sheetName val="[입찰안.xls][입찰안.xls][입찰안.xls]_109"/>
      <sheetName val="[입찰안.xls][입찰안.xls][입찰안.xls]_110"/>
      <sheetName val="[입찰안.xls][입찰안.xls][입찰안.xls]_111"/>
      <sheetName val="[입찰안.xls][입찰안.xls][입찰안.xls]_121"/>
      <sheetName val="[입찰안.xls][입찰안.xls][입찰안.xls]_119"/>
      <sheetName val="[입찰안.xls][입찰안.xls][입찰안.xls]_120"/>
      <sheetName val="[입찰안.xls][입찰안.xls][입찰안.xls]_123"/>
      <sheetName val="[입찰안.xls][입찰안.xls][입찰안.xls]_122"/>
      <sheetName val="사  업  비  수  지  예  산  서"/>
      <sheetName val="[입찰안.xls][입찰안.xls][입찰안.xls]___4"/>
      <sheetName val="[입찰안.xls][입찰안.xls][입찰안.xls]_125"/>
      <sheetName val="[입찰안.xls][입찰안.xls][입찰안.xls]_126"/>
      <sheetName val="[입찰안.xls][입찰안.xls][입찰안.xls]_124"/>
      <sheetName val="[입찰안.xls][입찰안.xls][입찰안.xls]_128"/>
      <sheetName val="[입찰안.xls][입찰안.xls][입찰안.xls]_127"/>
      <sheetName val="[입찰안.xls][입찰안.xls][입찰안.xls]_129"/>
      <sheetName val="[입찰안.xls][입찰안.xls][입찰안.xls]_132"/>
      <sheetName val="[입찰안.xls][입찰안.xls][입찰안.xls]_133"/>
      <sheetName val="[입찰안.xls][입찰안.xls][입찰안.xls]_130"/>
      <sheetName val="[입찰안.xls][입찰안.xls][입찰안.xls]_131"/>
      <sheetName val="[입찰안.xls][입찰안.xls][입찰안.xls]_134"/>
      <sheetName val="[입찰안.xls][입찰안.xls][입찰안.xls]_136"/>
      <sheetName val="[입찰안.xls][입찰안.xls][입찰안.xls]_135"/>
      <sheetName val="[입찰안.xls][입찰안.xls][입찰안.xls]_137"/>
      <sheetName val="[입찰안.xls][입찰안.xls][입찰안.xls]_138"/>
      <sheetName val="조경내역서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Tiepdia"/>
      <sheetName val="RAB AR&amp;STR"/>
      <sheetName val="Isolasi Luar Dalam"/>
      <sheetName val="Isolasi Luar"/>
      <sheetName val="Div26 - Elect"/>
      <sheetName val="Phan_tich_ca_may"/>
      <sheetName val="Chenh_lech_ca_may"/>
      <sheetName val="TLg_CN&amp;Laixe"/>
      <sheetName val="TLg_CN&amp;Laixe_(2)"/>
      <sheetName val="TLg_Laitau"/>
      <sheetName val="TLg_Laitau_(2)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Measure_1306"/>
      <sheetName val="EE_(3)"/>
      <sheetName val="DG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장悱_x0017_"/>
      <sheetName val="[입찰안.xls][입찰안.xls][입찰안.xls]_142"/>
      <sheetName val="[입찰안.xls][입찰안.xls][입찰안.xls]_146"/>
      <sheetName val="테이블"/>
      <sheetName val="노임단가 및 기계경비"/>
      <sheetName val="노.표-조"/>
      <sheetName val="노임변ᡆ콞"/>
      <sheetName val="심사계산"/>
      <sheetName val="기계경비산출기준"/>
      <sheetName val="공사투입계획(변경결의)19.9"/>
      <sheetName val="노무비 월별지급현황19.9"/>
      <sheetName val="갑지(외주기성)19.9"/>
      <sheetName val="단면ⲴǾ"/>
      <sheetName val="표준차도부연장집계-ASP"/>
      <sheetName val="1-7(재가공내역)"/>
      <sheetName val="3련_BÈ_x0000_"/>
      <sheetName val="[입찰안.xls][입찰안.xls][입찰안.xls]_139"/>
      <sheetName val="0001new"/>
      <sheetName val="6-1.보오링(1)"/>
      <sheetName val="설명"/>
      <sheetName val="[입찰안.xls][입찰안.xls][입찰안.xls]_140"/>
      <sheetName val="[입찰안.xls][입찰안.xls][입찰안.xls]_141"/>
      <sheetName val="[입찰안.xls][입찰안.xls][입찰안.xls]_147"/>
      <sheetName val="[입찰안.xls][입찰안.xls][입찰안.xls]_143"/>
      <sheetName val="[입찰안.xls][입찰안.xls][입찰안.xls]_144"/>
      <sheetName val="[입찰안.xls][입찰안.xls][입찰안.xls]_145"/>
      <sheetName val="[입찰안.xls][입찰안.xls][입찰안.xls]_148"/>
      <sheetName val="[입찰안.xls][입찰안.xls][입찰안.xls]_151"/>
      <sheetName val="[입찰안.xls][입찰안.xls][입찰안.xls]_149"/>
      <sheetName val="일위대가목록(ems)"/>
      <sheetName val="[입찰안.xls][입찰안.xls][입찰안.xls]_150"/>
      <sheetName val="[입찰안.xls][입찰안.xls][입찰안.xls]_152"/>
      <sheetName val="[입찰안.xls][입찰안.xls][입찰안.xls]_162"/>
      <sheetName val="[입찰안.xls][입찰안.xls][입찰안.xls]_153"/>
      <sheetName val="[입찰안.xls][입찰안.xls][입찰안.xls]_158"/>
      <sheetName val="[입찰안.xls][입찰안.xls][입찰안.xls]_160"/>
      <sheetName val="[입찰안.xls][입찰안.xls][입찰안.xls]_154"/>
      <sheetName val="[입찰안.xls][입찰안.xls][입찰안.xls]_155"/>
      <sheetName val="[입찰안.xls][입찰안.xls][입찰안.xls]_156"/>
      <sheetName val="[입찰안.xls][입찰안.xls][입찰안.xls]_157"/>
      <sheetName val="[입찰안.xls][입찰안.xls][입찰안.xls]_159"/>
      <sheetName val="[입찰안.xls][입찰안.xls][입찰안.xls]_161"/>
      <sheetName val="[입찰안.xls][입찰안.xls][입찰안.xls]_163"/>
      <sheetName val="[입찰안.xls][입찰안.xls][입찰안.xls]_164"/>
      <sheetName val="[입찰안.xls][입찰안.xls][입찰안.xls]_165"/>
      <sheetName val="[입찰안.xls][입찰안.xls][입찰안.xls]_168"/>
      <sheetName val="[입찰안.xls][입찰안.xls][입찰안.xls]_166"/>
      <sheetName val="[입찰안.xls][입찰안.xls][입찰안.xls]_167"/>
      <sheetName val="[입찰안.xls][입찰안.xls][입찰안.xls]_169"/>
      <sheetName val="[입찰안.xls][입찰안.xls][입찰안.xls]_171"/>
      <sheetName val="[입찰안.xls][입찰안.xls][입찰안.xls]_170"/>
      <sheetName val="[입찰안.xls][입찰안.xls][입찰안.xls]_172"/>
      <sheetName val="[입찰안.xls][입찰안.xls][입찰안.xls]_173"/>
      <sheetName val="[입찰안.xls][입찰안.xls][입찰안.xls]_174"/>
      <sheetName val="[입찰안.xls][입찰안.xls][입찰안.xls]_175"/>
      <sheetName val="[입찰안.xls][입찰안.xls][입찰안.xls]_177"/>
      <sheetName val="[입찰안.xls][입찰안.xls][입찰안.xls]_182"/>
      <sheetName val="[입찰안.xls][입찰안.xls][입찰안.xls]_179"/>
      <sheetName val="[입찰안.xls][입찰안.xls][입찰안.xls]_176"/>
      <sheetName val="[입찰안.xls][입찰안.xls][입찰안.xls]_178"/>
      <sheetName val="[입찰안.xls][입찰안.xls][입찰안.xls]_180"/>
      <sheetName val="[입찰안.xls][입찰안.xls][입찰안.xls]_184"/>
      <sheetName val="[입찰안.xls][입찰안.xls][입찰안.xls]_181"/>
      <sheetName val="[입찰안.xls][입찰안.xls][입찰안.xls]_183"/>
      <sheetName val="[입찰안.xls][입찰안.xls][입찰안.xls]_186"/>
      <sheetName val="[입찰안.xls][입찰안.xls][입찰안.xls]_185"/>
      <sheetName val="Cong"/>
      <sheetName val="GC산출"/>
      <sheetName val="BOQ"/>
      <sheetName val="1.R18 BF"/>
      <sheetName val="A"/>
      <sheetName val="G"/>
      <sheetName val="F-B"/>
      <sheetName val="H-J"/>
      <sheetName val="6.External works-R18"/>
      <sheetName val="[입찰안.xls][입찰안.xls][입찰안.xls]_188"/>
      <sheetName val="[입찰안.xls][입찰안.xls][입찰안.xls]_187"/>
      <sheetName val="공기압¬"/>
      <sheetName val="정리계槜で"/>
      <sheetName val="수량산출서집계("/>
      <sheetName val="수량산출서집´"/>
      <sheetName val="노임단가(일반)"/>
      <sheetName val="내역서(삼호)"/>
      <sheetName val="O＆P"/>
      <sheetName val="AS접수관리"/>
      <sheetName val="design_c_x0000__x0000_Ȑꙭî_x0000_"/>
      <sheetName val="[입찰안.xls][입찰안.xls][입찰안.xls]_249"/>
      <sheetName val="plan&amp;section_of勉_x0010__x0000__x0000__x0000__x0000__x0000__x0001_Ԁ_x0000__xdc00_"/>
      <sheetName val="특별땅고르기"/>
      <sheetName val="PTDGDT"/>
      <sheetName val="일위대??Ԁ?䀀"/>
      <sheetName val="일위대㐀븁??退"/>
      <sheetName val="I_설계조?"/>
      <sheetName val="조도계산서_(도서?"/>
      <sheetName val="대??"/>
      <sheetName val="전신"/>
      <sheetName val="원본(갑지)"/>
      <sheetName val="판매시설"/>
      <sheetName val="급여대장(입력용)"/>
      <sheetName val="성명데이터"/>
      <sheetName val="일위대가ꤥ"/>
      <sheetName val="[입찰안.xls][입찰안.xls][입찰안.xls]_196"/>
      <sheetName val="[입찰안.xls][입찰안.xls][입찰안.xls]_191"/>
      <sheetName val="[입찰안.xls][입찰안.xls][입찰안.xls]_189"/>
      <sheetName val="[입찰안.xls][입찰안.xls][입찰안.xls]_190"/>
      <sheetName val="[입찰안.xls][입찰안.xls][입찰안.xls]_193"/>
      <sheetName val="[입찰안.xls][입찰안.xls][입찰안.xls]_192"/>
      <sheetName val="[입찰안.xls][입찰안.xls][입찰안.xls]_194"/>
      <sheetName val="[입찰안.xls][입찰안.xls][입찰안.xls]_195"/>
      <sheetName val="[입찰안.xls][입찰안.xls][입찰안.xls]_198"/>
      <sheetName val="[입찰안.xls][입찰안.xls][입찰안.xls]_197"/>
      <sheetName val="[입찰안.xls][입찰안.xls][입찰안.xls]_199"/>
      <sheetName val="[입찰안.xls][입찰안.xls][입찰안.xls]_214"/>
      <sheetName val="[입찰안.xls][입찰안.xls][입찰안.xls]_212"/>
      <sheetName val="[입찰안.xls][입찰안.xls][입찰안.xls]_204"/>
      <sheetName val="[입찰안.xls][입찰안.xls][입찰안.xls]_206"/>
      <sheetName val="[입찰안.xls][입찰안.xls][입찰안.xls]_205"/>
      <sheetName val="[입찰안.xls][입찰안.xls][입찰안.xls]_200"/>
      <sheetName val="[입찰안.xls][입찰안.xls][입찰안.xls]_201"/>
      <sheetName val="[입찰안.xls][입찰안.xls][입찰안.xls]_202"/>
      <sheetName val="[입찰안.xls][입찰안.xls][입찰안.xls]_203"/>
      <sheetName val="[입찰안.xls][입찰안.xls][입찰안.xls]_207"/>
      <sheetName val="[입찰안.xls][입찰안.xls][입찰안.xls]_208"/>
      <sheetName val="[입찰안.xls][입찰안.xls][입찰안.xls]_210"/>
      <sheetName val="[입찰안.xls][입찰안.xls][입찰안.xls]_209"/>
      <sheetName val="[입찰안.xls][입찰안.xls][입찰안.xls]_211"/>
      <sheetName val="[입찰안.xls][입찰안.xls][입찰안.xls]_215"/>
      <sheetName val="[입찰안.xls][입찰안.xls][입찰안.xls]_213"/>
      <sheetName val="[입찰안.xls][입찰안.xls][입찰안.xls]_216"/>
      <sheetName val="[입찰안.xls][입찰안.xls][입찰안.xls]_221"/>
      <sheetName val="[입찰안.xls][입찰안.xls][입찰안.xls]_217"/>
      <sheetName val="[입찰안.xls][입찰안.xls][입찰안.xls]_220"/>
      <sheetName val="[입찰안.xls][입찰안.xls][입찰안.xls]_218"/>
      <sheetName val="[입찰안.xls][입찰안.xls][입찰안.xls]_219"/>
      <sheetName val="[입찰안.xls][입찰안.xls][입찰안.xls]_222"/>
      <sheetName val="[입찰안.xls][입찰안.xls][입찰안.xls]_223"/>
      <sheetName val="[입찰안.xls][입찰안.xls][입찰안.xls]_224"/>
      <sheetName val="[입찰안.xls][입찰안.xls][입찰안.xls]_225"/>
      <sheetName val="[입찰안.xls][입찰안.xls][입찰안.xls]_227"/>
      <sheetName val="[입찰안.xls][입찰안.xls][입찰안.xls]_226"/>
      <sheetName val="[입찰안.xls][입찰안.xls][입찰안.xls]_228"/>
      <sheetName val="[입찰안.xls][입찰안.xls][입찰안.xls]_231"/>
      <sheetName val="[입찰안.xls][입찰안.xls][입찰안.xls]_233"/>
      <sheetName val="[입찰안.xls][입찰안.xls][입찰안.xls]_234"/>
      <sheetName val="[입찰안.xls][입찰안.xls][입찰안.xls]_229"/>
      <sheetName val="[입찰안.xls][입찰안.xls][입찰안.xls]_230"/>
      <sheetName val="[입찰안.xls][입찰안.xls][입찰안.xls]_232"/>
      <sheetName val="[입찰안.xls][입찰안.xls][입찰안.xls]_236"/>
      <sheetName val="[입찰안.xls][입찰안.xls][입찰안.xls]_235"/>
      <sheetName val="[입찰안.xls][입찰안.xls][입찰안.xls]_238"/>
      <sheetName val="[입찰안.xls][입찰안.xls][입찰안.xls]_239"/>
      <sheetName val="[입찰안.xls][입찰안.xls][입찰안.xls]_237"/>
      <sheetName val="[입찰안.xls][입찰안.xls][입찰안.xls]_241"/>
      <sheetName val="[입찰안.xls][입찰안.xls][입찰안.xls]_240"/>
      <sheetName val="[입찰안.xls][입찰안.xls][입찰안.xls]_243"/>
      <sheetName val="[입찰안.xls][입찰안.xls][입찰안.xls]_242"/>
      <sheetName val="[입찰안.xls][입찰안.xls][입찰안.xls]_244"/>
      <sheetName val="[입찰안.xls][입찰안.xls][입찰안.xls]_245"/>
      <sheetName val="[입찰안.xls][입찰안.xls][입찰안.xls]_246"/>
      <sheetName val="[입찰안.xls][입찰안.xls][입찰안.xls]_247"/>
      <sheetName val="[입찰안.xls][입찰안.xls][입찰안.xls]_248"/>
      <sheetName val="[입찰안.xls][입찰안.xls][입찰안.xls]_251"/>
      <sheetName val="[입찰안.xls][입찰안.xls][입찰안.xls]_252"/>
      <sheetName val="[입찰안.xls][입찰안.xls][입찰안.xls]_250"/>
      <sheetName val="[입찰안.xls][입찰안.xls][입찰안.xls]_253"/>
      <sheetName val="[입찰안.xls][입찰안.xls][입찰안.xls]_254"/>
      <sheetName val="[입찰안.xls][입찰안.xls][입찰안.xls]_255"/>
      <sheetName val="[입찰안.xls][입찰안.xls][입찰안.xls]_256"/>
      <sheetName val="[입찰안.xls][입찰안.xls][입찰안.xls]_257"/>
      <sheetName val="예산"/>
      <sheetName val="POL6차-PIPÁ_x0000_Ԁ"/>
      <sheetName val="POL6차-PIPⶌ쌈"/>
      <sheetName val="General Data"/>
      <sheetName val="45,46"/>
      <sheetName val="전사계"/>
      <sheetName val="[입찰안.xls][입찰안.xls][입찰안.xls]_277"/>
      <sheetName val="[입찰안.xls][입찰안.xls][입찰안.xls]_276"/>
      <sheetName val="[입찰안.xls][입찰안.xls][입찰안.xls]_260"/>
      <sheetName val="[입찰안.xls][입찰안.xls][입찰안.xls]_258"/>
      <sheetName val="[입찰안.xls][입찰안.xls][입찰안.xls]_259"/>
      <sheetName val="[입찰안.xls][입찰안.xls][입찰안.xls]_273"/>
      <sheetName val="[입찰안.xls][입찰안.xls][입찰안.xls]_275"/>
      <sheetName val="[입찰안.xls][입찰안.xls][입찰안.xls]_274"/>
      <sheetName val="[입찰안.xls][입찰안.xls][입찰안.xls]_261"/>
      <sheetName val="공기압᪬቙԰"/>
      <sheetName val="VCV-BE-TONG"/>
      <sheetName val="Dulieu"/>
      <sheetName val="[입찰안.xls][입찰안.xls][입찰안.xls]_265"/>
      <sheetName val="매각(6)"/>
      <sheetName val="신우"/>
      <sheetName val="집계장(Â_x0000_蠀1_x0000__x0000_"/>
      <sheetName val="[입찰안.xls][입찰안.xls][입찰안.xls]_267"/>
      <sheetName val="산출0"/>
      <sheetName val="직접뀀鞖_"/>
      <sheetName val="Bill 01 - CTN"/>
      <sheetName val="기계경비시간당손료목록"/>
      <sheetName val="비용"/>
      <sheetName val="TEMP"/>
      <sheetName val="Gia"/>
      <sheetName val="020.235.2363"/>
      <sheetName val="GAEYO"/>
      <sheetName val="CHITIET VL-NC-TT1p"/>
      <sheetName val="Project Infor"/>
      <sheetName val="Data input"/>
      <sheetName val="PL98"/>
      <sheetName val="bs"/>
      <sheetName val="BSM9601"/>
      <sheetName val="원본자재"/>
      <sheetName val="내역_ver1_"/>
      <sheetName val="내역_ver1_뀀"/>
      <sheetName val="POL6차-PIPÁ"/>
      <sheetName val="Sheet2 (2)"/>
      <sheetName val="A LINE"/>
      <sheetName val="[입찰안.xls][입찰안.xls][입찰안.xls]_262"/>
      <sheetName val="stability_xdc00_䘢䠂檱䠛檳"/>
      <sheetName val="Mc1"/>
      <sheetName val="영창26"/>
      <sheetName val="[입찰안.xls][입찰안.xls][입찰안.xls]_263"/>
      <sheetName val="[입찰안.xls][입찰안.xls][입찰안.xls]_264"/>
      <sheetName val="[입찰안.xls][입찰안.xls][입찰안.xls]_266"/>
      <sheetName val="[입찰안.xls][입찰안.xls][입찰안.xls]_268"/>
      <sheetName val="[입찰안.xls][입찰안.xls][입찰안.xls]_269"/>
      <sheetName val="[입찰안.xls][입찰안.xls][입찰안.xls]_271"/>
      <sheetName val="[입찰안.xls][입찰안.xls][입찰안.xls]_270"/>
      <sheetName val="[입찰안.xls][입찰안.xls][입찰안.xls]_272"/>
      <sheetName val="본실행경비"/>
      <sheetName val="장_x0000__x0000_Ԁ"/>
      <sheetName val="일위대가(집계刀"/>
      <sheetName val="교대(A1-A2)"/>
      <sheetName val="Sheet15"/>
      <sheetName val="[입찰안.xls][입찰안.xls][입찰안.xls]_279"/>
      <sheetName val="[입찰안.xls][입찰안.xls][입찰안.xls]_278"/>
      <sheetName val="경서-통신"/>
      <sheetName val="정산변경"/>
      <sheetName val="홈용접표"/>
      <sheetName val="cov-estimate"/>
      <sheetName val="BMS"/>
      <sheetName val="入力作成表"/>
      <sheetName val="_입찰안.xls_직접뀀鞖_"/>
      <sheetName val="_입찰안.xls__입찰안.xls_직접뀀鞖_"/>
      <sheetName val="결재_x005f_x0000_"/>
      <sheetName val="Btra"/>
      <sheetName val="bang TH"/>
      <sheetName val="MATRLDATA"/>
      <sheetName val="전기혼잡제경⻉ⴋԯ"/>
      <sheetName val="pile_bearing_ca怀꿟세"/>
      <sheetName val="Cable임피던스"/>
      <sheetName val="[입찰안.xls][입찰안.xls][입찰안.xls]_282"/>
      <sheetName val="[입찰안.xls][입찰안.xls][입찰안.xls]_280"/>
      <sheetName val="수지½_x0000_"/>
      <sheetName val="정리계㑸4鉨M槜"/>
      <sheetName val="[입찰안.xls][입찰안.xls][입찰안.xls]_281"/>
      <sheetName val="[입찰안.xls][입찰안.xls][입찰안.xls]_283"/>
      <sheetName val="[입찰안.xls][입찰안.xls][입찰안.xls]_285"/>
      <sheetName val="[입찰안.xls][입찰안.xls][입찰안.xls]_286"/>
      <sheetName val="[입찰안.xls][입찰안.xls][입찰안.xls]_284"/>
      <sheetName val="[입찰안.xls][입찰안.xls][입찰안.xls]_287"/>
      <sheetName val="[입찰안.xls][입찰안.xls][입찰안.xls]_288"/>
      <sheetName val="[입찰안.xls][입찰안.xls][입찰안.xls]_289"/>
      <sheetName val="휴가비,급량비"/>
      <sheetName val="401"/>
      <sheetName val="[입찰안.xls][입찰안.xls][입찰안.xls]_290"/>
      <sheetName val="[입찰안.xls][입찰안.xls][입찰안.xls]_292"/>
      <sheetName val="[입찰안.xls][입찰안.xls][입찰안.xls]_291"/>
      <sheetName val="[입찰안.xls][입찰안.xls][입찰안.xls]_293"/>
      <sheetName val="[입찰안.xls][입찰안.xls][입찰안.xls]_295"/>
      <sheetName val="[입찰안.xls][입찰안.xls][입찰안.xls]_294"/>
      <sheetName val="표준항목"/>
      <sheetName val="[입찰안.xls][입찰안.xls][입찰안.xls]_296"/>
      <sheetName val="[입찰안.xls][입찰안.xls][입찰안.xls]_317"/>
      <sheetName val="[입찰안.xls][입찰안.xls][입찰안.xls]_316"/>
      <sheetName val="[입찰안.xls][입찰안.xls][입찰안.xls]_303"/>
      <sheetName val="SORCE1"/>
      <sheetName val="[입찰안.xls][입찰안.xls][입찰안.xls]_297"/>
      <sheetName val="[입찰안.xls][입찰안.xls][입찰안.xls]_298"/>
      <sheetName val="[입찰안.xls][입찰안.xls][입찰안.xls]_300"/>
      <sheetName val="[입찰안.xls][입찰안.xls][입찰안.xls]_299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[입찰안.xls][입찰안.xls][입찰안.xls]_301"/>
      <sheetName val="[입찰안.xls][입찰안.xls][입찰안.xls]_302"/>
      <sheetName val="[입찰안.xls][입찰안.xls][입찰안.xls]_315"/>
      <sheetName val="[입찰안.xls][입찰안.xls][입찰안.xls]_314"/>
      <sheetName val="[입찰안.xls][입찰안.xls][입찰안.xls]_311"/>
      <sheetName val="[입찰안.xls][입찰안.xls][입찰안.xls]_309"/>
      <sheetName val="_HIT__HMC_견_x0000__x0000__x0005__x0000_ꉀ펔ɠ"/>
      <sheetName val="[입찰안.xls][입찰안.xls][입찰안.xls]_305"/>
      <sheetName val="[입찰안.xls][입찰안.xls][입찰안.xls]_304"/>
      <sheetName val="[입찰안.xls][입찰안.xls][입찰안.xls]_306"/>
      <sheetName val="[입찰안.xls][입찰안.xls][입찰안.xls]_307"/>
      <sheetName val="[입찰안.xls][입찰안.xls][입찰안.xls]_308"/>
      <sheetName val="[입찰안.xls][입찰안.xls][입찰안.xls]_310"/>
      <sheetName val="[입찰안.xls][입찰안.xls][입찰안.xls]_312"/>
      <sheetName val="[입찰안.xls][입찰안.xls][입찰안.xls]_313"/>
      <sheetName val="[입찰안.xls][입찰안.xls][입찰안.xls]_327"/>
      <sheetName val="[입찰안.xls][입찰안.xls][입찰안.xls]_318"/>
      <sheetName val="[입찰안.xls][입찰안.xls][입찰안.xls]_319"/>
      <sheetName val="[입찰안.xls][입찰안.xls][입찰안.xls]_320"/>
      <sheetName val="[입찰안.xls][입찰안.xls][입찰안.xls]_321"/>
      <sheetName val="[입찰안.xls][입찰안.xls][입찰안.xls]_322"/>
      <sheetName val="[입찰안.xls][입찰안.xls][입찰안.xls]_323"/>
      <sheetName val="[입찰안.xls][입찰안.xls][입찰안.xls]_324"/>
      <sheetName val="[입찰안.xls][입찰안.xls][입찰안.xls]_325"/>
      <sheetName val="[입찰안.xls][입찰안.xls][입찰안.xls]_326"/>
      <sheetName val="[입찰안.xls][입찰안.xls][입찰안.xls]_328"/>
      <sheetName val="자가"/>
      <sheetName val="노원열병합__건축공사기성내역_x0000_"/>
      <sheetName val="정리계_x0000__x0000__x0005__x0000_앀"/>
      <sheetName val="정리계_x0000__x0000__x0005__x0000__xde00_"/>
      <sheetName val="정리계_x0000__x0000__x0005__x0000_"/>
      <sheetName val="공기압淀퍦"/>
      <sheetName val="골재"/>
      <sheetName val="원도_x0000_"/>
      <sheetName val="공통உ"/>
      <sheetName val="Phan tho"/>
      <sheetName val="Data-year2001i"/>
      <sheetName val="Tien Thuong"/>
      <sheetName val="NC XL 6T cuoi 01 CTy"/>
      <sheetName val="Data -6T dau"/>
      <sheetName val="Cong 6T"/>
      <sheetName val="SUMMARY"/>
      <sheetName val="토공수량산출"/>
      <sheetName val="토적계산서"/>
      <sheetName val="운반비(시흥)"/>
      <sheetName val="600(3)a"/>
      <sheetName val="인건비(환율)"/>
      <sheetName val="기계경비"/>
      <sheetName val="リスト"/>
      <sheetName val="절대지우지말것"/>
      <sheetName val="1안98Billing"/>
      <sheetName val="VL"/>
      <sheetName val="정리계槜〽_x0000__x0000_ｐ"/>
      <sheetName val="F_D SEC. PROP"/>
      <sheetName val="새로이 설치할 정비기반시설 조서 나번 (2)"/>
      <sheetName val="소화"/>
      <sheetName val="구조물집계"/>
      <sheetName val="토공집계"/>
      <sheetName val="한³_x0000__x0000_"/>
      <sheetName val="공사직종별노임"/>
      <sheetName val="[입찰안.xls][입찰안.xls][입찰안.xls]_331"/>
      <sheetName val="[입찰안.xls][입찰안.xls][입찰안.xls]_329"/>
      <sheetName val="[입찰안.xls][입찰안.xls][입찰안.xls]_330"/>
      <sheetName val="조도계산서Ì"/>
      <sheetName val="plan&amp;section_of勉_x0010_"/>
      <sheetName val="54಺潭"/>
      <sheetName val="서울대규장각(가시설흙막이)"/>
      <sheetName val="주소"/>
      <sheetName val="판"/>
      <sheetName val="[입찰안.xls][입찰안.xls][입찰안.xls]_332"/>
      <sheetName val="[입찰안.xls][입찰안.xls][입찰안.xls]_336"/>
      <sheetName val="[입찰안.xls][입찰안.xls][입찰안.xls]_333"/>
      <sheetName val="[입찰안.xls][입찰안.xls][입찰안.xls]_334"/>
      <sheetName val="[입찰안.xls][입찰안.xls][입찰안.xls]_335"/>
      <sheetName val="[입찰안.xls][입찰안.xls][입찰안.xls]_338"/>
      <sheetName val="[입찰안.xls][입찰안.xls][입찰안.xls]_337"/>
      <sheetName val="[입찰안.xls][입찰안.xls][입찰안.xls]_339"/>
      <sheetName val="[입찰안.xls][입찰안.xls][입찰안.xls]_340"/>
      <sheetName val="외주정비"/>
      <sheetName val="남양시작동자105노65기1.3화1.2"/>
      <sheetName val="[입찰안.xls][입찰안.xls][입찰안.xls]_341"/>
      <sheetName val="[입찰안.xls][입찰안.xls][입찰안.xls]_346"/>
      <sheetName val="[입찰안.xls][입찰안.xls][입찰안.xls]_342"/>
      <sheetName val="[입찰안.xls][입찰안.xls][입찰안.xls]_343"/>
      <sheetName val="[입찰안.xls][입찰안.xls][입찰안.xls]_344"/>
      <sheetName val="[입찰안.xls][입찰안.xls][입찰안.xls]_345"/>
      <sheetName val="[입찰안.xls][입찰안.xls][입찰안.xls]_386"/>
      <sheetName val="[입찰안.xls][입찰안.xls][입찰안.xls]_387"/>
      <sheetName val="[입찰안.xls][입찰안.xls][입찰안.xls]_388"/>
      <sheetName val="3련_B胔Ẩ"/>
      <sheetName val="3련_B˔_x0000_"/>
      <sheetName val="3련_B㷔₼"/>
      <sheetName val="3련_B㷔嚼"/>
      <sheetName val="[입찰안_xls][입찰안_xls][입찰안_xls]B_17"/>
      <sheetName val="[입찰안_xls][입찰안_xls][입찰안_xls]B__5"/>
      <sheetName val="[입찰안_xls][입찰안_xls][입찰안_xls]B__8"/>
      <sheetName val="[입찰안_xls][입찰안_xls][입찰안_xls]B__6"/>
      <sheetName val="[입찰안_xls][입찰안_xls][입찰안_xls]B_23"/>
      <sheetName val="[입찰안_xls][입찰안_xls][입찰안_xls]B__7"/>
      <sheetName val="[입찰안_xls][입찰안_xls][입찰안_xls]B__9"/>
      <sheetName val="[입찰안_xls][입찰안_xls][입찰안_xls]B_10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5"/>
      <sheetName val="[입찰안_xls][입찰안_xls][입찰안_xls]B_24"/>
      <sheetName val="[입찰안_xls][입찰안_xls][입찰안_xls]B_26"/>
      <sheetName val="[입찰안_xls][입찰안_xls][입찰안_xls]B_27"/>
      <sheetName val="콘크리트"/>
      <sheetName val="토공분배표"/>
      <sheetName val="preface"/>
      <sheetName val="SCH"/>
      <sheetName val="#2 노임단가"/>
      <sheetName val="엔지니어링"/>
      <sheetName val="공기압郀傲2"/>
      <sheetName val="KH-Q1,Q2,01"/>
      <sheetName val="KC-moi"/>
      <sheetName val="Areas"/>
      <sheetName val="BQ-E20-02(Rp)"/>
      <sheetName val="Khoi luong"/>
      <sheetName val="XL4Poppy"/>
      <sheetName val="조달단가"/>
      <sheetName val="금강견적"/>
      <sheetName val="6__안전관_x0000__x0000_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RD제품개발투자비(매가)"/>
      <sheetName val="전체수량집계"/>
      <sheetName val="co-no.2"/>
      <sheetName val="건ꗝ"/>
      <sheetName val="건Ȍ"/>
      <sheetName val="조경수_x0000_"/>
      <sheetName val="DTICH (Full)"/>
      <sheetName val="DGG"/>
      <sheetName val="DTICH(FDC)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Girder"/>
      <sheetName val="ctTBA"/>
      <sheetName val="escon"/>
      <sheetName val="총원가계산서(요율)"/>
      <sheetName val="Data_Store"/>
      <sheetName val="Master"/>
      <sheetName val="TinhGiaNC"/>
      <sheetName val="Cost factor"/>
      <sheetName val="Info"/>
      <sheetName val="Item list"/>
      <sheetName val="Sheet Template Empty"/>
      <sheetName val="TSO_CHUNG"/>
      <sheetName val="COST SUMMARY"/>
      <sheetName val="P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[입찰안.xls][입찰안.xls][입찰안.xls]_374"/>
      <sheetName val="[입찰안.xls][입찰안.xls][입찰안.xls]_348"/>
      <sheetName val="[입찰안.xls][입찰안.xls][입찰안.xls]_351"/>
      <sheetName val="[입찰안.xls][입찰안.xls][입찰안.xls]_347"/>
      <sheetName val="[입찰안.xls][입찰안.xls][입찰안.xls]_349"/>
      <sheetName val="[입찰안.xls][입찰안.xls][입찰안.xls]_350"/>
      <sheetName val="[입찰안.xls][입찰안.xls][입찰안.xls]_352"/>
      <sheetName val="[입찰안.xls][입찰안.xls][입찰안.xls]_359"/>
      <sheetName val="[입찰안.xls][입찰안.xls][입찰안.xls]_368"/>
      <sheetName val="[입찰안.xls][입찰안.xls][입찰안.xls]_369"/>
      <sheetName val="전신환매도율"/>
      <sheetName val="공량산출근거서"/>
      <sheetName val="SLAB&quot;1&quot;"/>
      <sheetName val="침하계"/>
      <sheetName val="DFA"/>
      <sheetName val="[입찰안.xls][입찰안.xls][입찰안.xls]_353"/>
      <sheetName val="[입찰안.xls][입찰안.xls][입찰안.xls]_354"/>
      <sheetName val="[입찰안.xls][입찰안.xls][입찰안.xls]_355"/>
      <sheetName val="[입찰안.xls][입찰안.xls][입찰안.xls]_356"/>
      <sheetName val="[입찰안.xls][입찰안.xls][입찰안.xls]_357"/>
      <sheetName val="[입찰안.xls][입찰안.xls][입찰안.xls]_358"/>
      <sheetName val="[입찰안.xls][입찰안.xls][입찰안.xls]_363"/>
      <sheetName val="[입찰안.xls][입찰안.xls][입찰안.xls]_364"/>
      <sheetName val="[입찰안.xls][입찰안.xls][입찰안.xls]_360"/>
      <sheetName val="[입찰안.xls][입찰안.xls][입찰안.xls]_361"/>
      <sheetName val="[입찰안.xls][입찰안.xls][입찰안.xls]_362"/>
      <sheetName val="[입찰안.xls][입찰안.xls][입찰안.xls]_365"/>
      <sheetName val="[입찰안.xls][입찰안.xls][입찰안.xls]_366"/>
      <sheetName val="[입찰안.xls][입찰안.xls][입찰안.xls]_367"/>
      <sheetName val="[입찰안.xls][입찰안.xls][입찰안.xls]_370"/>
      <sheetName val="[입찰안.xls][입찰안.xls][입찰안.xls]_371"/>
      <sheetName val="[입찰안.xls][입찰안.xls][입찰안.xls]_372"/>
      <sheetName val="[입찰안.xls][입찰안.xls][입찰안.xls]_373"/>
      <sheetName val="[입찰안.xls][입찰안.xls][입찰안.xls]_375"/>
      <sheetName val="[입찰안.xls][입찰안.xls][입찰안.xls]_376"/>
      <sheetName val="[입찰안.xls][입찰안.xls][입찰안.xls]_377"/>
      <sheetName val="[입찰안.xls][입찰안.xls][입찰안.xls]_378"/>
      <sheetName val="[입찰안.xls][입찰안.xls][입찰안.xls]_379"/>
      <sheetName val="[입찰안.xls][입찰안.xls][입찰안.xls]_380"/>
      <sheetName val="[입찰안.xls][입찰안.xls][입찰안.xls]_382"/>
      <sheetName val="[입찰안.xls][입찰안.xls][입찰안.xls]_381"/>
      <sheetName val="[입찰안.xls][입찰안.xls][입찰안.xls]_385"/>
      <sheetName val="[입찰안.xls][입찰안.xls][입찰안.xls]_383"/>
      <sheetName val="[입찰안.xls][입찰안.xls][입찰안.xls]_384"/>
      <sheetName val="산수배수"/>
      <sheetName val="유림콘도"/>
      <sheetName val="배명(단가)"/>
      <sheetName val="Dayworks"/>
      <sheetName val="500(1)g"/>
      <sheetName val="GRAND SUM"/>
      <sheetName val="plan&amp;section_of__x0000__x0000_Ā_x0000__x0005__x0000_翹_x0000_조ꤟ"/>
      <sheetName val="___1"/>
      <sheetName val="B__1"/>
      <sheetName val="B_67"/>
      <sheetName val="B_68"/>
      <sheetName val="기본데이터"/>
      <sheetName val="실적관리"/>
      <sheetName val="C_DATA"/>
      <sheetName val="[입찰안.xls][입찰안.xls][입찰안.xls]_479"/>
      <sheetName val="[입찰안.xls][입찰안.xls][입찰안.xls]_478"/>
      <sheetName val="[입찰안.xls][입찰안.xls][입찰안.xls]___7"/>
      <sheetName val="[입찰안.xls][입찰안_xls][입찰안_xls]___3"/>
      <sheetName val="[입찰안.xls][입찰안.xls][입찰안_xls]___2"/>
      <sheetName val="[입찰안.xls][입찰안.xls][입찰안.xls]_452"/>
      <sheetName val="[입찰안.xls][입찰안.xls][입찰안.xls]_389"/>
      <sheetName val="[입찰안.xls][입찰안.xls][입찰안.xls]_390"/>
      <sheetName val="[입찰안.xls][입찰안.xls][입찰안.xls]_394"/>
      <sheetName val="[입찰안.xls][입찰안.xls][입찰안.xls]_419"/>
      <sheetName val="[입찰안.xls][입찰안.xls][입찰안.xls]_395"/>
      <sheetName val="[입찰안.xls][입찰안.xls][입찰안.xls]_391"/>
      <sheetName val="[입찰안.xls][입찰안.xls][입찰안.xls]_392"/>
      <sheetName val="Macro(전_x0005__x0003_"/>
      <sheetName val="Ԁ̀Ā܀਀Ѐ̀̀ЀЀ"/>
      <sheetName val="[입찰안.xls][입찰안.xls][입찰안.xls]_393"/>
      <sheetName val="[입찰안.xls][입찰안.xls][입찰안.xls]_396"/>
      <sheetName val="[입찰안.xls][입찰안.xls][입찰안.xls]_409"/>
      <sheetName val="[입찰안.xls][입찰안.xls][입찰안.xls]_408"/>
      <sheetName val="[입찰안.xls][입찰안.xls][입찰안.xls]_399"/>
      <sheetName val="[입찰안.xls][입찰안.xls][입찰안.xls]_398"/>
      <sheetName val="[입찰안.xls][입찰안.xls][입찰안.xls]_397"/>
      <sheetName val="[입찰안.xls][입찰안.xls][입찰안.xls]_400"/>
      <sheetName val="[입찰안.xls][입찰안.xls][입찰안.xls]_401"/>
      <sheetName val="[입찰안.xls][입찰안.xls][입찰안.xls]_402"/>
      <sheetName val="[입찰안.xls][입찰안.xls][입찰안.xls]_403"/>
      <sheetName val="[입찰안.xls][입찰안.xls][입찰안.xls]_404"/>
      <sheetName val="[입찰안.xls][입찰안.xls][입찰안.xls]_405"/>
      <sheetName val="[입찰안.xls][입찰안.xls][입찰안.xls]_406"/>
      <sheetName val="[입찰안.xls][입찰안.xls][입찰안.xls]_407"/>
      <sheetName val="[입찰안.xls][입찰안.xls][입찰안.xls]_410"/>
      <sheetName val="[입찰안.xls][입찰안.xls][입찰안.xls]_411"/>
      <sheetName val="[입찰안.xls][입찰안.xls][입찰안.xls]_412"/>
      <sheetName val="[입찰안.xls][입찰안.xls][입찰안.xls]_439"/>
      <sheetName val="[입찰안.xls][입찰안.xls][입찰안.xls]_421"/>
      <sheetName val="[입찰안.xls][입찰안.xls][입찰안.xls]_413"/>
      <sheetName val="[입찰안.xls][입찰안.xls][입찰안.xls]_414"/>
      <sheetName val="[입찰안.xls][입찰안.xls][입찰안.xls]_415"/>
      <sheetName val="[입찰안.xls][입찰안.xls][입찰안.xls]_416"/>
      <sheetName val="[입찰안.xls][입찰안.xls][입찰안.xls]_417"/>
      <sheetName val="[입찰안.xls][입찰안.xls][입찰안.xls]_418"/>
      <sheetName val="[입찰안.xls][입찰안.xls][입찰안.xls]_420"/>
      <sheetName val="[입찰안.xls][입찰안.xls][입찰안.xls]_435"/>
      <sheetName val="[입찰안.xls][입찰안.xls][입찰안.xls]_430"/>
      <sheetName val="[입찰안.xls][입찰안.xls][입찰안.xls]_425"/>
      <sheetName val="[입찰안.xls][입찰안.xls][입찰안.xls]_422"/>
      <sheetName val="[입찰안.xls][입찰안.xls][입찰안.xls]_423"/>
      <sheetName val="[입찰안.xls][입찰안.xls][입찰안.xls]_424"/>
      <sheetName val="[입찰안.xls][입찰안.xls][입찰안.xls]_426"/>
      <sheetName val="[입찰안.xls][입찰안.xls][입찰안.xls]_427"/>
      <sheetName val="[입찰안.xls][입찰안.xls][입찰안.xls]_428"/>
      <sheetName val="[입찰안.xls][입찰안.xls][입찰안.xls]_429"/>
      <sheetName val="[입찰안.xls][입찰안.xls][입찰안.xls]_431"/>
      <sheetName val="[입찰안.xls][입찰안.xls][입찰안.xls]_432"/>
      <sheetName val="[입찰안.xls][입찰안.xls][입찰안.xls]_438"/>
      <sheetName val="[입찰안.xls][입찰안.xls][입찰안.xls]_433"/>
      <sheetName val="[입찰안.xls][입찰안.xls][입찰안.xls]_434"/>
      <sheetName val="[입찰안.xls][입찰안.xls][입찰안.xls]_436"/>
      <sheetName val="[입찰안.xls][입찰안.xls][입찰안.xls]_437"/>
      <sheetName val="[입찰안.xls][입찰안.xls][입찰안.xls]_451"/>
      <sheetName val="[입찰안.xls][입찰안.xls][입찰안.xls]_440"/>
      <sheetName val="[입찰안.xls][입찰안.xls][입찰안.xls]_445"/>
      <sheetName val="[입찰안.xls][입찰안.xls][입찰안.xls]_441"/>
      <sheetName val="[입찰안.xls][입찰안.xls][입찰안.xls]_442"/>
      <sheetName val="[입찰안.xls][입찰안.xls][입찰안.xls]_446"/>
      <sheetName val="[입찰안.xls][입찰안.xls][입찰안.xls]_443"/>
      <sheetName val="[입찰안.xls][입찰안.xls][입찰안.xls]_444"/>
      <sheetName val="[입찰안.xls][입찰안.xls][입찰안.xls]_447"/>
      <sheetName val="[입찰안.xls][입찰안.xls][입찰안.xls]_449"/>
      <sheetName val="[입찰안.xls][입찰안.xls][입찰안.xls]_448"/>
      <sheetName val="[입찰안.xls][입찰안.xls][입찰안.xls]_450"/>
      <sheetName val="[입찰안.xls][입찰안.xls][입찰안.xls]_456"/>
      <sheetName val="[입찰안.xls][입찰안.xls][입찰안.xls]_455"/>
      <sheetName val="[입찰안.xls][입찰안.xls][입찰안.xls]_454"/>
      <sheetName val="[입찰안.xls][입찰안.xls][입찰안.xls]_453"/>
      <sheetName val="[입찰안.xls][입찰안.xls][입찰안.xls]_457"/>
      <sheetName val="[입찰안.xls][입찰안.xls][입찰안.xls]_461"/>
      <sheetName val="[입찰안.xls][입찰안.xls][입찰안.xls]_458"/>
      <sheetName val="[입찰안.xls][입찰안.xls][입찰안.xls]_459"/>
      <sheetName val="[입찰안.xls][입찰안.xls][입찰안.xls]_460"/>
      <sheetName val="원가계산서(변경)"/>
      <sheetName val="3련_B£_x0000_"/>
      <sheetName val="Code 02"/>
      <sheetName val="Code 03"/>
      <sheetName val="Code 04"/>
      <sheetName val="Code 05"/>
      <sheetName val="Code 06"/>
      <sheetName val="Code 07"/>
      <sheetName val="Code 09"/>
      <sheetName val="[입찰안.xls][입찰안.xls][입찰안.xls]_464"/>
      <sheetName val="[입찰안.xls][입찰안.xls][입찰안.xls]_463"/>
      <sheetName val="[입찰안.xls][입찰안.xls][입찰안.xls]_462"/>
      <sheetName val="[입찰안.xls][입찰안.xls][입찰안.xls]_466"/>
      <sheetName val="[입찰안.xls][입찰안.xls][입찰안.xls]_465"/>
      <sheetName val="[입찰안.xls][입찰안.xls][입찰안.xls]_473"/>
      <sheetName val="[입찰안.xls][입찰안.xls][입찰안.xls]_472"/>
      <sheetName val="[입찰안.xls][입찰안.xls][입찰안.xls]_468"/>
      <sheetName val="[입찰안.xls][입찰안.xls][입찰안.xls]_467"/>
      <sheetName val="[입찰안.xls][입찰안.xls][입찰안.xls]_471"/>
      <sheetName val="[입찰안.xls][입찰안.xls][입찰안.xls]_469"/>
      <sheetName val="[입찰안.xls][입찰안.xls][입찰안.xls]_470"/>
      <sheetName val="[입찰안.xls][입찰안.xls][입찰안.xls]_476"/>
      <sheetName val="[입찰안.xls][입찰안.xls][입찰안.xls]_474"/>
      <sheetName val="노원열병합___x0000__x0000__x0005__x0000_츀ɮ_x0000__x0000__x0000_"/>
      <sheetName val="전기내역서"/>
      <sheetName val="4_전_x0000_"/>
      <sheetName val="4_전ᄐ"/>
      <sheetName val="TH-Dien"/>
      <sheetName val="VIN_Index"/>
      <sheetName val="TTTram"/>
      <sheetName val="Names"/>
      <sheetName val="ND"/>
      <sheetName val="Xuly Data"/>
      <sheetName val="TL rieng"/>
      <sheetName val="Thuc thanh"/>
      <sheetName val="THVT"/>
      <sheetName val="Sum"/>
      <sheetName val="_입찰안.xls__입찰안.xls__입찰안.xls_B__2"/>
      <sheetName val="_입찰안.xls__입찰안.xls__입찰안.xls_B__3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자바라1"/>
      <sheetName val="(1)2002년 매출목표 산출"/>
      <sheetName val="원료비2(2000.10-09)"/>
      <sheetName val="수익성분석2"/>
      <sheetName val="외화환산(2분기)"/>
      <sheetName val="X68"/>
      <sheetName val="미지급급여"/>
      <sheetName val="경영지표"/>
      <sheetName val="제품코드"/>
      <sheetName val="부문99-2"/>
      <sheetName val="정산표"/>
      <sheetName val="전기혼잡제경비(45_x0016_"/>
      <sheetName val="3련_B裉ۿ"/>
      <sheetName val="[입찰안.xls][입찰안.xls][입찰안.xls]_475"/>
      <sheetName val="[입찰안.xls][입찰안.xls][입찰안.xls]_477"/>
      <sheetName val="[입찰안.xls][입찰안.xls][입찰안.xls]_484"/>
      <sheetName val="[입찰안.xls][입찰안.xls][입찰안.xls]_483"/>
      <sheetName val="design_c"/>
      <sheetName val="장"/>
      <sheetName val="정리계槜〩"/>
      <sheetName val="집계장(뀀ﰡ"/>
      <sheetName val="정리계"/>
      <sheetName val="집계장(Â"/>
      <sheetName val="정리계槜〽"/>
      <sheetName val="신광초조도계선사업"/>
      <sheetName val="건濐"/>
      <sheetName val="명세"/>
      <sheetName val="[입찰안_xls]직접뀀鞖/1"/>
      <sheetName val="1_R18_BF"/>
      <sheetName val="6_External_works-R18"/>
      <sheetName val="020_235_2363"/>
      <sheetName val="Bill_01_-_CTN"/>
      <sheetName val="CHITIET_VL-NC-TT1p"/>
      <sheetName val="Project_Infor"/>
      <sheetName val="Data_input"/>
      <sheetName val="_입찰안_xls_직접뀀鞖_"/>
      <sheetName val="_입찰안_xls__입찰안_xls_직접뀀鞖_"/>
      <sheetName val="[입찰안_xls][입찰안_xls]직접뀀鞖/1"/>
      <sheetName val="Phan_tho"/>
      <sheetName val="Tien_Thuong"/>
      <sheetName val="NC_XL_6T_cuoi_01_CTy"/>
      <sheetName val="Data_-6T_dau"/>
      <sheetName val="Cong_6T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집계장(Â_x0000_Ԁ_x0000_怀㲨"/>
      <sheetName val="[입찰안.xls][입찰안.xls][입찰안.xls]___8"/>
      <sheetName val="[입찰안.xls][입찰안_xls][입찰안_xls]___4"/>
      <sheetName val="[입찰안.xls][입찰안.xls][입찰안_xls]___3"/>
      <sheetName val="내역서을"/>
      <sheetName val="[입찰안.xls][입찰안.xls][입찰안.xls]_480"/>
      <sheetName val="[입찰안.xls][입찰안.xls][입찰안.xls]_481"/>
      <sheetName val="[입찰안.xls][입찰안.xls][입찰안.xls]_482"/>
      <sheetName val="[입찰안.xls][입찰안.xls][입찰안.xls]_485"/>
      <sheetName val="[입찰안.xls][입찰안.xls][입찰안.xls]_486"/>
      <sheetName val="[입찰안.xls][입찰안.xls][입찰안.xls]_488"/>
      <sheetName val="[입찰안.xls][입찰안.xls][입찰안.xls]_487"/>
      <sheetName val="[입찰안.xls][입찰안.xls][입찰안.xls]_490"/>
      <sheetName val="[입찰안.xls][입찰안.xls][입찰안.xls]_491"/>
      <sheetName val="[입찰안.xls][입찰안.xls][입찰안.xls]_489"/>
      <sheetName val="[입찰안.xls][입찰안.xls][입찰안.xls]_493"/>
      <sheetName val="[입찰안.xls][입찰안.xls][입찰안.xls]_492"/>
      <sheetName val="[입찰안.xls][입찰안.xls][입찰안.xls]_494"/>
      <sheetName val="[입찰안.xls][입찰안.xls][입찰안.xls]_497"/>
      <sheetName val="[입찰안.xls][입찰안.xls][입찰안.xls]_495"/>
      <sheetName val="[입찰안.xls][입찰안.xls][입찰안.xls]_496"/>
      <sheetName val="[입찰안.xls][입찰안.xls][입찰안.xls]_501"/>
      <sheetName val="[입찰안.xls][입찰안.xls][입찰안.xls]_498"/>
      <sheetName val="[입찰안.xls][입찰안.xls][입찰안.xls]_499"/>
      <sheetName val="[입찰안.xls][입찰안.xls][입찰안.xls]_500"/>
      <sheetName val="[입찰안.xls][입찰안.xls][입찰안.xls]_782"/>
      <sheetName val="[입찰안.xls][입찰안.xls][입찰안.xls]_783"/>
      <sheetName val="중뀀"/>
      <sheetName val="사업소득자세수추계"/>
      <sheetName val="[입찰안.xls][입찰안.xls][입찰안.xls]_779"/>
      <sheetName val="[입찰안.xls][입찰안.xls][입찰안.xls]_781"/>
      <sheetName val="[입찰안.xls][입찰안.xls][입찰안.xls]_778"/>
      <sheetName val="[입찰안.xls][입찰안.xls][입찰안.xls]_774"/>
      <sheetName val="[입찰안.xls][입찰안.xls][입찰안.xls]_775"/>
      <sheetName val="[입찰안.xls][입찰안.xls][입찰안.xls]_527"/>
      <sheetName val="[입찰안.xls][입찰안.xls][입찰안.xls]_521"/>
      <sheetName val="[입찰안.xls][입찰안.xls][입찰안.xls]_512"/>
      <sheetName val="[입찰안.xls][입찰안.xls][입찰안.xls]_502"/>
      <sheetName val="[입찰안.xls][입찰안.xls][입찰안.xls]_504"/>
      <sheetName val="[입찰안.xls][입찰안.xls][입찰안.xls]_503"/>
      <sheetName val="[입찰안.xls][입찰안.xls][입찰안.xls]_505"/>
      <sheetName val="[입찰안.xls][입찰안.xls][입찰안.xls]_508"/>
      <sheetName val="[입찰안.xls][입찰안.xls][입찰안.xls]_506"/>
      <sheetName val="[입찰안.xls][입찰안.xls][입찰안.xls]_507"/>
      <sheetName val="[입찰안.xls][입찰안.xls][입찰안.xls]_509"/>
      <sheetName val="[입찰안.xls][입찰안.xls][입찰안.xls]_511"/>
      <sheetName val="[입찰안.xls][입찰안.xls][입찰안.xls]_510"/>
      <sheetName val="[입찰안.xls][입찰안.xls][입찰안.xls]_514"/>
      <sheetName val="[입찰안.xls][입찰안.xls][입찰안.xls]_513"/>
      <sheetName val="[입찰안.xls][입찰안.xls][입찰안.xls]_515"/>
      <sheetName val="[입찰안.xls][입찰안.xls][입찰안.xls]_517"/>
      <sheetName val="[입찰안.xls][입찰안.xls][입찰안.xls]_516"/>
      <sheetName val="[입찰안.xls][입찰안.xls][입찰안.xls]_518"/>
      <sheetName val="[입찰안.xls][입찰안.xls][입찰안.xls]_520"/>
      <sheetName val="[입찰안.xls][입찰안.xls][입찰안.xls]_519"/>
      <sheetName val="[입찰안.xls][입찰안.xls][입찰안.xls]_526"/>
      <sheetName val="[입찰안.xls][입찰안.xls][입찰안.xls]_523"/>
      <sheetName val="[입찰안.xls][입찰안.xls][입찰안.xls]_522"/>
      <sheetName val="[입찰안.xls][입찰안.xls][입찰안.xls]_524"/>
      <sheetName val="[입찰안.xls][입찰안.xls][입찰안.xls]_525"/>
      <sheetName val="[입찰안.xls][입찰안.xls][입찰안.xls]_533"/>
      <sheetName val="[입찰안.xls][입찰안.xls][입찰안.xls]_529"/>
      <sheetName val="[입찰안.xls][입찰안.xls][입찰안.xls]_528"/>
      <sheetName val="[입찰안.xls][입찰안.xls][입찰안.xls]_530"/>
      <sheetName val="[입찰안.xls][입찰안.xls][입찰안.xls]_531"/>
      <sheetName val="[입찰안.xls][입찰안.xls][입찰안.xls]_562"/>
      <sheetName val="[입찰안.xls][입찰안.xls][입찰안.xls]_532"/>
      <sheetName val="[입찰안.xls][입찰안.xls][입찰안.xls]_574"/>
      <sheetName val="[입찰안.xls][입찰안.xls][입찰안.xls]_535"/>
      <sheetName val="[입찰안.xls][입찰안.xls][입찰안.xls]_534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1"/>
      <sheetName val="[입찰안.xls][입찰안.xls][입찰안.xls]_540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1"/>
      <sheetName val="[입찰안.xls][입찰안.xls][입찰안.xls]_550"/>
      <sheetName val="[입찰안.xls][입찰안.xls][입찰안.xls]_554"/>
      <sheetName val="[입찰안.xls][입찰안.xls][입찰안.xls]_552"/>
      <sheetName val="[입찰안.xls][입찰안.xls][입찰안.xls]_553"/>
      <sheetName val="[입찰안.xls][입찰안.xls][입찰안.xls]_556"/>
      <sheetName val="[입찰안.xls][입찰안.xls][입찰안.xls]_555"/>
      <sheetName val="[입찰안.xls][입찰안.xls][입찰안.xls]_559"/>
      <sheetName val="[입찰안.xls][입찰안.xls][입찰안.xls]_557"/>
      <sheetName val="[입찰안.xls][입찰안.xls][입찰안.xls]_558"/>
      <sheetName val="[입찰안.xls][입찰안.xls][입찰안.xls]_561"/>
      <sheetName val="[입찰안.xls][입찰안.xls][입찰안.xls]_560"/>
      <sheetName val="[입찰안.xls][입찰안.xls][입찰안.xls]_563"/>
      <sheetName val="[입찰안.xls][입찰안.xls][입찰안.xls]_564"/>
      <sheetName val="[입찰안.xls][입찰안.xls][입찰안.xls]_575"/>
      <sheetName val="[입찰안.xls][입찰안.xls][입찰안.xls]_566"/>
      <sheetName val="[입찰안.xls][입찰안.xls][입찰안.xls]_565"/>
      <sheetName val="[입찰안.xls][입찰안.xls][입찰안.xls]_567"/>
      <sheetName val="[입찰안.xls][입찰안.xls][입찰안.xls]_568"/>
      <sheetName val="[입찰안.xls][입찰안.xls][입찰안.xls]_569"/>
      <sheetName val="[입찰안.xls][입찰안.xls][입찰안.xls]_570"/>
      <sheetName val="[입찰안.xls][입찰안.xls][입찰안.xls]_571"/>
      <sheetName val="[입찰안.xls][입찰안.xls][입찰안.xls]_572"/>
      <sheetName val="[입찰안.xls][입찰안.xls][입찰안.xls]_573"/>
      <sheetName val="[입찰안.xls][입찰안.xls][입찰안.xls]_576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3"/>
      <sheetName val="[입찰안.xls][입찰안.xls][입찰안.xls]_584"/>
      <sheetName val="[입찰안.xls][입찰안.xls][입찰안.xls]_589"/>
      <sheetName val="[입찰안.xls][입찰안.xls][입찰안.xls]_590"/>
      <sheetName val="[입찰안.xls][입찰안.xls][입찰안.xls]_586"/>
      <sheetName val="[입찰안.xls][입찰안.xls][입찰안.xls]_587"/>
      <sheetName val="[입찰안.xls][입찰안.xls][입찰안.xls]_588"/>
      <sheetName val="[입찰안.xls][입찰안.xls][입찰안.xls]_591"/>
      <sheetName val="[입찰안.xls][입찰안.xls][입찰안.xls]_597"/>
      <sheetName val="[입찰안.xls][입찰안.xls][입찰안.xls]_596"/>
      <sheetName val="[입찰안.xls][입찰안.xls][입찰안.xls]_593"/>
      <sheetName val="[입찰안.xls][입찰안.xls][입찰안.xls]_592"/>
      <sheetName val="[입찰안.xls][입찰안.xls][입찰안.xls]_594"/>
      <sheetName val="[입찰안.xls][입찰안.xls][입찰안.xls]_595"/>
      <sheetName val="[입찰안.xls][입찰안.xls][입찰안.xls]_614"/>
      <sheetName val="[입찰안.xls][입찰안.xls][입찰안.xls]_598"/>
      <sheetName val="[입찰안.xls][입찰안.xls][입찰안.xls]_599"/>
      <sheetName val="[입찰안.xls][입찰안.xls][입찰안.xls]_600"/>
      <sheetName val="[입찰안.xls][입찰안.xls][입찰안.xls]_628"/>
      <sheetName val="[입찰안.xls][입찰안.xls][입찰안.xls]_601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47"/>
      <sheetName val="[입찰안.xls][입찰안.xls][입찰안.xls]_752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1"/>
      <sheetName val="[입찰안.xls][입찰안.xls][입찰안.xls]_763"/>
      <sheetName val="[입찰안.xls][입찰안.xls][입찰안.xls]_754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67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9"/>
      <sheetName val="[입찰안.xls][입찰안.xls][입찰안.xls]_768"/>
      <sheetName val="[입찰안.xls][입찰안.xls][입찰안.xls]_772"/>
      <sheetName val="[입찰안.xls][입찰안.xls][입찰안.xls]_770"/>
      <sheetName val="[입찰안.xls][입찰안.xls][입찰안.xls]_771"/>
      <sheetName val="[입찰안.xls][입찰안.xls][입찰안.xls]_773"/>
      <sheetName val="[입찰안.xls][입찰안.xls][입찰안.xls]_776"/>
      <sheetName val="[입찰안.xls][입찰안.xls][입찰안.xls]_777"/>
      <sheetName val="[입찰안.xls][입찰안.xls][입찰안.xls]_780"/>
      <sheetName val="간 지1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PA_xdbe6_"/>
      <sheetName val="7._x0000__x0000__x0000_"/>
      <sheetName val="배수개거재"/>
      <sheetName val="공비대비"/>
      <sheetName val="[입찰안.xls][입찰안.xls][입찰안.xls]_784"/>
      <sheetName val="[입찰안.xls][입찰안.xls][입찰안.xls]_788"/>
      <sheetName val="[입찰안.xls][입찰안.xls][입찰안.xls]_790"/>
      <sheetName val="[입찰안.xls][입찰안.xls][입찰안.xls]_789"/>
      <sheetName val="[입찰안.xls][입찰안.xls][입찰안.xls]_785"/>
      <sheetName val="[입찰안.xls][입찰안.xls][입찰안.xls]_786"/>
      <sheetName val="[입찰안.xls][입찰안.xls][입찰안.xls]_787"/>
      <sheetName val="[입찰안.xls][입찰안.xls][입찰안.xls]_998"/>
      <sheetName val="[입찰안.xls][입찰안.xls][입찰안.xls]_994"/>
      <sheetName val="[입찰안.xls][입찰안.xls][입찰안.xls]_986"/>
      <sheetName val="[입찰안.xls][입찰안.xls][입찰안.xls]_987"/>
      <sheetName val="[입찰안.xls][입찰안.xls][입찰안.xls]_988"/>
      <sheetName val="직접ఀ핧蠀兿"/>
      <sheetName val="[입찰안.xls][입찰안.xls][입찰안.xls]_793"/>
      <sheetName val="[입찰안.xls][입찰안.xls][입찰안.xls]_792"/>
      <sheetName val="[입찰안.xls][입찰안.xls][입찰안.xls]_791"/>
      <sheetName val="[입찰안.xls][입찰안.xls][입찰안.xls]_803"/>
      <sheetName val="[입찰안.xls][입찰안.xls][입찰안.xls]_794"/>
      <sheetName val="[입찰안.xls][입찰안.xls][입찰안.xls]_795"/>
      <sheetName val="[입찰안.xls][입찰안.xls][입찰안.xls]_796"/>
      <sheetName val="[입찰안.xls][입찰안.xls][입찰안.xls]_798"/>
      <sheetName val="[입찰안.xls][입찰안.xls][입찰안.xls]_797"/>
      <sheetName val="[입찰안.xls][입찰안.xls][입찰안.xls]_799"/>
      <sheetName val="[입찰안.xls][입찰안.xls][입찰안.xls]_801"/>
      <sheetName val="[입찰안.xls][입찰안.xls][입찰안.xls]_800"/>
      <sheetName val="[입찰안.xls][입찰안.xls][입찰안.xls]_802"/>
      <sheetName val="[입찰안.xls][입찰안.xls][입찰안.xls]_815"/>
      <sheetName val="[입찰안.xls][입찰안.xls][입찰안.xls]_807"/>
      <sheetName val="[입찰안.xls][입찰안.xls][입찰안.xls]_804"/>
      <sheetName val="[입찰안.xls][입찰안.xls][입찰안.xls]_805"/>
      <sheetName val="[입찰안.xls][입찰안.xls][입찰안.xls]_806"/>
      <sheetName val="[입찰안.xls][입찰안.xls][입찰안.xls]_808"/>
      <sheetName val="[입찰안.xls][입찰안.xls][입찰안.xls]_809"/>
      <sheetName val="[입찰안.xls][입찰안.xls][입찰안.xls]_810"/>
      <sheetName val="[입찰안.xls][입찰안.xls][입찰안.xls]_811"/>
      <sheetName val="[입찰안.xls][입찰안.xls][입찰안.xls]_813"/>
      <sheetName val="[입찰안.xls][입찰안.xls][입찰안.xls]_812"/>
      <sheetName val="[입찰안.xls][입찰안.xls][입찰안.xls]_814"/>
      <sheetName val="[입찰안.xls][입찰안.xls][입찰안.xls]_816"/>
      <sheetName val="[입찰안.xls][입찰안.xls][입찰안.xls]_827"/>
      <sheetName val="[입찰안.xls][입찰안.xls][입찰안.xls]_817"/>
      <sheetName val="[입찰안.xls][입찰안.xls][입찰안.xls]_818"/>
      <sheetName val="[입찰안.xls][입찰안.xls][입찰안.xls]_820"/>
      <sheetName val="[입찰안.xls][입찰안.xls][입찰안.xls]_819"/>
      <sheetName val="[입찰안.xls][입찰안.xls][입찰안.xls]_821"/>
      <sheetName val="[입찰안.xls][입찰안.xls][입찰안.xls]_822"/>
      <sheetName val="[입찰안.xls][입찰안.xls][입찰안.xls]_823"/>
      <sheetName val="[입찰안.xls][입찰안.xls][입찰안.xls]_824"/>
      <sheetName val="[입찰안.xls][입찰안.xls][입찰안.xls]_825"/>
      <sheetName val="[입찰안.xls][입찰안.xls][입찰안.xls]_826"/>
      <sheetName val="[입찰안.xls][입찰안.xls][입찰안.xls]_838"/>
      <sheetName val="[입찰안.xls][입찰안.xls][입찰안.xls]_828"/>
      <sheetName val="[입찰안.xls][입찰안.xls][입찰안.xls]_829"/>
      <sheetName val="[입찰안.xls][입찰안.xls][입찰안.xls]_830"/>
      <sheetName val="[입찰안.xls][입찰안.xls][입찰안.xls]_831"/>
      <sheetName val="[입찰안.xls][입찰안.xls][입찰안.xls]_832"/>
      <sheetName val="[입찰안.xls][입찰안.xls][입찰안.xls]_834"/>
      <sheetName val="[입찰안.xls][입찰안.xls][입찰안.xls]_833"/>
      <sheetName val="[입찰안.xls][입찰안.xls][입찰안.xls]_835"/>
      <sheetName val="[입찰안.xls][입찰안.xls][입찰안.xls]_836"/>
      <sheetName val="[입찰안.xls][입찰안.xls][입찰안.xls]_837"/>
      <sheetName val="[입찰안.xls][입찰안.xls][입찰안.xls]_844"/>
      <sheetName val="[입찰안.xls][입찰안.xls][입찰안.xls]_846"/>
      <sheetName val="[입찰안.xls][입찰안.xls][입찰안.xls]_839"/>
      <sheetName val="[입찰안.xls][입찰안.xls][입찰안.xls]_840"/>
      <sheetName val="[입찰안.xls][입찰안.xls][입찰안.xls]_843"/>
      <sheetName val="[입찰안.xls][입찰안.xls][입찰안.xls]_841"/>
      <sheetName val="[입찰안.xls][입찰안.xls][입찰안.xls]_842"/>
      <sheetName val="[입찰안.xls][입찰안.xls][입찰안.xls]_845"/>
      <sheetName val="[입찰안.xls][입찰안.xls][입찰안.xls]_860"/>
      <sheetName val="[입찰안.xls][입찰안.xls][입찰안.xls]_847"/>
      <sheetName val="[입찰안.xls][입찰안.xls][입찰안.xls]_848"/>
      <sheetName val="[입찰안.xls][입찰안.xls][입찰안.xls]_850"/>
      <sheetName val="[입찰안.xls][입찰안.xls][입찰안.xls]_849"/>
      <sheetName val="[입찰안.xls][입찰안.xls][입찰안.xls]_851"/>
      <sheetName val="[입찰안.xls][입찰안.xls][입찰안.xls]_852"/>
      <sheetName val="[입찰안.xls][입찰안.xls][입찰안.xls]_854"/>
      <sheetName val="[입찰안.xls][입찰안.xls][입찰안.xls]_853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59"/>
      <sheetName val="[입찰안.xls][입찰안.xls][입찰안.xls]_858"/>
      <sheetName val="[입찰안.xls][입찰안.xls][입찰안.xls]_861"/>
      <sheetName val="[입찰안.xls][입찰안.xls][입찰안.xls]_886"/>
      <sheetName val="[입찰안.xls][입찰안.xls][입찰안.xls]_862"/>
      <sheetName val="[입찰안.xls][입찰안.xls][입찰안.xls]_863"/>
      <sheetName val="[입찰안.xls][입찰안.xls][입찰안.xls]_864"/>
      <sheetName val="[입찰안.xls][입찰안.xls][입찰안.xls]_865"/>
      <sheetName val="[입찰안.xls][입찰안.xls][입찰안.xls]_866"/>
      <sheetName val="[입찰안.xls][입찰안.xls][입찰안.xls]_867"/>
      <sheetName val="[입찰안.xls][입찰안.xls][입찰안.xls]_868"/>
      <sheetName val="[입찰안.xls][입찰안.xls][입찰안.xls]_869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0"/>
      <sheetName val="[입찰안.xls][입찰안.xls][입찰안.xls]_979"/>
      <sheetName val="[입찰안.xls][입찰안.xls][입찰안.xls]_981"/>
      <sheetName val="[입찰안.xls][입찰안.xls][입찰안.xls]_982"/>
      <sheetName val="[입찰안.xls][입찰안.xls][입찰안.xls]_985"/>
      <sheetName val="[입찰안.xls][입찰안.xls][입찰안.xls]_983"/>
      <sheetName val="[입찰안.xls][입찰안.xls][입찰안.xls]_984"/>
      <sheetName val="[입찰안.xls][입찰안.xls][입찰안.xls]_989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3"/>
      <sheetName val="[입찰안.xls][입찰안.xls][입찰안.xls]_996"/>
      <sheetName val="[입찰안.xls][입찰안.xls][입찰안.xls]_995"/>
      <sheetName val="[입찰안.xls][입찰안.xls][입찰안.xls]_997"/>
      <sheetName val="[입찰안.xls][입찰안.xls]_____xls_1000"/>
      <sheetName val="[입찰안.xls][입찰안.xls][입찰안.xls]_999"/>
      <sheetName val="[입찰안.xls][입찰안.xls]_____xls_1004"/>
      <sheetName val="[입찰안.xls][입찰안.xls]_____xls_1002"/>
      <sheetName val="[입찰안.xls][입찰안.xls]_____xls_1001"/>
      <sheetName val="[입찰안.xls][입찰안.xls]_____xls_1003"/>
      <sheetName val="[입찰안.xls][입찰안.xls]_____xls_1006"/>
      <sheetName val="[입찰안.xls][입찰안.xls]_____xls_1005"/>
      <sheetName val="[입찰안.xls][입찰안.xls]_____xls_1007"/>
      <sheetName val="[입찰안.xls][입찰안.xls]_____xls_1024"/>
      <sheetName val="[입찰안.xls][입찰안.xls]_____xls_1030"/>
      <sheetName val="[입찰안.xls][입찰안.xls]_____xls_1012"/>
      <sheetName val="[입찰안.xls][입찰안.xls]_____xls_1008"/>
      <sheetName val="[입찰안.xls][입찰안.xls]_____xls_1016"/>
      <sheetName val="_HIT__HMC_견"/>
      <sheetName val="[입찰안.xls][입찰안.xls]_____xls_1009"/>
      <sheetName val="[입찰안.xls][입찰안.xls]_____xls_1010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9"/>
      <sheetName val="[입찰안.xls][입찰안.xls]_____xls_1015"/>
      <sheetName val="[입찰안.xls][입찰안.xls]_____xls_1018"/>
      <sheetName val="[입찰안.xls][입찰안.xls]_____xls_1020"/>
      <sheetName val="[입찰안.xls][입찰안.xls]_____xls_1021"/>
      <sheetName val="[입찰안.xls][입찰안.xls]_____xls_1022"/>
      <sheetName val="[입찰안.xls][입찰안.xls]_____xls_1023"/>
      <sheetName val="[입찰안.xls][입찰안.xls]_____xls_1025"/>
      <sheetName val="[입찰안.xls][입찰안.xls]_____xls_1026"/>
      <sheetName val="[입찰안.xls][입찰안.xls]_____xls_1027"/>
      <sheetName val="[입찰안.xls][입찰안.xls]_____xls_1028"/>
      <sheetName val="[입찰안.xls][입찰안.xls]_____xls_1029"/>
      <sheetName val="M-EQPT-Z"/>
      <sheetName val="세부내역(직접인건비)"/>
      <sheetName val="세부내역(직접경비)"/>
      <sheetName val="[입찰안.xls][입찰안.xls]_____xls_1031"/>
      <sheetName val="[입찰안.xls][입찰안.xls]_____xls_1032"/>
      <sheetName val="[입찰안.xls][입찰안.xls]_____xls_1232"/>
      <sheetName val="[입찰안.xls][입찰안.xls]_____xls_1236"/>
      <sheetName val="[입찰안.xls][입찰안.xls]_____xls_1233"/>
      <sheetName val="이름표"/>
      <sheetName val="물건조서"/>
      <sheetName val="콤보박스와 리스트박스의 연결"/>
      <sheetName val="ITEM_W"/>
      <sheetName val="Thoat nuoc"/>
      <sheetName val="DU_LIEU"/>
      <sheetName val="CPK"/>
      <sheetName val="매부"/>
      <sheetName val="1. Dashboard"/>
      <sheetName val="BAG-2"/>
      <sheetName val="SAP"/>
      <sheetName val="PHU LUC 01"/>
      <sheetName val="Đầu vào"/>
      <sheetName val="기본DATA"/>
      <sheetName val="Bill 02 INF"/>
      <sheetName val="1_설계_x0000_건3"/>
      <sheetName val="CM_x0000__x0000__x0000_"/>
      <sheetName val="단가_및_재_x0000_비3"/>
      <sheetName val="[입찰안.xls]___2"/>
      <sheetName val="[입찰안.xls]___3"/>
      <sheetName val="[입찰안.xls]B__2"/>
      <sheetName val="[입찰안.xls]B__3"/>
      <sheetName val="1_설계"/>
      <sheetName val="단가_및_재"/>
      <sheetName val="II손익관리"/>
      <sheetName val="수문일위1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(1)본선수량집ው"/>
      <sheetName val="이폴리머공장"/>
      <sheetName val="4_전痠"/>
      <sheetName val="4_전矰"/>
      <sheetName val="[입찰안.xls][입찰안.xls]_____xls_1227"/>
      <sheetName val="[입찰안.xls][입찰안.xls]_____xls_1229"/>
      <sheetName val="[입찰안.xls][입찰안.xls]_____xls_1228"/>
      <sheetName val="[입찰안.xls][입찰안.xls]_____xls_1221"/>
      <sheetName val="[입찰안.xls][입찰안.xls]_____xls_1054"/>
      <sheetName val="[입찰안.xls][입찰안.xls]_____xls_1056"/>
      <sheetName val="[입찰안.xls][입찰안.xls]_____xls_1055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8"/>
      <sheetName val="[입찰안.xls][입찰안.xls]_____xls_1060"/>
      <sheetName val="[입찰안.xls][입찰안.xls]_____xls_1059"/>
      <sheetName val="[입찰안.xls][입찰안.xls]_____xls_1057"/>
      <sheetName val="[입찰안.xls][입찰안.xls]_____xls_1061"/>
      <sheetName val="[입찰안.xls][입찰안.xls]_____xls_1216"/>
      <sheetName val="[입찰안.xls][입찰안.xls]_____xls_1218"/>
      <sheetName val="[입찰안.xls][입찰안.xls]_____xls_1217"/>
      <sheetName val="[입찰안.xls][입찰안.xls]_____xls_1063"/>
      <sheetName val="[입찰안.xls][입찰안.xls]_____xls_1062"/>
      <sheetName val="[입찰안.xls][입찰안.xls]_____xls_1066"/>
      <sheetName val="[입찰안.xls][입찰안.xls]_____xls_1064"/>
      <sheetName val="[입찰안.xls][입찰안.xls]_____xls_1065"/>
      <sheetName val="[입찰안.xls][입찰안.xls]_____xls_1068"/>
      <sheetName val="[입찰안.xls][입찰안.xls]_____xls_1094"/>
      <sheetName val="[입찰안.xls][입찰안.xls]_____xls_1067"/>
      <sheetName val="[입찰안.xls][입찰안.xls]_____xls_1069"/>
      <sheetName val="[입찰안.xls][입찰안.xls]_____xls_1072"/>
      <sheetName val="[입찰안.xls][입찰안.xls]_____xls_1071"/>
      <sheetName val="[입찰안.xls][입찰안.xls]_____xls_1070"/>
      <sheetName val="[입찰안.xls][입찰안.xls]_____xls_1074"/>
      <sheetName val="[입찰안.xls][입찰안.xls]_____xls_1073"/>
      <sheetName val="[입찰안.xls][입찰안.xls]_____xls_1075"/>
      <sheetName val="[입찰안.xls][입찰안.xls]_____xls_1076"/>
      <sheetName val="[입찰안.xls][입찰안.xls]_____xls_1079"/>
      <sheetName val="[입찰안.xls][입찰안.xls]_____xls_1078"/>
      <sheetName val="[입찰안.xls][입찰안.xls]_____xls_1077"/>
      <sheetName val="[입찰안.xls][입찰안.xls]_____xls_1080"/>
      <sheetName val="[입찰안.xls][입찰안.xls]_____xls_1081"/>
      <sheetName val="[입찰안.xls][입찰안.xls]_____xls_1083"/>
      <sheetName val="[입찰안.xls][입찰안.xls]_____xls_1082"/>
      <sheetName val="[입찰안.xls][입찰안.xls]_____xls_1086"/>
      <sheetName val="[입찰안.xls][입찰안.xls]_____xls_1084"/>
      <sheetName val="[입찰안.xls][입찰안.xls]_____xls_1085"/>
      <sheetName val="[입찰안.xls][입찰안.xls]_____xls_1088"/>
      <sheetName val="[입찰안.xls][입찰안.xls]_____xls_1089"/>
      <sheetName val="[입찰안.xls][입찰안.xls]_____xls_1087"/>
      <sheetName val="[입찰안.xls][입찰안.xls]_____xls_1095"/>
      <sheetName val="[입찰안.xls][입찰안.xls]_____xls_1090"/>
      <sheetName val="[입찰안.xls][입찰안.xls]_____xls_1091"/>
      <sheetName val="[입찰안.xls][입찰안.xls]_____xls_1092"/>
      <sheetName val="[입찰안.xls][입찰안.xls]_____xls_1093"/>
      <sheetName val="[입찰안.xls][입찰안.xls]_____xls_1115"/>
      <sheetName val="[입찰안.xls][입찰안.xls]_____xls_1096"/>
      <sheetName val="[입찰안.xls][입찰안.xls]_____xls_1097"/>
      <sheetName val="[입찰안.xls][입찰안.xls]_____xls_1098"/>
      <sheetName val="[입찰안.xls][입찰안.xls]_____xls_1099"/>
      <sheetName val="[입찰안.xls][입찰안.xls]_____xls_1100"/>
      <sheetName val="[입찰안.xls][입찰안.xls]_____xls_1101"/>
      <sheetName val="[입찰안.xls][입찰안.xls]_____xls_1102"/>
      <sheetName val="[입찰안.xls][입찰안.xls]_____xls_1103"/>
      <sheetName val="[입찰안.xls][입찰안.xls]_____xls_1104"/>
      <sheetName val="[입찰안.xls][입찰안.xls]_____xls_1105"/>
      <sheetName val="[입찰안.xls][입찰안.xls]_____xls_1106"/>
      <sheetName val="[입찰안.xls][입찰안.xls]_____xls_1107"/>
      <sheetName val="[입찰안.xls][입찰안.xls]_____xls_1112"/>
      <sheetName val="[입찰안.xls][입찰안.xls]_____xls_1108"/>
      <sheetName val="[입찰안.xls][입찰안.xls]_____xls_1110"/>
      <sheetName val="[입찰안.xls][입찰안.xls]_____xls_1109"/>
      <sheetName val="[입찰안.xls][입찰안.xls]_____xls_1111"/>
      <sheetName val="[입찰안.xls][입찰안.xls]_____xls_1113"/>
      <sheetName val="[입찰안.xls][입찰안.xls]_____xls_1114"/>
      <sheetName val="[입찰안.xls][입찰안.xls]_____xls_1147"/>
      <sheetName val="[입찰안.xls][입찰안.xls]_____xls_1135"/>
      <sheetName val="[입찰안.xls][입찰안.xls]_____xls_1130"/>
      <sheetName val="[입찰안.xls][입찰안.xls]_____xls_1118"/>
      <sheetName val="[입찰안.xls][입찰안.xls]_____xls_1116"/>
      <sheetName val="[입찰안.xls][입찰안.xls]_____xls_1117"/>
      <sheetName val="[입찰안.xls][입찰안.xls]_____xls_1119"/>
      <sheetName val="[입찰안.xls][입찰안.xls]_____xls_1120"/>
      <sheetName val="[입찰안.xls][입찰안.xls]_____xls_1121"/>
      <sheetName val="[입찰안.xls][입찰안.xls]_____xls_1122"/>
      <sheetName val="[입찰안.xls][입찰안.xls]_____xls_1123"/>
      <sheetName val="[입찰안.xls][입찰안.xls]_____xls_1124"/>
      <sheetName val="[입찰안.xls][입찰안.xls]_____xls_1125"/>
      <sheetName val="[입찰안.xls][입찰안.xls]_____xls_1126"/>
      <sheetName val="[입찰안.xls][입찰안.xls]_____xls_1127"/>
      <sheetName val="[입찰안.xls][입찰안.xls]_____xls_1128"/>
      <sheetName val="[입찰안.xls][입찰안.xls]_____xls_1129"/>
      <sheetName val="[입찰안.xls][입찰안.xls]_____xls_1131"/>
      <sheetName val="[입찰안.xls][입찰안.xls]_____xls_1132"/>
      <sheetName val="[입찰안.xls][입찰안.xls]_____xls_1134"/>
      <sheetName val="[입찰안.xls][입찰안.xls]_____xls_1133"/>
      <sheetName val="[입찰안.xls][입찰안.xls]_____xls_1146"/>
      <sheetName val="[입찰안.xls][입찰안.xls]_____xls_1140"/>
      <sheetName val="[입찰안.xls][입찰안.xls]_____xls_1136"/>
      <sheetName val="[입찰안.xls][입찰안.xls]_____xls_1137"/>
      <sheetName val="[입찰안.xls][입찰안.xls]_____xls_1138"/>
      <sheetName val="[입찰안.xls][입찰안.xls]_____xls_1139"/>
      <sheetName val="[입찰안.xls][입찰안.xls]_____xls_1141"/>
      <sheetName val="[입찰안.xls][입찰안.xls]_____xls_1142"/>
      <sheetName val="[입찰안.xls][입찰안.xls]_____xls_1143"/>
      <sheetName val="[입찰안.xls][입찰안.xls]_____xls_1144"/>
      <sheetName val="[입찰안.xls][입찰안.xls]_____xls_1145"/>
      <sheetName val="[입찰안.xls][입찰안.xls]_____xls_1166"/>
      <sheetName val="[입찰안.xls][입찰안.xls]_____xls_1149"/>
      <sheetName val="[입찰안.xls][입찰안.xls]_____xls_1148"/>
      <sheetName val="[입찰안.xls][입찰안.xls]_____xls_1154"/>
      <sheetName val="[입찰안.xls][입찰안.xls]_____xls_1150"/>
      <sheetName val="[입찰안.xls][입찰안.xls]_____xls_1152"/>
      <sheetName val="[입찰안.xls][입찰안.xls]_____xls_1151"/>
      <sheetName val="[입찰안.xls][입찰안.xls]_____xls_1153"/>
      <sheetName val="[입찰안.xls][입찰안.xls]_____xls_1155"/>
      <sheetName val="[입찰안.xls][입찰안.xls]_____xls_1156"/>
      <sheetName val="[입찰안.xls][입찰안.xls]_____xls_1157"/>
      <sheetName val="[입찰안.xls][입찰안.xls]_____xls_1158"/>
      <sheetName val="[입찰안.xls][입찰안.xls]_____xls_1159"/>
      <sheetName val="[입찰안.xls][입찰안.xls]_____xls_1162"/>
      <sheetName val="[입찰안.xls][입찰안.xls]_____xls_1160"/>
      <sheetName val="[입찰안.xls][입찰안.xls]_____xls_1161"/>
      <sheetName val="[입찰안.xls][입찰안.xls]_____xls_1165"/>
      <sheetName val="[입찰안.xls][입찰안.xls]_____xls_1163"/>
      <sheetName val="[입찰안.xls][입찰안.xls]_____xls_1164"/>
      <sheetName val="[입찰안.xls][입찰안.xls]_____xls_1184"/>
      <sheetName val="[입찰안.xls][입찰안.xls]_____xls_1168"/>
      <sheetName val="[입찰안.xls][입찰안.xls]_____xls_1167"/>
      <sheetName val="[입찰안.xls][입찰안.xls]_____xls_1169"/>
      <sheetName val="[입찰안.xls][입찰안.xls]_____xls_1170"/>
      <sheetName val="[입찰안.xls][입찰안.xls]_____xls_1171"/>
      <sheetName val="[입찰안.xls][입찰안.xls]_____xls_1176"/>
      <sheetName val="[입찰안.xls][입찰안.xls]_____xls_1172"/>
      <sheetName val="[입찰안.xls][입찰안.xls]_____xls_1173"/>
      <sheetName val="[입찰안.xls][입찰안.xls]_____xls_1174"/>
      <sheetName val="[입찰안.xls][입찰안.xls]_____xls_1175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3"/>
      <sheetName val="[입찰안.xls][입찰안.xls]_____xls_1222"/>
      <sheetName val="[입찰안.xls][입찰안.xls]_____xls_1224"/>
      <sheetName val="[입찰안.xls][입찰안.xls]_____xls_1226"/>
      <sheetName val="[입찰안.xls][입찰안.xls]_____xls_1225"/>
      <sheetName val="양배수장"/>
      <sheetName val="MAIN GATE HOUSE"/>
      <sheetName val="5F 계약단가"/>
      <sheetName val="chiet tinh"/>
      <sheetName val="CT Thang Mo"/>
      <sheetName val="Main_Mech"/>
      <sheetName val="Sub_Mech"/>
      <sheetName val="KLDT DIEN"/>
      <sheetName val="Duc_bk"/>
      <sheetName val="8-31-98"/>
      <sheetName val="worksheet inchican"/>
      <sheetName val="combined 9-30"/>
      <sheetName val="적용토목"/>
      <sheetName val="[입찰안.xls][입찰안.xls]_____xls_1230"/>
      <sheetName val="[입찰안.xls][입찰안.xls]_____xls_1231"/>
      <sheetName val="[입찰안.xls][입찰안.xls]_____xls_1234"/>
      <sheetName val="[입찰안.xls][입찰안.xls]_____xls_1235"/>
      <sheetName val="[입찰안.xls][입찰안.xls]_____xls_1237"/>
      <sheetName val="[입찰안.xls][입찰안.xls]_____xls_1238"/>
      <sheetName val="[입찰안.xls][입찰안.xls]_____xls_1249"/>
      <sheetName val="[입찰안.xls][입찰안.xls]_____xls_1244"/>
      <sheetName val="[입찰안.xls][입찰안.xls]_____xls_1239"/>
      <sheetName val="[입찰안.xls][입찰안.xls]_____xls_1240"/>
      <sheetName val="[입찰안.xls][입찰안.xls]_____xls_1241"/>
      <sheetName val="[입찰안.xls][입찰안.xls]_____xls_1272"/>
      <sheetName val="[입찰안.xls][입찰안.xls]_____xls_1242"/>
      <sheetName val="[입찰안.xls][입찰안.xls]_____xls_1243"/>
      <sheetName val="[입찰안.xls][입찰안.xls]_____xls_1275"/>
      <sheetName val="[입찰안.xls][입찰안.xls]_____xls_1245"/>
      <sheetName val="[입찰안.xls][입찰안.xls]_____xls_1248"/>
      <sheetName val="[입찰안.xls][입찰안.xls]_____xls_1246"/>
      <sheetName val="[입찰안.xls][입찰안.xls]_____xls_1247"/>
      <sheetName val="[입찰안.xls][입찰안.xls]_____xls_1250"/>
      <sheetName val="[입찰안.xls][입찰안.xls]_____xls_1254"/>
      <sheetName val="[입찰안.xls][입찰안.xls]_____xls_1260"/>
      <sheetName val="[입찰안.xls][입찰안.xls]_____xls_1261"/>
      <sheetName val="[입찰안.xls][입찰안.xls]_____xls_1253"/>
      <sheetName val="[입찰안.xls][입찰안.xls]_____xls_1252"/>
      <sheetName val="[입찰안.xls][입찰안.xls]_____xls_1251"/>
      <sheetName val="[입찰안.xls][입찰안.xls]_____xls_1255"/>
      <sheetName val="[입찰안.xls][입찰안.xls]_____xls_1256"/>
      <sheetName val="[입찰안.xls][입찰안.xls]_____xls_1257"/>
      <sheetName val="[입찰안.xls][입찰안.xls]_____xls_1258"/>
      <sheetName val="[입찰안.xls][입찰안.xls]_____xls_1259"/>
      <sheetName val="[입찰안.xls][입찰안.xls]_____xls_1262"/>
      <sheetName val="[입찰안.xls][입찰안.xls]_____xls_1264"/>
      <sheetName val="[입찰안.xls][입찰안.xls]_____xls_1263"/>
      <sheetName val="[입찰안.xls][입찰안.xls]_____xls_1267"/>
      <sheetName val="[입찰안.xls][입찰안.xls]_____xls_1265"/>
      <sheetName val="[입찰안.xls][입찰안.xls]_____xls_1266"/>
      <sheetName val="[입찰안.xls][입찰안.xls]_____xls_1269"/>
      <sheetName val="[입찰안.xls][입찰안.xls]_____xls_1268"/>
      <sheetName val="[입찰안.xls][입찰안.xls]_____xls_1271"/>
      <sheetName val="[입찰안.xls][입찰안.xls]_____xls_1270"/>
      <sheetName val="[입찰안.xls][입찰안.xls]_____xls_1273"/>
      <sheetName val="[입찰안.xls][입찰안.xls]_____xls_1288"/>
      <sheetName val="[입찰안.xls][입찰안.xls]_____xls_1274"/>
      <sheetName val="[입찰안.xls][입찰안.xls]_____xls_1276"/>
      <sheetName val="[입찰안.xls][입찰안.xls]_____xls_1277"/>
      <sheetName val="[입찰안.xls][입찰안.xls]_____xls_1278"/>
      <sheetName val="[입찰안.xls][입찰안.xls]_____xls_1279"/>
      <sheetName val="[입찰안.xls][입찰안.xls]_____xls_1290"/>
      <sheetName val="[입찰안.xls][입찰안.xls]_____xls_1280"/>
      <sheetName val="[입찰안.xls][입찰안.xls]_____xls_1281"/>
      <sheetName val="[입찰안.xls][입찰안.xls]_____xls_1282"/>
      <sheetName val="[입찰안.xls][입찰안.xls]_____xls_1283"/>
      <sheetName val="[입찰안.xls][입찰안.xls]_____xls_1284"/>
      <sheetName val="[입찰안.xls][입찰안.xls]_____xls_1285"/>
      <sheetName val="[입찰안.xls][입찰안.xls]_____xls_1286"/>
      <sheetName val="[입찰안.xls][입찰안.xls]_____xls_1287"/>
      <sheetName val="[입찰안.xls][입찰안.xls]_____xls_1293"/>
      <sheetName val="[입찰안.xls][입찰안.xls]_____xls_1291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[입찰안.xls][입찰안.xls]_____xls_1289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조건표 (2)"/>
      <sheetName val="[입찰안.xls][입찰안.xls]_____xls_1292"/>
      <sheetName val="[입찰안.xls][입찰안.xls]_____xls_1294"/>
      <sheetName val="[입찰안.xls][입찰안.xls]_____xls_1295"/>
      <sheetName val="[입찰안.xls][입찰안.xls]_____xls_1296"/>
      <sheetName val="[입찰안.xls][입찰안.xls]_____xls_1297"/>
      <sheetName val="[입찰안.xls][입찰안.xls]_____xls_1300"/>
      <sheetName val="[입찰안.xls][입찰안.xls]_____xls_1298"/>
      <sheetName val="[입찰안.xls][입찰안.xls]_____xls_1299"/>
      <sheetName val="[입찰안.xls][입찰안.xls]_____xls_1305"/>
      <sheetName val="[입찰안.xls][입찰안.xls]_____xls_1302"/>
      <sheetName val="[입찰안.xls][입찰안.xls]_____xls_1301"/>
      <sheetName val="[입찰안.xls][입찰안.xls]_____xls_1304"/>
      <sheetName val="Cash"/>
      <sheetName val="기초데이타"/>
      <sheetName val="[입찰안.xls][입찰안.xls]_____xls_1303"/>
      <sheetName val="[입찰안.xls][입찰안.xls]_____xls_1315"/>
      <sheetName val="[입찰안.xls][입찰안.xls]_____xls_1306"/>
      <sheetName val="[입찰안.xls][입찰안.xls]_____xls_1307"/>
      <sheetName val="[입찰안.xls][입찰안.xls]_____xls_1308"/>
      <sheetName val="[입찰안.xls][입찰안.xls]_____xls_1309"/>
      <sheetName val="[입찰안.xls][입찰안.xls]_____xls_1310"/>
      <sheetName val="[입찰안.xls][입찰안.xls]_____xls_1311"/>
      <sheetName val="[입찰안.xls][입찰안.xls]_____xls_1312"/>
      <sheetName val="[입찰안.xls][입찰안.xls]_____xls_1313"/>
      <sheetName val="[입찰안.xls][입찰안.xls]_____xls_1314"/>
      <sheetName val="[입찰안.xls][입찰안.xls]_____xls_1316"/>
      <sheetName val="[입찰안.xls][입찰안.xls]_____xls_1319"/>
      <sheetName val="[입찰안.xls][입찰안.xls]_____xls_1317"/>
      <sheetName val="[입찰안.xls][입찰안.xls]_____xls_1318"/>
      <sheetName val="[입찰안.xls][입찰안.xls]_____xls_1320"/>
      <sheetName val="[입찰안.xls][입찰안.xls]_____xls_1322"/>
      <sheetName val="[입찰안.xls][입찰안.xls]_____xls_1321"/>
      <sheetName val="[입찰안.xls][입찰안.xls]_____xls_1323"/>
      <sheetName val="B:\입찰안_xls"/>
      <sheetName val="[입찰안_xls][입찰안_xls]B:\입찰안_xls"/>
      <sheetName val="[입찰안_xls]B:\입찰안_xls"/>
      <sheetName val="plan&amp;section_of勉Ԁ"/>
      <sheetName val="노_표-조"/>
      <sheetName val="[입찰안_xls][입찰안_xls][입찰안_xls]_201"/>
      <sheetName val="[입찰안_xls][입찰안_xls][입찰안_xls]_199"/>
      <sheetName val="[입찰안_xls][입찰안_xls][입찰안_xls]_200"/>
      <sheetName val="General_Data"/>
      <sheetName val="Requirement(Work_Crew)"/>
      <sheetName val="[입찰안_xls][입찰안_xls][입찰안_xls]_140"/>
      <sheetName val="[입찰안_xls][입찰안_xls][입찰안_xls]_117"/>
      <sheetName val="[입찰안_xls][입찰안_xls][입찰안_xls]_112"/>
      <sheetName val="[입찰안_xls][입찰안_xls][입찰안_xls]_104"/>
      <sheetName val="[입찰안_xls][입찰안_xls][입찰안_xls]_109"/>
      <sheetName val="[입찰안_xls][입찰안_xls][입찰안_xls]_106"/>
      <sheetName val="[입찰안_xls][입찰안_xls][입찰안_xls]_107"/>
      <sheetName val="[입찰안_xls][입찰안_xls][입찰안_xls]_105"/>
      <sheetName val="[입찰안_xls][입찰안_xls][입찰안_xls]_108"/>
      <sheetName val="[입찰안_xls][입찰안_xls][입찰안_xls]_110"/>
      <sheetName val="[입찰안_xls][입찰안_xls][입찰안_xls]_111"/>
      <sheetName val="[입찰안_xls][입찰안_xls][입찰안_xls]_113"/>
      <sheetName val="[입찰안_xls][입찰안_xls][입찰안_xls]_114"/>
      <sheetName val="[입찰안_xls][입찰안_xls][입찰안_xls]_116"/>
      <sheetName val="[입찰안_xls][입찰안_xls][입찰안_xls]_115"/>
      <sheetName val="[입찰안_xls][입찰안_xls][입찰안_xls]_118"/>
      <sheetName val="[입찰안_xls][입찰안_xls][입찰안_xls]_119"/>
      <sheetName val="[입찰안_xls][입찰안_xls][입찰안_xls]_123"/>
      <sheetName val="[입찰안_xls][입찰안_xls][입찰안_xls]_120"/>
      <sheetName val="[입찰안_xls][입찰안_xls][입찰안_xls]_121"/>
      <sheetName val="[입찰안_xls][입찰안_xls][입찰안_xls]_122"/>
      <sheetName val="[입찰안_xls][입찰안_xls][입찰안_xls]_125"/>
      <sheetName val="[입찰안_xls][입찰안_xls][입찰안_xls]_124"/>
      <sheetName val="[입찰안_xls][입찰안_xls][입찰안_xls]_138"/>
      <sheetName val="[입찰안_xls][입찰안_xls][입찰안_xls]_129"/>
      <sheetName val="[입찰안_xls][입찰안_xls][입찰안_xls]_127"/>
      <sheetName val="[입찰안_xls][입찰안_xls][입찰안_xls]_132"/>
      <sheetName val="[입찰안_xls][입찰안_xls][입찰안_xls]_126"/>
      <sheetName val="[입찰안_xls][입찰안_xls][입찰안_xls]_134"/>
      <sheetName val="[입찰안_xls][입찰안_xls][입찰안_xls]_128"/>
      <sheetName val="[입찰안_xls][입찰안_xls][입찰안_xls]_131"/>
      <sheetName val="[입찰안_xls][입찰안_xls][입찰안_xls]_130"/>
      <sheetName val="[입찰안_xls][입찰안_xls][입찰안_xls]_133"/>
      <sheetName val="[입찰안_xls][입찰안_xls][입찰안_xls]_135"/>
      <sheetName val="[입찰안_xls][입찰안_xls][입찰안_xls]_137"/>
      <sheetName val="[입찰안_xls][입찰안_xls][입찰안_xls]_136"/>
      <sheetName val="[입찰안_xls][입찰안_xls][입찰안_xls]_139"/>
      <sheetName val="stability䘢䠂檱䠛檳"/>
      <sheetName val="[입찰안_xls][입찰안_xls][입찰안_xls]_143"/>
      <sheetName val="[입찰안_xls][입찰안_xls][입찰안_xls]_141"/>
      <sheetName val="[입찰안_xls][입찰안_xls][입찰안_xls]_142"/>
      <sheetName val="[입찰안_xls][입찰안_xls][입찰안_xls]_146"/>
      <sheetName val="[입찰안_xls][입찰안_xls][입찰안_xls]_145"/>
      <sheetName val="[입찰안_xls][입찰안_xls][입찰안_xls]_144"/>
      <sheetName val="[입찰안_xls][입찰안_xls][입찰안_xls]___6"/>
      <sheetName val="[입찰안_xls][입찰안_xls][입찰안_xls]_161"/>
      <sheetName val="[입찰안_xls][입찰안_xls][입찰안_xls]_162"/>
      <sheetName val="[입찰안_xls][입찰안_xls][입찰안_xls]_163"/>
      <sheetName val="사__업__비__수__지__예__산__서"/>
      <sheetName val="[입찰안_xls][입찰안_xls][입찰안_xls]_147"/>
      <sheetName val="[입찰안_xls][입찰안_xls][입찰안_xls]_158"/>
      <sheetName val="[입찰안_xls][입찰안_xls][입찰안_xls]_152"/>
      <sheetName val="[입찰안_xls][입찰안_xls][입찰안_xls]_151"/>
      <sheetName val="[입찰안_xls][입찰안_xls][입찰안_xls]_149"/>
      <sheetName val="[입찰안_xls][입찰안_xls][입찰안_xls]_148"/>
      <sheetName val="[입찰안_xls][입찰안_xls][입찰안_xls]_150"/>
      <sheetName val="[입찰안_xls][입찰안_xls][입찰안_xls]_157"/>
      <sheetName val="[입찰안_xls][입찰안_xls][입찰안_xls]_153"/>
      <sheetName val="[입찰안_xls][입찰안_xls][입찰안_xls]_154"/>
      <sheetName val="[입찰안_xls][입찰안_xls][입찰안_xls]_155"/>
      <sheetName val="[입찰안_xls][입찰안_xls][입찰안_xls]_156"/>
      <sheetName val="[입찰안_xls][입찰안_xls][입찰안_xls]_159"/>
      <sheetName val="[입찰안_xls][입찰안_xls][입찰안_xls]_160"/>
      <sheetName val="[입찰안_xls][입찰안_xls][입찰안_xls]_166"/>
      <sheetName val="[입찰안_xls][입찰안_xls][입찰안_xls]_167"/>
      <sheetName val="[입찰안_xls][입찰안_xls][입찰안_xls]_164"/>
      <sheetName val="[입찰안_xls][입찰안_xls][입찰안_xls]_165"/>
      <sheetName val="[입찰안_xls][입찰안_xls][입찰안_xls]_168"/>
      <sheetName val="[입찰안_xls][입찰안_xls][입찰안_xls]_169"/>
      <sheetName val="[입찰안_xls][입찰안_xls][입찰안_xls]_171"/>
      <sheetName val="[입찰안_xls][입찰안_xls][입찰안_xls]_170"/>
      <sheetName val="Sheet2_(2)"/>
      <sheetName val="[입찰안_xls][입찰안_xls][입찰안_xls]___7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5"/>
      <sheetName val="[입찰안_xls][입찰안_xls][입찰안_xls]_192"/>
      <sheetName val="[입찰안_xls][입찰안_xls][입찰안_xls]_190"/>
      <sheetName val="[입찰안_xls][입찰안_xls][입찰안_xls]_184"/>
      <sheetName val="[입찰안_xls][입찰안_xls][입찰안_xls]_183"/>
      <sheetName val="[입찰안_xls][입찰안_xls][입찰안_xls]_176"/>
      <sheetName val="[입찰안_xls][입찰안_xls][입찰안_xls]_178"/>
      <sheetName val="[입찰안_xls][입찰안_xls][입찰안_xls]_177"/>
      <sheetName val="[입찰안_xls][입찰안_xls][입찰안_xls]_179"/>
      <sheetName val="[입찰안_xls][입찰안_xls][입찰안_xls]_182"/>
      <sheetName val="[입찰안_xls][입찰안_xls][입찰안_xls]_181"/>
      <sheetName val="[입찰안_xls][입찰안_xls][입찰안_xls]_180"/>
      <sheetName val="[입찰안_xls][입찰안_xls][입찰안_xls]_187"/>
      <sheetName val="[입찰안_xls][입찰안_xls][입찰안_xls]_186"/>
      <sheetName val="[입찰안_xls][입찰안_xls][입찰안_xls]_185"/>
      <sheetName val="[입찰안_xls][입찰안_xls][입찰안_xls]_188"/>
      <sheetName val="[입찰안_xls][입찰안_xls][입찰안_xls]_189"/>
      <sheetName val="[입찰안_xls][입찰안_xls][입찰안_xls]_191"/>
      <sheetName val="[입찰안_xls][입찰안_xls][입찰안_xls]_193"/>
      <sheetName val="[입찰안_xls][입찰안_xls][입찰안_xls]_194"/>
      <sheetName val="[입찰안_xls][입찰안_xls][입찰안_xls]_198"/>
      <sheetName val="[입찰안_xls][입찰안_xls][입찰안_xls]_197"/>
      <sheetName val="[입찰안_xls][입찰안_xls][입찰안_xls]_196"/>
      <sheetName val="[입찰안_xls][입찰안_xls][입찰안_xls]_195"/>
      <sheetName val="[입찰안_xls][입찰안_xls][입찰안_xls]___8"/>
      <sheetName val="[입찰안_xls][입찰안_xls][입찰안_xls]___9"/>
      <sheetName val="[입찰안_xls][입찰안_xls][입찰안_xls]_207"/>
      <sheetName val="[입찰안_xls][입찰안_xls][입찰안_xls]_204"/>
      <sheetName val="[입찰안_xls][입찰안_xls][입찰안_xls]_202"/>
      <sheetName val="[입찰안_xls][입찰안_xls][입찰안_xls]_203"/>
      <sheetName val="[입찰안_xls][입찰안_xls][입찰안_xls]_206"/>
      <sheetName val="[입찰안_xls][입찰안_xls][입찰안_xls]_205"/>
      <sheetName val="A_LINE"/>
      <sheetName val="[입찰안_xls][입찰안_xls][입찰안_xls]_208"/>
      <sheetName val="[입찰안_xls][입찰안_xls][입찰안_xls]_212"/>
      <sheetName val="[입찰안_xls][입찰안_xls][입찰안_xls]_211"/>
      <sheetName val="[입찰안_xls][입찰안_xls][입찰안_xls]_209"/>
      <sheetName val="[입찰안_xls][입찰안_xls][입찰안_xls]_210"/>
      <sheetName val="[입찰안_xls][입찰안_xls][입찰안_xls]_213"/>
      <sheetName val="[입찰안_xls][입찰안_xls][입찰안_xls]_215"/>
      <sheetName val="[입찰안_xls][입찰안_xls][입찰안_xls]_214"/>
      <sheetName val="[입찰안_xls][입찰안_xls][입찰안_xls]_222"/>
      <sheetName val="[입찰안_xls][입찰안_xls][입찰안_xls]_225"/>
      <sheetName val="[입찰안_xls][입찰안_xls][입찰안_xls]_224"/>
      <sheetName val="[입찰안_xls][입찰안_xls][입찰안_xls]_216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3"/>
      <sheetName val="[입찰안_xls][입찰안_xls][입찰안_xls]_230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6"/>
      <sheetName val="[입찰안_xls][입찰안_xls][입찰안_xls]_233"/>
      <sheetName val="[입찰안_xls][입찰안_xls][입찰안_xls]_232"/>
      <sheetName val="[입찰안_xls][입찰안_xls][입찰안_xls]_231"/>
      <sheetName val="[입찰안_xls][입찰안_xls][입찰안_xls]_234"/>
      <sheetName val="[입찰안_xls][입찰안_xls][입찰안_xls]_241"/>
      <sheetName val="[입찰안_xls][입찰안_xls][입찰안_xls]_238"/>
      <sheetName val="[입찰안_xls][입찰안_xls][입찰안_xls]_235"/>
      <sheetName val="[입찰안_xls][입찰안_xls][입찰안_xls]_237"/>
      <sheetName val="[입찰안_xls][입찰안_xls][입찰안_xls]_239"/>
      <sheetName val="[입찰안_xls][입찰안_xls][입찰안_xls]_240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52"/>
      <sheetName val="[입찰안_xls][입찰안_xls][입찰안_xls]_245"/>
      <sheetName val="[입찰안_xls][입찰안_xls][입찰안_xls]_249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50"/>
      <sheetName val="[입찰안_xls][입찰안_xls][입찰안_xls]_251"/>
      <sheetName val="[입찰안_xls][입찰안_xls][입찰안_xls]_253"/>
      <sheetName val="[입찰안_xls][입찰안_xls][입찰안_xls]_254"/>
      <sheetName val="평가표"/>
      <sheetName val="[입찰안.xls][입찰안.xls]_____xls_1324"/>
      <sheetName val="[입찰안.xls][입찰안.xls]_____xls_1339"/>
      <sheetName val="[입찰안.xls][입찰안.xls]_____xls_1337"/>
      <sheetName val="[입찰안.xls][입찰안.xls]_____xls_1326"/>
      <sheetName val="[입찰안.xls][입찰안.xls]_____xls_1327"/>
      <sheetName val="[입찰안.xls][입찰안.xls]_____xls_1325"/>
      <sheetName val="[입찰안.xls][입찰안.xls]_____xls_1329"/>
      <sheetName val="[입찰안.xls][입찰안.xls]_____xls_1331"/>
      <sheetName val="[입찰안.xls][입찰안.xls]_____xls_1328"/>
      <sheetName val="[입찰안.xls][입찰안.xls]_____xls_1333"/>
      <sheetName val="항목등록"/>
      <sheetName val="負荷集計（断熱不燃）"/>
      <sheetName val="xe"/>
      <sheetName val="DMKH"/>
      <sheetName val="DmChitiet"/>
      <sheetName val="Nhatky"/>
      <sheetName val="음료실행"/>
      <sheetName val="견적을지"/>
      <sheetName val="제조원가"/>
      <sheetName val="Khoi_luong"/>
      <sheetName val="_입찰안_xls__입찰안_xls__입찰안_xls____2"/>
      <sheetName val="_입찰안_xls__입찰안_xls__입찰안_xls____3"/>
      <sheetName val="DTICH_(Full)"/>
      <sheetName val="5호광장_(만점)9"/>
      <sheetName val="인천국제_(만점)_(2)9"/>
      <sheetName val="Total_단위경유량집계9"/>
      <sheetName val="BH-1_(2)9"/>
      <sheetName val="표__지9"/>
      <sheetName val="준검_내역서9"/>
      <sheetName val="토공유동표(전체_당초)9"/>
      <sheetName val="1_수인터널9"/>
      <sheetName val="앉음벽_(2)9"/>
      <sheetName val="I_설계조건9"/>
      <sheetName val="4_전기9"/>
      <sheetName val="7__현장관리비_9"/>
      <sheetName val="6__안전관리비9"/>
      <sheetName val="_HIT__HMC_견적_3900_9"/>
      <sheetName val="1_설계조건9"/>
      <sheetName val="소포내역_(2)9"/>
      <sheetName val="노원열병합__건축공사기성내역서9"/>
      <sheetName val="조도계산서_(도서)9"/>
      <sheetName val="MSS_29"/>
      <sheetName val="보고서_기기리스트8"/>
      <sheetName val="11_산출(전열)9"/>
      <sheetName val="6_산출(동력)9"/>
      <sheetName val="7_산출(TRAY)9"/>
      <sheetName val="5_산출(전력)8"/>
      <sheetName val="수량산출서(전력간선_지하D_C)8"/>
      <sheetName val="우수관매설및_우수받이9"/>
      <sheetName val="11_우각부_보강9"/>
      <sheetName val="제출내역_(2)9"/>
      <sheetName val="3련_BOX9"/>
      <sheetName val="플랜트_설치8"/>
      <sheetName val="2_1__노무비_평균단가산출8"/>
      <sheetName val="내역_ver1_09"/>
      <sheetName val="내___역8"/>
      <sheetName val="plan&amp;section_of_foundation9"/>
      <sheetName val="pile_bearing_capa_&amp;_arrenge9"/>
      <sheetName val="working_load_at_the_btm_ft_9"/>
      <sheetName val="stability_check9"/>
      <sheetName val="design_criteria9"/>
      <sheetName val="배수내역_(2)8"/>
      <sheetName val="배수공_시멘트_및_골재량_산출8"/>
      <sheetName val="A_견적8"/>
      <sheetName val="Customer_Databas8"/>
      <sheetName val="목차_8"/>
      <sheetName val="6PILE__(돌출)8"/>
      <sheetName val="_HIT-&gt;HMC_견적(3900)8"/>
      <sheetName val="전_기8"/>
      <sheetName val="spc_배관견적8"/>
      <sheetName val="SHEET_PILE단가8"/>
      <sheetName val="unit_48"/>
      <sheetName val="BH_1__2_8"/>
      <sheetName val="개인별_순위표8"/>
      <sheetName val="화재_탐지_설비8"/>
      <sheetName val="귀래_설계_공내역서8"/>
      <sheetName val="8_현장관리비8"/>
      <sheetName val="7_안전관리비8"/>
      <sheetName val="1_설계기준8"/>
      <sheetName val="1_취수장8"/>
      <sheetName val="2차전체변경예정_(2)8"/>
      <sheetName val="세골재__T2_변경_현황8"/>
      <sheetName val="도담구내_개소별_명세8"/>
      <sheetName val="설_계8"/>
      <sheetName val="Cash_Flow-18"/>
      <sheetName val="3_1공사현황_공정표8"/>
      <sheetName val="노임_단가8"/>
      <sheetName val="投标材料清单_8"/>
      <sheetName val="집_계_표8"/>
      <sheetName val="내역서_8"/>
      <sheetName val="별표_8"/>
      <sheetName val="노임단가_(2)8"/>
      <sheetName val="3_공통공사대비8"/>
      <sheetName val="단가_및_재료비8"/>
      <sheetName val="단___산7"/>
      <sheetName val="실____단7"/>
      <sheetName val="6__수량산출서7"/>
      <sheetName val="7_공정표8"/>
      <sheetName val="단면_(2)8"/>
      <sheetName val="장비비_명세서18"/>
      <sheetName val="RETAIL_(ABOVE)8"/>
      <sheetName val="5__현장관리비(new)_8"/>
      <sheetName val="장비_(2)7"/>
      <sheetName val="제수변_수량집계표(보통)7"/>
      <sheetName val="2_대외공문8"/>
      <sheetName val="노무비_근거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CM_17"/>
      <sheetName val="5_동별횡주관경7"/>
      <sheetName val="_갑지7"/>
      <sheetName val="Eq__Mobilization8"/>
      <sheetName val="전선_및_전선관7"/>
      <sheetName val="3BL공동구_수량7"/>
      <sheetName val="Sheet1_(2)7"/>
      <sheetName val="암거_제원표7"/>
      <sheetName val="기성(1차)_6"/>
      <sheetName val="일위대가_7"/>
      <sheetName val="4_LINE7"/>
      <sheetName val="7_th7"/>
      <sheetName val="내역서1999_8최종7"/>
      <sheetName val="참조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수량산출서_(2)6"/>
      <sheetName val="기존단가_(2)6"/>
      <sheetName val="전사_(2)6"/>
      <sheetName val="BA_(2)6"/>
      <sheetName val="CP_(2)6"/>
      <sheetName val="토공_total6"/>
      <sheetName val="1_CB6"/>
      <sheetName val="변경명신물량_(2)6"/>
      <sheetName val="토공_토적표6"/>
      <sheetName val="미납품_현황5"/>
      <sheetName val="아파트_5"/>
      <sheetName val="유효폭의_계산5"/>
      <sheetName val="갑지_을지5"/>
      <sheetName val="_견적서5"/>
      <sheetName val="2-2_매출분석5"/>
      <sheetName val="자격_땡겨오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표지_(2)5"/>
      <sheetName val="STEEL_BOX_단면설계(SEC_8)5"/>
      <sheetName val="갑지_설계_내역서5"/>
      <sheetName val="2_단면가정_(양곡1교)5"/>
      <sheetName val="1_내역(청_하역장전등)5"/>
      <sheetName val="설명서_5"/>
      <sheetName val="4__VOs_summary6"/>
      <sheetName val="Chiet_tinh_dz356"/>
      <sheetName val="2000_054"/>
      <sheetName val="ITB_COST5"/>
      <sheetName val="05년_상5"/>
      <sheetName val="영흥TL(UP,DOWN)_5"/>
      <sheetName val="단양_00_아파트-세부내역5"/>
      <sheetName val="8_PILE__(돌출)5"/>
      <sheetName val="4_2_1_마루높이_검토5"/>
      <sheetName val="수량산출서_갑지5"/>
      <sheetName val="_FURNACE현설4"/>
      <sheetName val="97_사업추정(WEKI)4"/>
      <sheetName val="자재기성_신청서_xlsx4"/>
      <sheetName val="TABLE_DB4"/>
      <sheetName val="쌍용_data_base4"/>
      <sheetName val="내역(인테리어_실내)(도급)4"/>
      <sheetName val="내역(인테리어_실외)(도급)4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8_설치품셈4"/>
      <sheetName val="품셈_4"/>
      <sheetName val="M-EMS_GP-570(BIT)4"/>
      <sheetName val="내역서_제출5"/>
      <sheetName val="DATA_LISTS4"/>
      <sheetName val="19_07월_세_계4"/>
      <sheetName val="19_07항목별(시트복사금지100번쓰기)4"/>
      <sheetName val="19_05월4"/>
      <sheetName val="Bảng_mã_VT6"/>
      <sheetName val="중기조종사_단위단가4"/>
      <sheetName val="PROJ__DATA3"/>
      <sheetName val="_Beams_Sched_3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0_목록14"/>
      <sheetName val="01__DATA4"/>
      <sheetName val="SCOPE_OF_WORK4"/>
      <sheetName val="DGCT_(01)4"/>
      <sheetName val="Chi_tiet4"/>
      <sheetName val="nhôm_1,2mm4"/>
      <sheetName val="nhôm_1,4mm4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So_sanh3"/>
      <sheetName val="[입찰안_xls][입찰안_xls][입찰안_xls]B129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B136"/>
      <sheetName val="[입찰안_xls][입찰안_xls][입찰안_xls]B137"/>
      <sheetName val="6-1_보오링(1)1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실행내역서_1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견적비교표_(2)1"/>
      <sheetName val="결재방(지우지_마세요)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B200"/>
      <sheetName val="노임단가_및_기계경비1"/>
      <sheetName val="EXCHANGE_RATE1"/>
      <sheetName val="할증_2"/>
      <sheetName val="간접비_총괄표2"/>
      <sheetName val="중강당_내역1"/>
      <sheetName val="TOWER_12TON1"/>
      <sheetName val="공사투입계획(변경결의)19_91"/>
      <sheetName val="노무비_월별지급현황19_91"/>
      <sheetName val="갑지(외주기성)19_91"/>
      <sheetName val="1_R18_BF2"/>
      <sheetName val="6_External_works-R18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10"/>
      <sheetName val="[입찰안_xls][입찰안_xls]직접뀀鞖/3"/>
      <sheetName val="[입찰안_xls][입찰안_xls][입찰안_xls]__11"/>
      <sheetName val="[입찰안_xls][입찰안_xls][입찰안_xls]_256"/>
      <sheetName val="[입찰안_xls][입찰안_xls][입찰안_xls]_257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_HIT__HMC_견ꉀ펔ɠ"/>
      <sheetName val="[입찰안_xls][입찰안_xls][입찰안_xls]_289"/>
      <sheetName val="새로이_설치할_정비기반시설_조서_나번_(2)"/>
      <sheetName val="정리계앀"/>
      <sheetName val="정리계"/>
      <sheetName val="plan&amp;section_of勉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GRAND_SUM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해평견적"/>
      <sheetName val="[입찰안.xls][입찰안.xls]_____xls_1336"/>
      <sheetName val="[입찰안.xls][입찰안.xls]_____xls_1330"/>
      <sheetName val="[입찰안.xls][입찰안.xls]_____xls_1332"/>
      <sheetName val="[입찰안.xls][입찰안.xls]_____xls_1335"/>
      <sheetName val="[입찰안.xls][입찰안.xls]_____xls_1334"/>
      <sheetName val="[입찰안.xls][입찰안.xls]_____xls_1338"/>
      <sheetName val="[입찰안.xls][입찰안.xls]_____xls_1992"/>
      <sheetName val="[입찰안.xls][입찰안.xls]_____xls_1995"/>
      <sheetName val="[입찰안.xls][입찰안.xls]_____xls_1996"/>
      <sheetName val="sh1"/>
      <sheetName val="Sens&amp;Anal"/>
      <sheetName val="실행예산"/>
      <sheetName val="[입찰안.xls][입찰안.xls]_입___xls_1000"/>
      <sheetName val="SS"/>
      <sheetName val="[입찰안.xls][입찰안.xls]_____xls_1989"/>
      <sheetName val="0226"/>
      <sheetName val="XXXXXX"/>
      <sheetName val="6__안전_x0000_䶁_x0000_"/>
      <sheetName val="작업일보"/>
      <sheetName val="패널"/>
      <sheetName val="기안문"/>
      <sheetName val="장비단"/>
      <sheetName val="코_x005f_x0000_"/>
      <sheetName val="7_산출(⠀榅弁䘿_x005f_x0000_"/>
      <sheetName val="10공-_x005f_x0000_Ԁ"/>
      <sheetName val="1,2,3,4_x005f_x0000__x005f_x0000_界Þ多⽬"/>
      <sheetName val="제잡비 산출내역(실적공사비)"/>
      <sheetName val="산출서"/>
      <sheetName val="위치도"/>
      <sheetName val="토공집계(rp)"/>
      <sheetName val="협가표"/>
      <sheetName val="pile_bearing_capa_&amp;_¬_x0000_Ԁ_x0000_　촖蹻"/>
      <sheetName val="pile_bearing_capa_&amp;_¬_x0000_Ԁ_x0000_瀀濓蹮"/>
      <sheetName val="pile_bearing_capa_&amp;_¬_x0000_Ԁ_x0000_팉蹨"/>
      <sheetName val="pile_bearing_capa_&amp;_¬_x0000_Ԁ_x0000_瀀竒蹩"/>
      <sheetName val="pile_bearing_capa_&amp;_¬_x0000_Ԁ_x0000_뀀蹭"/>
      <sheetName val="pile_bearing_capa_&amp;_¬_x0000_Ԁ_x0000_℘撦"/>
      <sheetName val="[입찰안.xls][입찰안.xls]_입___xls_1002"/>
      <sheetName val="[입찰안.xls][입찰안.xls]_입___xls_1001"/>
      <sheetName val="equip"/>
      <sheetName val="[입찰안.xls][입찰안.xls]_____xls_1973"/>
      <sheetName val="[입찰안.xls][입찰안.xls]_____xls_1975"/>
      <sheetName val="[입찰안.xls][입찰안.xls]_____xls_1974"/>
      <sheetName val="1.일위"/>
      <sheetName val="[입찰안.xls][입찰안.xls]_____xls_1360"/>
      <sheetName val="[입찰안.xls][입찰안.xls]_____xls_1348"/>
      <sheetName val="[입찰안.xls][입찰안.xls]_____xls_1340"/>
      <sheetName val="[입찰안.xls][입찰안.xls]_____xls_1345"/>
      <sheetName val="[입찰안.xls][입찰안.xls]_____xls_1342"/>
      <sheetName val="[입찰안.xls][입찰안.xls]_____xls_1341"/>
      <sheetName val="[입찰안.xls][입찰안.xls]_____xls_1343"/>
      <sheetName val="[입찰안.xls][입찰안.xls]_____xls_1344"/>
      <sheetName val="[입찰안.xls][입찰안.xls]_____xls_1346"/>
      <sheetName val="[입찰안.xls][입찰안.xls]_____xls_1347"/>
      <sheetName val="[입찰안.xls][입찰안.xls]_____xls_1352"/>
      <sheetName val="[입찰안.xls][입찰안.xls]_____xls_1350"/>
      <sheetName val="[입찰안.xls][입찰안.xls]_____xls_1349"/>
      <sheetName val="[입찰안.xls][입찰안.xls]_____xls_1351"/>
      <sheetName val="[입찰안.xls][입찰안.xls]_____xls_1356"/>
      <sheetName val="[입찰안.xls][입찰안.xls]_____xls_1355"/>
      <sheetName val="[입찰안.xls][입찰안.xls]_____xls_1353"/>
      <sheetName val="[입찰안.xls][입찰안.xls]_____xls_1354"/>
      <sheetName val="[입찰안.xls][입찰안.xls]_____xls_1357"/>
      <sheetName val="[입찰안.xls][입찰안.xls]_____xls_1358"/>
      <sheetName val="[입찰안.xls][입찰안.xls]_____xls_1359"/>
      <sheetName val="[입찰안.xls][입찰안.xls]_____xls_1388"/>
      <sheetName val="[입찰안.xls][입찰안.xls]_____xls_1361"/>
      <sheetName val="[입찰안.xls][입찰안.xls]_____xls_1362"/>
      <sheetName val="[입찰안.xls][입찰안.xls]_____xls_1363"/>
      <sheetName val="[입찰안.xls][입찰안.xls]_____xls_1365"/>
      <sheetName val="[입찰안.xls][입찰안.xls]_____xls_1364"/>
      <sheetName val="[입찰안.xls][입찰안.xls]_____xls_1367"/>
      <sheetName val="[입찰안.xls][입찰안.xls]_____xls_1366"/>
      <sheetName val="[입찰안.xls][입찰안.xls]_____xls_1368"/>
      <sheetName val="[입찰안.xls][입찰안.xls]_____xls_1372"/>
      <sheetName val="[입찰안.xls][입찰안.xls]_____xls_1369"/>
      <sheetName val="[입찰안.xls][입찰안.xls]_____xls_1370"/>
      <sheetName val="[입찰안.xls][입찰안.xls]_____xls_1371"/>
      <sheetName val="[입찰안.xls][입찰안.xls]_____xls_1373"/>
      <sheetName val="[입찰안.xls][입찰안.xls]_____xls_1374"/>
      <sheetName val="[입찰안.xls][입찰안.xls]_____xls_1377"/>
      <sheetName val="[입찰안.xls][입찰안.xls]_____xls_1375"/>
      <sheetName val="[입찰안.xls][입찰안.xls]_____xls_1376"/>
      <sheetName val="[입찰안.xls][입찰안.xls]_____xls_1392"/>
      <sheetName val="[입찰안.xls][입찰안.xls]_____xls_1378"/>
      <sheetName val="[입찰안.xls][입찰안.xls]_____xls_1382"/>
      <sheetName val="[입찰안.xls][입찰안.xls]_____xls_1379"/>
      <sheetName val="[입찰안.xls][입찰안.xls]_____xls_1380"/>
      <sheetName val="[입찰안.xls][입찰안.xls]_____xls_1381"/>
      <sheetName val="[입찰안.xls][입찰안.xls]_____xls_1383"/>
      <sheetName val="[입찰안.xls][입찰안.xls]_____xls_1386"/>
      <sheetName val="[입찰안.xls][입찰안.xls]_____xls_1385"/>
      <sheetName val="[입찰안.xls][입찰안.xls]_____xls_1384"/>
      <sheetName val="[입찰안.xls][입찰안.xls]_____xls_1387"/>
      <sheetName val="[입찰안.xls][입찰안.xls]_____xls_1389"/>
      <sheetName val="[입찰안.xls][입찰안.xls]_____xls_1390"/>
      <sheetName val="[입찰안.xls][입찰안.xls]_____xls_1391"/>
      <sheetName val="[입찰안.xls][입찰안.xls]_____xls_1423"/>
      <sheetName val="[입찰안.xls][입찰안.xls]_____xls_1393"/>
      <sheetName val="[입찰안.xls][입찰안.xls]_____xls_1394"/>
      <sheetName val="[입찰안.xls][입찰안.xls]_____xls_1395"/>
      <sheetName val="[입찰안.xls][입찰안.xls]_____xls_1396"/>
      <sheetName val="[입찰안.xls][입찰안.xls]_____xls_1397"/>
      <sheetName val="[입찰안.xls][입찰안.xls]_____xls_1398"/>
      <sheetName val="[입찰안.xls][입찰안.xls]_____xls_1399"/>
      <sheetName val="[입찰안.xls][입찰안.xls]_____xls_1400"/>
      <sheetName val="[입찰안.xls][입찰안.xls]_____xls_1401"/>
      <sheetName val="[입찰안.xls][입찰안.xls]_____xls_1406"/>
      <sheetName val="[입찰안.xls][입찰안.xls]_____xls_1402"/>
      <sheetName val="[입찰안.xls][입찰안.xls]_____xls_1403"/>
      <sheetName val="[입찰안.xls][입찰안.xls]_____xls_1404"/>
      <sheetName val="[입찰안.xls][입찰안.xls]_____xls_1405"/>
      <sheetName val="[입찰안.xls][입찰안.xls]_____xls_1424"/>
      <sheetName val="[입찰안.xls][입찰안.xls]_____xls_1407"/>
      <sheetName val="[입찰안.xls][입찰안.xls]_____xls_1408"/>
      <sheetName val="[입찰안.xls][입찰안.xls]_____xls_1411"/>
      <sheetName val="[입찰안.xls][입찰안.xls]_____xls_1409"/>
      <sheetName val="[입찰안.xls][입찰안.xls]_____xls_1410"/>
      <sheetName val="[입찰안.xls][입찰안.xls]_____xls_1412"/>
      <sheetName val="[입찰안.xls][입찰안.xls]_____xls_1416"/>
      <sheetName val="[입찰안.xls][입찰안.xls]_____xls_1413"/>
      <sheetName val="[입찰안.xls][입찰안.xls]_____xls_1414"/>
      <sheetName val="[입찰안.xls][입찰안.xls]_____xls_1415"/>
      <sheetName val="[입찰안.xls][입찰안.xls]_____xls_1418"/>
      <sheetName val="[입찰안.xls][입찰안.xls]_____xls_1417"/>
      <sheetName val="[입찰안.xls][입찰안.xls]_____xls_1419"/>
      <sheetName val="[입찰안.xls][입찰안.xls]_____xls_1420"/>
      <sheetName val="[입찰안.xls][입찰안.xls]_____xls_1422"/>
      <sheetName val="[입찰안.xls][입찰안.xls]_____xls_1421"/>
      <sheetName val="[입찰안.xls][입찰안.xls]_____xls_1427"/>
      <sheetName val="[입찰안.xls][입찰안.xls]_____xls_1446"/>
      <sheetName val="[입찰안.xls][입찰안.xls]_____xls_1425"/>
      <sheetName val="[입찰안.xls][입찰안.xls]_____xls_1426"/>
      <sheetName val="[입찰안.xls][입찰안.xls]_____xls_1432"/>
      <sheetName val="[입찰안.xls][입찰안.xls]_____xls_1428"/>
      <sheetName val="[입찰안.xls][입찰안.xls]_____xls_1429"/>
      <sheetName val="[입찰안.xls][입찰안.xls]_____xls_1430"/>
      <sheetName val="[입찰안.xls][입찰안.xls]_____xls_1431"/>
      <sheetName val="[입찰안.xls][입찰안.xls]_____xls_1433"/>
      <sheetName val="[입찰안.xls][입찰안.xls]_____xls_1434"/>
      <sheetName val="[입찰안.xls][입찰안.xls]_____xls_1435"/>
      <sheetName val="[입찰안.xls][입찰안.xls]_____xls_1436"/>
      <sheetName val="[입찰안.xls][입찰안.xls]_____xls_1438"/>
      <sheetName val="[입찰안.xls][입찰안.xls]_____xls_1437"/>
      <sheetName val="[입찰안.xls][입찰안.xls]_____xls_1441"/>
      <sheetName val="[입찰안.xls][입찰안.xls]_____xls_1439"/>
      <sheetName val="[입찰안.xls][입찰안.xls]_____xls_1440"/>
      <sheetName val="[입찰안.xls][입찰안.xls]_____xls_1442"/>
      <sheetName val="[입찰안.xls][입찰안.xls]_____xls_1453"/>
      <sheetName val="[입찰안.xls][입찰안.xls]_____xls_1443"/>
      <sheetName val="[입찰안.xls][입찰안.xls]_____xls_1445"/>
      <sheetName val="[입찰안.xls][입찰안.xls]_____xls_1444"/>
      <sheetName val="[입찰안.xls][입찰안.xls]_____xls_1447"/>
      <sheetName val="[입찰안.xls][입찰안.xls]_____xls_1448"/>
      <sheetName val="[입찰안.xls][입찰안.xls]_____xls_1449"/>
      <sheetName val="[입찰안.xls][입찰안.xls]_____xls_1469"/>
      <sheetName val="[입찰안.xls][입찰안.xls]_____xls_1450"/>
      <sheetName val="[입찰안.xls][입찰안.xls]_____xls_1451"/>
      <sheetName val="[입찰안.xls][입찰안.xls]_____xls_1452"/>
      <sheetName val="[입찰안.xls][입찰안.xls]_____xls_1457"/>
      <sheetName val="[입찰안.xls][입찰안.xls]_____xls_1455"/>
      <sheetName val="[입찰안.xls][입찰안.xls]_____xls_1454"/>
      <sheetName val="[입찰안.xls][입찰안.xls]_____xls_1456"/>
      <sheetName val="[입찰안.xls][입찰안.xls]_____xls_1460"/>
      <sheetName val="[입찰안.xls][입찰안.xls]_____xls_1458"/>
      <sheetName val="[입찰안.xls][입찰안.xls]_____xls_1459"/>
      <sheetName val="[입찰안.xls][입찰안.xls]_____xls_1461"/>
      <sheetName val="[입찰안.xls][입찰안.xls]_____xls_1462"/>
      <sheetName val="[입찰안.xls][입찰안.xls]_____xls_1463"/>
      <sheetName val="[입찰안.xls][입찰안.xls]_____xls_1464"/>
      <sheetName val="[입찰안.xls][입찰안.xls]_____xls_1465"/>
      <sheetName val="[입찰안.xls][입찰안.xls]_____xls_1468"/>
      <sheetName val="[입찰안.xls][입찰안.xls]_____xls_1466"/>
      <sheetName val="[입찰안.xls][입찰안.xls]_____xls_1467"/>
      <sheetName val="[입찰안.xls][입찰안.xls]_____xls_1470"/>
      <sheetName val="[입찰안.xls][입찰안.xls]_____xls_1476"/>
      <sheetName val="[입찰안.xls][입찰안.xls]_____xls_1471"/>
      <sheetName val="[입찰안.xls][입찰안.xls]_____xls_1473"/>
      <sheetName val="[입찰안.xls][입찰안.xls]_____xls_1472"/>
      <sheetName val="[입찰안.xls][입찰안.xls]_____xls_1474"/>
      <sheetName val="[입찰안.xls][입찰안.xls]_____xls_1475"/>
      <sheetName val="[입찰안.xls][입찰안.xls]_____xls_1483"/>
      <sheetName val="[입찰안.xls][입찰안.xls]_____xls_1478"/>
      <sheetName val="[입찰안.xls][입찰안.xls]_____xls_1477"/>
      <sheetName val="[입찰안.xls][입찰안.xls]_____xls_1482"/>
      <sheetName val="[입찰안.xls][입찰안.xls]_____xls_1479"/>
      <sheetName val="[입찰안.xls][입찰안.xls]_____xls_1480"/>
      <sheetName val="[입찰안.xls][입찰안.xls]_____xls_1481"/>
      <sheetName val="[입찰안.xls][입찰안.xls]_____xls_1484"/>
      <sheetName val="[입찰안.xls][입찰안.xls]_____xls_1485"/>
      <sheetName val="[입찰안.xls][입찰안.xls]_____xls_1497"/>
      <sheetName val="[입찰안.xls][입찰안.xls]_____xls_1489"/>
      <sheetName val="[입찰안.xls][입찰안.xls]_____xls_1488"/>
      <sheetName val="[입찰안.xls][입찰안.xls]_____xls_1486"/>
      <sheetName val="[입찰안.xls][입찰안.xls]_____xls_1487"/>
      <sheetName val="[입찰안.xls][입찰안.xls]_____xls_1501"/>
      <sheetName val="[입찰안.xls][입찰안.xls]_____xls_1490"/>
      <sheetName val="[입찰안.xls][입찰안.xls]_____xls_1491"/>
      <sheetName val="[입찰안.xls][입찰안.xls]_____xls_1492"/>
      <sheetName val="[입찰안.xls][입찰안.xls]_____xls_1493"/>
      <sheetName val="[입찰안.xls][입찰안.xls]_____xls_1494"/>
      <sheetName val="[입찰안.xls][입찰안.xls]_____xls_1495"/>
      <sheetName val="[입찰안.xls][입찰안.xls]_입_안_xls_1000"/>
      <sheetName val="[입찰안.xls][입찰안.xls]_____xls_1496"/>
      <sheetName val="[입찰안.xls][입찰안.xls]_____xls_1498"/>
      <sheetName val="[입찰안.xls][입찰안.xls]_____xls_1500"/>
      <sheetName val="[입찰안.xls][입찰안.xls]_____xls_1499"/>
      <sheetName val="[입찰안.xls][입찰안.xls]_____xls_1505"/>
      <sheetName val="[입찰안.xls][입찰안.xls]_____xls_1507"/>
      <sheetName val="[입찰안.xls][입찰안.xls]_____xls_1502"/>
      <sheetName val="[입찰안.xls][입찰안.xls]_____xls_1503"/>
      <sheetName val="[입찰안.xls][입찰안.xls]_____xls_1504"/>
      <sheetName val="[입찰안.xls][입찰안.xls]_____xls_1518"/>
      <sheetName val="[입찰안.xls][입찰안.xls]_____xls_1506"/>
      <sheetName val="[입찰안.xls][입찰안.xls]_____xls_1530"/>
      <sheetName val="[입찰안.xls][입찰안.xls]_____xls_1508"/>
      <sheetName val="[입찰안.xls][입찰안.xls]_____xls_1509"/>
      <sheetName val="[입찰안.xls][입찰안.xls]_____xls_1510"/>
      <sheetName val="[입찰안.xls][입찰안.xls]_____xls_1511"/>
      <sheetName val="[입찰안.xls][입찰안.xls]_____xls_1513"/>
      <sheetName val="[입찰안.xls][입찰안.xls]_____xls_1512"/>
      <sheetName val="[입찰안.xls][입찰안.xls]_____xls_1514"/>
      <sheetName val="[입찰안.xls][입찰안.xls]_____xls_1515"/>
      <sheetName val="[입찰안.xls][입찰안.xls]_____xls_1517"/>
      <sheetName val="[입찰안.xls][입찰안.xls]_____xls_1516"/>
      <sheetName val="[입찰안.xls][입찰안.xls]_____xls_1526"/>
      <sheetName val="[입찰안.xls][입찰안.xls]_____xls_1519"/>
      <sheetName val="[입찰안.xls][입찰안.xls]_____xls_1520"/>
      <sheetName val="[입찰안.xls][입찰안.xls]_____xls_1522"/>
      <sheetName val="[입찰안.xls][입찰안.xls]_____xls_1521"/>
      <sheetName val="[입찰안.xls][입찰안.xls]_____xls_1523"/>
      <sheetName val="[입찰안.xls][입찰안.xls]_____xls_1525"/>
      <sheetName val="[입찰안.xls][입찰안.xls]_____xls_1524"/>
      <sheetName val="[입찰안.xls][입찰안.xls]_____xls_1527"/>
      <sheetName val="[입찰안.xls][입찰안.xls]_____xls_1543"/>
      <sheetName val="[입찰안.xls][입찰안.xls]_____xls_1528"/>
      <sheetName val="[입찰안.xls][입찰안.xls]_____xls_1529"/>
      <sheetName val="[입찰안.xls][입찰안.xls]_____xls_1535"/>
      <sheetName val="[입찰안.xls][입찰안.xls]_____xls_1531"/>
      <sheetName val="[입찰안.xls][입찰안.xls]_____xls_1532"/>
      <sheetName val="[입찰안.xls][입찰안.xls]_____xls_1534"/>
      <sheetName val="[입찰안.xls][입찰안.xls]_____xls_1533"/>
      <sheetName val="[입찰안.xls][입찰안.xls]_____xls_1536"/>
      <sheetName val="[입찰안.xls][입찰안.xls]_____xls_1538"/>
      <sheetName val="[입찰안.xls][입찰안.xls]_____xls_1537"/>
      <sheetName val="[입찰안.xls][입찰안.xls]_____xls_1539"/>
      <sheetName val="[입찰안.xls][입찰안.xls]_____xls_1540"/>
      <sheetName val="[입찰안.xls][입찰안.xls]_____xls_1541"/>
      <sheetName val="[입찰안.xls][입찰안.xls]_____xls_1542"/>
      <sheetName val="[입찰안.xls][입찰안.xls]_____xls_1544"/>
      <sheetName val="[입찰안.xls][입찰안.xls]_____xls_1547"/>
      <sheetName val="[입찰안.xls][입찰안.xls]_____xls_1545"/>
      <sheetName val="[입찰안.xls][입찰안.xls]_____xls_1546"/>
      <sheetName val="[입찰안.xls][입찰안.xls]_____xls_1552"/>
      <sheetName val="[입찰안.xls][입찰안.xls]_____xls_1548"/>
      <sheetName val="[입찰안.xls][입찰안.xls]_____xls_1549"/>
      <sheetName val="[입찰안.xls][입찰안.xls]_____xls_1560"/>
      <sheetName val="[입찰안.xls][입찰안.xls]_____xls_1550"/>
      <sheetName val="[입찰안.xls][입찰안.xls]_____xls_1551"/>
      <sheetName val="[입찰안.xls][입찰안.xls]_____xls_1572"/>
      <sheetName val="[입찰안.xls][입찰안.xls]_____xls_1553"/>
      <sheetName val="[입찰안.xls][입찰안.xls]_____xls_1558"/>
      <sheetName val="[입찰안.xls][입찰안.xls]_____xls_1554"/>
      <sheetName val="[입찰안.xls][입찰안.xls]_____xls_1556"/>
      <sheetName val="[입찰안.xls][입찰안.xls]_____xls_1555"/>
      <sheetName val="[입찰안.xls][입찰안.xls]_____xls_1557"/>
      <sheetName val="[입찰안.xls][입찰안.xls]_____xls_1559"/>
      <sheetName val="[입찰안.xls][입찰안.xls]_____xls_1561"/>
      <sheetName val="[입찰안.xls][입찰안.xls]_____xls_1563"/>
      <sheetName val="[입찰안.xls][입찰안.xls]_____xls_1562"/>
      <sheetName val="[입찰안.xls][입찰안.xls]_____xls_1581"/>
      <sheetName val="[입찰안.xls][입찰안.xls]_____xls_1564"/>
      <sheetName val="[입찰안.xls][입찰안.xls]_____xls_1566"/>
      <sheetName val="[입찰안.xls][입찰안.xls]_____xls_1565"/>
      <sheetName val="[입찰안.xls][입찰안.xls]_____xls_1568"/>
      <sheetName val="[입찰안.xls][입찰안.xls]_____xls_1567"/>
      <sheetName val="[입찰안.xls][입찰안.xls]_____xls_1569"/>
      <sheetName val="[입찰안.xls][입찰안.xls]_____xls_1570"/>
      <sheetName val="[입찰안.xls][입찰안.xls]_____xls_1571"/>
      <sheetName val="[입찰안.xls][입찰안.xls]_____xls_1580"/>
      <sheetName val="[입찰안.xls][입찰안.xls]_____xls_1579"/>
      <sheetName val="[입찰안.xls][입찰안.xls]_____xls_1574"/>
      <sheetName val="[입찰안.xls][입찰안.xls]_____xls_1573"/>
      <sheetName val="[입찰안.xls][입찰안.xls]_____xls_1575"/>
      <sheetName val="[입찰안.xls][입찰안.xls]_____xls_1576"/>
      <sheetName val="[입찰안.xls][입찰안.xls]_____xls_1577"/>
      <sheetName val="[입찰안.xls][입찰안.xls]_____xls_1578"/>
      <sheetName val="[입찰안.xls][입찰안.xls]_____xls_1582"/>
      <sheetName val="[입찰안.xls][입찰안.xls]_____xls_1583"/>
      <sheetName val="[입찰안.xls][입찰안.xls]_____xls_1593"/>
      <sheetName val="[입찰안.xls][입찰안.xls]_____xls_1586"/>
      <sheetName val="[입찰안.xls][입찰안.xls]_____xls_1584"/>
      <sheetName val="[입찰안.xls][입찰안.xls]_____xls_1585"/>
      <sheetName val="[입찰안.xls][입찰안.xls]_____xls_1587"/>
      <sheetName val="[입찰안.xls][입찰안.xls]_____xls_1588"/>
      <sheetName val="[입찰안.xls][입찰안.xls]_____xls_1591"/>
      <sheetName val="[입찰안.xls][입찰안.xls]_____xls_1589"/>
      <sheetName val="[입찰안.xls][입찰안.xls]_____xls_1590"/>
      <sheetName val="[입찰안.xls][입찰안.xls]_____xls_1592"/>
      <sheetName val="[입찰안.xls][입찰안.xls]_____xls_1598"/>
      <sheetName val="[입찰안.xls][입찰안.xls]_____xls_1594"/>
      <sheetName val="[입찰안.xls][입찰안.xls]_____xls_1595"/>
      <sheetName val="[입찰안.xls][입찰안.xls]_____xls_1596"/>
      <sheetName val="[입찰안.xls][입찰안.xls]_____xls_1613"/>
      <sheetName val="[입찰안.xls][입찰안.xls]_____xls_1597"/>
      <sheetName val="[입찰안.xls][입찰안.xls]_____xls_1603"/>
      <sheetName val="[입찰안.xls][입찰안.xls]_____xls_1601"/>
      <sheetName val="[입찰안.xls][입찰안.xls]_____xls_1599"/>
      <sheetName val="[입찰안.xls][입찰안.xls]_____xls_1600"/>
      <sheetName val="[입찰안.xls][입찰안.xls]_____xls_1602"/>
      <sheetName val="[입찰안.xls][입찰안.xls]_____xls_1604"/>
      <sheetName val="[입찰안.xls][입찰안.xls]_____xls_1612"/>
      <sheetName val="[입찰안.xls][입찰안.xls]_____xls_1609"/>
      <sheetName val="[입찰안.xls][입찰안.xls]_____xls_1605"/>
      <sheetName val="[입찰안.xls][입찰안.xls]_____xls_1608"/>
      <sheetName val="[입찰안.xls][입찰안.xls]_____xls_1606"/>
      <sheetName val="[입찰안.xls][입찰안.xls]_____xls_1607"/>
      <sheetName val="[입찰안.xls][입찰안.xls]_____xls_1617"/>
      <sheetName val="[입찰안.xls][입찰안.xls]_____xls_1610"/>
      <sheetName val="[입찰안.xls][입찰안.xls]_____xls_1611"/>
      <sheetName val="[입찰안.xls][입찰안.xls]_____xls_1614"/>
      <sheetName val="[입찰안.xls][입찰안.xls]_____xls_1653"/>
      <sheetName val="[입찰안.xls][입찰안.xls]_____xls_1615"/>
      <sheetName val="[입찰안.xls][입찰안.xls]_____xls_1616"/>
      <sheetName val="[입찰안.xls][입찰안.xls]_____xls_1619"/>
      <sheetName val="[입찰안.xls][입찰안.xls]_____xls_1618"/>
      <sheetName val="[입찰안.xls][입찰안.xls]_____xls_1620"/>
      <sheetName val="[입찰안.xls][입찰안.xls]_____xls_1621"/>
      <sheetName val="[입찰안.xls][입찰안.xls]_____xls_1622"/>
      <sheetName val="[입찰안.xls][입찰안.xls]_____xls_1623"/>
      <sheetName val="[입찰안.xls][입찰안.xls]_____xls_1625"/>
      <sheetName val="[입찰안.xls][입찰안.xls]_____xls_1624"/>
      <sheetName val="[입찰안.xls][입찰안.xls]_____xls_1626"/>
      <sheetName val="[입찰안.xls][입찰안.xls]_____xls_1630"/>
      <sheetName val="[입찰안.xls][입찰안.xls]_____xls_1627"/>
      <sheetName val="[입찰안.xls][입찰안.xls]_____xls_1628"/>
      <sheetName val="[입찰안.xls][입찰안.xls]_____xls_1629"/>
      <sheetName val="[입찰안.xls][입찰안.xls]_____xls_1635"/>
      <sheetName val="[입찰안.xls][입찰안.xls]_____xls_1631"/>
      <sheetName val="[입찰안.xls][입찰안.xls]_____xls_1632"/>
      <sheetName val="[입찰안.xls][입찰안.xls]_____xls_1633"/>
      <sheetName val="[입찰안.xls][입찰안.xls]_____xls_1634"/>
      <sheetName val="[입찰안.xls][입찰안.xls]_____xls_1636"/>
      <sheetName val="[입찰안.xls][입찰안.xls]_____xls_1637"/>
      <sheetName val="[입찰안.xls][입찰안.xls]_____xls_1638"/>
      <sheetName val="[입찰안.xls][입찰안.xls]_____xls_1649"/>
      <sheetName val="[입찰안.xls][입찰안.xls]_____xls_1643"/>
      <sheetName val="[입찰안.xls][입찰안.xls]_____xls_1639"/>
      <sheetName val="[입찰안.xls][입찰안.xls]_____xls_1640"/>
      <sheetName val="[입찰안.xls][입찰안.xls]_____xls_1641"/>
      <sheetName val="[입찰안.xls][입찰안.xls]_____xls_1642"/>
      <sheetName val="[입찰안.xls][입찰안.xls]_____xls_1644"/>
      <sheetName val="[입찰안.xls][입찰안.xls]_____xls_1645"/>
      <sheetName val="[입찰안.xls][입찰안.xls]_____xls_1647"/>
      <sheetName val="[입찰안.xls][입찰안.xls]_____xls_1646"/>
      <sheetName val="[입찰안.xls][입찰안.xls]_____xls_1648"/>
      <sheetName val="[입찰안.xls][입찰안.xls]_____xls_1668"/>
      <sheetName val="[입찰안.xls][입찰안.xls]_____xls_1650"/>
      <sheetName val="[입찰안.xls][입찰안.xls]_____xls_1651"/>
      <sheetName val="[입찰안.xls][입찰안.xls]_____xls_1652"/>
      <sheetName val="[입찰안.xls][입찰안.xls]_____xls_1655"/>
      <sheetName val="[입찰안.xls][입찰안.xls]_____xls_1654"/>
      <sheetName val="[입찰안.xls][입찰안.xls]_____xls_1656"/>
      <sheetName val="[입찰안.xls][입찰안.xls]_____xls_1657"/>
      <sheetName val="[입찰안.xls][입찰안.xls]_____xls_1658"/>
      <sheetName val="[입찰안.xls][입찰안.xls]_____xls_1659"/>
      <sheetName val="[입찰안.xls][입찰안.xls]_____xls_1662"/>
      <sheetName val="[입찰안.xls][입찰안.xls]_____xls_1660"/>
      <sheetName val="[입찰안.xls][입찰안.xls]_____xls_1661"/>
      <sheetName val="[입찰안.xls][입찰안.xls]_____xls_1675"/>
      <sheetName val="[입찰안.xls][입찰안.xls]_____xls_1663"/>
      <sheetName val="[입찰안.xls][입찰안.xls]_____xls_1664"/>
      <sheetName val="[입찰안.xls][입찰안.xls]_____xls_1667"/>
      <sheetName val="[입찰안.xls][입찰안.xls]_____xls_1665"/>
      <sheetName val="[입찰안.xls][입찰안.xls]_____xls_1666"/>
      <sheetName val="[입찰안.xls][입찰안.xls]_____xls_1671"/>
      <sheetName val="[입찰안.xls][입찰안.xls]_____xls_1669"/>
      <sheetName val="[입찰안.xls][입찰안.xls]_____xls_1670"/>
      <sheetName val="[입찰안.xls][입찰안.xls]_____xls_1672"/>
      <sheetName val="[입찰안.xls][입찰안.xls]_____xls_1673"/>
      <sheetName val="[입찰안.xls][입찰안.xls]_____xls_1674"/>
      <sheetName val="[입찰안.xls][입찰안.xls]_____xls_1681"/>
      <sheetName val="[입찰안.xls][입찰안.xls]_____xls_1676"/>
      <sheetName val="[입찰안.xls][입찰안.xls]_____xls_1677"/>
      <sheetName val="[입찰안.xls][입찰안.xls]_____xls_1678"/>
      <sheetName val="[입찰안.xls][입찰안.xls]_____xls_1679"/>
      <sheetName val="[입찰안.xls][입찰안.xls]_____xls_1680"/>
      <sheetName val="[입찰안.xls][입찰안.xls]_____xls_1686"/>
      <sheetName val="[입찰안.xls][입찰안.xls]_____xls_1682"/>
      <sheetName val="[입찰안.xls][입찰안.xls]_____xls_1683"/>
      <sheetName val="[입찰안.xls][입찰안.xls]_____xls_1684"/>
      <sheetName val="[입찰안.xls][입찰안.xls]_____xls_1685"/>
      <sheetName val="[입찰안.xls][입찰안.xls]_____xls_1693"/>
      <sheetName val="[입찰안.xls][입찰안.xls]_____xls_1695"/>
      <sheetName val="[입찰안.xls][입찰안.xls]_____xls_1694"/>
      <sheetName val="[입찰안.xls][입찰안.xls]_____xls_1687"/>
      <sheetName val="[입찰안.xls][입찰안.xls]_____xls_1688"/>
      <sheetName val="[입찰안.xls][입찰안.xls]_____xls_1689"/>
      <sheetName val="[입찰안.xls][입찰안.xls]_____xls_1690"/>
      <sheetName val="[입찰안.xls][입찰안.xls]_____xls_1691"/>
      <sheetName val="[입찰안.xls][입찰안.xls]_____xls_1692"/>
      <sheetName val="[입찰안.xls][입찰안.xls]_____xls_1707"/>
      <sheetName val="[입찰안.xls][입찰안.xls]_____xls_1708"/>
      <sheetName val="[입찰안.xls][입찰안.xls]_____xls_1698"/>
      <sheetName val="[입찰안.xls][입찰안.xls]_____xls_1696"/>
      <sheetName val="[입찰안.xls][입찰안.xls]_____xls_1697"/>
      <sheetName val="[입찰안.xls][입찰안.xls]_____xls_1699"/>
      <sheetName val="[입찰안.xls][입찰안.xls]_____xls_1700"/>
      <sheetName val="[입찰안.xls][입찰안.xls]_____xls_1701"/>
      <sheetName val="[입찰안.xls][입찰안.xls]_____xls_1702"/>
      <sheetName val="[입찰안.xls][입찰안.xls]_____xls_1703"/>
      <sheetName val="[입찰안.xls][입찰안.xls]_____xls_1704"/>
      <sheetName val="[입찰안.xls][입찰안.xls]_____xls_1705"/>
      <sheetName val="[입찰안.xls][입찰안.xls]_____xls_1706"/>
      <sheetName val="[입찰안.xls][입찰안.xls]_____xls_1739"/>
      <sheetName val="[입찰안.xls][입찰안.xls]_____xls_1733"/>
      <sheetName val="[입찰안.xls][입찰안.xls]_____xls_1730"/>
      <sheetName val="[입찰안.xls][입찰안.xls]_____xls_1715"/>
      <sheetName val="[입찰안.xls][입찰안.xls]_____xls_1709"/>
      <sheetName val="[입찰안.xls][입찰안.xls]_____xls_1710"/>
      <sheetName val="[입찰안.xls][입찰안.xls]_____xls_1711"/>
      <sheetName val="[입찰안.xls][입찰안.xls]_____xls_1713"/>
      <sheetName val="[입찰안.xls][입찰안.xls]_____xls_1712"/>
      <sheetName val="[입찰안.xls][입찰안.xls]_____xls_1714"/>
      <sheetName val="[입찰안.xls][입찰안.xls]_____xls_1723"/>
      <sheetName val="[입찰안.xls][입찰안.xls]_____xls_1719"/>
      <sheetName val="[입찰안.xls][입찰안.xls]_____xls_1718"/>
      <sheetName val="[입찰안.xls][입찰안.xls]_____xls_1716"/>
      <sheetName val="[입찰안.xls][입찰안.xls]_____xls_1717"/>
      <sheetName val="[입찰안.xls][입찰안.xls]_____xls_1720"/>
      <sheetName val="[입찰안.xls][입찰안.xls]_____xls_1721"/>
      <sheetName val="[입찰안.xls][입찰안.xls]_____xls_1722"/>
      <sheetName val="[입찰안.xls][입찰안.xls]_____xls_1725"/>
      <sheetName val="[입찰안.xls][입찰안.xls]_____xls_1724"/>
      <sheetName val="[입찰안.xls][입찰안.xls]_____xls_1729"/>
      <sheetName val="[입찰안.xls][입찰안.xls]_____xls_1726"/>
      <sheetName val="[입찰안.xls][입찰안.xls]_____xls_1727"/>
      <sheetName val="[입찰안.xls][입찰안.xls]_____xls_1728"/>
      <sheetName val="[입찰안.xls][입찰안.xls]_____xls_1731"/>
      <sheetName val="[입찰안.xls][입찰안.xls]_____xls_1732"/>
      <sheetName val="[입찰안.xls][입찰안.xls]_____xls_1734"/>
      <sheetName val="[입찰안.xls][입찰안.xls]_____xls_1736"/>
      <sheetName val="[입찰안.xls][입찰안.xls]_____xls_1735"/>
      <sheetName val="[입찰안.xls][입찰안.xls]_____xls_1737"/>
      <sheetName val="[입찰안.xls][입찰안.xls]_____xls_1738"/>
      <sheetName val="[입찰안.xls][입찰안.xls]_____xls_1787"/>
      <sheetName val="[입찰안.xls][입찰안.xls]_____xls_1740"/>
      <sheetName val="[입찰안.xls][입찰안.xls]_____xls_1746"/>
      <sheetName val="[입찰안.xls][입찰안.xls]_____xls_1741"/>
      <sheetName val="[입찰안.xls][입찰안.xls]_____xls_1742"/>
      <sheetName val="[입찰안.xls][입찰안.xls]_____xls_1745"/>
      <sheetName val="[입찰안.xls][입찰안.xls]_____xls_1743"/>
      <sheetName val="[입찰안.xls][입찰안.xls]_____xls_1744"/>
      <sheetName val="[입찰안.xls][입찰안.xls]_____xls_1750"/>
      <sheetName val="[입찰안.xls][입찰안.xls]_____xls_1747"/>
      <sheetName val="[입찰안.xls][입찰안.xls]_____xls_1758"/>
      <sheetName val="[입찰안.xls][입찰안.xls]_____xls_1748"/>
      <sheetName val="[입찰안.xls][입찰안.xls]_____xls_1749"/>
      <sheetName val="[입찰안.xls][입찰안.xls]_____xls_1751"/>
      <sheetName val="[입찰안.xls][입찰안.xls]_____xls_1752"/>
      <sheetName val="[입찰안.xls][입찰안.xls]_____xls_1753"/>
      <sheetName val="[입찰안.xls][입찰안.xls]_____xls_1754"/>
      <sheetName val="[입찰안.xls][입찰안.xls]_____xls_1755"/>
      <sheetName val="[입찰안.xls][입찰안.xls]_____xls_1756"/>
      <sheetName val="[입찰안.xls][입찰안.xls]_____xls_1757"/>
      <sheetName val="[입찰안.xls][입찰안.xls]_____xls_1761"/>
      <sheetName val="[입찰안.xls][입찰안.xls]_____xls_1759"/>
      <sheetName val="[입찰안.xls][입찰안.xls]_____xls_1768"/>
      <sheetName val="[입찰안.xls][입찰안.xls]_____xls_1760"/>
      <sheetName val="[입찰안.xls][입찰안.xls]_____xls_1762"/>
      <sheetName val="[입찰안.xls][입찰안.xls]_____xls_1763"/>
      <sheetName val="[입찰안.xls][입찰안.xls]_____xls_1764"/>
      <sheetName val="[입찰안.xls][입찰안.xls]_____xls_1769"/>
      <sheetName val="[입찰안.xls][입찰안.xls]_____xls_1765"/>
      <sheetName val="[입찰안.xls][입찰안.xls]_____xls_1766"/>
      <sheetName val="[입찰안.xls][입찰안.xls]_____xls_1767"/>
      <sheetName val="[입찰안.xls][입찰안.xls]_____xls_1770"/>
      <sheetName val="[입찰안.xls][입찰안.xls]_____xls_1772"/>
      <sheetName val="[입찰안.xls][입찰안.xls]_____xls_1774"/>
      <sheetName val="[입찰안.xls][입찰안.xls]_____xls_1771"/>
      <sheetName val="[입찰안.xls][입찰안.xls]_____xls_1773"/>
      <sheetName val="[입찰안.xls][입찰안.xls]_____xls_1775"/>
      <sheetName val="[입찰안.xls][입찰안.xls]_____xls_1776"/>
      <sheetName val="[입찰안.xls][입찰안.xls]_____xls_1827"/>
      <sheetName val="[입찰안.xls][입찰안.xls]_____xls_1777"/>
      <sheetName val="[입찰안.xls][입찰안.xls]_____xls_1778"/>
      <sheetName val="[입찰안.xls][입찰안.xls]_____xls_1828"/>
      <sheetName val="[입찰안.xls][입찰안.xls]_____xls_1779"/>
      <sheetName val="[입찰안.xls][입찰안.xls]_____xls_1780"/>
      <sheetName val="[입찰안.xls][입찰안.xls]_____xls_1781"/>
      <sheetName val="[입찰안.xls][입찰안.xls]_____xls_1782"/>
      <sheetName val="[입찰안.xls][입찰안.xls]_____xls_1783"/>
      <sheetName val="[입찰안.xls][입찰안.xls]_____xls_1784"/>
      <sheetName val="[입찰안.xls][입찰안.xls]_____xls_1785"/>
      <sheetName val="[입찰안.xls][입찰안.xls]_____xls_1786"/>
      <sheetName val="[입찰안.xls][입찰안.xls]_____xls_1788"/>
      <sheetName val="[입찰안.xls][입찰안.xls]_____xls_1793"/>
      <sheetName val="[입찰안.xls][입찰안.xls]_____xls_1801"/>
      <sheetName val="[입찰안.xls][입찰안.xls]_____xls_1789"/>
      <sheetName val="[입찰안.xls][입찰안.xls]_____xls_1790"/>
      <sheetName val="[입찰안.xls][입찰안.xls]_____xls_1791"/>
      <sheetName val="[입찰안.xls][입찰안.xls]_____xls_1792"/>
      <sheetName val="[입찰안.xls][입찰안.xls]_____xls_1794"/>
      <sheetName val="[입찰안.xls][입찰안.xls]_____xls_1802"/>
      <sheetName val="[입찰안.xls][입찰안.xls]_____xls_1795"/>
      <sheetName val="[입찰안.xls][입찰안.xls]_____xls_1796"/>
      <sheetName val="[입찰안.xls][입찰안.xls]_____xls_1797"/>
      <sheetName val="[입찰안.xls][입찰안.xls]_____xls_1798"/>
      <sheetName val="[입찰안.xls][입찰안.xls]_____xls_1799"/>
      <sheetName val="[입찰안.xls][입찰안.xls]_____xls_1800"/>
      <sheetName val="[입찰안.xls][입찰안.xls]_____xls_1815"/>
      <sheetName val="[입찰안.xls][입찰안.xls]_____xls_1803"/>
      <sheetName val="[입찰안.xls][입찰안.xls]_____xls_1804"/>
      <sheetName val="[입찰안.xls][입찰안.xls]_____xls_1805"/>
      <sheetName val="[입찰안.xls][입찰안.xls]_____xls_1806"/>
      <sheetName val="[입찰안.xls][입찰안.xls]_____xls_1807"/>
      <sheetName val="[입찰안.xls][입찰안.xls]_____xls_1811"/>
      <sheetName val="[입찰안.xls][입찰안.xls]_____xls_1808"/>
      <sheetName val="[입찰안.xls][입찰안.xls]_____xls_1809"/>
      <sheetName val="[입찰안.xls][입찰안.xls]_____xls_1810"/>
      <sheetName val="[입찰안.xls][입찰안.xls]_____xls_1813"/>
      <sheetName val="[입찰안.xls][입찰안.xls]_____xls_1812"/>
      <sheetName val="[입찰안.xls][입찰안.xls]_____xls_1814"/>
      <sheetName val="[입찰안.xls][입찰안.xls]_____xls_1816"/>
      <sheetName val="[입찰안.xls][입찰안.xls]_____xls_1819"/>
      <sheetName val="[입찰안.xls][입찰안.xls]_____xls_1817"/>
      <sheetName val="[입찰안.xls][입찰안.xls]_____xls_1818"/>
      <sheetName val="[입찰안.xls][입찰안.xls]_____xls_1820"/>
      <sheetName val="[입찰안.xls][입찰안.xls]_____xls_1824"/>
      <sheetName val="[입찰안.xls][입찰안.xls]_____xls_1821"/>
      <sheetName val="[입찰안.xls][입찰안.xls]_____xls_1822"/>
      <sheetName val="[입찰안.xls][입찰안.xls]_____xls_1823"/>
      <sheetName val="[입찰안.xls][입찰안.xls]_____xls_1825"/>
      <sheetName val="[입찰안.xls][입찰안.xls]_____xls_1826"/>
      <sheetName val="[입찰안.xls][입찰안.xls]_____xls_1842"/>
      <sheetName val="[입찰안.xls][입찰안.xls]_____xls_1855"/>
      <sheetName val="[입찰안.xls][입찰안.xls]_____xls_1844"/>
      <sheetName val="[입찰안.xls][입찰안.xls]_____xls_1830"/>
      <sheetName val="[입찰안.xls][입찰안.xls]_____xls_1829"/>
      <sheetName val="[입찰안.xls][입찰안.xls]_____xls_1833"/>
      <sheetName val="[입찰안.xls][입찰안.xls]_____xls_1831"/>
      <sheetName val="[입찰안.xls][입찰안.xls]_____xls_1832"/>
      <sheetName val="[입찰안.xls][입찰안.xls]_____xls_1835"/>
      <sheetName val="[입찰안.xls][입찰안.xls]_____xls_1834"/>
      <sheetName val="[입찰안.xls][입찰안.xls]_____xls_1837"/>
      <sheetName val="[입찰안.xls][입찰안.xls]_____xls_1836"/>
      <sheetName val="[입찰안.xls][입찰안.xls]_____xls_1838"/>
      <sheetName val="[입찰안.xls][입찰안.xls]_____xls_1839"/>
      <sheetName val="[입찰안.xls][입찰안.xls]_____xls_1840"/>
      <sheetName val="[입찰안.xls][입찰안.xls]_____xls_1841"/>
      <sheetName val="[입찰안.xls][입찰안.xls]_____xls_1843"/>
      <sheetName val="[입찰안.xls][입찰안.xls]_____xls_1857"/>
      <sheetName val="[입찰안.xls][입찰안.xls]_____xls_1899"/>
      <sheetName val="[입찰안.xls][입찰안.xls]_____xls_1845"/>
      <sheetName val="[입찰안.xls][입찰안.xls]_____xls_1846"/>
      <sheetName val="[입찰안.xls][입찰안.xls]_____xls_1847"/>
      <sheetName val="[입찰안.xls][입찰안.xls]_____xls_1848"/>
      <sheetName val="[입찰안.xls][입찰안.xls]_____xls_1849"/>
      <sheetName val="[입찰안.xls][입찰안.xls]_____xls_1850"/>
      <sheetName val="[입찰안.xls][입찰안.xls]_____xls_1851"/>
      <sheetName val="[입찰안.xls][입찰안.xls]_____xls_1852"/>
      <sheetName val="[입찰안.xls][입찰안.xls]_____xls_1853"/>
      <sheetName val="[입찰안.xls][입찰안.xls]_____xls_1854"/>
      <sheetName val="[입찰안.xls][입찰안.xls]_____xls_1856"/>
      <sheetName val="[입찰안.xls][입찰안.xls]_____xls_1861"/>
      <sheetName val="[입찰안.xls][입찰안.xls]_____xls_1860"/>
      <sheetName val="[입찰안.xls][입찰안.xls]_____xls_1859"/>
      <sheetName val="[입찰안.xls][입찰안.xls]_____xls_1858"/>
      <sheetName val="[입찰안.xls][입찰안.xls]_____xls_1909"/>
      <sheetName val="[입찰안.xls][입찰안.xls]_____xls_1862"/>
      <sheetName val="[입찰안.xls][입찰안.xls]_____xls_1863"/>
      <sheetName val="[입찰안.xls][입찰안.xls]_____xls_1864"/>
      <sheetName val="[입찰안.xls][입찰안.xls]_____xls_1865"/>
      <sheetName val="[입찰안.xls][입찰안.xls]_____xls_1866"/>
      <sheetName val="[입찰안.xls][입찰안.xls]_____xls_1867"/>
      <sheetName val="[입찰안.xls][입찰안.xls]_____xls_1868"/>
      <sheetName val="[입찰안.xls][입찰안.xls]_____xls_1869"/>
      <sheetName val="[입찰안.xls][입찰안.xls]_____xls_1870"/>
      <sheetName val="[입찰안.xls][입찰안.xls]_____xls_1871"/>
      <sheetName val="[입찰안.xls][입찰안.xls]_____xls_1872"/>
      <sheetName val="[입찰안.xls][입찰안.xls]_____xls_1874"/>
      <sheetName val="[입찰안.xls][입찰안.xls]_____xls_1873"/>
      <sheetName val="[입찰안.xls][입찰안.xls]_____xls_1875"/>
      <sheetName val="[입찰안.xls][입찰안.xls]_____xls_1877"/>
      <sheetName val="[입찰안.xls][입찰안.xls]_____xls_1876"/>
      <sheetName val="[입찰안.xls][입찰안.xls]_____xls_1878"/>
      <sheetName val="[입찰안.xls][입찰안.xls]_____xls_1879"/>
      <sheetName val="[입찰안.xls][입찰안.xls]_____xls_1880"/>
      <sheetName val="[입찰안.xls][입찰안.xls]_____xls_1881"/>
      <sheetName val="[입찰안.xls][입찰안.xls]_____xls_1882"/>
      <sheetName val="[입찰안.xls][입찰안.xls]_____xls_1891"/>
      <sheetName val="[입찰안.xls][입찰안.xls]_____xls_1883"/>
      <sheetName val="[입찰안.xls][입찰안.xls]_____xls_1884"/>
      <sheetName val="[입찰안.xls][입찰안.xls]_____xls_1885"/>
      <sheetName val="[입찰안.xls][입찰안.xls]_____xls_1886"/>
      <sheetName val="[입찰안.xls][입찰안.xls]_____xls_1889"/>
      <sheetName val="[입찰안.xls][입찰안.xls]_____xls_1887"/>
      <sheetName val="[입찰안.xls][입찰안.xls]_____xls_1888"/>
      <sheetName val="[입찰안.xls][입찰안.xls]_____xls_1890"/>
      <sheetName val="[입찰안.xls][입찰안.xls]_____xls_1894"/>
      <sheetName val="[입찰안.xls][입찰안.xls]_____xls_1892"/>
      <sheetName val="[입찰안.xls][입찰안.xls]_____xls_1893"/>
      <sheetName val="[입찰안.xls][입찰안.xls]_____xls_1895"/>
      <sheetName val="[입찰안.xls][입찰안.xls]_____xls_1896"/>
      <sheetName val="[입찰안.xls][입찰안.xls]_____xls_1897"/>
      <sheetName val="[입찰안.xls][입찰안.xls]_____xls_1898"/>
      <sheetName val="[입찰안.xls][입찰안.xls]_____xls_1902"/>
      <sheetName val="[입찰안.xls][입찰안.xls]_____xls_1900"/>
      <sheetName val="[입찰안.xls][입찰안.xls]_____xls_1901"/>
      <sheetName val="[입찰안.xls][입찰안.xls]_____xls_1914"/>
      <sheetName val="[입찰안.xls][입찰안.xls]_____xls_1903"/>
      <sheetName val="[입찰안.xls][입찰안.xls]_____xls_1905"/>
      <sheetName val="[입찰안.xls][입찰안.xls]_____xls_1904"/>
      <sheetName val="[입찰안.xls][입찰안.xls]_____xls_1906"/>
      <sheetName val="[입찰안.xls][입찰안.xls]_____xls_1907"/>
      <sheetName val="[입찰안.xls][입찰안.xls]_____xls_1908"/>
      <sheetName val="[입찰안.xls][입찰안.xls]_____xls_1928"/>
      <sheetName val="[입찰안.xls][입찰안.xls]_____xls_1913"/>
      <sheetName val="[입찰안.xls][입찰안.xls]_____xls_1911"/>
      <sheetName val="[입찰안.xls][입찰안.xls]_____xls_1910"/>
      <sheetName val="[입찰안.xls][입찰안.xls]_____xls_1912"/>
      <sheetName val="[입찰안.xls][입찰안.xls]_____xls_1917"/>
      <sheetName val="[입찰안.xls][입찰안.xls]_____xls_1916"/>
      <sheetName val="[입찰안.xls][입찰안.xls]_____xls_1915"/>
      <sheetName val="[입찰안.xls][입찰안.xls]_____xls_1925"/>
      <sheetName val="[입찰안.xls][입찰안.xls]_____xls_1920"/>
      <sheetName val="[입찰안.xls][입찰안.xls]_____xls_1918"/>
      <sheetName val="[입찰안.xls][입찰안.xls]_____xls_1919"/>
      <sheetName val="[입찰안.xls][입찰안.xls]_____xls_1924"/>
      <sheetName val="[입찰안.xls][입찰안.xls]_____xls_1921"/>
      <sheetName val="[입찰안.xls][입찰안.xls]_____xls_1922"/>
      <sheetName val="[입찰안.xls][입찰안.xls]_____xls_1923"/>
      <sheetName val="[입찰안.xls][입찰안.xls]_____xls_1926"/>
      <sheetName val="[입찰안.xls][입찰안.xls]_____xls_1927"/>
      <sheetName val="[입찰안.xls][입찰안.xls]_____xls_1929"/>
      <sheetName val="[입찰안.xls][입찰안.xls]_____xls_1930"/>
      <sheetName val="[입찰안.xls][입찰안.xls]_____xls_1932"/>
      <sheetName val="[입찰안.xls][입찰안.xls]_____xls_1953"/>
      <sheetName val="[입찰안.xls][입찰안.xls]_____xls_1931"/>
      <sheetName val="[입찰안.xls][입찰안.xls]_____xls_1939"/>
      <sheetName val="[입찰안.xls][입찰안.xls]_____xls_1933"/>
      <sheetName val="[입찰안.xls][입찰안.xls]_____xls_1934"/>
      <sheetName val="[입찰안.xls][입찰안.xls]_____xls_1935"/>
      <sheetName val="[입찰안.xls][입찰안.xls]_____xls_1936"/>
      <sheetName val="[입찰안.xls][입찰안.xls]_____xls_1937"/>
      <sheetName val="[입찰안.xls][입찰안.xls]_____xls_1938"/>
      <sheetName val="[입찰안.xls][입찰안.xls]_____xls_1941"/>
      <sheetName val="[입찰안.xls][입찰안.xls]_____xls_1940"/>
      <sheetName val="[입찰안.xls][입찰안.xls]_____xls_1942"/>
      <sheetName val="[입찰안.xls][입찰안.xls]_____xls_1954"/>
      <sheetName val="[입찰안.xls][입찰안.xls]_____xls_1943"/>
      <sheetName val="[입찰안.xls][입찰안.xls]_____xls_1949"/>
      <sheetName val="[입찰안.xls][입찰안.xls]_____xls_1944"/>
      <sheetName val="[입찰안.xls][입찰안.xls]_____xls_1945"/>
      <sheetName val="[입찰안.xls][입찰안.xls]_____xls_1946"/>
      <sheetName val="[입찰안.xls][입찰안.xls]_____xls_1947"/>
      <sheetName val="[입찰안.xls][입찰안.xls]_____xls_1948"/>
      <sheetName val="[입찰안.xls][입찰안.xls]_____xls_1950"/>
      <sheetName val="[입찰안.xls][입찰안.xls]_____xls_1951"/>
      <sheetName val="[입찰안.xls][입찰안.xls]_____xls_1952"/>
      <sheetName val="[입찰안.xls][입찰안.xls]_____xls_1957"/>
      <sheetName val="[입찰안.xls][입찰안.xls]_____xls_1956"/>
      <sheetName val="[입찰안.xls][입찰안.xls]_____xls_1955"/>
      <sheetName val="[입찰안.xls][입찰안.xls]_____xls_1971"/>
      <sheetName val="[입찰안.xls][입찰안.xls]_____xls_1958"/>
      <sheetName val="[입찰안.xls][입찰안.xls]_____xls_1959"/>
      <sheetName val="[입찰안.xls][입찰안.xls]_____xls_1961"/>
      <sheetName val="[입찰안.xls][입찰안.xls]_____xls_1960"/>
      <sheetName val="[입찰안.xls][입찰안.xls]_____xls_1962"/>
      <sheetName val="[입찰안.xls][입찰안.xls]_____xls_1963"/>
      <sheetName val="[입찰안.xls][입찰안.xls]_____xls_1965"/>
      <sheetName val="[입찰안.xls][입찰안.xls]_____xls_1964"/>
      <sheetName val="[입찰안.xls][입찰안.xls]_____xls_1966"/>
      <sheetName val="[입찰안.xls][입찰안.xls]_____xls_1967"/>
      <sheetName val="[입찰안.xls][입찰안.xls]_____xls_1968"/>
      <sheetName val="[입찰안.xls][입찰안.xls]_____xls_1969"/>
      <sheetName val="[입찰안.xls][입찰안.xls]_____xls_1970"/>
      <sheetName val="[입찰안.xls][입찰안.xls]_____xls_1972"/>
      <sheetName val="[입찰안.xls][입찰안.xls]_____xls_1979"/>
      <sheetName val="[입찰안.xls][입찰안.xls]_____xls_1978"/>
      <sheetName val="[입찰안.xls][입찰안.xls]_____xls_1980"/>
      <sheetName val="[입찰안.xls][입찰안.xls]_____xls_1976"/>
      <sheetName val="[입찰안.xls][입찰안.xls]_____xls_1977"/>
      <sheetName val="[입찰안.xls][입찰안.xls]_____xls_1981"/>
      <sheetName val="[입찰안.xls][입찰안.xls]_____xls_1984"/>
      <sheetName val="[입찰안.xls][입찰안.xls]_____xls_1982"/>
      <sheetName val="[입찰안.xls][입찰안.xls]_____xls_1983"/>
      <sheetName val="[입찰안.xls][입찰안.xls]_____xls_1985"/>
      <sheetName val="[입찰안.xls][입찰안.xls]_____xls_1986"/>
      <sheetName val="[입찰안.xls][입찰안.xls]_____xls_1987"/>
      <sheetName val="조선용암면"/>
      <sheetName val="Báo cáo"/>
      <sheetName val="Báo_cáo"/>
      <sheetName val="6MONTHS"/>
      <sheetName val="Cst Pkg-Eden"/>
      <sheetName val="대비표"/>
      <sheetName val="MTP"/>
      <sheetName val="Unt rate SS"/>
      <sheetName val="Báo_cáo1"/>
      <sheetName val="수량산출서집²_x0000_㘀_x0000__x0000__x0000__x0000_"/>
      <sheetName val="덕_x0000_靰"/>
      <sheetName val="[입찰안.xls][입찰안.xls]_____xls_1988"/>
      <sheetName val="[입찰안.xls][입찰안.xls]_____xls_1990"/>
      <sheetName val="[입찰안.xls][입찰안.xls]_____xls_1991"/>
      <sheetName val="[입찰안.xls][입찰안.xls]_____xls_1993"/>
      <sheetName val="[입찰안.xls][입찰안.xls]_____xls_1994"/>
      <sheetName val="[입찰안.xls][입찰안.xls]_____xls_1997"/>
      <sheetName val="[입찰안.xls][입찰안.xls]_____xls_2000"/>
      <sheetName val="[입찰안.xls][입찰안.xls]_____xls_1998"/>
      <sheetName val="[입찰안.xls][입찰안.xls]_____xls_1999"/>
      <sheetName val="[입찰안.xls][입찰안.xls]_____xls_2001"/>
      <sheetName val="[입찰안.xls][입찰안.xls]_____xls_2003"/>
      <sheetName val="[입찰안.xls][입찰안.xls]_____xls_2002"/>
      <sheetName val="[입찰안.xls][입찰안.xls]_____xls_2004"/>
      <sheetName val="[입찰안.xls][입찰안.xls]_____xls_2005"/>
      <sheetName val="[입찰안.xls][입찰안.xls]_____xls_2006"/>
      <sheetName val="확약서"/>
      <sheetName val="_입찰안.xls__입찰안.xls__입찰안.xls_B_30"/>
      <sheetName val="_입찰안.xls__입찰안.xls__입찰안.xls_B_31"/>
      <sheetName val="_입찰안.xls__입찰안.xls__입찰안.xls_B_32"/>
      <sheetName val="_입찰안.xls__입찰안.xls__입찰안.xls_B_47"/>
      <sheetName val="_입찰안.xls__입찰안.xls__입찰안.xls_B_46"/>
      <sheetName val="_입찰안.xls__입찰안.xls__입찰안.xls_B_45"/>
      <sheetName val="_입찰안.xls__입찰안.xls__입찰안.xls_B_33"/>
      <sheetName val="_입찰안.xls__입찰안.xls__입찰안.xls_B_35"/>
      <sheetName val="_입찰안.xls__입찰안.xls__입찰안.xls_B_40"/>
      <sheetName val="_입찰안.xls__입찰안.xls__입찰안.xls_B_34"/>
      <sheetName val="_입찰안.xls__입찰안.xls__입찰안.xls_B_41"/>
      <sheetName val="_입찰안.xls__입찰안.xls__입찰안.xls_B_36"/>
      <sheetName val="_입찰안.xls__입찰안.xls__입찰안.xls_B_37"/>
      <sheetName val="_입찰안.xls__입찰안.xls__입찰안.xls_B_42"/>
      <sheetName val="_입찰안.xls__입찰안.xls__입찰안.xls_B_38"/>
      <sheetName val="_입찰안.xls__입찰안.xls__입찰안.xls_B_39"/>
      <sheetName val="_입찰안.xls__입찰안.xls__입찰안.xls_B_43"/>
      <sheetName val="_입찰안.xls__입찰안.xls__입찰안.xls_B_44"/>
      <sheetName val="_입찰안.xls__입찰안.xls__입찰안.xls_B_48"/>
      <sheetName val="_입찰안_xls__입찰안_xls__입찰안_xls____1"/>
      <sheetName val="_입찰안_xls__입찰안_xls__입찰안_xls_B__2"/>
      <sheetName val="_입찰안_xls__입찰안_xls__입찰안_xls_B__3"/>
      <sheetName val="_입찰안_xls__입찰안_xls__입찰안_xls_B__1"/>
      <sheetName val="_입찰안_xls__입찰안_xls__입찰안_xls_B__4"/>
      <sheetName val="_입찰안.xls__입찰안.xls__입찰안.xls_B_53"/>
      <sheetName val="_입찰안.xls__입찰안.xls__입찰안.xls_B_49"/>
      <sheetName val="_입찰안.xls__입찰안.xls__입찰안.xls_B_50"/>
      <sheetName val="_입찰안.xls__입찰안.xls__입찰안.xls_B_51"/>
      <sheetName val="_입찰안.xls__입찰안.xls__입찰안.xls_B_52"/>
      <sheetName val="_입찰안.xls__입찰안.xls__입찰안.xls_B_54"/>
      <sheetName val="_입찰안.xls__입찰안.xls__입찰안.xls_B_55"/>
      <sheetName val="_입찰안.xls__입찰안.xls__입찰안.xls_B_57"/>
      <sheetName val="_입찰안.xls__입찰안.xls__입찰안.xls_B_58"/>
      <sheetName val="_입찰안.xls__입찰안.xls__입찰안.xls_B_56"/>
      <sheetName val="_입찰안.xls__입찰안.xls__입찰안.xls_B_64"/>
      <sheetName val="_입찰안.xls__입찰안.xls__입찰안.xls_B_63"/>
      <sheetName val="_입찰안.xls__입찰안.xls__입찰안.xls_B_62"/>
      <sheetName val="_입찰안.xls__입찰안.xls__입찰안.xls_B_61"/>
      <sheetName val="_입찰안.xls__입찰안.xls__입찰안.xls_B_60"/>
      <sheetName val="_입찰안.xls__입찰안.xls__입찰안.xls_B_59"/>
      <sheetName val="_입찰안.xls__입찰안.xls__입찰안.xls_B_67"/>
      <sheetName val="_입찰안.xls__입찰안.xls__입찰안.xls_B_66"/>
      <sheetName val="_입찰안.xls__입찰안.xls__입찰안.xls_B_65"/>
      <sheetName val="_입찰안.xls__입찰안.xls__입찰안.xls_B_68"/>
      <sheetName val="_입찰안.xls__입찰안.xls__입찰안.xls_B_70"/>
      <sheetName val="_입찰안.xls__입찰안.xls__입찰안.xls_B_69"/>
      <sheetName val="_입찰안.xls__입찰안.xls__입찰안.xls_B_71"/>
      <sheetName val="_입찰안.xls__입찰안.xls__입찰안.xls_B_84"/>
      <sheetName val="_입찰안.xls__입찰안.xls__입찰안.xls_B_86"/>
      <sheetName val="_입찰안.xls__입찰안.xls__입찰안.xls_B_85"/>
      <sheetName val="_입찰안.xls__입찰안.xls__입찰안.xls_B_82"/>
      <sheetName val="_입찰안.xls__입찰안.xls__입찰안.xls_B_73"/>
      <sheetName val="_입찰안.xls__입찰안.xls__입찰안.xls_B_72"/>
      <sheetName val="_입찰안.xls__입찰안.xls__입찰안.xls_B_77"/>
      <sheetName val="_입찰안.xls__입찰안.xls__입찰안.xls_B_83"/>
      <sheetName val="_입찰안.xls__입찰안.xls__입찰안.xls_B_74"/>
      <sheetName val="_입찰안.xls__입찰안.xls__입찰안.xls_B_75"/>
      <sheetName val="_입찰안.xls__입찰안.xls__입찰안.xls_B_76"/>
      <sheetName val="_입찰안.xls__입찰안.xls__입찰안.xls_B_79"/>
      <sheetName val="_입찰안.xls__입찰안.xls__입찰안.xls_B_78"/>
      <sheetName val="_입찰안.xls__입찰안.xls__입찰안.xls_B_80"/>
      <sheetName val="_입찰안.xls__입찰안.xls__입찰안.xls_B_81"/>
      <sheetName val="_입찰안.xls__입찰안.xls__입찰안.xls_B_88"/>
      <sheetName val="_입찰안.xls__입찰안.xls__입찰안.xls_B_87"/>
      <sheetName val="_입찰안.xls__입찰안.xls__입찰안.xls_B_95"/>
      <sheetName val="_입찰안.xls__입찰안.xls__입찰안.xls_B_97"/>
      <sheetName val="_입찰안.xls__입찰안.xls__입찰안.xls_B_96"/>
      <sheetName val="_입찰안.xls__입찰안.xls__입찰안.xls_B_89"/>
      <sheetName val="_입찰안.xls__입찰안.xls__입찰안.xls_B_90"/>
      <sheetName val="_입찰안.xls__입찰안.xls__입찰안.xls_B_91"/>
      <sheetName val="_입찰안.xls__입찰안.xls__입찰안.xls_B_93"/>
      <sheetName val="_입찰안.xls__입찰안.xls__입찰안.xls_B_92"/>
      <sheetName val="_입찰안.xls__입찰안.xls__입찰안.xls_B_94"/>
      <sheetName val="_입찰안.xls__입찰안.xls__입찰안.xls_B_99"/>
      <sheetName val="_입찰안.xls__입찰안.xls__입찰안.xls__102"/>
      <sheetName val="_입찰안.xls__입찰안.xls__입찰안.xls__101"/>
      <sheetName val="_입찰안.xls__입찰안.xls__입찰안.xls_B_98"/>
      <sheetName val="_입찰안.xls__입찰안.xls__입찰안.xls__103"/>
      <sheetName val="_입찰안.xls__입찰안.xls__입찰안.xls__100"/>
      <sheetName val="_입찰안.xls__입찰안.xls__입찰안.xls__104"/>
      <sheetName val="_입찰안.xls__입찰안.xls__입찰안.xls__105"/>
      <sheetName val="_입찰안.xls__입찰안.xls__입찰안.xls__107"/>
      <sheetName val="_입찰안.xls__입찰안.xls__입찰안.xls__106"/>
      <sheetName val="_입찰안.xls__입찰안.xls__입찰안.xls__108"/>
      <sheetName val="_입찰안.xls__입찰안.xls__입찰안.xls__112"/>
      <sheetName val="_입찰안.xls__입찰안.xls__입찰안.xls__110"/>
      <sheetName val="_입찰안.xls__입찰안.xls__입찰안.xls__109"/>
      <sheetName val="_입찰안.xls__입찰안.xls__입찰안.xls__111"/>
      <sheetName val="1공구원가계산서"/>
      <sheetName val="환율c­_x0000_Ԁ_x0000_쀀"/>
      <sheetName val="_입찰안_xls__입찰안_xls__입찰안_xls_B__6"/>
      <sheetName val="_입찰안_xls__입찰안_xls__입찰안_xls_B__5"/>
      <sheetName val="_입찰안_xls__입찰안_xls__입찰안_xls_B_11"/>
      <sheetName val="_입찰안_xls__입찰안_xls__입찰안_xls_B__7"/>
      <sheetName val="_입찰안_xls__입찰안_xls__입찰안_xls_B__8"/>
      <sheetName val="_입찰안_xls__입찰안_xls__입찰안_xls_B__9"/>
      <sheetName val="_입찰안_xls__입찰안_xls__입찰안_xls_B_10"/>
      <sheetName val="_입찰안_xls__입찰안_xls__입찰안_xls_B_13"/>
      <sheetName val="_입찰안_xls__입찰안_xls__입찰안_xls_B_12"/>
      <sheetName val="_입찰안_xls__입찰안_xls__입찰안_xls_B_14"/>
      <sheetName val="_입찰안_xls__입찰안_xls__입찰안_xls_B_15"/>
      <sheetName val="_입찰안_xls__입찰안_xls__입찰안_xls_B_16"/>
      <sheetName val="_입찰안_xls__입찰안_xls__입찰안_xls_B_17"/>
      <sheetName val="_입찰안_xls__입찰안_xls__입찰안_xls_B_23"/>
      <sheetName val="_입찰안_xls__입찰안_xls__입찰안_xls_B_18"/>
      <sheetName val="_입찰안_xls__입찰안_xls__입찰안_xls_B_19"/>
      <sheetName val="_입찰안_xls__입찰안_xls__입찰안_xls_B_20"/>
      <sheetName val="_입찰안_xls__입찰안_xls__입찰안_xls_B_21"/>
      <sheetName val="_입찰안_xls__입찰안_xls__입찰안_xls_B_22"/>
      <sheetName val="_입찰안_xls__입찰안_xls__입찰안_xls_B_25"/>
      <sheetName val="_입찰안_xls__입찰안_xls__입찰안_xls_B_24"/>
      <sheetName val="_입찰안_xls__입찰안_xls__입찰안_xls_B_26"/>
      <sheetName val="_입찰안_xls__입찰안_xls__입찰안_xls_B_27"/>
      <sheetName val="_입찰안_xls__입찰안_xls__입찰안_xls_B_29"/>
      <sheetName val="_입찰안_xls__입찰안_xls__입찰안_xls_B_28"/>
      <sheetName val="CF"/>
      <sheetName val="(A)내역서"/>
      <sheetName val="인계"/>
      <sheetName val="6__안培¹_x0000__x0000_"/>
      <sheetName val="6__안培ú_x0000__x0000_"/>
      <sheetName val="일위대¼_x0000__x0000__x0000__x0000_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단가조견"/>
      <sheetName val="PSCbeam설계"/>
      <sheetName val="재공품(3)"/>
      <sheetName val="표준원가표(2)"/>
      <sheetName val="design_critఀ_x0002_땚"/>
      <sheetName val="노원열병합__건축공사기성내역ၒ"/>
      <sheetName val="노원열병합__"/>
      <sheetName val="Đơn giá theo m2"/>
      <sheetName val="Bill No.1.6"/>
      <sheetName val="Bill No.1.10"/>
      <sheetName val="Bill No.3.3"/>
      <sheetName val="Bill No.1.4"/>
      <sheetName val="Bill No.1.7"/>
      <sheetName val="Summary Bill No. 3"/>
      <sheetName val="VAT duoc khau tru"/>
      <sheetName val="VAT_duoc_khau_tru"/>
      <sheetName val="건물"/>
      <sheetName val="[입찰안_xls][입찰안_xls][입찰안_xls]_830"/>
      <sheetName val="[입찰안_xls][입찰안_xls][입찰안_xls]_832"/>
      <sheetName val="[입찰안_xls][입찰안_xls][입찰안_xls]_831"/>
      <sheetName val="콤보박스와_리스트박스의_연결"/>
      <sheetName val="chiet_tinh"/>
      <sheetName val="남양시작동자105노65기1_3화1_2"/>
      <sheetName val="plan&amp;section_of_Ā翹조ꤟ"/>
      <sheetName val="노원열병합__츀ɮ"/>
      <sheetName val="[입찰안_xls][입찰안_xls][입찰안_xls]_744"/>
      <sheetName val="[입찰안_xls][입찰안_xls][입찰안_xls]_483"/>
      <sheetName val="[입찰안_xls][입찰안_xls][입찰안_xls]_485"/>
      <sheetName val="[입찰안_xls][입찰안_xls][입찰안_xls]_470"/>
      <sheetName val="[입찰안_xls][입찰안_xls][입찰안_xls]_471"/>
      <sheetName val="[입찰안_xls][입찰안_xls][입찰안_xls]_472"/>
      <sheetName val="[입찰안_xls][입찰안_xls][입찰안_xls]_473"/>
      <sheetName val="[입찰안_xls][입찰안_xls][입찰안_xls]_474"/>
      <sheetName val="[입찰안_xls][입찰안_xls][입찰안_xls]_475"/>
      <sheetName val="[입찰안_xls][입찰안_xls][입찰안_xls]_476"/>
      <sheetName val="[입찰안_xls][입찰안_xls][입찰안_xls]_477"/>
      <sheetName val="[입찰안_xls][입찰안_xls][입찰안_xls]_478"/>
      <sheetName val="[입찰안_xls][입찰안_xls][입찰안_xls]_479"/>
      <sheetName val="[입찰안_xls][입찰안_xls][입찰안_xls]_480"/>
      <sheetName val="[입찰안_xls][입찰안_xls][입찰안_xls]_481"/>
      <sheetName val="[입찰안_xls][입찰안_xls][입찰안_xls]_482"/>
      <sheetName val="[입찰안_xls][입찰안_xls][입찰안_xls]_484"/>
      <sheetName val="[입찰안_xls][입찰안_xls][입찰안_xls]_486"/>
      <sheetName val="[입찰안_xls][입찰안_xls][입찰안_xls]_487"/>
      <sheetName val="[입찰안_xls][입찰안_xls][입찰안_xls]_488"/>
      <sheetName val="[입찰안_xls][입찰안_xls][입찰안_xls]_489"/>
      <sheetName val="[입찰안_xls][입찰안_xls][입찰안_xls]_490"/>
      <sheetName val="[입찰안_xls][입찰안_xls][입찰안_xls]_496"/>
      <sheetName val="[입찰안_xls][입찰안_xls][입찰안_xls]_491"/>
      <sheetName val="[입찰안_xls][입찰안_xls][입찰안_xls]_492"/>
      <sheetName val="[입찰안_xls][입찰안_xls][입찰안_xls]_527"/>
      <sheetName val="[입찰안_xls][입찰안_xls][입찰안_xls]_521"/>
      <sheetName val="[입찰안_xls][입찰안_xls][입찰안_xls]_493"/>
      <sheetName val="[입찰안_xls][입찰안_xls][입찰안_xls]_494"/>
      <sheetName val="[입찰안_xls][입찰안_xls][입찰안_xls]_495"/>
      <sheetName val="[입찰안_xls][입찰안_xls][입찰안_xls]_497"/>
      <sheetName val="[입찰안_xls][입찰안_xls][입찰안_xls]_498"/>
      <sheetName val="[입찰안_xls][입찰안_xls][입찰안_xls]_499"/>
      <sheetName val="[입찰안_xls][입찰안_xls][입찰안_xls]_500"/>
      <sheetName val="[입찰안_xls][입찰안_xls][입찰안_xls]_512"/>
      <sheetName val="[입찰안_xls][입찰안_xls][입찰안_xls]_502"/>
      <sheetName val="[입찰안_xls][입찰안_xls][입찰안_xls]_501"/>
      <sheetName val="[입찰안_xls][입찰안_xls][입찰안_xls]_503"/>
      <sheetName val="[입찰안_xls][입찰안_xls][입찰안_xls]_504"/>
      <sheetName val="[입찰안_xls][입찰안_xls][입찰안_xls]_505"/>
      <sheetName val="[입찰안_xls][입찰안_xls][입찰안_xls]_506"/>
      <sheetName val="[입찰안_xls][입찰안_xls][입찰안_xls]_507"/>
      <sheetName val="[입찰안_xls][입찰안_xls][입찰안_xls]_508"/>
      <sheetName val="[입찰안_xls][입찰안_xls][입찰안_xls]_509"/>
      <sheetName val="[입찰안_xls][입찰안_xls][입찰안_xls]_510"/>
      <sheetName val="[입찰안_xls][입찰안_xls][입찰안_xls]_511"/>
      <sheetName val="[입찰안_xls][입찰안_xls][입찰안_xls]_513"/>
      <sheetName val="[입찰안_xls][입찰안_xls][입찰안_xls]_514"/>
      <sheetName val="[입찰안_xls][입찰안_xls][입찰안_xls]_515"/>
      <sheetName val="[입찰안_xls][입찰안_xls][입찰안_xls]_516"/>
      <sheetName val="[입찰안_xls][입찰안_xls][입찰안_xls]_517"/>
      <sheetName val="[입찰안_xls][입찰안_xls][입찰안_xls]_518"/>
      <sheetName val="[입찰안_xls][입찰안_xls][입찰안_xls]_519"/>
      <sheetName val="[입찰안_xls][입찰안_xls][입찰안_xls]_520"/>
      <sheetName val="[입찰안_xls][입찰안_xls][입찰안_xls]_522"/>
      <sheetName val="[입찰안_xls][입찰안_xls][입찰안_xls]_523"/>
      <sheetName val="[입찰안_xls][입찰안_xls][입찰안_xls]_524"/>
      <sheetName val="[입찰안_xls][입찰안_xls][입찰안_xls]_525"/>
      <sheetName val="[입찰안_xls][입찰안_xls][입찰안_xls]_526"/>
      <sheetName val="[입찰안_xls][입찰안_xls][입찰안_xls]_528"/>
      <sheetName val="[입찰안_xls][입찰안_xls][입찰안_xls]_529"/>
      <sheetName val="[입찰안_xls][입찰안_xls][입찰안_xls]_530"/>
      <sheetName val="[입찰안_xls][입찰안_xls][입찰안_xls]_531"/>
      <sheetName val="[입찰안_xls][입찰안_xls][입찰안_xls]_533"/>
      <sheetName val="[입찰안_xls][입찰안_xls][입찰안_xls]_532"/>
      <sheetName val="[입찰안_xls][입찰안_xls][입찰안_xls]_534"/>
      <sheetName val="[입찰안_xls][입찰안_xls][입찰안_xls]_535"/>
      <sheetName val="[입찰안_xls][입찰안_xls][입찰안_xls]_536"/>
      <sheetName val="[입찰안_xls][입찰안_xls][입찰안_xls]_562"/>
      <sheetName val="[입찰안_xls][입찰안_xls][입찰안_xls]_537"/>
      <sheetName val="[입찰안_xls][입찰안_xls][입찰안_xls]_574"/>
      <sheetName val="[입찰안_xls][입찰안_xls][입찰안_xls]_538"/>
      <sheetName val="[입찰안_xls][입찰안_xls][입찰안_xls]_539"/>
      <sheetName val="[입찰안_xls][입찰안_xls][입찰안_xls]_540"/>
      <sheetName val="[입찰안_xls][입찰안_xls][입찰안_xls]_541"/>
      <sheetName val="[입찰안_xls][입찰안_xls][입찰안_xls]_542"/>
      <sheetName val="[입찰안_xls][입찰안_xls][입찰안_xls]_543"/>
      <sheetName val="[입찰안_xls][입찰안_xls][입찰안_xls]_544"/>
      <sheetName val="[입찰안_xls][입찰안_xls][입찰안_xls]_545"/>
      <sheetName val="[입찰안_xls][입찰안_xls][입찰안_xls]_546"/>
      <sheetName val="[입찰안_xls][입찰안_xls][입찰안_xls]_547"/>
      <sheetName val="[입찰안_xls][입찰안_xls][입찰안_xls]_548"/>
      <sheetName val="[입찰안_xls][입찰안_xls][입찰안_xls]_549"/>
      <sheetName val="[입찰안_xls][입찰안_xls][입찰안_xls]_550"/>
      <sheetName val="[입찰안_xls][입찰안_xls][입찰안_xls]_551"/>
      <sheetName val="[입찰안_xls][입찰안_xls][입찰안_xls]_552"/>
      <sheetName val="[입찰안_xls][입찰안_xls][입찰안_xls]_553"/>
      <sheetName val="[입찰안_xls][입찰안_xls][입찰안_xls]_554"/>
      <sheetName val="[입찰안_xls][입찰안_xls][입찰안_xls]_555"/>
      <sheetName val="[입찰안_xls][입찰안_xls][입찰안_xls]_556"/>
      <sheetName val="[입찰안_xls][입찰안_xls][입찰안_xls]_557"/>
      <sheetName val="[입찰안_xls][입찰안_xls][입찰안_xls]_558"/>
      <sheetName val="[입찰안_xls][입찰안_xls][입찰안_xls]_559"/>
      <sheetName val="[입찰안_xls][입찰안_xls][입찰안_xls]_560"/>
      <sheetName val="[입찰안_xls][입찰안_xls][입찰안_xls]_561"/>
      <sheetName val="[입찰안_xls][입찰안_xls][입찰안_xls]_563"/>
      <sheetName val="[입찰안_xls][입찰안_xls][입찰안_xls]_564"/>
      <sheetName val="[입찰안_xls][입찰안_xls][입찰안_xls]_565"/>
      <sheetName val="[입찰안_xls][입찰안_xls][입찰안_xls]_566"/>
      <sheetName val="[입찰안_xls][입찰안_xls][입찰안_xls]_567"/>
      <sheetName val="[입찰안_xls][입찰안_xls][입찰안_xls]_568"/>
      <sheetName val="[입찰안_xls][입찰안_xls][입찰안_xls]_575"/>
      <sheetName val="[입찰안_xls][입찰안_xls][입찰안_xls]_569"/>
      <sheetName val="[입찰안_xls][입찰안_xls][입찰안_xls]_570"/>
      <sheetName val="[입찰안_xls][입찰안_xls][입찰안_xls]_571"/>
      <sheetName val="[입찰안_xls][입찰안_xls][입찰안_xls]_572"/>
      <sheetName val="[입찰안_xls][입찰안_xls][입찰안_xls]_573"/>
      <sheetName val="[입찰안_xls][입찰안_xls][입찰안_xls]_576"/>
      <sheetName val="[입찰안_xls][입찰안_xls][입찰안_xls]_577"/>
      <sheetName val="[입찰안_xls][입찰안_xls][입찰안_xls]_578"/>
      <sheetName val="[입찰안_xls][입찰안_xls][입찰안_xls]_579"/>
      <sheetName val="[입찰안_xls][입찰안_xls][입찰안_xls]_580"/>
      <sheetName val="[입찰안_xls][입찰안_xls][입찰안_xls]_585"/>
      <sheetName val="[입찰안_xls][입찰안_xls][입찰안_xls]_581"/>
      <sheetName val="[입찰안_xls][입찰안_xls][입찰안_xls]_582"/>
      <sheetName val="[입찰안_xls][입찰안_xls][입찰안_xls]_583"/>
      <sheetName val="[입찰안_xls][입찰안_xls][입찰안_xls]_584"/>
      <sheetName val="[입찰안_xls][입찰안_xls][입찰안_xls]_586"/>
      <sheetName val="[입찰안_xls][입찰안_xls][입찰안_xls]_587"/>
      <sheetName val="[입찰안_xls][입찰안_xls][입찰안_xls]_588"/>
      <sheetName val="[입찰안_xls][입찰안_xls][입찰안_xls]_589"/>
      <sheetName val="[입찰안_xls][입찰안_xls][입찰안_xls]_590"/>
      <sheetName val="[입찰안_xls][입찰안_xls][입찰안_xls]_591"/>
      <sheetName val="[입찰안_xls][입찰안_xls][입찰안_xls]_592"/>
      <sheetName val="[입찰안_xls][입찰안_xls][입찰안_xls]_593"/>
      <sheetName val="[입찰안_xls][입찰안_xls][입찰안_xls]_594"/>
      <sheetName val="[입찰안_xls][입찰안_xls][입찰안_xls]_595"/>
      <sheetName val="[입찰안_xls][입찰안_xls][입찰안_xls]_597"/>
      <sheetName val="[입찰안_xls][입찰안_xls][입찰안_xls]_596"/>
      <sheetName val="[입찰안_xls][입찰안_xls][입찰안_xls]_598"/>
      <sheetName val="[입찰안_xls][입찰안_xls][입찰안_xls]_599"/>
      <sheetName val="[입찰안_xls][입찰안_xls][입찰안_xls]_600"/>
      <sheetName val="[입찰안_xls][입찰안_xls][입찰안_xls]_601"/>
      <sheetName val="[입찰안_xls][입찰안_xls][입찰안_xls]_614"/>
      <sheetName val="[입찰안_xls][입찰안_xls][입찰안_xls]_602"/>
      <sheetName val="[입찰안_xls][입찰안_xls][입찰안_xls]_603"/>
      <sheetName val="[입찰안_xls][입찰안_xls][입찰안_xls]_604"/>
      <sheetName val="[입찰안_xls][입찰안_xls][입찰안_xls]_628"/>
      <sheetName val="[입찰안_xls][입찰안_xls][입찰안_xls]_605"/>
      <sheetName val="[입찰안_xls][입찰안_xls][입찰안_xls]_606"/>
      <sheetName val="[입찰안_xls][입찰안_xls][입찰안_xls]_607"/>
      <sheetName val="[입찰안_xls][입찰안_xls][입찰안_xls]_608"/>
      <sheetName val="[입찰안_xls][입찰안_xls][입찰안_xls]_609"/>
      <sheetName val="[입찰안_xls][입찰안_xls][입찰안_xls]_610"/>
      <sheetName val="[입찰안_xls][입찰안_xls][입찰안_xls]_611"/>
      <sheetName val="[입찰안_xls][입찰안_xls][입찰안_xls]_612"/>
      <sheetName val="[입찰안_xls][입찰안_xls][입찰안_xls]_613"/>
      <sheetName val="[입찰안_xls][입찰안_xls][입찰안_xls]_615"/>
      <sheetName val="[입찰안_xls][입찰안_xls][입찰안_xls]_616"/>
      <sheetName val="[입찰안_xls][입찰안_xls][입찰안_xls]_617"/>
      <sheetName val="[입찰안_xls][입찰안_xls][입찰안_xls]_618"/>
      <sheetName val="[입찰안_xls][입찰안_xls][입찰안_xls]_619"/>
      <sheetName val="[입찰안_xls][입찰안_xls][입찰안_xls]_620"/>
      <sheetName val="[입찰안_xls][입찰안_xls][입찰안_xls]_621"/>
      <sheetName val="[입찰안_xls][입찰안_xls][입찰안_xls]_622"/>
      <sheetName val="[입찰안_xls][입찰안_xls][입찰안_xls]_623"/>
      <sheetName val="[입찰안_xls][입찰안_xls][입찰안_xls]_624"/>
      <sheetName val="[입찰안_xls][입찰안_xls][입찰안_xls]_625"/>
      <sheetName val="[입찰안_xls][입찰안_xls][입찰안_xls]_626"/>
      <sheetName val="[입찰안_xls][입찰안_xls][입찰안_xls]_627"/>
      <sheetName val="[입찰안_xls][입찰안_xls][입찰안_xls]_629"/>
      <sheetName val="[입찰안_xls][입찰안_xls][입찰안_xls]_630"/>
      <sheetName val="[입찰안_xls][입찰안_xls][입찰안_xls]_631"/>
      <sheetName val="[입찰안_xls][입찰안_xls][입찰안_xls]_632"/>
      <sheetName val="[입찰안_xls][입찰안_xls][입찰안_xls]_635"/>
      <sheetName val="[입찰안_xls][입찰안_xls][입찰안_xls]_633"/>
      <sheetName val="[입찰안_xls][입찰안_xls][입찰안_xls]_634"/>
      <sheetName val="[입찰안_xls][입찰안_xls][입찰안_xls]_636"/>
      <sheetName val="[입찰안_xls][입찰안_xls][입찰안_xls]_637"/>
      <sheetName val="[입찰안_xls][입찰안_xls][입찰안_xls]_638"/>
      <sheetName val="[입찰안_xls][입찰안_xls][입찰안_xls]_639"/>
      <sheetName val="[입찰안_xls][입찰안_xls][입찰안_xls]_640"/>
      <sheetName val="[입찰안_xls][입찰안_xls][입찰안_xls]_641"/>
      <sheetName val="[입찰안_xls][입찰안_xls][입찰안_xls]_642"/>
      <sheetName val="[입찰안_xls][입찰안_xls][입찰안_xls]_643"/>
      <sheetName val="[입찰안_xls][입찰안_xls][입찰안_xls]_644"/>
      <sheetName val="[입찰안_xls][입찰안_xls][입찰안_xls]_645"/>
      <sheetName val="[입찰안_xls][입찰안_xls][입찰안_xls]_646"/>
      <sheetName val="[입찰안_xls][입찰안_xls][입찰안_xls]_647"/>
      <sheetName val="[입찰안_xls][입찰안_xls][입찰안_xls]_648"/>
      <sheetName val="[입찰안_xls][입찰안_xls][입찰안_xls]_649"/>
      <sheetName val="[입찰안_xls][입찰안_xls][입찰안_xls]_650"/>
      <sheetName val="[입찰안_xls][입찰안_xls][입찰안_xls]_651"/>
      <sheetName val="[입찰안_xls][입찰안_xls][입찰안_xls]_667"/>
      <sheetName val="[입찰안_xls][입찰안_xls][입찰안_xls]_652"/>
      <sheetName val="[입찰안_xls][입찰안_xls][입찰안_xls]_653"/>
      <sheetName val="[입찰안_xls][입찰안_xls][입찰안_xls]_654"/>
      <sheetName val="[입찰안_xls][입찰안_xls][입찰안_xls]_655"/>
      <sheetName val="[입찰안_xls][입찰안_xls][입찰안_xls]_656"/>
      <sheetName val="[입찰안_xls][입찰안_xls][입찰안_xls]_657"/>
      <sheetName val="[입찰안_xls][입찰안_xls][입찰안_xls]_658"/>
      <sheetName val="[입찰안_xls][입찰안_xls][입찰안_xls]_672"/>
      <sheetName val="[입찰안_xls][입찰안_xls][입찰안_xls]_659"/>
      <sheetName val="[입찰안_xls][입찰안_xls][입찰안_xls]_660"/>
      <sheetName val="[입찰안_xls][입찰안_xls][입찰안_xls]_661"/>
      <sheetName val="[입찰안_xls][입찰안_xls][입찰안_xls]_662"/>
      <sheetName val="[입찰안_xls][입찰안_xls][입찰안_xls]_663"/>
      <sheetName val="[입찰안_xls][입찰안_xls][입찰안_xls]_664"/>
      <sheetName val="[입찰안_xls][입찰안_xls][입찰안_xls]_665"/>
      <sheetName val="[입찰안_xls][입찰안_xls][입찰안_xls]_666"/>
      <sheetName val="[입찰안_xls][입찰안_xls][입찰안_xls]_668"/>
      <sheetName val="[입찰안_xls][입찰안_xls][입찰안_xls]_669"/>
      <sheetName val="[입찰안_xls][입찰안_xls][입찰안_xls]_670"/>
      <sheetName val="[입찰안_xls][입찰안_xls][입찰안_xls]_671"/>
      <sheetName val="[입찰안_xls][입찰안_xls][입찰안_xls]_684"/>
      <sheetName val="[입찰안_xls][입찰안_xls][입찰안_xls]_673"/>
      <sheetName val="[입찰안_xls][입찰안_xls][입찰안_xls]_674"/>
      <sheetName val="[입찰안_xls][입찰안_xls][입찰안_xls]_675"/>
      <sheetName val="[입찰안_xls][입찰안_xls][입찰안_xls]_676"/>
      <sheetName val="[입찰안_xls][입찰안_xls][입찰안_xls]_677"/>
      <sheetName val="[입찰안_xls][입찰안_xls][입찰안_xls]_678"/>
      <sheetName val="[입찰안_xls][입찰안_xls][입찰안_xls]_679"/>
      <sheetName val="[입찰안_xls][입찰안_xls][입찰안_xls]_693"/>
      <sheetName val="[입찰안_xls][입찰안_xls][입찰안_xls]_680"/>
      <sheetName val="[입찰안_xls][입찰안_xls][입찰안_xls]_681"/>
      <sheetName val="[입찰안_xls][입찰안_xls][입찰안_xls]_682"/>
      <sheetName val="[입찰안_xls][입찰안_xls][입찰안_xls]_683"/>
      <sheetName val="[입찰안_xls][입찰안_xls][입찰안_xls]_685"/>
      <sheetName val="[입찰안_xls][입찰안_xls][입찰안_xls]_686"/>
      <sheetName val="[입찰안_xls][입찰안_xls][입찰안_xls]_687"/>
      <sheetName val="[입찰안_xls][입찰안_xls][입찰안_xls]_688"/>
      <sheetName val="[입찰안_xls][입찰안_xls][입찰안_xls]_689"/>
      <sheetName val="[입찰안_xls][입찰안_xls][입찰안_xls]_690"/>
      <sheetName val="[입찰안_xls][입찰안_xls][입찰안_xls]_691"/>
      <sheetName val="[입찰안_xls][입찰안_xls][입찰안_xls]_692"/>
      <sheetName val="[입찰안_xls][입찰안_xls][입찰안_xls]_694"/>
      <sheetName val="[입찰안_xls][입찰안_xls][입찰안_xls]_695"/>
      <sheetName val="[입찰안_xls][입찰안_xls][입찰안_xls]_696"/>
      <sheetName val="[입찰안_xls][입찰안_xls][입찰안_xls]_697"/>
      <sheetName val="[입찰안_xls][입찰안_xls][입찰안_xls]_699"/>
      <sheetName val="[입찰안_xls][입찰안_xls][입찰안_xls]_698"/>
      <sheetName val="[입찰안_xls][입찰안_xls][입찰안_xls]_700"/>
      <sheetName val="[입찰안_xls][입찰안_xls][입찰안_xls]_701"/>
      <sheetName val="[입찰안_xls][입찰안_xls][입찰안_xls]_702"/>
      <sheetName val="[입찰안_xls][입찰안_xls][입찰안_xls]_703"/>
      <sheetName val="[입찰안_xls][입찰안_xls][입찰안_xls]_718"/>
      <sheetName val="[입찰안_xls][입찰안_xls][입찰안_xls]_704"/>
      <sheetName val="[입찰안_xls][입찰안_xls][입찰안_xls]_705"/>
      <sheetName val="[입찰안_xls][입찰안_xls][입찰안_xls]_706"/>
      <sheetName val="[입찰안_xls][입찰안_xls][입찰안_xls]_707"/>
      <sheetName val="[입찰안_xls][입찰안_xls][입찰안_xls]_708"/>
      <sheetName val="[입찰안_xls][입찰안_xls][입찰안_xls]_709"/>
      <sheetName val="[입찰안_xls][입찰안_xls][입찰안_xls]_710"/>
      <sheetName val="[입찰안_xls][입찰안_xls][입찰안_xls]_711"/>
      <sheetName val="[입찰안_xls][입찰안_xls][입찰안_xls]_712"/>
      <sheetName val="[입찰안_xls][입찰안_xls][입찰안_xls]_728"/>
      <sheetName val="[입찰안_xls][입찰안_xls][입찰안_xls]_713"/>
      <sheetName val="[입찰안_xls][입찰안_xls][입찰안_xls]_714"/>
      <sheetName val="[입찰안_xls][입찰안_xls][입찰안_xls]_715"/>
      <sheetName val="[입찰안_xls][입찰안_xls][입찰안_xls]_716"/>
      <sheetName val="[입찰안_xls][입찰안_xls][입찰안_xls]_717"/>
      <sheetName val="[입찰안_xls][입찰안_xls][입찰안_xls]_719"/>
      <sheetName val="[입찰안_xls][입찰안_xls][입찰안_xls]_720"/>
      <sheetName val="[입찰안_xls][입찰안_xls][입찰안_xls]_721"/>
      <sheetName val="[입찰안_xls][입찰안_xls][입찰안_xls]_722"/>
      <sheetName val="[입찰안_xls][입찰안_xls][입찰안_xls]_723"/>
      <sheetName val="[입찰안_xls][입찰안_xls][입찰안_xls]_724"/>
      <sheetName val="[입찰안_xls][입찰안_xls][입찰안_xls]_725"/>
      <sheetName val="[입찰안_xls][입찰안_xls][입찰안_xls]_726"/>
      <sheetName val="[입찰안_xls][입찰안_xls][입찰안_xls]_727"/>
      <sheetName val="[입찰안_xls][입찰안_xls][입찰안_xls]_729"/>
      <sheetName val="[입찰안_xls][입찰안_xls][입찰안_xls]_730"/>
      <sheetName val="[입찰안_xls][입찰안_xls][입찰안_xls]_731"/>
      <sheetName val="[입찰안_xls][입찰안_xls][입찰안_xls]_732"/>
      <sheetName val="[입찰안_xls][입찰안_xls][입찰안_xls]_733"/>
      <sheetName val="[입찰안_xls][입찰안_xls][입찰안_xls]_734"/>
      <sheetName val="[입찰안_xls][입찰안_xls][입찰안_xls]_735"/>
      <sheetName val="[입찰안_xls][입찰안_xls][입찰안_xls]_736"/>
      <sheetName val="[입찰안_xls][입찰안_xls][입찰안_xls]_739"/>
      <sheetName val="[입찰안_xls][입찰안_xls][입찰안_xls]_737"/>
      <sheetName val="[입찰안_xls][입찰안_xls][입찰안_xls]_738"/>
      <sheetName val="[입찰안_xls][입찰안_xls][입찰안_xls]_740"/>
      <sheetName val="[입찰안_xls][입찰안_xls][입찰안_xls]_741"/>
      <sheetName val="[입찰안_xls][입찰안_xls][입찰안_xls]_742"/>
      <sheetName val="[입찰안_xls][입찰안_xls][입찰안_xls]_743"/>
      <sheetName val="[입찰안_xls][입찰안_xls][입찰안_xls]_745"/>
      <sheetName val="[입찰안_xls][입찰안_xls][입찰안_xls]_746"/>
      <sheetName val="[입찰안_xls][입찰안_xls][입찰안_xls]_747"/>
      <sheetName val="[입찰안_xls][입찰안_xls][입찰안_xls]_748"/>
      <sheetName val="Thoat_nuoc"/>
      <sheetName val="1__Dashboard"/>
      <sheetName val="PHU_LUC_01"/>
      <sheetName val="Đầu_vào"/>
      <sheetName val="Bill_02_INF"/>
      <sheetName val="7_"/>
      <sheetName val="6-1_Summary_Of_Cost"/>
      <sheetName val="6-2_In-Direct_Cost"/>
      <sheetName val="6-3_EQ_Cost"/>
      <sheetName val="6-4-1_MP_Status(107,125,12)"/>
      <sheetName val="6-4-2_MP_Status(144)"/>
      <sheetName val="6-5-1_EQ_Status(107,125,12)"/>
      <sheetName val="6-5-2_EQ_Status(144)"/>
      <sheetName val="6-6_Agree_Other&amp;Expanse_(Att_1)"/>
      <sheetName val="6-7_EQ_Apply"/>
      <sheetName val="MP_U107,125,12"/>
      <sheetName val="MP_U144"/>
      <sheetName val="EQ_U107,125,12"/>
      <sheetName val="EQ_U144"/>
      <sheetName val="Agrement_Day_W_Cost"/>
      <sheetName val="Agrement_Day_EQ_Cost"/>
      <sheetName val="Indirect_Cost"/>
      <sheetName val="[입찰안_xls][입찰안_xls][입찰안_xls]_752"/>
      <sheetName val="[입찰안_xls][입찰안_xls][입찰안_xls]_749"/>
      <sheetName val="[입찰안_xls][입찰안_xls][입찰안_xls]_750"/>
      <sheetName val="[입찰안_xls][입찰안_xls][입찰안_xls]_751"/>
      <sheetName val="[입찰안_xls][입찰안_xls][입찰안_xls]_753"/>
      <sheetName val="[입찰안_xls][입찰안_xls][입찰안_xls]_754"/>
      <sheetName val="[입찰안_xls][입찰안_xls][입찰안_xls]_755"/>
      <sheetName val="[입찰안_xls][입찰안_xls][입찰안_xls]_756"/>
      <sheetName val="[입찰안_xls][입찰안_xls][입찰안_xls]_757"/>
      <sheetName val="[입찰안_xls][입찰안_xls][입찰안_xls]_758"/>
      <sheetName val="[입찰안_xls][입찰안_xls][입찰안_xls]_759"/>
      <sheetName val="[입찰안_xls][입찰안_xls][입찰안_xls]_760"/>
      <sheetName val="[입찰안_xls][입찰안_xls][입찰안_xls]_761"/>
      <sheetName val="[입찰안_xls][입찰안_xls][입찰안_xls]_762"/>
      <sheetName val="[입찰안_xls][입찰안_xls][입찰안_xls]_763"/>
      <sheetName val="[입찰안_xls][입찰안_xls][입찰안_xls]_764"/>
      <sheetName val="[입찰안_xls][입찰안_xls][입찰안_xls]_765"/>
      <sheetName val="[입찰안_xls][입찰안_xls][입찰안_xls]_766"/>
      <sheetName val="[입찰안_xls][입찰안_xls][입찰안_xls]__12"/>
      <sheetName val="[입찰안_xls][입찰안_xls][입찰안_xls]__13"/>
      <sheetName val="[입찰안_xls][입찰안_xls][입찰안_xls]__14"/>
      <sheetName val="[입찰안_xls][입찰안_xls][입찰안_xls]__15"/>
      <sheetName val="[입찰안_xls][입찰안_xls][입찰안_xls]__16"/>
      <sheetName val="[입찰안_xls][입찰안_xls][입찰안_xls]__17"/>
      <sheetName val="[입찰안_xls][입찰안_xls][입찰안_xls]_767"/>
      <sheetName val="[입찰안_xls][입찰안_xls][입찰안_xls]_778"/>
      <sheetName val="[입찰안_xls][입찰안_xls][입찰안_xls]_770"/>
      <sheetName val="[입찰안_xls][입찰안_xls][입찰안_xls]_773"/>
      <sheetName val="[입찰안_xls][입찰안_xls][입찰안_xls]_772"/>
      <sheetName val="[입찰안_xls][입찰안_xls][입찰안_xls]_768"/>
      <sheetName val="[입찰안_xls][입찰안_xls][입찰안_xls]_769"/>
      <sheetName val="[입찰안_xls][입찰안_xls][입찰안_xls]_771"/>
      <sheetName val="[입찰안_xls][입찰안_xls][입찰안_xls]_774"/>
      <sheetName val="[입찰안_xls][입찰안_xls][입찰안_xls]_775"/>
      <sheetName val="[입찰안_xls][입찰안_xls][입찰안_xls]_776"/>
      <sheetName val="[입찰안_xls][입찰안_xls][입찰안_xls]_777"/>
      <sheetName val="[입찰안_xls][입찰안_xls][입찰안_xls]_779"/>
      <sheetName val="[입찰안_xls][입찰안_xls][입찰안_xls]_780"/>
      <sheetName val="[입찰안_xls][입찰안_xls][입찰안_xls]_781"/>
      <sheetName val="[입찰안_xls][입찰안_xls][입찰안_xls]_782"/>
      <sheetName val="[입찰안_xls][입찰안_xls][입찰안_xls]_783"/>
      <sheetName val="[입찰안_xls][입찰안_xls][입찰안_xls]_822"/>
      <sheetName val="[입찰안_xls][입찰안_xls][입찰안_xls]_814"/>
      <sheetName val="[입찰안_xls][입찰안_xls][입찰안_xls]_816"/>
      <sheetName val="[입찰안_xls][입찰안_xls][입찰안_xls]_815"/>
      <sheetName val="[입찰안_xls][입찰안_xls][입찰안_xls]_784"/>
      <sheetName val="[입찰안_xls][입찰안_xls][입찰안_xls]_785"/>
      <sheetName val="[입찰안_xls][입찰안_xls][입찰안_xls]_786"/>
      <sheetName val="[입찰안_xls][입찰안_xls][입찰안_xls]_787"/>
      <sheetName val="[입찰안_xls][입찰안_xls][입찰안_xls]_788"/>
      <sheetName val="[입찰안_xls][입찰안_xls][입찰안_xls]_789"/>
      <sheetName val="[입찰안_xls][입찰안_xls][입찰안_xls]_794"/>
      <sheetName val="[입찰안_xls][입찰안_xls][입찰안_xls]_795"/>
      <sheetName val="[입찰안_xls][입찰안_xls][입찰안_xls]_790"/>
      <sheetName val="[입찰안_xls][입찰안_xls][입찰안_xls]_791"/>
      <sheetName val="[입찰안_xls][입찰안_xls][입찰안_xls]_792"/>
      <sheetName val="[입찰안_xls][입찰안_xls][입찰안_xls]_793"/>
      <sheetName val="[입찰안_xls][입찰안_xls][입찰안_xls]_796"/>
      <sheetName val="[입찰안_xls][입찰안_xls][입찰안_xls]_797"/>
      <sheetName val="[입찰안_xls][입찰안_xls][입찰안_xls]_798"/>
      <sheetName val="[입찰안_xls][입찰안_xls][입찰안_xls]_799"/>
      <sheetName val="[입찰안_xls][입찰안_xls][입찰안_xls]_800"/>
      <sheetName val="[입찰안_xls][입찰안_xls][입찰안_xls]_801"/>
      <sheetName val="[입찰안_xls][입찰안_xls][입찰안_xls]_803"/>
      <sheetName val="[입찰안_xls][입찰안_xls][입찰안_xls]_802"/>
      <sheetName val="[입찰안_xls][입찰안_xls][입찰안_xls]_804"/>
      <sheetName val="[입찰안_xls][입찰안_xls][입찰안_xls]_805"/>
      <sheetName val="[입찰안_xls][입찰안_xls][입찰안_xls]_806"/>
      <sheetName val="[입찰안_xls][입찰안_xls][입찰안_xls]_807"/>
      <sheetName val="[입찰안_xls][입찰안_xls][입찰안_xls]_808"/>
      <sheetName val="[입찰안_xls][입찰안_xls][입찰안_xls]_809"/>
      <sheetName val="[입찰안_xls][입찰안_xls][입찰안_xls]_810"/>
      <sheetName val="[입찰안_xls][입찰안_xls][입찰안_xls]_811"/>
      <sheetName val="[입찰안_xls][입찰안_xls][입찰안_xls]_812"/>
      <sheetName val="[입찰안_xls][입찰안_xls][입찰안_xls]_813"/>
      <sheetName val="[입찰안_xls][입찰안_xls][입찰안_xls]_817"/>
      <sheetName val="[입찰안_xls][입찰안_xls][입찰안_xls]_818"/>
      <sheetName val="[입찰안_xls][입찰안_xls][입찰안_xls]_819"/>
      <sheetName val="[입찰안_xls][입찰안_xls][입찰안_xls]_820"/>
      <sheetName val="[입찰안_xls][입찰안_xls][입찰안_xls]_821"/>
      <sheetName val="[입찰안_xls][입찰안_xls][입찰안_xls]_823"/>
      <sheetName val="[입찰안_xls][입찰안_xls][입찰안_xls]_824"/>
      <sheetName val="[입찰안_xls][입찰안_xls][입찰안_xls]_825"/>
      <sheetName val="[입찰안_xls][입찰안_xls][입찰안_xls]_826"/>
      <sheetName val="[입찰안_xls][입찰안_xls][입찰안_xls]_827"/>
      <sheetName val="[입찰안_xls][입찰안_xls][입찰안_xls]_829"/>
      <sheetName val="[입찰안_xls][입찰안_xls][입찰안_xls]_828"/>
      <sheetName val="[입찰안_xls][입찰안_xls][입찰안_xls]_833"/>
      <sheetName val="[입찰안_xls][입찰안_xls][입찰안_xls]_834"/>
      <sheetName val="[입찰안_xls][입찰안_xls][입찰안_xls]_835"/>
      <sheetName val="[입찰안_xls][입찰안_xls][입찰안_xls]_836"/>
      <sheetName val="[입찰안_xls][입찰안_xls][입찰안_xls]_837"/>
      <sheetName val="[입찰안_xls][입찰안_xls][입찰안_xls]_842"/>
      <sheetName val="[입찰안_xls][입찰안_xls][입찰안_xls]_838"/>
      <sheetName val="MAIN_GATE_HOUSE"/>
      <sheetName val="worksheet_inchican"/>
      <sheetName val="combined_9-30"/>
      <sheetName val="CT_Thang_Mo"/>
      <sheetName val="Cst_Pkg-Eden"/>
      <sheetName val="Unt_rate_SS"/>
      <sheetName val="TONG_HOP_GIA_TRI"/>
      <sheetName val="CHITIET_VL-NC-TT_-1p"/>
      <sheetName val="CHITIET_VL-NC-TT-3p"/>
      <sheetName val="TONG_HOP_VL-NC_TT"/>
      <sheetName val="KPVC-BD_"/>
      <sheetName val="KLDT_DIEN"/>
      <sheetName val="전기혼잡제경비(45"/>
      <sheetName val="#2_노임단가"/>
      <sheetName val="원료비2(2000_10-09)"/>
      <sheetName val="[입찰안_xls][입찰안_xls][입찰안_xls]_839"/>
      <sheetName val="[입찰안_xls][입찰안_xls][입찰안_xls]_840"/>
      <sheetName val="[입찰안_xls][입찰안_xls][입찰안_xls]_841"/>
      <sheetName val="[입찰안_xls][입찰안_xls][입찰안_xls]_843"/>
      <sheetName val="VAT_duoc_khau_tru1"/>
      <sheetName val="[입찰안_xls][입찰안_xls][입찰안_xls]_844"/>
      <sheetName val="[입찰안_xls][입찰안_xls][입찰안_xls]_845"/>
      <sheetName val="[입찰안_xls][입찰안_xls][입찰안_xls]_846"/>
      <sheetName val="[입찰안_xls][입찰안_xls][입찰안_xls]_847"/>
      <sheetName val="[입찰안_xls][입찰안_xls][입찰안_xls]_848"/>
      <sheetName val="[입찰안_xls][입찰안_xls][입찰안_xls]_849"/>
      <sheetName val="[입찰안_xls][입찰안_xls][입찰안_xls]_850"/>
      <sheetName val="[입찰안_xls][입찰안_xls][입찰안_xls]_851"/>
      <sheetName val="[입찰안_xls][입찰안_xls][입찰안_xls]_852"/>
      <sheetName val="[입찰안_xls][입찰안_xls][입찰안_xls]_853"/>
      <sheetName val="[입찰안_xls][입찰안_xls][입찰안_xls]_854"/>
      <sheetName val="[입찰안_xls][입찰안_xls][입찰안_xls]_855"/>
      <sheetName val="[입찰안_xls][입찰안_xls][입찰안_xls]_856"/>
      <sheetName val="[입찰안_xls][입찰안_xls][입찰안_xls]_857"/>
      <sheetName val="[입찰안_xls][입찰안_xls][입찰안_xls]_860"/>
      <sheetName val="[입찰안_xls][입찰안_xls][입찰안_xls]_859"/>
      <sheetName val="[입찰안_xls][입찰안_xls][입찰안_xls]_858"/>
      <sheetName val="[입찰안_xls][입찰안_xls][입찰안_xls]_861"/>
      <sheetName val="[입찰안_xls][입찰안_xls][입찰안_xls]_862"/>
      <sheetName val="[입찰안_xls][입찰안_xls][입찰안_xls]_863"/>
      <sheetName val="[입찰안_xls][입찰안_xls][입찰안_xls]_864"/>
      <sheetName val="[입찰안_xls][입찰안_xls][입찰안_xls]_877"/>
      <sheetName val="[입찰안_xls][입찰안_xls][입찰안_xls]_869"/>
      <sheetName val="[입찰안_xls][입찰안_xls][입찰안_xls]_878"/>
      <sheetName val="[입찰안_xls][입찰안_xls][입찰안_xls]_865"/>
      <sheetName val="[입찰안_xls][입찰안_xls][입찰안_xls]_866"/>
      <sheetName val="[입찰안_xls][입찰안_xls][입찰안_xls]_867"/>
      <sheetName val="[입찰안_xls][입찰안_xls][입찰안_xls]_868"/>
      <sheetName val="[입찰안_xls][입찰안_xls][입찰안_xls]_870"/>
      <sheetName val="[입찰안_xls][입찰안_xls][입찰안_xls]_871"/>
      <sheetName val="[입찰안_xls][입찰안_xls][입찰안_xls]_872"/>
      <sheetName val="[입찰안_xls][입찰안_xls][입찰안_xls]_873"/>
      <sheetName val="[입찰안_xls][입찰안_xls][입찰안_xls]_874"/>
      <sheetName val="[입찰안_xls][입찰안_xls][입찰안_xls]_881"/>
      <sheetName val="[입찰안_xls][입찰안_xls][입찰안_xls]_875"/>
      <sheetName val="[입찰안_xls][입찰안_xls][입찰안_xls]_876"/>
      <sheetName val="[입찰안_xls][입찰안_xls][입찰안_xls]_879"/>
      <sheetName val="[입찰안_xls][입찰안_xls][입찰안_xls]_880"/>
      <sheetName val="[입찰안_xls][입찰안_xls][입찰안_xls]_882"/>
      <sheetName val="[입찰안_xls][입찰안_xls][입찰안_xls]_883"/>
      <sheetName val="[입찰안_xls][입찰안_xls][입찰안_xls]_884"/>
      <sheetName val="[입찰안_xls][입찰안_xls][입찰안_xls]_885"/>
      <sheetName val="노임단가(인쇄제외)"/>
      <sheetName val="설계기준"/>
      <sheetName val="일위대가-내역 "/>
      <sheetName val="3련_BÇ_x0000_"/>
      <sheetName val="[입찰안.xls][입찰안.xls]_____xls_2158"/>
      <sheetName val="[입찰안.xls][입찰안.xls]_____xls_2160"/>
      <sheetName val="[입찰안.xls][입찰안.xls]_____xls_2159"/>
      <sheetName val="지하시설물작성"/>
      <sheetName val="_HIT__HM_x0000__x0000__x0005__x0000_᱀倨Ǖ_x0000__x0000__x0000_"/>
      <sheetName val="plan&amp;section_of_fo뮽◽_x0000__x0000_㠀퇛ﰙ팣"/>
      <sheetName val="plan&amp;section_of_fo_xd8e4_꼉_x0000_ꘀ㺨"/>
      <sheetName val="[입찰안.xls][입찰안.xls]_입찰__xls_1000"/>
      <sheetName val="[입찰안.xls][입찰안.xls]_____xls_2146"/>
      <sheetName val="[입찰안.xls][입찰안.xls]_____xls_2144"/>
      <sheetName val="[입찰안.xls][입찰안.xls]_____xls_2145"/>
      <sheetName val="[입찰안.xls][입찰안.xls]_____xls_2143"/>
      <sheetName val="[입찰안.xls][입찰안.xls]_____xls_2007"/>
      <sheetName val="[입찰안.xls][입찰안.xls]_____xls_2014"/>
      <sheetName val="[입찰안.xls][입찰안.xls]_____xls_2044"/>
      <sheetName val="[입찰안.xls][입찰안.xls]_____xls_2008"/>
      <sheetName val="[입찰안.xls][입찰안.xls]_____xls_2009"/>
      <sheetName val="[입찰안.xls][입찰안.xls]_____xls_2010"/>
      <sheetName val="[입찰안.xls][입찰안.xls]_____xls_2011"/>
      <sheetName val="[입찰안.xls][입찰안.xls]_____xls_2012"/>
      <sheetName val="[입찰안.xls][입찰안.xls]_____xls_2013"/>
      <sheetName val="[입찰안.xls][입찰안.xls]_____xls_2015"/>
      <sheetName val="[입찰안.xls][입찰안.xls]_____xls_2016"/>
      <sheetName val="[입찰안.xls][입찰안.xls]_____xls_2017"/>
      <sheetName val="[입찰안.xls][입찰안.xls]_____xls_2018"/>
      <sheetName val="[입찰안.xls][입찰안.xls]_____xls_2019"/>
      <sheetName val="[입찰안.xls][입찰안.xls]_____xls_2026"/>
      <sheetName val="[입찰안.xls][입찰안.xls]_____xls_2020"/>
      <sheetName val="[입찰안.xls][입찰안.xls]_____xls_2021"/>
      <sheetName val="[입찰안.xls][입찰안.xls]_____xls_2022"/>
      <sheetName val="[입찰안.xls][입찰안.xls]_____xls_2023"/>
      <sheetName val="[입찰안.xls][입찰안.xls]_____xls_2024"/>
      <sheetName val="[입찰안.xls][입찰안.xls]_____xls_2025"/>
      <sheetName val="[입찰안.xls][입찰안.xls]_____xls_2028"/>
      <sheetName val="[입찰안.xls][입찰안.xls]_____xls_2027"/>
      <sheetName val="[입찰안.xls][입찰안.xls]_____xls_2029"/>
      <sheetName val="[입찰안.xls][입찰안.xls]_____xls_2072"/>
      <sheetName val="[입찰안.xls][입찰안.xls]_____xls_2030"/>
      <sheetName val="[입찰안.xls][입찰안.xls]_____xls_2032"/>
      <sheetName val="[입찰안.xls][입찰안.xls]_____xls_2031"/>
      <sheetName val="[입찰안.xls][입찰안.xls]_____xls_2034"/>
      <sheetName val="[입찰안.xls][입찰안.xls]_____xls_2033"/>
      <sheetName val="[입찰안.xls][입찰안.xls]_____xls_2035"/>
      <sheetName val="[입찰안.xls][입찰안.xls]_____xls_2036"/>
      <sheetName val="[입찰안.xls][입찰안.xls]_____xls_2037"/>
      <sheetName val="[입찰안.xls][입찰안.xls]_____xls_2039"/>
      <sheetName val="[입찰안.xls][입찰안.xls]_____xls_2038"/>
      <sheetName val="[입찰안.xls][입찰안.xls]_____xls_2042"/>
      <sheetName val="[입찰안.xls][입찰안.xls]_____xls_2040"/>
      <sheetName val="[입찰안.xls][입찰안.xls]_____xls_2041"/>
      <sheetName val="[입찰안.xls][입찰안.xls]_____xls_2043"/>
      <sheetName val="[입찰안.xls][입찰안.xls]_____xls_2050"/>
      <sheetName val="[입찰안.xls][입찰안.xls]_____xls_2053"/>
      <sheetName val="[입찰안.xls][입찰안.xls]_____xls_2045"/>
      <sheetName val="[입찰안.xls][입찰안.xls]_____xls_2047"/>
      <sheetName val="[입찰안.xls][입찰안.xls]_____xls_2046"/>
      <sheetName val="[입찰안.xls][입찰안.xls]_____xls_2048"/>
      <sheetName val="[입찰안.xls][입찰안.xls]_____xls_2049"/>
      <sheetName val="[입찰안.xls][입찰안.xls]_____xls_2051"/>
      <sheetName val="[입찰안.xls][입찰안.xls]_____xls_2052"/>
      <sheetName val="[입찰안.xls][입찰안.xls]_____xls_2054"/>
      <sheetName val="[입찰안.xls][입찰안.xls]_____xls_2055"/>
      <sheetName val="[입찰안.xls][입찰안.xls]_____xls_2056"/>
      <sheetName val="[입찰안.xls][입찰안.xls]_____xls_2057"/>
      <sheetName val="[입찰안.xls][입찰안.xls]_____xls_2060"/>
      <sheetName val="[입찰안.xls][입찰안.xls]_____xls_2059"/>
      <sheetName val="[입찰안.xls][입찰안.xls]_____xls_2058"/>
      <sheetName val="[입찰안.xls][입찰안.xls]_____xls_2061"/>
      <sheetName val="[입찰안.xls][입찰안.xls]_____xls_2074"/>
      <sheetName val="[입찰안.xls][입찰안.xls]_____xls_2062"/>
      <sheetName val="[입찰안.xls][입찰안.xls]_____xls_2063"/>
      <sheetName val="[입찰안.xls][입찰안.xls]_____xls_2064"/>
      <sheetName val="[입찰안.xls][입찰안.xls]_____xls_2066"/>
      <sheetName val="[입찰안.xls][입찰안.xls]_____xls_2065"/>
      <sheetName val="[입찰안.xls][입찰안.xls]_____xls_2067"/>
      <sheetName val="[입찰안.xls][입찰안.xls]_____xls_2070"/>
      <sheetName val="[입찰안.xls][입찰안.xls]_____xls_2068"/>
      <sheetName val="[입찰안.xls][입찰안.xls]_____xls_2069"/>
      <sheetName val="[입찰안.xls][입찰안.xls]_____xls_2071"/>
      <sheetName val="[입찰안.xls][입찰안.xls]_____xls_2073"/>
      <sheetName val="[입찰안.xls][입찰안.xls]_____xls_2082"/>
      <sheetName val="[입찰안.xls][입찰안.xls]_____xls_2075"/>
      <sheetName val="[입찰안.xls][입찰안.xls]_____xls_2076"/>
      <sheetName val="[입찰안.xls][입찰안.xls]_____xls_2077"/>
      <sheetName val="[입찰안.xls][입찰안.xls]_____xls_2079"/>
      <sheetName val="[입찰안.xls][입찰안.xls]_____xls_2078"/>
      <sheetName val="[입찰안.xls][입찰안.xls]_____xls_2104"/>
      <sheetName val="[입찰안.xls][입찰안.xls]_____xls_2080"/>
      <sheetName val="[입찰안.xls][입찰안.xls]_____xls_2081"/>
      <sheetName val="[입찰안.xls][입찰안.xls]_____xls_2103"/>
      <sheetName val="[입찰안.xls][입찰안.xls]_____xls_2083"/>
      <sheetName val="[입찰안.xls][입찰안.xls]_____xls_2087"/>
      <sheetName val="[입찰안.xls][입찰안.xls]_____xls_2095"/>
      <sheetName val="[입찰안.xls][입찰안.xls]_____xls_2085"/>
      <sheetName val="[입찰안.xls][입찰안.xls]_____xls_2084"/>
      <sheetName val="[입찰안.xls][입찰안.xls]_____xls_2086"/>
      <sheetName val="[입찰안.xls][입찰안.xls]_____xls_2088"/>
      <sheetName val="[입찰안.xls][입찰안.xls]_____xls_2090"/>
      <sheetName val="[입찰안.xls][입찰안.xls]_____xls_2089"/>
      <sheetName val="[입찰안.xls][입찰안.xls]_____xls_2091"/>
      <sheetName val="[입찰안.xls][입찰안.xls]_____xls_2092"/>
      <sheetName val="[입찰안.xls][입찰안.xls]_____xls_2093"/>
      <sheetName val="[입찰안.xls][입찰안.xls]_____xls_2094"/>
      <sheetName val="[입찰안.xls][입찰안.xls]_____xls_2096"/>
      <sheetName val="[입찰안.xls][입찰안.xls]_____xls_2097"/>
      <sheetName val="[입찰안.xls][입찰안.xls]_____xls_2098"/>
      <sheetName val="[입찰안.xls][입찰안.xls]_____xls_2100"/>
      <sheetName val="[입찰안.xls][입찰안.xls]_____xls_2099"/>
      <sheetName val="[입찰안.xls][입찰안.xls]_____xls_2101"/>
      <sheetName val="[입찰안.xls][입찰안.xls]_____xls_2102"/>
      <sheetName val="[입찰안.xls][입찰안.xls]_____xls_2105"/>
      <sheetName val="[입찰안.xls][입찰안.xls]_____xls_2129"/>
      <sheetName val="[입찰안.xls][입찰안.xls]_____xls_2128"/>
      <sheetName val="[입찰안.xls][입찰안.xls]_____xls_2107"/>
      <sheetName val="[입찰안.xls][입찰안.xls]_____xls_2106"/>
      <sheetName val="[입찰안.xls][입찰안.xls]_____xls_2110"/>
      <sheetName val="[입찰안.xls][입찰안.xls]_____xls_2108"/>
      <sheetName val="[입찰안.xls][입찰안.xls]_____xls_2109"/>
      <sheetName val="[입찰안.xls][입찰안.xls]_____xls_2112"/>
      <sheetName val="[입찰안.xls][입찰안.xls]_____xls_2111"/>
      <sheetName val="[입찰안.xls][입찰안.xls]_____xls_2114"/>
      <sheetName val="[입찰안.xls][입찰안.xls]_____xls_2113"/>
      <sheetName val="[입찰안.xls][입찰안.xls]_____xls_2115"/>
      <sheetName val="[입찰안.xls][입찰안.xls]_____xls_2116"/>
      <sheetName val="[입찰안.xls][입찰안.xls]_____xls_2119"/>
      <sheetName val="[입찰안.xls][입찰안.xls]_____xls_2117"/>
      <sheetName val="[입찰안.xls][입찰안.xls]_____xls_2118"/>
      <sheetName val="[입찰안.xls][입찰안.xls]_____xls_2120"/>
      <sheetName val="[입찰안.xls][입찰안.xls]_____xls_2121"/>
      <sheetName val="[입찰안.xls][입찰안.xls]_____xls_2122"/>
      <sheetName val="[입찰안.xls][입찰안.xls]_____xls_2123"/>
      <sheetName val="[입찰안.xls][입찰안.xls]_____xls_2127"/>
      <sheetName val="[입찰안.xls][입찰안.xls]_____xls_2124"/>
      <sheetName val="[입찰안.xls][입찰안.xls]_____xls_2125"/>
      <sheetName val="[입찰안.xls][입찰안.xls]_____xls_2126"/>
      <sheetName val="[입찰안.xls][입찰안.xls]_____xls_2138"/>
      <sheetName val="[입찰안.xls][입찰안.xls]_____xls_2130"/>
      <sheetName val="[입찰안.xls][입찰안.xls]_____xls_2131"/>
      <sheetName val="[입찰안.xls][입찰안.xls]_____xls_2132"/>
      <sheetName val="[입찰안.xls][입찰안.xls]_____xls_2133"/>
      <sheetName val="[입찰안.xls][입찰안.xls]_____xls_2134"/>
      <sheetName val="[입찰안.xls][입찰안.xls]_____xls_2135"/>
      <sheetName val="[입찰안.xls][입찰안.xls]_____xls_2136"/>
      <sheetName val="[입찰안.xls][입찰안.xls]_____xls_2137"/>
      <sheetName val="[입찰안.xls][입찰안.xls]_____xls_2142"/>
      <sheetName val="[입찰안.xls][입찰안.xls]_____xls_2139"/>
      <sheetName val="[입찰안.xls][입찰안.xls]_____xls_2140"/>
      <sheetName val="[입찰안.xls][입찰안.xls]_____xls_2141"/>
      <sheetName val="[입찰안.xls][입찰안.xls]_____xls_2148"/>
      <sheetName val="[입찰안.xls][입찰안.xls]_____xls_2147"/>
      <sheetName val="08하"/>
      <sheetName val="[입찰안.xls][입찰안.xls]_입_안_xls_1001"/>
      <sheetName val="[입찰안.xls][입찰안.xls]_입_안_xls_1003"/>
      <sheetName val="[입찰안.xls][입찰안.xls]_입_안_xls_1004"/>
      <sheetName val="[입찰안.xls][입찰안.xls]_입_안_xls_1002"/>
      <sheetName val="[입찰안.xls][입찰안.xls]_입_안_xls_1006"/>
      <sheetName val="[입찰안.xls][입찰안.xls]_입_안_xls_1005"/>
      <sheetName val="[입찰안.xls][입찰안.xls]_입_안_xls_1007"/>
      <sheetName val="[입찰안.xls][입찰안.xls]_입_안_xls_1008"/>
      <sheetName val="[입찰안.xls][입찰안.xls]_입_안_xls_1010"/>
      <sheetName val="[입찰안.xls][입찰안.xls]_입_안_xls_1009"/>
      <sheetName val="plan&amp;section_of_fouꄰₙ_x0000__x0000__x0000__x0000_ﱔ"/>
      <sheetName val="plan&amp;section_of_fou_x0000_¶釈̫ꗝû߸"/>
      <sheetName val="plan&amp;section_of_fou_x0000_¶釈̫ꗝû荸"/>
      <sheetName val="plan&amp;section_of_fou_x0000_g釈ˆꗝ㥀"/>
      <sheetName val="plan&amp;section_of_fou_x0000_g釈ˆꗝ᳀"/>
      <sheetName val="plan&amp;section_of_fouꗝ¾䝠Ύ_x0000__x0000__x0000_"/>
      <sheetName val="plan&amp;section_of_fou_x0002__x0000_蒸ζ㓡è諠"/>
      <sheetName val="plan&amp;section_of_fouﵨὰ⭸⇭_x0000__x0000_㖬"/>
      <sheetName val="plan&amp;section_of_fou_x0000__x0000__x0005__x0000_௰좤ˑ"/>
      <sheetName val="plan&amp;section_of_fou_x0000__x0000__x0005__x0000_ហ붽ˑ"/>
      <sheetName val="plan&amp;section_of_fou_x0000__x0000__x0005__x0000_≰쬡ˑ"/>
      <sheetName val="plan&amp;section_of_fou_x0000__x0000__x0005__x0000_꒰쩼ˑ"/>
      <sheetName val="집수정단면도 (2)"/>
      <sheetName val="원가집계"/>
      <sheetName val="[입찰안.xls][입찰안.xls]_____xls_2149"/>
      <sheetName val="[입찰안.xls][입찰안.xls]_____xls_2152"/>
      <sheetName val="[입찰안.xls][입찰안.xls]_____xls_2151"/>
      <sheetName val="[입찰안.xls][입찰안.xls]_____xls_2153"/>
      <sheetName val="[입찰안.xls][입찰안.xls]_____xls_2150"/>
      <sheetName val="[입찰안.xls][입찰안.xls]_____xls_2155"/>
      <sheetName val="[입찰안.xls][입찰안.xls]_____xls_2154"/>
      <sheetName val="지질조사분석"/>
      <sheetName val="E䣉᜵᠀"/>
      <sheetName val="[입찰안.xls][입찰안.xls]__찰안_xls_1001"/>
      <sheetName val="[입찰안.xls][입찰안.xls]__찰안_xls_1000"/>
      <sheetName val="기초단가"/>
      <sheetName val="[입찰안.xls][입찰안.xls]_____xls_2156"/>
      <sheetName val="working_load_¾_x0000_Ԁ_x0000_䀀ꄲ_x0007__x0000__x0000__x0000_Ā_x0000_ऀ_x0008_"/>
      <sheetName val="working_load_¾_x0000_Ԁ_x0000__x0000_툇_x000f__x0000__x0000__x0000_Ā_x0000_ऀ_x0008_"/>
      <sheetName val="working_load_¾_x0000_Ԁ_x0000_䀀붚_x000f__x0000__x0000__x0000_Ā_x0000_ऀ_x0008_"/>
      <sheetName val="working_load_¾_x0000_Ԁ_x0000__x0000_㾃_x000b__x0000__x0000__x0000_Ā_x0000_ऀ_x0008_"/>
      <sheetName val="working_load_¾_x0000_Ԁ_x0000_쀀毾_x0009__x0000__x0000__x0000_Ā_x0000_ऀ_x0008_"/>
      <sheetName val="working_load_¾_x0000_Ԁ_x0000__x0000_덯_x000e__x0000__x0000__x0000_Ā_x0000_ऀ_x0008_"/>
      <sheetName val="working_load_¾_x0000_Ԁ_x0000_쀀毾 _x0000__x0000__x0000_Ā_x0000_ऀ_x0008_"/>
      <sheetName val="working_load__x0000__x0000_Ԁ_x0000_쀀哦깠_x0001__x0000__x0000_Ā_x0000_倀"/>
      <sheetName val="working_load__x0000__x0000_Ԁ_x0000_退秚㎆_x0002__x0000__x0000_Ā_x0000_က鼪"/>
      <sheetName val="working_load__x0000__x0000_Ԁ_x0000_瀀즫㎒_x0002__x0000__x0000_Ā_x0000_က鼪"/>
      <sheetName val="working_load__x0000__x0000_Ԁ_x0000_က晻㎆_x0002__x0000__x0000_Ā_x0000_က鼪"/>
      <sheetName val="working_load__x0000__x0000_Ԁ_x0000_ 탮㎒_x0002__x0000__x0000_Ā_x0000_က鼪"/>
      <sheetName val="working_load__x0000__x0000_Ԁ_x0000_᠉㎘_x0002__x0000__x0000_Ā_x0000_က鼪"/>
      <sheetName val="working_load__x0000__x0000_Ԁ_x0000_ᕅ㎏_x0002__x0000__x0000_Ā_x0000_က鼪"/>
      <sheetName val="working_load__x0000__x0000_Ԁ_x0000_뀀㪫쏩_x0002__x0000__x0000_Ā_x0000_退렱"/>
      <sheetName val="현금및현금등가물1"/>
      <sheetName val="[입찰안.xls][입찰안.xls]_____xls_2157"/>
      <sheetName val="[입찰안.xls][입찰안.xls]_____xls_2161"/>
      <sheetName val="[입찰안.xls][입찰안.xls]_____xls_2163"/>
      <sheetName val="[입찰안.xls][입찰안.xls]_____xls_2162"/>
      <sheetName val="[입찰안.xls][입찰안.xls]_____xls_2165"/>
      <sheetName val="[입찰안.xls][입찰안.xls]_____xls_2164"/>
      <sheetName val="[입찰안.xls][입찰안.xls]_____xls_2166"/>
      <sheetName val="[입찰안.xls][입찰안.xls]_____xls_2167"/>
      <sheetName val="[입찰안.xls][입찰안.xls]_____xls_2168"/>
      <sheetName val="[입찰안.xls][입찰안.xls]_____xls_2255"/>
      <sheetName val="[입찰안.xls][입찰안.xls]_____xls_2256"/>
      <sheetName val="[입찰안.xls][입찰안.xls]_____xls_2258"/>
      <sheetName val="[입찰안.xls][입찰안.xls]_____xls_2250"/>
      <sheetName val="[입찰안.xls][입찰안.xls]_____xls_2252"/>
      <sheetName val="Main"/>
      <sheetName val="ENG_prog"/>
      <sheetName val="[입찰안.xls][입찰안.xls]_____xls_2253"/>
      <sheetName val="[입찰안.xls][입찰안.xls]_____xls_2238"/>
      <sheetName val="내역전기"/>
      <sheetName val="[입찰안.xls][입찰안.xls]_____xls_2202"/>
      <sheetName val="[입찰안.xls][입찰안.xls]_____xls_2201"/>
      <sheetName val="[입찰안.xls][입찰안.xls]_____xls_2197"/>
      <sheetName val="[입찰안.xls][입찰안.xls]_____xls_2198"/>
      <sheetName val="[입찰안.xls][입찰안.xls]_____xls_2195"/>
      <sheetName val="[입찰안.xls][입찰안.xls]_____xls_2187"/>
      <sheetName val="[입찰안.xls][입찰안.xls]_____xls_2189"/>
      <sheetName val="[입찰안.xls][입찰안.xls]_____xls_2190"/>
      <sheetName val="[입찰안.xls][입찰안.xls]_____xls_2184"/>
      <sheetName val="[입찰안.xls][입찰안.xls]_____xls_2185"/>
      <sheetName val="[입찰안.xls][입찰안.xls]_____xls_2180"/>
      <sheetName val="[입찰안.xls][입찰안.xls]_____xls_2169"/>
      <sheetName val="[입찰안.xls][입찰안.xls]_____xls_2170"/>
      <sheetName val="[입찰안.xls][입찰안.xls]_____xls_2177"/>
      <sheetName val="[입찰안.xls][입찰안.xls]_____xls_2181"/>
      <sheetName val="[입찰안.xls][입찰안.xls]_____xls_2171"/>
      <sheetName val="[입찰안.xls][입찰안.xls]_____xls_2172"/>
      <sheetName val="[입찰안.xls][입찰안.xls]_____xls_2173"/>
      <sheetName val="[입찰안.xls][입찰안.xls]_____xls_2174"/>
      <sheetName val="[입찰안.xls][입찰안.xls]_____xls_2175"/>
      <sheetName val="[입찰안.xls][입찰안.xls]_____xls_2176"/>
      <sheetName val="[입찰안.xls][입찰안.xls]_____xls_2182"/>
      <sheetName val="[입찰안.xls][입찰안.xls]_____xls_2178"/>
      <sheetName val="[입찰안.xls][입찰안.xls]_____xls_2179"/>
      <sheetName val="[입찰안.xls][입찰안.xls]_____xls_2183"/>
      <sheetName val="[입찰안.xls][입찰안.xls]_____xls_2186"/>
      <sheetName val="[입찰안.xls][입찰안.xls]_____xls_2191"/>
      <sheetName val="[입찰안.xls][입찰안.xls]_____xls_2188"/>
      <sheetName val="[입찰안.xls][입찰안.xls]_____xls_2193"/>
      <sheetName val="[입찰안.xls][입찰안.xls]_____xls_2194"/>
      <sheetName val="[입찰안.xls][입찰안.xls]_____xls_2192"/>
      <sheetName val="[입찰안.xls][입찰안.xls]_____xls_2196"/>
      <sheetName val="[입찰안.xls][입찰안.xls]_____xls_2199"/>
      <sheetName val="[입찰안.xls][입찰안.xls]_____xls_2200"/>
      <sheetName val="[입찰안.xls][입찰안.xls]_____xls_2203"/>
      <sheetName val="[입찰안.xls][입찰안.xls]_____xls_2204"/>
      <sheetName val="[입찰안.xls][입찰안.xls]_____xls_2205"/>
      <sheetName val="[입찰안.xls][입찰안.xls]_____xls_2207"/>
      <sheetName val="[입찰안.xls][입찰안.xls]_____xls_2206"/>
      <sheetName val="[입찰안.xls][입찰안.xls]_____xls_2215"/>
      <sheetName val="[입찰안.xls][입찰안.xls]_____xls_2216"/>
      <sheetName val="[입찰안.xls][입찰안.xls]_____xls_2211"/>
      <sheetName val="[입찰안.xls][입찰안.xls]_____xls_2209"/>
      <sheetName val="[입찰안.xls][입찰안.xls]_____xls_2208"/>
      <sheetName val="[입찰안.xls][입찰안.xls]_____xls_2210"/>
      <sheetName val="[입찰안.xls][입찰안.xls]_____xls_2214"/>
      <sheetName val="[입찰안.xls][입찰안.xls]_____xls_2212"/>
      <sheetName val="[입찰안.xls][입찰안.xls]_____xls_2213"/>
      <sheetName val="[입찰안.xls][입찰안.xls]_____xls_2218"/>
      <sheetName val="[입찰안.xls][입찰안.xls]_____xls_2217"/>
      <sheetName val="[입찰안.xls][입찰안.xls]_____xls_2220"/>
      <sheetName val="[입찰안.xls][입찰안.xls]_____xls_2219"/>
      <sheetName val="[입찰안.xls][입찰안.xls]_____xls_2224"/>
      <sheetName val="[입찰안.xls][입찰안.xls]_____xls_2221"/>
      <sheetName val="[입찰안.xls][입찰안.xls]_____xls_2222"/>
      <sheetName val="[입찰안.xls][입찰안.xls]_____xls_2223"/>
      <sheetName val="[입찰안.xls][입찰안.xls]_____xls_2226"/>
      <sheetName val="[입찰안.xls][입찰안.xls]_____xls_2225"/>
      <sheetName val="[입찰안.xls][입찰안.xls]_____xls_2227"/>
      <sheetName val="[입찰안.xls][입찰안.xls]_____xls_2228"/>
      <sheetName val="[입찰안.xls][입찰안.xls]_____xls_2229"/>
      <sheetName val="[입찰안.xls][입찰안.xls]_____xls_2231"/>
      <sheetName val="[입찰안.xls][입찰안.xls]_____xls_2230"/>
      <sheetName val="[입찰안.xls][입찰안.xls]_____xls_2232"/>
      <sheetName val="[입찰안.xls][입찰안.xls]_____xls_2233"/>
      <sheetName val="[입찰안.xls][입찰안.xls]_____xls_2235"/>
      <sheetName val="[입찰안.xls][입찰안.xls]_____xls_2234"/>
      <sheetName val="[입찰안.xls][입찰안.xls]_____xls_2236"/>
      <sheetName val="[입찰안.xls][입찰안.xls]_____xls_2237"/>
      <sheetName val="[입찰안.xls][입찰안.xls]_____xls_2239"/>
      <sheetName val="[입찰안.xls][입찰안.xls]_____xls_2240"/>
      <sheetName val="[입찰안.xls][입찰안.xls]_____xls_2249"/>
      <sheetName val="[입찰안.xls][입찰안.xls]_____xls_2245"/>
      <sheetName val="[입찰안.xls][입찰안.xls]_____xls_2241"/>
      <sheetName val="[입찰안.xls][입찰안.xls]_____xls_2242"/>
      <sheetName val="[입찰안.xls][입찰안.xls]_____xls_2243"/>
      <sheetName val="UXSLCNK4"/>
      <sheetName val="기성금내역서"/>
      <sheetName val="[입찰안.xls][입찰안.xls][입찰안.xls]___9"/>
      <sheetName val="[입찰안.xls][입찰안_xls][입찰안_xls]___5"/>
      <sheetName val="[입찰안.xls][입찰안.xls][입찰안_xls]___4"/>
      <sheetName val="SCE_LOG"/>
      <sheetName val="Div10"/>
      <sheetName val="Div13"/>
      <sheetName val="Div4"/>
      <sheetName val="Div5"/>
      <sheetName val="Div6"/>
      <sheetName val="Div7"/>
      <sheetName val="Div9"/>
      <sheetName val="Earthwork"/>
      <sheetName val="plan&amp;section_of勉_x0010__x0000__x0000__x0000__x0000__x0000__x0001_Ԁ_x0000_�"/>
      <sheetName val="덕"/>
      <sheetName val="수량산출서집²"/>
      <sheetName val="시중노羄9臈"/>
      <sheetName val="시중노忕き_x0005_"/>
      <sheetName val="생산직"/>
      <sheetName val="일용직"/>
      <sheetName val="[입찰안.xls][입찰안.xls]_____xls_2244"/>
      <sheetName val="[입찰안.xls][입찰안.xls]_____xls_2246"/>
      <sheetName val="[입찰안.xls][입찰안.xls]_____xls_2247"/>
      <sheetName val="[입찰안.xls][입찰안.xls]_____xls_2248"/>
      <sheetName val="[입찰안.xls][입찰안.xls]_____xls_2254"/>
      <sheetName val="[입찰안.xls][입찰안.xls]_____xls_2251"/>
      <sheetName val="[입찰안.xls][입찰안.xls]_____xls_2267"/>
      <sheetName val="[입찰안.xls][입찰안.xls]_____xls_2261"/>
      <sheetName val="[입찰안.xls][입찰안.xls]_____xls_2257"/>
      <sheetName val="[입찰안.xls][입찰안.xls]_____xls_2260"/>
      <sheetName val="[입찰안.xls][입찰안.xls]_____xls_2259"/>
      <sheetName val="[입찰안.xls][입찰안.xls]_____xls_2266"/>
      <sheetName val="[입찰안.xls][입찰안.xls]_____xls_2264"/>
      <sheetName val="[입찰안.xls][입찰안.xls]_____xls_2262"/>
      <sheetName val="[입찰안.xls][입찰안.xls]_____xls_2263"/>
      <sheetName val="[입찰안.xls][입찰안.xls]_____xls_2265"/>
      <sheetName val="[입찰안.xls][입찰안.xls]_____xls_2268"/>
      <sheetName val="design_cꙭķ_x0000__x0000_㻰Ⅽ㿔"/>
      <sheetName val="[입찰안.xls][입찰안.xls]_____xls_2271"/>
      <sheetName val="[입찰안.xls][입찰안.xls]_____xls_2269"/>
      <sheetName val="[입찰안.xls][입찰안.xls]_____xls_2275"/>
      <sheetName val="관현간선입력"/>
      <sheetName val="[입찰안.xls][입찰안.xls]_____xls_2270"/>
      <sheetName val="주민번호"/>
      <sheetName val="자산TOTAL"/>
      <sheetName val="대비2"/>
      <sheetName val="[입찰안.xls][입찰안.xls]__찰안_xls_1002"/>
      <sheetName val="[입찰안.xls][입찰안.xls]_____xls_2272"/>
      <sheetName val="[입찰안.xls][입찰안.xls]_____xls_2273"/>
      <sheetName val="[입찰안.xls][입찰안.xls]_____xls_2274"/>
      <sheetName val="[입찰안.xls][입찰안.xls]_____xls_2276"/>
      <sheetName val="[입찰안.xls][입찰안.xls]_____xls_2282"/>
      <sheetName val="[입찰안.xls][입찰안.xls]_____xls_2279"/>
      <sheetName val="[입찰안.xls][입찰안.xls]_____xls_2278"/>
      <sheetName val="[입찰안.xls][입찰안.xls]_____xls_2281"/>
      <sheetName val="[입찰안.xls][입찰안.xls]_____xls_2277"/>
      <sheetName val="[입찰안.xls][입찰안.xls]_____xls_2280"/>
      <sheetName val="[입찰안.xls][입찰안.xls]_____xls_2283"/>
      <sheetName val="[입찰안.xls][입찰안.xls]_____xls_2284"/>
      <sheetName val="[입찰안.xls][입찰안.xls]_____xls_2285"/>
      <sheetName val="[입찰안.xls][입찰안.xls]_____xls_2287"/>
      <sheetName val="[입찰안.xls][입찰안.xls]_____xls_2286"/>
      <sheetName val="[입찰안.xls][입찰안.xls]_____xls_2289"/>
      <sheetName val="[입찰안.xls][입찰안.xls]_____xls_2288"/>
      <sheetName val="[입찰안.xls][입찰안.xls]_____xls_2290"/>
      <sheetName val="[입찰안.xls][입찰안.xls]_____xls_2293"/>
      <sheetName val="[입찰안.xls][입찰안.xls]_____xls_2291"/>
      <sheetName val="[입찰안.xls][입찰안.xls]_____xls_2294"/>
      <sheetName val="[입찰안.xls][입찰안.xls]_____xls_2292"/>
      <sheetName val="[입찰안.xls][입찰안.xls]_____xls_2295"/>
      <sheetName val="[입찰안.xls][입찰안.xls]_____xls_2297"/>
      <sheetName val="[입찰안.xls][입찰안.xls]_____xls_2296"/>
      <sheetName val="결재탔"/>
      <sheetName val="주안3차A-A"/>
      <sheetName val="원데이타"/>
      <sheetName val="조인트"/>
      <sheetName val="FORM-0"/>
      <sheetName val="stability?䘢䠂檱䠛檳"/>
      <sheetName val="6__안전"/>
      <sheetName val="unitpric"/>
      <sheetName val="97_사업추정(їEKI)"/>
      <sheetName val="COA-17"/>
      <sheetName val="C-18"/>
      <sheetName val="수정시산표"/>
      <sheetName val="기성(1차)_7"/>
      <sheetName val="5호광장_(만점)10"/>
      <sheetName val="인천국제_(만점)_(2)10"/>
      <sheetName val="Total_단위경유량집계10"/>
      <sheetName val="앉음벽_(2)10"/>
      <sheetName val="BH-1_(2)10"/>
      <sheetName val="표__지10"/>
      <sheetName val="준검_내역서10"/>
      <sheetName val="토공유동표(전체_당초)10"/>
      <sheetName val="1_수인터널10"/>
      <sheetName val="4_전기10"/>
      <sheetName val="I_설계조건10"/>
      <sheetName val="노원열병합__건축공사기성내역서10"/>
      <sheetName val="1_설계조건10"/>
      <sheetName val="조도계산서_(도서)10"/>
      <sheetName val="_HIT__HMC_견적_3900_10"/>
      <sheetName val="7__현장관리비_10"/>
      <sheetName val="6__안전관리비10"/>
      <sheetName val="보고서_기기리스트9"/>
      <sheetName val="소포내역_(2)10"/>
      <sheetName val="unit_49"/>
      <sheetName val="3련_BOX10"/>
      <sheetName val="플랜트_설치9"/>
      <sheetName val="11_산출(전열)10"/>
      <sheetName val="6_산출(동력)10"/>
      <sheetName val="7_산출(TRAY)10"/>
      <sheetName val="5_산출(전력)9"/>
      <sheetName val="수량산출서(전력간선_지하D_C)9"/>
      <sheetName val="우수관매설및_우수받이10"/>
      <sheetName val="11_우각부_보강10"/>
      <sheetName val="제출내역_(2)10"/>
      <sheetName val="내역_ver1_010"/>
      <sheetName val="plan&amp;section_of_foundation10"/>
      <sheetName val="pile_bearing_capa_&amp;_arrenge10"/>
      <sheetName val="working_load_at_the_btm_ft_10"/>
      <sheetName val="stability_check10"/>
      <sheetName val="design_criteria10"/>
      <sheetName val="배수공_시멘트_및_골재량_산출9"/>
      <sheetName val="내___역9"/>
      <sheetName val="2_1__노무비_평균단가산출9"/>
      <sheetName val="A_견적9"/>
      <sheetName val="배수내역_(2)9"/>
      <sheetName val="Customer_Databas9"/>
      <sheetName val="投标材料清单_9"/>
      <sheetName val="개인별_순위표9"/>
      <sheetName val="spc_배관견적9"/>
      <sheetName val="_HIT-&gt;HMC_견적(3900)9"/>
      <sheetName val="1_취수장9"/>
      <sheetName val="Cash_Flow-19"/>
      <sheetName val="3_1공사현황_공정표9"/>
      <sheetName val="전_기9"/>
      <sheetName val="SHEET_PILE단가9"/>
      <sheetName val="화재_탐지_설비9"/>
      <sheetName val="2차전체변경예정_(2)9"/>
      <sheetName val="노임_단가9"/>
      <sheetName val="6PILE__(돌출)9"/>
      <sheetName val="내역서_9"/>
      <sheetName val="8_현장관리비9"/>
      <sheetName val="7_안전관리비9"/>
      <sheetName val="BH_1__2_9"/>
      <sheetName val="목차_9"/>
      <sheetName val="귀래_설계_공내역서9"/>
      <sheetName val="설_계9"/>
      <sheetName val="1_설계기준9"/>
      <sheetName val="집_계_표9"/>
      <sheetName val="세골재__T2_변경_현황9"/>
      <sheetName val="별표_9"/>
      <sheetName val="도담구내_개소별_명세9"/>
      <sheetName val="참조_(2)8"/>
      <sheetName val="장비_(2)8"/>
      <sheetName val="3BL공동구_수량8"/>
      <sheetName val="전선_및_전선관8"/>
      <sheetName val="5_동별횡주관경8"/>
      <sheetName val="단___산8"/>
      <sheetName val="실____단8"/>
      <sheetName val="암거_제원표8"/>
      <sheetName val="노무비_근거8"/>
      <sheetName val="기성(1차)_8"/>
      <sheetName val="_갑지8"/>
      <sheetName val="내역서1999_8최종8"/>
      <sheetName val="Sheet1_(2)8"/>
      <sheetName val="제수변_수량집계표(보통)8"/>
      <sheetName val="일위대가_8"/>
      <sheetName val="4_LINE8"/>
      <sheetName val="7_th8"/>
      <sheetName val="5호광장_(만점)11"/>
      <sheetName val="인천국제_(만점)_(2)11"/>
      <sheetName val="Total_단위경유량집계11"/>
      <sheetName val="앉음벽_(2)11"/>
      <sheetName val="BH-1_(2)11"/>
      <sheetName val="표__지11"/>
      <sheetName val="준검_내역서11"/>
      <sheetName val="토공유동표(전체_당초)11"/>
      <sheetName val="1_수인터널11"/>
      <sheetName val="4_전기11"/>
      <sheetName val="I_설계조건11"/>
      <sheetName val="노원열병합__건축공사기성내역서11"/>
      <sheetName val="1_설계조건11"/>
      <sheetName val="조도계산서_(도서)11"/>
      <sheetName val="_HIT__HMC_견적_3900_11"/>
      <sheetName val="7__현장관리비_11"/>
      <sheetName val="6__안전관리비11"/>
      <sheetName val="보고서_기기리스트10"/>
      <sheetName val="소포내역_(2)11"/>
      <sheetName val="unit_410"/>
      <sheetName val="3련_BOX11"/>
      <sheetName val="플랜트_설치10"/>
      <sheetName val="11_산출(전열)11"/>
      <sheetName val="6_산출(동력)11"/>
      <sheetName val="7_산출(TRAY)11"/>
      <sheetName val="5_산출(전력)10"/>
      <sheetName val="수량산출서(전력간선_지하D_C)10"/>
      <sheetName val="MSS_210"/>
      <sheetName val="우수관매설및_우수받이11"/>
      <sheetName val="11_우각부_보강11"/>
      <sheetName val="제출내역_(2)11"/>
      <sheetName val="내역_ver1_011"/>
      <sheetName val="plan&amp;section_of_foundation11"/>
      <sheetName val="pile_bearing_capa_&amp;_arrenge11"/>
      <sheetName val="working_load_at_the_btm_ft_11"/>
      <sheetName val="stability_check11"/>
      <sheetName val="design_criteria11"/>
      <sheetName val="배수공_시멘트_및_골재량_산출10"/>
      <sheetName val="내___역10"/>
      <sheetName val="2_1__노무비_평균단가산출10"/>
      <sheetName val="A_견적10"/>
      <sheetName val="배수내역_(2)10"/>
      <sheetName val="Customer_Databas10"/>
      <sheetName val="投标材料清单_10"/>
      <sheetName val="개인별_순위표10"/>
      <sheetName val="spc_배관견적10"/>
      <sheetName val="_HIT-&gt;HMC_견적(3900)10"/>
      <sheetName val="1_취수장10"/>
      <sheetName val="Cash_Flow-110"/>
      <sheetName val="3_1공사현황_공정표10"/>
      <sheetName val="전_기10"/>
      <sheetName val="SHEET_PILE단가10"/>
      <sheetName val="화재_탐지_설비10"/>
      <sheetName val="2차전체변경예정_(2)10"/>
      <sheetName val="노임_단가10"/>
      <sheetName val="6PILE__(돌출)10"/>
      <sheetName val="내역서_10"/>
      <sheetName val="8_현장관리비10"/>
      <sheetName val="7_안전관리비10"/>
      <sheetName val="BH_1__2_10"/>
      <sheetName val="목차_10"/>
      <sheetName val="귀래_설계_공내역서10"/>
      <sheetName val="설_계10"/>
      <sheetName val="1_설계기준10"/>
      <sheetName val="집_계_표10"/>
      <sheetName val="세골재__T2_변경_현황10"/>
      <sheetName val="별표_10"/>
      <sheetName val="도담구내_개소별_명세10"/>
      <sheetName val="노임단가_(2)9"/>
      <sheetName val="3_공통공사대비9"/>
      <sheetName val="참조_(2)9"/>
      <sheetName val="단가_및_재료비9"/>
      <sheetName val="장비_(2)9"/>
      <sheetName val="RETAIL_(ABOVE)9"/>
      <sheetName val="5__현장관리비(new)_9"/>
      <sheetName val="장비비_명세서19"/>
      <sheetName val="2_대외공문9"/>
      <sheetName val="3BL공동구_수량9"/>
      <sheetName val="전선_및_전선관9"/>
      <sheetName val="7_공정표9"/>
      <sheetName val="단면_(2)9"/>
      <sheetName val="5_동별횡주관경9"/>
      <sheetName val="단___산9"/>
      <sheetName val="실____단9"/>
      <sheetName val="암거_제원표9"/>
      <sheetName val="노무비_근거9"/>
      <sheetName val="기성(1차)_9"/>
      <sheetName val="_갑지9"/>
      <sheetName val="내역서1999_8최종9"/>
      <sheetName val="Sheet1_(2)9"/>
      <sheetName val="Eq__Mobilization9"/>
      <sheetName val="제수변_수량집계표(보통)9"/>
      <sheetName val="일위대가_9"/>
      <sheetName val="4_LINE9"/>
      <sheetName val="7_th9"/>
      <sheetName val="5호광장_(만점)12"/>
      <sheetName val="인천국제_(만점)_(2)12"/>
      <sheetName val="Total_단위경유량집계12"/>
      <sheetName val="앉음벽_(2)12"/>
      <sheetName val="BH-1_(2)12"/>
      <sheetName val="표__지12"/>
      <sheetName val="준검_내역서12"/>
      <sheetName val="토공유동표(전체_당초)12"/>
      <sheetName val="1_수인터널12"/>
      <sheetName val="4_전기12"/>
      <sheetName val="I_설계조건12"/>
      <sheetName val="노원열병합__건축공사기성내역서12"/>
      <sheetName val="1_설계조건12"/>
      <sheetName val="조도계산서_(도서)12"/>
      <sheetName val="_HIT__HMC_견적_3900_12"/>
      <sheetName val="7__현장관리비_12"/>
      <sheetName val="6__안전관리비12"/>
      <sheetName val="보고서_기기리스트11"/>
      <sheetName val="소포내역_(2)12"/>
      <sheetName val="unit_411"/>
      <sheetName val="plan&amp;section_of_foundation12"/>
      <sheetName val="pile_bearing_capa_&amp;_arrenge12"/>
      <sheetName val="working_load_at_the_btm_ft_12"/>
      <sheetName val="stability_check12"/>
      <sheetName val="design_criteria12"/>
      <sheetName val="내역_ver1_012"/>
      <sheetName val="11_산출(전열)12"/>
      <sheetName val="6_산출(동력)12"/>
      <sheetName val="7_산출(TRAY)12"/>
      <sheetName val="우수관매설및_우수받이12"/>
      <sheetName val="11_우각부_보강12"/>
      <sheetName val="제출내역_(2)12"/>
      <sheetName val="배수공_시멘트_및_골재량_산출11"/>
      <sheetName val="내___역11"/>
      <sheetName val="플랜트_설치11"/>
      <sheetName val="3련_BOX12"/>
      <sheetName val="MSS_211"/>
      <sheetName val="2_1__노무비_평균단가산출11"/>
      <sheetName val="5_산출(전력)11"/>
      <sheetName val="A_견적11"/>
      <sheetName val="배수내역_(2)11"/>
      <sheetName val="수량산출서(전력간선_지하D_C)11"/>
      <sheetName val="Customer_Databas11"/>
      <sheetName val="개인별_순위표11"/>
      <sheetName val="投标材料清单_11"/>
      <sheetName val="spc_배관견적11"/>
      <sheetName val="_HIT-&gt;HMC_견적(3900)11"/>
      <sheetName val="1_취수장11"/>
      <sheetName val="Cash_Flow-111"/>
      <sheetName val="3_1공사현황_공정표11"/>
      <sheetName val="전_기11"/>
      <sheetName val="SHEET_PILE단가11"/>
      <sheetName val="화재_탐지_설비11"/>
      <sheetName val="2차전체변경예정_(2)11"/>
      <sheetName val="노임_단가11"/>
      <sheetName val="6PILE__(돌출)11"/>
      <sheetName val="내역서_11"/>
      <sheetName val="8_현장관리비11"/>
      <sheetName val="7_안전관리비11"/>
      <sheetName val="BH_1__2_11"/>
      <sheetName val="목차_11"/>
      <sheetName val="귀래_설계_공내역서11"/>
      <sheetName val="설_계11"/>
      <sheetName val="1_설계기준11"/>
      <sheetName val="집_계_표11"/>
      <sheetName val="세골재__T2_변경_현황11"/>
      <sheetName val="별표_11"/>
      <sheetName val="일위대가_10"/>
      <sheetName val="4_LINE10"/>
      <sheetName val="7_th10"/>
      <sheetName val="도담구내_개소별_명세11"/>
      <sheetName val="3_공통공사대비10"/>
      <sheetName val="단가_및_재료비10"/>
      <sheetName val="노임단가_(2)10"/>
      <sheetName val="단___산10"/>
      <sheetName val="실____단10"/>
      <sheetName val="7_공정표10"/>
      <sheetName val="단면_(2)10"/>
      <sheetName val="장비비_명세서110"/>
      <sheetName val="RETAIL_(ABOVE)10"/>
      <sheetName val="5__현장관리비(new)_10"/>
      <sheetName val="노무비_근거10"/>
      <sheetName val="암거_제원표10"/>
      <sheetName val="5_동별횡주관경10"/>
      <sheetName val="2_대외공문10"/>
      <sheetName val="장비_(2)10"/>
      <sheetName val="참조_(2)10"/>
      <sheetName val="Sheet1_(2)10"/>
      <sheetName val="제수변_수량집계표(보통)10"/>
      <sheetName val="Eq__Mobilization10"/>
      <sheetName val="3BL공동구_수량10"/>
      <sheetName val="전선_및_전선관10"/>
      <sheetName val="내역서1999_8최종10"/>
      <sheetName val="기성(1차)_10"/>
      <sheetName val="_갑지10"/>
      <sheetName val="5F_계약단가"/>
      <sheetName val="명단"/>
      <sheetName val="제조 경영"/>
      <sheetName val="5호광장_(만점)13"/>
      <sheetName val="인천국제_(만점)_(2)13"/>
      <sheetName val="Total_단위경유량집계13"/>
      <sheetName val="앉음벽_(2)13"/>
      <sheetName val="BH-1_(2)13"/>
      <sheetName val="표__지13"/>
      <sheetName val="준검_내역서13"/>
      <sheetName val="토공유동표(전체_당초)13"/>
      <sheetName val="1_수인터널13"/>
      <sheetName val="4_전기13"/>
      <sheetName val="I_설계조건13"/>
      <sheetName val="노원열병합__건축공사기성내역서13"/>
      <sheetName val="1_설계조건13"/>
      <sheetName val="조도계산서_(도서)13"/>
      <sheetName val="_HIT__HMC_견적_3900_13"/>
      <sheetName val="7__현장관리비_13"/>
      <sheetName val="6__안전관리비13"/>
      <sheetName val="보고서_기기리스트12"/>
      <sheetName val="소포내역_(2)13"/>
      <sheetName val="unit_412"/>
      <sheetName val="plan&amp;section_of_foundation13"/>
      <sheetName val="pile_bearing_capa_&amp;_arrenge13"/>
      <sheetName val="working_load_at_the_btm_ft_13"/>
      <sheetName val="stability_check13"/>
      <sheetName val="design_criteria13"/>
      <sheetName val="내역_ver1_013"/>
      <sheetName val="11_산출(전열)13"/>
      <sheetName val="6_산출(동력)13"/>
      <sheetName val="7_산출(TRAY)13"/>
      <sheetName val="우수관매설및_우수받이13"/>
      <sheetName val="11_우각부_보강13"/>
      <sheetName val="제출내역_(2)13"/>
      <sheetName val="배수공_시멘트_및_골재량_산출12"/>
      <sheetName val="내___역12"/>
      <sheetName val="플랜트_설치12"/>
      <sheetName val="3련_BOX13"/>
      <sheetName val="MSS_212"/>
      <sheetName val="2_1__노무비_평균단가산출12"/>
      <sheetName val="5_산출(전력)12"/>
      <sheetName val="A_견적12"/>
      <sheetName val="배수내역_(2)12"/>
      <sheetName val="수량산출서(전력간선_지하D_C)12"/>
      <sheetName val="Customer_Databas12"/>
      <sheetName val="개인별_순위표12"/>
      <sheetName val="投标材料清单_12"/>
      <sheetName val="spc_배관견적12"/>
      <sheetName val="_HIT-&gt;HMC_견적(3900)12"/>
      <sheetName val="1_취수장12"/>
      <sheetName val="Cash_Flow-112"/>
      <sheetName val="3_1공사현황_공정표12"/>
      <sheetName val="전_기12"/>
      <sheetName val="SHEET_PILE단가12"/>
      <sheetName val="화재_탐지_설비12"/>
      <sheetName val="2차전체변경예정_(2)12"/>
      <sheetName val="노임_단가12"/>
      <sheetName val="6PILE__(돌출)12"/>
      <sheetName val="내역서_12"/>
      <sheetName val="8_현장관리비12"/>
      <sheetName val="7_안전관리비12"/>
      <sheetName val="BH_1__2_12"/>
      <sheetName val="목차_12"/>
      <sheetName val="귀래_설계_공내역서12"/>
      <sheetName val="설_계12"/>
      <sheetName val="1_설계기준12"/>
      <sheetName val="집_계_표12"/>
      <sheetName val="세골재__T2_변경_현황12"/>
      <sheetName val="별표_12"/>
      <sheetName val="일위대가_11"/>
      <sheetName val="4_LINE11"/>
      <sheetName val="7_th11"/>
      <sheetName val="도담구내_개소별_명세12"/>
      <sheetName val="3_공통공사대비11"/>
      <sheetName val="단가_및_재료비11"/>
      <sheetName val="노임단가_(2)11"/>
      <sheetName val="단___산11"/>
      <sheetName val="실____단11"/>
      <sheetName val="7_공정표11"/>
      <sheetName val="단면_(2)11"/>
      <sheetName val="장비비_명세서111"/>
      <sheetName val="6__수량산출서8"/>
      <sheetName val="RETAIL_(ABOVE)11"/>
      <sheetName val="5__현장관리비(new)_11"/>
      <sheetName val="노무비_근거11"/>
      <sheetName val="암거_제원표11"/>
      <sheetName val="5_동별횡주관경11"/>
      <sheetName val="2_대외공문11"/>
      <sheetName val="장비_(2)11"/>
      <sheetName val="참조_(2)11"/>
      <sheetName val="Sheet1_(2)11"/>
      <sheetName val="제수변_수량집계표(보통)11"/>
      <sheetName val="Eq__Mobilization11"/>
      <sheetName val="3BL공동구_수량11"/>
      <sheetName val="전선_및_전선관11"/>
      <sheetName val="내역서1999_8최종11"/>
      <sheetName val="CM_18"/>
      <sheetName val="_갑지11"/>
      <sheetName val="도담구내_개소별_명柖8"/>
      <sheetName val="danh_muc_vat_tu8"/>
      <sheetName val="Register-BG_NCC8"/>
      <sheetName val="Data_28"/>
      <sheetName val="TB_chính8"/>
      <sheetName val="Steel_pipe8"/>
      <sheetName val="Ref_pipe+Ins8"/>
      <sheetName val="Plastic_pipe8"/>
      <sheetName val="Air_Grilles8"/>
      <sheetName val="Cost_bd-&quot;A&quot;8"/>
      <sheetName val="수량산출서_(2)7"/>
      <sheetName val="1_CB7"/>
      <sheetName val="토공_total7"/>
      <sheetName val="기성(1차)_11"/>
      <sheetName val="습식및_셀프레벨링8"/>
      <sheetName val="1차_내역서8"/>
      <sheetName val="BSD_(2)7"/>
      <sheetName val="바_한일양산7"/>
      <sheetName val="Project_Brief7"/>
      <sheetName val="영업_일17"/>
      <sheetName val="기기_내역서7"/>
      <sheetName val="일위대가56-1_7"/>
      <sheetName val="일위대가71-1_7"/>
      <sheetName val="일위대가74-1_7"/>
      <sheetName val="일위대가76-1_7"/>
      <sheetName val="일위대가77-1_7"/>
      <sheetName val="일위대가78-1_7"/>
      <sheetName val="_소방공사_산출근거7"/>
      <sheetName val="전사_(2)7"/>
      <sheetName val="BA_(2)7"/>
      <sheetName val="CP_(2)7"/>
      <sheetName val="토공_토적표7"/>
      <sheetName val="4__VOs_summary7"/>
      <sheetName val="변경명신물량_(2)7"/>
      <sheetName val="아파트_6"/>
      <sheetName val="Xunit_(단위환산)6"/>
      <sheetName val="장비코드표_0506016"/>
      <sheetName val="2007년_생산1부장비6"/>
      <sheetName val="2008년_생산부전장비코드6"/>
      <sheetName val="DDB부_장비_관리현황6"/>
      <sheetName val="기존단가_(2)7"/>
      <sheetName val="DATA_LISTS5"/>
      <sheetName val="Chiet_tinh_dz357"/>
      <sheetName val="Bảng_mã_VT7"/>
      <sheetName val="Elec_LG5"/>
      <sheetName val="ESTI_5"/>
      <sheetName val="D_&amp;_W_sizes5"/>
      <sheetName val="Gia_vat_tu5"/>
      <sheetName val="dtct_cong5"/>
      <sheetName val="DGCT_(01)5"/>
      <sheetName val="SCOPE_OF_WORK5"/>
      <sheetName val="Chi_tiet5"/>
      <sheetName val="nhôm_1,2mm5"/>
      <sheetName val="nhôm_1,4mm5"/>
      <sheetName val="01__DATA5"/>
      <sheetName val="So_sanh4"/>
      <sheetName val="Phan_tich_ca_may4"/>
      <sheetName val="Chenh_lech_ca_may4"/>
      <sheetName val="TLg_CN&amp;Laixe4"/>
      <sheetName val="TLg_CN&amp;Laixe_(2)4"/>
      <sheetName val="TLg_Laitau4"/>
      <sheetName val="TLg_Laitau_(2)4"/>
      <sheetName val="Cọc_nhồi4"/>
      <sheetName val="Dầm_14"/>
      <sheetName val="Gia_VLNCMTC4"/>
      <sheetName val="Chiet_tinh_don_gia_CM4"/>
      <sheetName val="Sàn_T14"/>
      <sheetName val="Lỗ_thông_gió4"/>
      <sheetName val="Measure_13064"/>
      <sheetName val="Sàn_tầng_01_(_old_)4"/>
      <sheetName val="EE_(3)4"/>
      <sheetName val="RAB_AR&amp;STR3"/>
      <sheetName val="Isolasi_Luar_Dalam3"/>
      <sheetName val="Isolasi_Luar3"/>
      <sheetName val="Div26_-_Elect3"/>
      <sheetName val="[입찰안_xls]직접뀀鞖/3"/>
      <sheetName val="U_P_Breakdown3"/>
      <sheetName val="1_R18_BF3"/>
      <sheetName val="6_External_works-R183"/>
      <sheetName val="General_Data1"/>
      <sheetName val="Khoi_luong1"/>
      <sheetName val="_입찰안_xls__입찰안_xls__입찰안_xls____4"/>
      <sheetName val="노_표-조1"/>
      <sheetName val="DTICH_(Full)1"/>
      <sheetName val="[입찰안_xls][입찰안_xls][입찰안_xls]B201"/>
      <sheetName val="[입찰안_xls][입찰안_xls][입찰안_xls]B202"/>
      <sheetName val="[입찰안_xls][입찰안_xls][입찰안_xls]B203"/>
      <sheetName val="[입찰안_xls][입찰안_xls][입찰안_xls]B204"/>
      <sheetName val="[입찰안_xls][입찰안_xls][입찰안_xls]B205"/>
      <sheetName val="[입찰안_xls][입찰안_xls][입찰안_xls]B206"/>
      <sheetName val="[입찰안_xls][입찰안_xls][입찰안_xls]B207"/>
      <sheetName val="[입찰안_xls][입찰안_xls][입찰안_xls]B208"/>
      <sheetName val="[입찰안_xls][입찰안_xls][입찰안_xls]B209"/>
      <sheetName val="[입찰안_xls][입찰안_xls][입찰안_xls]B210"/>
      <sheetName val="[입찰안_xls][입찰안_xls][입찰안_xls]B211"/>
      <sheetName val="[입찰안_xls][입찰안_xls][입찰안_xls]B212"/>
      <sheetName val="[입찰안_xls][입찰안_xls][입찰안_xls]B213"/>
      <sheetName val="[입찰안_xls][입찰안_xls][입찰안_xls]B214"/>
      <sheetName val="[입찰안_xls][입찰안_xls][입찰안_xls]B215"/>
      <sheetName val="[입찰안_xls][입찰안_xls][입찰안_xls]B216"/>
      <sheetName val="[입찰안_xls][입찰안_xls][입찰안_xls]B217"/>
      <sheetName val="[입찰안_xls][입찰안_xls][입찰안_xls]B218"/>
      <sheetName val="[입찰안_xls][입찰안_xls][입찰안_xls]B219"/>
      <sheetName val="[입찰안_xls][입찰안_xls][입찰안_xls]B220"/>
      <sheetName val="[입찰안_xls][입찰안_xls][입찰안_xls]B221"/>
      <sheetName val="[입찰안_xls][입찰안_xls][입찰안_xls]B222"/>
      <sheetName val="[입찰안_xls][입찰안_xls][입찰안_xls]B223"/>
      <sheetName val="[입찰안_xls][입찰안_xls][입찰안_xls]B224"/>
      <sheetName val="[입찰안_xls][입찰안_xls][입찰안_xls]B225"/>
      <sheetName val="[입찰안_xls][입찰안_xls][입찰안_xls]B226"/>
      <sheetName val="[입찰안_xls][입찰안_xls][입찰안_xls]B227"/>
      <sheetName val="Requirement(Work_Crew)1"/>
      <sheetName val="Thuc_thanh1"/>
      <sheetName val="COST_SUMMARY1"/>
      <sheetName val="Xuly_Data1"/>
      <sheetName val="사__업__비__수__지__예__산__서1"/>
      <sheetName val="5F_계약단가1"/>
      <sheetName val="MAIN_GATE_HOUSE1"/>
      <sheetName val="TL_rieng1"/>
      <sheetName val="PHU_LUC_011"/>
      <sheetName val="Đầu_vào1"/>
      <sheetName val="Cost_factor1"/>
      <sheetName val="Item_list1"/>
      <sheetName val="Sheet_Template_Empty1"/>
      <sheetName val="chiet_tinh1"/>
      <sheetName val="1__Dashboard1"/>
      <sheetName val="[입찰안_xls][입찰안_xls]직접뀀鞖/4"/>
      <sheetName val="제조_경영"/>
      <sheetName val="Báo_cáo2"/>
      <sheetName val="Đơn_giá_theo_m2"/>
      <sheetName val="Bill_No_1_6"/>
      <sheetName val="Bill_No_1_10"/>
      <sheetName val="Bill_No_3_3"/>
      <sheetName val="Bill_No_1_4"/>
      <sheetName val="Bill_No_1_7"/>
      <sheetName val="Summary_Bill_No__3"/>
      <sheetName val="VTP tham khảo"/>
      <sheetName val="Bang THKP-DMDT"/>
      <sheetName val="_HIT__HMC__x0000__x0000__x0005__x0000_瑐믇Ⱥ_x0000_"/>
      <sheetName val="직접뀀鞖/_x005f_x0000_"/>
      <sheetName val="정리계槜〚_x005f_x0000__x005f_x0000_䇀"/>
      <sheetName val="design_crit_x005f_x0000__x005f_x0000__x00_2"/>
      <sheetName val="내역_verᔈ_x005f_x0000__x005f_x0000_"/>
      <sheetName val="계산_x005f_x0000__x005f_x0000_"/>
      <sheetName val="1_2_3_4_x005f_x0005__x005f_x0000___x005f_x0000__2"/>
      <sheetName val="6_산출닑⾱_x005f_x0005__x005f_x0000_"/>
      <sheetName val="조도계산서Å_x005f_x0000_Ԁ_x005f_x0000__x005f_x0000_"/>
      <sheetName val="조도계산서Å_x005f_x0000_Ԁ_x005f_x0000_耀"/>
      <sheetName val="공량·_x005f_x0000__x005f_x0000_"/>
      <sheetName val="working_load_at_______x005f_x0000___2"/>
      <sheetName val="[입찰안.xls]직접뀀鞖/_x005f_x0000_"/>
      <sheetName val="[입찰안.xls][입찰안.xls]직접뀀鞖/_x005f_x0000_"/>
      <sheetName val="_____x005f_x0000__x005f_x0000__x005f_x0005__x00_2"/>
      <sheetName val="plan_section_of__x005f_x0000__x005f_x0000_2"/>
      <sheetName val="원_x005f_x0000__x005f_x0000_"/>
      <sheetName val="1,2,3,4_x005f_x0005_"/>
      <sheetName val="단_x005f_x0005__x005f_x0000_"/>
      <sheetName val="공기압¬_x005f_x0000_Ԁ"/>
      <sheetName val="pile_bearing_capa__________x0_2"/>
      <sheetName val="pile_bearing_capa________x000_2"/>
      <sheetName val="일위대가(집계_x005f_x0000_"/>
      <sheetName val="정리계槜で_x005f_x0000__x005f_x0000_ｐ"/>
      <sheetName val="정리계槜で_x005f_x0000__x005f_x0000_㟠"/>
      <sheetName val="_________x005f_x0000__x005f_x0000__x005f_x0005__2"/>
      <sheetName val="_________x005f_x0000__x005f_x0000__x005f_x0005__3"/>
      <sheetName val="pile_bearing_ca____x005f_x0000______2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수량산출서집´_x005f_x0000_Ԁ_x005f_x0000_耀֜䌛"/>
      <sheetName val="전기혼잡제경⻉ⴋԯ_x005f_x0000_缀"/>
      <sheetName val="일위대가_x005f_x0000__x005f_x0000_렀"/>
      <sheetName val="일위대가耀쾑_x005f_x0000_"/>
      <sheetName val="조도계산서Ì_x005f_x0000_Ԁ_x005f_x0000_耀"/>
      <sheetName val="______x005f_x005f_x005f_x0000__x005f_x005f_x000_2"/>
      <sheetName val="____x005f_x005f_x005f_x0000__x005f_x005f_x005f_x0000__2"/>
      <sheetName val="공기압舓⿫_x005f_x005f_x005f_x0005_"/>
      <sheetName val="I_설계조_x005f_x005f_x005f_x0000_"/>
      <sheetName val="조도계산서_(도서_x005f_x005f_x005f_x0000_"/>
      <sheetName val="주bea_x005f_x005f_x005f_xdcf0_"/>
      <sheetName val="대_x005f_x005f_x005f_x0000__x005f_x005f_x005f_x0000_"/>
      <sheetName val="장悱_x005f_x0017_"/>
      <sheetName val="3련_BÈ_x005f_x0000_"/>
      <sheetName val="plan_section_of__x005f_x0010__x005f_x0000_2"/>
      <sheetName val="집계장(Â_x005f_x0000_蠀1_x005f_x0000__x005f_x0000_"/>
      <sheetName val="집계장(뀀ﰡ_x005f_x0000_䀰"/>
      <sheetName val="design_c_x005f_x0000__x005f_x0000______x0_2"/>
      <sheetName val="POL6차-PIPÁ_x005f_x0000_Ԁ"/>
      <sheetName val="stability_x005f_xdc00_䘢䠂檱䠛檳"/>
      <sheetName val="노원열병합__건축공사기성내역_x005f_x0000_"/>
      <sheetName val="차선도색수량집계"/>
      <sheetName val="일목"/>
      <sheetName val="[입찰안.xls][입찰안.xls]_____xls_2298"/>
      <sheetName val="[입찰안.xls][입찰안.xls]_____xls_2299"/>
      <sheetName val="7_산출(_x0000__x0000__x0000__x0001_Ԁ"/>
      <sheetName val="[입찰안.xls][입찰안.xls]_____xls_2306"/>
      <sheetName val="[입찰안.xls][입찰안.xls]_____xls_2303"/>
      <sheetName val="[입찰안.xls][입찰안.xls]_____xls_2300"/>
      <sheetName val="[입찰안.xls][입찰안.xls]_____xls_2301"/>
      <sheetName val="[입찰안.xls][입찰안.xls]_____xls_2302"/>
      <sheetName val="[입찰안.xls][입찰안.xls]_____xls_2304"/>
      <sheetName val="[입찰안.xls][입찰안.xls]_____xls_2305"/>
      <sheetName val="[입찰안.xls][입찰안.xls]_____xls_2307"/>
      <sheetName val="[입찰안.xls][입찰안.xls]_____xls_2310"/>
      <sheetName val="[입찰안.xls][입찰안.xls]_____xls_2308"/>
      <sheetName val="[입찰안.xls][입찰안.xls]_____xls_2309"/>
      <sheetName val="[입찰안.xls][입찰안.xls]_____xls_2312"/>
      <sheetName val="[입찰안.xls][입찰안.xls]_____xls_2311"/>
      <sheetName val="[입찰안.xls][입찰안.xls]_____xls_2316"/>
      <sheetName val="[입찰안.xls][입찰안.xls]_____xls_2313"/>
      <sheetName val="[입찰안.xls][입찰안.xls]_____xls_2314"/>
      <sheetName val="[입찰안.xls][입찰안.xls]_____xls_2315"/>
      <sheetName val="[입찰안.xls][입찰안.xls]_____xls_2317"/>
      <sheetName val="[입찰안.xls][입찰안.xls]_____xls_2568"/>
      <sheetName val="[입찰안.xls][입찰안.xls]_____xls_2569"/>
      <sheetName val="pile_bearing_capa_&amp;__x0000__x0000_Ԁ_x0000_훴阬"/>
      <sheetName val="[입찰안.xls][입찰안.xls]_____xls_2318"/>
      <sheetName val="À_x0000__x0000__x0000__x0000__x0000__x0000__x0000__x0000_"/>
      <sheetName val="7내역"/>
      <sheetName val="18.공내수압탄성자연"/>
      <sheetName val="DD EST."/>
      <sheetName val="Du lieu"/>
      <sheetName val="단면A-A(TR)"/>
      <sheetName val="DG ke"/>
      <sheetName val="DTXL"/>
      <sheetName val="CT35"/>
      <sheetName val="Calculations"/>
      <sheetName val="PSW_Sheet"/>
      <sheetName val="자재목록"/>
      <sheetName val="1221"/>
      <sheetName val="가격표"/>
      <sheetName val="Regenerator  Concrete Structure"/>
      <sheetName val="Ts&amp;Cs"/>
      <sheetName val="Variables"/>
      <sheetName val="대운산출"/>
      <sheetName val="B__입찰안.xls"/>
      <sheetName val="_입찰안.xls_B__입찰안.xls"/>
      <sheetName val="_입찰안.xls__입찰안.xls_B__입찰안.xls"/>
      <sheetName val="_입찰안.xls__입찰안.xls__입찰안.xls__267"/>
      <sheetName val="_입찰안.xls__입찰안.xls__입찰안.xls__269"/>
      <sheetName val="_입찰안.xls__입찰안.xls__입찰안.xls__268"/>
      <sheetName val="_입찰안.xls__입찰안.xls__입찰안.xls__115"/>
      <sheetName val="_입찰안.xls__입찰안.xls__입찰안.xls__113"/>
      <sheetName val="_입찰안.xls__입찰안.xls__입찰안.xls__114"/>
      <sheetName val="_입찰안.xls__입찰안.xls__입찰안.xls__117"/>
      <sheetName val="_입찰안.xls__입찰안.xls__입찰안.xls__116"/>
      <sheetName val="_입찰안.xls__입찰안.xls__입찰안.xls__122"/>
      <sheetName val="_입찰안.xls__입찰안.xls__입찰안.xls__120"/>
      <sheetName val="_입찰안.xls__입찰안.xls__입찰안.xls__118"/>
      <sheetName val="_입찰안.xls__입찰안.xls__입찰안.xls__119"/>
      <sheetName val="_입찰안.xls__입찰안.xls__입찰안.xls__121"/>
      <sheetName val="_입찰안.xls__입찰안.xls__입찰안.xls__124"/>
      <sheetName val="_입찰안.xls__입찰안.xls__입찰안.xls__123"/>
      <sheetName val="_입찰안.xls__입찰안.xls__입찰안.xls__131"/>
      <sheetName val="_입찰안.xls__입찰안.xls__입찰안.xls__128"/>
      <sheetName val="_입찰안.xls__입찰안.xls__입찰안.xls__125"/>
      <sheetName val="_입찰안.xls__입찰안.xls__입찰안.xls__126"/>
      <sheetName val="_입찰안.xls__입찰안.xls__입찰안.xls__127"/>
      <sheetName val="_입찰안.xls__입찰안.xls__입찰안.xls__129"/>
      <sheetName val="_입찰안.xls__입찰안.xls__입찰안.xls__130"/>
      <sheetName val="_입찰안.xls__입찰안.xls__입찰안.xls__132"/>
      <sheetName val="_입찰안.xls__입찰안.xls__입찰안.xls__140"/>
      <sheetName val="_입찰안.xls__입찰안.xls__입찰안.xls__135"/>
      <sheetName val="_입찰안.xls__입찰안.xls__입찰안.xls__134"/>
      <sheetName val="_입찰안.xls__입찰안.xls__입찰안.xls__133"/>
      <sheetName val="_입찰안.xls__입찰안.xls__입찰안.xls__139"/>
      <sheetName val="_입찰안.xls__입찰안.xls__입찰안.xls__136"/>
      <sheetName val="_입찰안.xls__입찰안.xls__입찰안.xls__137"/>
      <sheetName val="_입찰안.xls__입찰안.xls__입찰안.xls__138"/>
      <sheetName val="_입찰안.xls__입찰안.xls__입찰안.xls__142"/>
      <sheetName val="_입찰안.xls__입찰안.xls__입찰안.xls__141"/>
      <sheetName val="_입찰안.xls__입찰안.xls__입찰안.xls__143"/>
      <sheetName val="_입찰안.xls__입찰안.xls__입찰안.xls__145"/>
      <sheetName val="_입찰안.xls__입찰안.xls__입찰안.xls__144"/>
      <sheetName val="_입찰안.xls__입찰안.xls__입찰안.xls__146"/>
      <sheetName val="_입찰안.xls__입찰안.xls__입찰안.xls__147"/>
      <sheetName val="_입찰안.xls__입찰안.xls__입찰안.xls__149"/>
      <sheetName val="_입찰안.xls__입찰안.xls__입찰안.xls__148"/>
      <sheetName val="_입찰안.xls__입찰안.xls__입찰안.xls__152"/>
      <sheetName val="_입찰안.xls__입찰안.xls__입찰안.xls__153"/>
      <sheetName val="_입찰안.xls__입찰안.xls__입찰안.xls__150"/>
      <sheetName val="_입찰안.xls__입찰안.xls__입찰안.xls__151"/>
      <sheetName val="_입찰안.xls__입찰안.xls__입찰안.xls__155"/>
      <sheetName val="_입찰안.xls__입찰안.xls__입찰안.xls__154"/>
      <sheetName val="_입찰안.xls__입찰안.xls__입찰안.xls__156"/>
      <sheetName val="_입찰안.xls__입찰안.xls__입찰안.xls__158"/>
      <sheetName val="_입찰안.xls__입찰안.xls__입찰안.xls__157"/>
      <sheetName val="_입찰안.xls__입찰안.xls__입찰안.xls__159"/>
      <sheetName val="_입찰안.xls__입찰안.xls__입찰안.xls__160"/>
      <sheetName val="_입찰안.xls__입찰안.xls__입찰안.xls__164"/>
      <sheetName val="_입찰안.xls__입찰안.xls__입찰안.xls__163"/>
      <sheetName val="_입찰안.xls__입찰안.xls__입찰안.xls__162"/>
      <sheetName val="_입찰안.xls__입찰안.xls__입찰안.xls__161"/>
      <sheetName val="_입찰안.xls__입찰안.xls__입찰안.xls____4"/>
      <sheetName val="_입찰안.xls__입찰안.xls__입찰안.xls__166"/>
      <sheetName val="_입찰안.xls__입찰안.xls__입찰안.xls__165"/>
      <sheetName val="_입찰안.xls__입찰안.xls__입찰안.xls__170"/>
      <sheetName val="_입찰안.xls__입찰안.xls__입찰안.xls__171"/>
      <sheetName val="_입찰안.xls__입찰안.xls__입찰안.xls__167"/>
      <sheetName val="_입찰안.xls__입찰안.xls__입찰안.xls__169"/>
      <sheetName val="_입찰안.xls__입찰안.xls__입찰안.xls__168"/>
      <sheetName val="_입찰안.xls__입찰안.xls__입찰안.xls__175"/>
      <sheetName val="_입찰안.xls__입찰안.xls__입찰안.xls__172"/>
      <sheetName val="_입찰안.xls__입찰안.xls__입찰안.xls__174"/>
      <sheetName val="_입찰안.xls__입찰안.xls__입찰안.xls__173"/>
      <sheetName val="_입찰안.xls__입찰안.xls__입찰안.xls__176"/>
      <sheetName val="_입찰안.xls__입찰안.xls__입찰안.xls__177"/>
      <sheetName val="_입찰안.xls__입찰안.xls__입찰안.xls__178"/>
      <sheetName val="_입찰안.xls__입찰안.xls__입찰안.xls__179"/>
      <sheetName val="_입찰안.xls__입찰안.xls__입찰안.xls__181"/>
      <sheetName val="_입찰안.xls__입찰안.xls__입찰안.xls__180"/>
      <sheetName val="_입찰안.xls__입찰안.xls__입찰안.xls__182"/>
      <sheetName val="_입찰안.xls__입찰안.xls__입찰안.xls__184"/>
      <sheetName val="_입찰안.xls__입찰안.xls__입찰안.xls__183"/>
      <sheetName val="_입찰안.xls__입찰안.xls__입찰안.xls__185"/>
      <sheetName val="_입찰안.xls__입찰안.xls__입찰안.xls__186"/>
      <sheetName val="_입찰안.xls__입찰안.xls__입찰안.xls__187"/>
      <sheetName val="_입찰안.xls__입찰안.xls__입찰안.xls__188"/>
      <sheetName val="_입찰안.xls__입찰안.xls__입찰안.xls__190"/>
      <sheetName val="_입찰안.xls__입찰안.xls__입찰안.xls__189"/>
      <sheetName val="_입찰안.xls__입찰안.xls__입찰안.xls__253"/>
      <sheetName val="_입찰안.xls__입찰안.xls__입찰안.xls__255"/>
      <sheetName val="_입찰안.xls__입찰안.xls__입찰안.xls__258"/>
      <sheetName val="_입찰안.xls__입찰안.xls__입찰안.xls__222"/>
      <sheetName val="_입찰안.xls__입찰안.xls__입찰안.xls__200"/>
      <sheetName val="_입찰안.xls__입찰안.xls__입찰안.xls__199"/>
      <sheetName val="_입찰안.xls__입찰안.xls__입찰안.xls__202"/>
      <sheetName val="_입찰안.xls__입찰안.xls__입찰안.xls__193"/>
      <sheetName val="_입찰안.xls__입찰안.xls__입찰안.xls__191"/>
      <sheetName val="_입찰안.xls__입찰안.xls__입찰안.xls__196"/>
      <sheetName val="_입찰안.xls__입찰안.xls__입찰안.xls__192"/>
      <sheetName val="_입찰안.xls__입찰안.xls__입찰안.xls__194"/>
      <sheetName val="_입찰안.xls__입찰안.xls__입찰안.xls__195"/>
      <sheetName val="_입찰안.xls__입찰안.xls__입찰안.xls__197"/>
      <sheetName val="_입찰안.xls__입찰안.xls__입찰안.xls__198"/>
      <sheetName val="_입찰안.xls__입찰안.xls__입찰안.xls__201"/>
      <sheetName val="_입찰안.xls__입찰안.xls__입찰안.xls__203"/>
      <sheetName val="_입찰안.xls__입찰안.xls__입찰안.xls__205"/>
      <sheetName val="_입찰안.xls__입찰안.xls__입찰안.xls__206"/>
      <sheetName val="_입찰안.xls__입찰안.xls__입찰안.xls__204"/>
      <sheetName val="_입찰안.xls__입찰안.xls__입찰안.xls__207"/>
      <sheetName val="_입찰안.xls__입찰안.xls__입찰안.xls__208"/>
      <sheetName val="_입찰안.xls__입찰안.xls__입찰안.xls__209"/>
      <sheetName val="_입찰안.xls__입찰안.xls__입찰안.xls__211"/>
      <sheetName val="_입찰안.xls__입찰안.xls__입찰안.xls__210"/>
      <sheetName val="_입찰안.xls__입찰안.xls__입찰안.xls__212"/>
      <sheetName val="_입찰안.xls__입찰안.xls__입찰안.xls__213"/>
      <sheetName val="_입찰안.xls__입찰안.xls__입찰안.xls__214"/>
      <sheetName val="_입찰안.xls__입찰안.xls__입찰안.xls__216"/>
      <sheetName val="_입찰안.xls__입찰안.xls__입찰안.xls__217"/>
      <sheetName val="_입찰안.xls__입찰안.xls__입찰안.xls__215"/>
      <sheetName val="_입찰안.xls__입찰안.xls__입찰안.xls__218"/>
      <sheetName val="_입찰안.xls__입찰안.xls__입찰안.xls__220"/>
      <sheetName val="_입찰안.xls__입찰안.xls__입찰안.xls__221"/>
      <sheetName val="_입찰안.xls__입찰안.xls__입찰안.xls__219"/>
      <sheetName val="_입찰안.xls__입찰안.xls__입찰안.xls__226"/>
      <sheetName val="_입찰안.xls__입찰안.xls__입찰안.xls__225"/>
      <sheetName val="_입찰안.xls__입찰안.xls__입찰안.xls__223"/>
      <sheetName val="_입찰안.xls__입찰안.xls__입찰안.xls__224"/>
      <sheetName val="_입찰안.xls__입찰안.xls__입찰안.xls__228"/>
      <sheetName val="_입찰안.xls__입찰안.xls__입찰안.xls__227"/>
      <sheetName val="_입찰안.xls__입찰안.xls__입찰안.xls__230"/>
      <sheetName val="_입찰안.xls__입찰안.xls__입찰안.xls__229"/>
      <sheetName val="_입찰안.xls__입찰안.xls__입찰안.xls__231"/>
      <sheetName val="_입찰안.xls__입찰안.xls__입찰안.xls__235"/>
      <sheetName val="_입찰안.xls__입찰안.xls__입찰안.xls__238"/>
      <sheetName val="_입찰안.xls__입찰안.xls__입찰안.xls__237"/>
      <sheetName val="_입찰안.xls__입찰안.xls__입찰안.xls__232"/>
      <sheetName val="_입찰안.xls__입찰안.xls__입찰안.xls__233"/>
      <sheetName val="_입찰안.xls__입찰안.xls__입찰안.xls__234"/>
      <sheetName val="_입찰안.xls__입찰안.xls__입찰안.xls__236"/>
      <sheetName val="_입찰안.xls__입찰안.xls__입찰안.xls__240"/>
      <sheetName val="_입찰안.xls__입찰안.xls__입찰안.xls__239"/>
      <sheetName val="_입찰안.xls__입찰안.xls__입찰안.xls__246"/>
      <sheetName val="_입찰안.xls__입찰안.xls__입찰안.xls__241"/>
      <sheetName val="_입찰안.xls__입찰안.xls__입찰안.xls__242"/>
      <sheetName val="_입찰안.xls__입찰안.xls__입찰안.xls__243"/>
      <sheetName val="_입찰안.xls__입찰안.xls__입찰안.xls__244"/>
      <sheetName val="_입찰안.xls__입찰안.xls__입찰안.xls__245"/>
      <sheetName val="_입찰안.xls__입찰안.xls__입찰안.xls__248"/>
      <sheetName val="_입찰안.xls__입찰안.xls__입찰안.xls__247"/>
      <sheetName val="_입찰안.xls__입찰안.xls__입찰안.xls__249"/>
      <sheetName val="_입찰안.xls__입찰안.xls__입찰안.xls__250"/>
      <sheetName val="_입찰안.xls__입찰안.xls__입찰안.xls__251"/>
      <sheetName val="_입찰안.xls__입찰안.xls__입찰안.xls__252"/>
      <sheetName val="_입찰안.xls__입찰안.xls__입찰안.xls__254"/>
      <sheetName val="_입찰안.xls__입찰안.xls__입찰안.xls__259"/>
      <sheetName val="_입찰안.xls__입찰안.xls__입찰안.xls__256"/>
      <sheetName val="_입찰안.xls__입찰안.xls__입찰안.xls__257"/>
      <sheetName val="_입찰안.xls__입찰안.xls__입찰안.xls__260"/>
      <sheetName val="_입찰안.xls__입찰안.xls__입찰안.xls__261"/>
      <sheetName val="_입찰안.xls__입찰안.xls__입찰안.xls__264"/>
      <sheetName val="_입찰안.xls__입찰안.xls__입찰안.xls__263"/>
      <sheetName val="_입찰안.xls__입찰안.xls__입찰안.xls__262"/>
      <sheetName val="_입찰안.xls__입찰안.xls__입찰안.xls__265"/>
      <sheetName val="_입찰안.xls__입찰안.xls__입찰안.xls__266"/>
      <sheetName val="_입찰안.xls__입찰안.xls__입찰안.xls__270"/>
      <sheetName val="_입찰안.xls__입찰안.xls__입찰안.xls__272"/>
      <sheetName val="_입찰안.xls__입찰안.xls__입찰안.xls__271"/>
      <sheetName val="_입찰안.xls__입찰안.xls__입찰안.xls__283"/>
      <sheetName val="_입찰안.xls__입찰안.xls__입찰안.xls__285"/>
      <sheetName val="_입찰안.xls__입찰안.xls__입찰안.xls__284"/>
      <sheetName val="_입찰안.xls__입찰안.xls__입찰안.xls__282"/>
      <sheetName val="_입찰안.xls__입찰안.xls__입찰안.xls__273"/>
      <sheetName val="_입찰안.xls__입찰안.xls__입찰안.xls__274"/>
      <sheetName val="_입찰안.xls__입찰안.xls__입찰안.xls__275"/>
      <sheetName val="_입찰안.xls__입찰안.xls__입찰안.xls__276"/>
      <sheetName val="_입찰안.xls__입찰안.xls__입찰안.xls__278"/>
      <sheetName val="_입찰안.xls__입찰안.xls__입찰안.xls____5"/>
      <sheetName val="_입찰안.xls__입찰안.xls__입찰안.xls__277"/>
      <sheetName val="_입찰안.xls__입찰안.xls__입찰안.xls__280"/>
      <sheetName val="_입찰안.xls__입찰안.xls__입찰안.xls__279"/>
      <sheetName val="_입찰안.xls__입찰안.xls__입찰안.xls__281"/>
      <sheetName val="_입찰안.xls__입찰안.xls__입찰안.xls__286"/>
      <sheetName val="_입찰안.xls__입찰안.xls__입찰안.xls__287"/>
      <sheetName val="_입찰안.xls__입찰안.xls__입찰안.xls__289"/>
      <sheetName val="_입찰안.xls__입찰안.xls__입찰안.xls__288"/>
      <sheetName val="_입찰안.xls__입찰안.xls__입찰안.xls__290"/>
      <sheetName val="_입찰안.xls__입찰안.xls__입찰안.xls____6"/>
      <sheetName val="_입찰안.xls__입찰안_xls_직접뀀鞖_"/>
      <sheetName val="_입찰안.xls__입찰안_xls__입찰안_xls____2"/>
      <sheetName val="_입찰안.xls__입찰안.xls__입찰안.xls__291"/>
      <sheetName val="_입찰안.xls__입찰안.xls__입찰안.xls__298"/>
      <sheetName val="_입찰안.xls__입찰안.xls__입찰안.xls__292"/>
      <sheetName val="_입찰안.xls__입찰안.xls__입찰안.xls__294"/>
      <sheetName val="_입찰안.xls__입찰안.xls__입찰안.xls__293"/>
      <sheetName val="_입찰안.xls__입찰안.xls__입찰안.xls__295"/>
      <sheetName val="_입찰안.xls__입찰안.xls__입찰안.xls__297"/>
      <sheetName val="_입찰안.xls__입찰안.xls__입찰안.xls__296"/>
      <sheetName val="_입찰안.xls__입찰안.xls__입찰안.xls__299"/>
      <sheetName val="_입찰안.xls____2"/>
      <sheetName val="_입찰안.xls____3"/>
      <sheetName val="_입찰안.xls_B__2"/>
      <sheetName val="_입찰안.xls_B__3"/>
      <sheetName val="_입찰안.xls__입찰안.xls__입찰안.xls__316"/>
      <sheetName val="_입찰안.xls__입찰안.xls__입찰안.xls__302"/>
      <sheetName val="_입찰안.xls__입찰안.xls__입찰안.xls__300"/>
      <sheetName val="_입찰안.xls__입찰안.xls__입찰안.xls__301"/>
      <sheetName val="_입찰안.xls__입찰안.xls__입찰안.xls__313"/>
      <sheetName val="_입찰안.xls__입찰안.xls__입찰안.xls__304"/>
      <sheetName val="_입찰안.xls__입찰안.xls__입찰안.xls__303"/>
      <sheetName val="_입찰안.xls__입찰안.xls__입찰안.xls__306"/>
      <sheetName val="_입찰안.xls__입찰안.xls__입찰안.xls__305"/>
      <sheetName val="_입찰안.xls__입찰안.xls__입찰안.xls__308"/>
      <sheetName val="_입찰안.xls__입찰안.xls__입찰안.xls__307"/>
      <sheetName val="_입찰안.xls__입찰안.xls__입찰안.xls__309"/>
      <sheetName val="_입찰안.xls__입찰안.xls__입찰안.xls__310"/>
      <sheetName val="_입찰안.xls__입찰안.xls__입찰안.xls__311"/>
      <sheetName val="_입찰안.xls__입찰안.xls__입찰안.xls__312"/>
      <sheetName val="_입찰안.xls__입찰안.xls__입찰안.xls__314"/>
      <sheetName val="_입찰안.xls__입찰안.xls__입찰안.xls__315"/>
      <sheetName val="_입찰안.xls__입찰안.xls__입찰안.xls__319"/>
      <sheetName val="_입찰안.xls__입찰안.xls__입찰안.xls__318"/>
      <sheetName val="_입찰안.xls__입찰안.xls__입찰안.xls__317"/>
      <sheetName val="_입찰안.xls__입찰안.xls__입찰안.xls__321"/>
      <sheetName val="_입찰안.xls__입찰안.xls__입찰안.xls__320"/>
      <sheetName val="_입찰안.xls__입찰안.xls__입찰안.xls__322"/>
      <sheetName val="_입찰안.xls__입찰안.xls__입찰안.xls__323"/>
      <sheetName val="_입찰안.xls__입찰안.xls__입찰안.xls__324"/>
      <sheetName val="_입찰안.xls__입찰안.xls__입찰안.xls__339"/>
      <sheetName val="_입찰안.xls__입찰안.xls__입찰안.xls__338"/>
      <sheetName val="_입찰안.xls__입찰안.xls__입찰안.xls__337"/>
      <sheetName val="_입찰안.xls__입찰안.xls__입찰안.xls__335"/>
      <sheetName val="_입찰안.xls__입찰안.xls__입찰안.xls__328"/>
      <sheetName val="_입찰안.xls__입찰안.xls__입찰안.xls__326"/>
      <sheetName val="_입찰안.xls__입찰안.xls__입찰안.xls__330"/>
      <sheetName val="_입찰안.xls__입찰안.xls__입찰안.xls__325"/>
      <sheetName val="_입찰안.xls__입찰안.xls__입찰안.xls__327"/>
      <sheetName val="_입찰안.xls__입찰안.xls__입찰안.xls__332"/>
      <sheetName val="_입찰안.xls__입찰안.xls__입찰안.xls__331"/>
      <sheetName val="_입찰안.xls__입찰안.xls__입찰안.xls__329"/>
      <sheetName val="_입찰안.xls__입찰안.xls__입찰안.xls__334"/>
      <sheetName val="_입찰안.xls__입찰안.xls__입찰안.xls__336"/>
      <sheetName val="_입찰안.xls__입찰안.xls__입찰안.xls__333"/>
      <sheetName val="_입찰안.xls__입찰안.xls__입찰안.xls__341"/>
      <sheetName val="_입찰안.xls__입찰안.xls__입찰안.xls__340"/>
      <sheetName val="_입찰안.xls__입찰안.xls__입찰안.xls__744"/>
      <sheetName val="_입찰안.xls__입찰안.xls__입찰안.xls__343"/>
      <sheetName val="_입찰안.xls__입찰안.xls__입찰안.xls__347"/>
      <sheetName val="_입찰안.xls__입찰안.xls__입찰안.xls__342"/>
      <sheetName val="_입찰안.xls__입찰안.xls__입찰안.xls__355"/>
      <sheetName val="_입찰안.xls__입찰안.xls__입찰안.xls__346"/>
      <sheetName val="_입찰안.xls__입찰안.xls__입찰안.xls__344"/>
      <sheetName val="_입찰안.xls__입찰안.xls__입찰안.xls__345"/>
      <sheetName val="_입찰안.xls__입찰안.xls__입찰안.xls__375"/>
      <sheetName val="_입찰안.xls__입찰안.xls__입찰안.xls__348"/>
      <sheetName val="_입찰안.xls__입찰안.xls__입찰안.xls__349"/>
      <sheetName val="_입찰안.xls__입찰안.xls__입찰안.xls__351"/>
      <sheetName val="_입찰안.xls__입찰안.xls__입찰안.xls__350"/>
      <sheetName val="_입찰안.xls__입찰안.xls__입찰안.xls__352"/>
      <sheetName val="_입찰안.xls__입찰안.xls__입찰안.xls__353"/>
      <sheetName val="_입찰안.xls__입찰안.xls__입찰안.xls__354"/>
      <sheetName val="_입찰안.xls__입찰안.xls__입찰안.xls__357"/>
      <sheetName val="_입찰안.xls__입찰안.xls__입찰안.xls__356"/>
      <sheetName val="_입찰안.xls__입찰안.xls__입찰안.xls__389"/>
      <sheetName val="_입찰안.xls__입찰안.xls__입찰안.xls__358"/>
      <sheetName val="_입찰안.xls__입찰안.xls__입찰안.xls__359"/>
      <sheetName val="_입찰안.xls__입찰안.xls__입찰안.xls__360"/>
      <sheetName val="_입찰안.xls__입찰안.xls__입찰안.xls__361"/>
      <sheetName val="_입찰안.xls__입찰안.xls__입찰안.xls__362"/>
      <sheetName val="_입찰안.xls__입찰안.xls__입찰안.xls__363"/>
      <sheetName val="_입찰안.xls__입찰안.xls__입찰안.xls__364"/>
      <sheetName val="_입찰안.xls__입찰안.xls__입찰안.xls__365"/>
      <sheetName val="_입찰안.xls__입찰안.xls__입찰안.xls__366"/>
      <sheetName val="_입찰안.xls__입찰안.xls__입찰안.xls__367"/>
      <sheetName val="_입찰안.xls__입찰안.xls__입찰안.xls__368"/>
      <sheetName val="_입찰안.xls__입찰안.xls__입찰안.xls__370"/>
      <sheetName val="_입찰안.xls__입찰안.xls__입찰안.xls__369"/>
      <sheetName val="_입찰안.xls__입찰안.xls__입찰안.xls__373"/>
      <sheetName val="_입찰안.xls__입찰안.xls__입찰안.xls__371"/>
      <sheetName val="_입찰안.xls__입찰안.xls__입찰안.xls__372"/>
      <sheetName val="_입찰안.xls__입찰안.xls__입찰안.xls__374"/>
      <sheetName val="_입찰안.xls__입찰안.xls__입찰안.xls__390"/>
      <sheetName val="_입찰안.xls__입찰안.xls__입찰안.xls__388"/>
      <sheetName val="_입찰안.xls__입찰안.xls__입찰안.xls__376"/>
      <sheetName val="_입찰안.xls__입찰안.xls__입찰안.xls__377"/>
      <sheetName val="_입찰안.xls__입찰안.xls__입찰안.xls__378"/>
      <sheetName val="_입찰안.xls__입찰안.xls__입찰안.xls__379"/>
      <sheetName val="_입찰안.xls__입찰안.xls__입찰안.xls__380"/>
      <sheetName val="_입찰안.xls__입찰안.xls__입찰안.xls__381"/>
      <sheetName val="_입찰안.xls__입찰안.xls__입찰안.xls__382"/>
      <sheetName val="_입찰안.xls__입찰안.xls__입찰안.xls__384"/>
      <sheetName val="_입찰안.xls__입찰안.xls__입찰안.xls__383"/>
      <sheetName val="_입찰안.xls__입찰안.xls__입찰안.xls__387"/>
      <sheetName val="_입찰안.xls__입찰안.xls__입찰안.xls__385"/>
      <sheetName val="_입찰안.xls__입찰안.xls__입찰안.xls__386"/>
      <sheetName val="_입찰안.xls__입찰안.xls__입찰안.xls__412"/>
      <sheetName val="_입찰안.xls__입찰안.xls__입찰안.xls__419"/>
      <sheetName val="_입찰안.xls__입찰안.xls__입찰안.xls__391"/>
      <sheetName val="_입찰안.xls__입찰안.xls__입찰안.xls__392"/>
      <sheetName val="_입찰안.xls__입찰안.xls__입찰안.xls__394"/>
      <sheetName val="_입찰안.xls__입찰안.xls__입찰안.xls__393"/>
      <sheetName val="_입찰안.xls__입찰안.xls__입찰안.xls__395"/>
      <sheetName val="_입찰안.xls__입찰안.xls__입찰안.xls__396"/>
      <sheetName val="_입찰안.xls__입찰안.xls__입찰안.xls__397"/>
      <sheetName val="_입찰안.xls__입찰안.xls__입찰안.xls__398"/>
      <sheetName val="_입찰안.xls__입찰안.xls__입찰안.xls__399"/>
      <sheetName val="_입찰안.xls__입찰안.xls__입찰안.xls__400"/>
      <sheetName val="_입찰안.xls__입찰안.xls__입찰안.xls__401"/>
      <sheetName val="_입찰안.xls__입찰안.xls__입찰안.xls__402"/>
      <sheetName val="_입찰안.xls__입찰안.xls__입찰안.xls__403"/>
      <sheetName val="_입찰안.xls__입찰안.xls__입찰안.xls__405"/>
      <sheetName val="_입찰안.xls__입찰안.xls__입찰안.xls__404"/>
      <sheetName val="_입찰안.xls__입찰안.xls__입찰안.xls__406"/>
      <sheetName val="_입찰안.xls__입찰안.xls__입찰안.xls__407"/>
      <sheetName val="_입찰안.xls__입찰안.xls__입찰안.xls__409"/>
      <sheetName val="_입찰안.xls__입찰안.xls__입찰안.xls__408"/>
      <sheetName val="_입찰안.xls__입찰안.xls__입찰안.xls__410"/>
      <sheetName val="_입찰안.xls__입찰안.xls__입찰안.xls__411"/>
      <sheetName val="_입찰안.xls__입찰안.xls__입찰안.xls__418"/>
      <sheetName val="_입찰안.xls__입찰안.xls__입찰안.xls__416"/>
      <sheetName val="_입찰안.xls__입찰안.xls__입찰안.xls__413"/>
      <sheetName val="_입찰안.xls__입찰안.xls__입찰안.xls__414"/>
      <sheetName val="_입찰안.xls__입찰안.xls__입찰안.xls__415"/>
      <sheetName val="_입찰안.xls__입찰안.xls__입찰안.xls__417"/>
      <sheetName val="_입찰안.xls__입찰안.xls__입찰안.xls__421"/>
      <sheetName val="_입찰안.xls__입찰안.xls__입찰안.xls__420"/>
      <sheetName val="_입찰안.xls__입찰안.xls__입찰안.xls__483"/>
      <sheetName val="_입찰안.xls__입찰안.xls__입찰안.xls__424"/>
      <sheetName val="_입찰안.xls__입찰안.xls__입찰안.xls__422"/>
      <sheetName val="_입찰안.xls__입찰안.xls__입찰안.xls__423"/>
      <sheetName val="_입찰안.xls__입찰안.xls__입찰안.xls__426"/>
      <sheetName val="_입찰안.xls__입찰안.xls__입찰안.xls__425"/>
      <sheetName val="_입찰안.xls__입찰안.xls__입찰안.xls__427"/>
      <sheetName val="_입찰안.xls__입찰안.xls__입찰안.xls__485"/>
      <sheetName val="_입찰안.xls__입찰안.xls__입찰안.xls__428"/>
      <sheetName val="_입찰안.xls__입찰안.xls__입찰안.xls__429"/>
      <sheetName val="_입찰안.xls__입찰안.xls__입찰안.xls__432"/>
      <sheetName val="_입찰안.xls__입찰안.xls__입찰안.xls__430"/>
      <sheetName val="_입찰안.xls__입찰안.xls__입찰안.xls__431"/>
      <sheetName val="_입찰안.xls__입찰안.xls__입찰안.xls__433"/>
      <sheetName val="_입찰안.xls__입찰안.xls__입찰안.xls__435"/>
      <sheetName val="_입찰안.xls__입찰안.xls__입찰안.xls__434"/>
      <sheetName val="_입찰안.xls__입찰안.xls__입찰안.xls__436"/>
      <sheetName val="_입찰안.xls__입찰안.xls__입찰안.xls__437"/>
      <sheetName val="_입찰안.xls__입찰안.xls__입찰안.xls__438"/>
      <sheetName val="_입찰안.xls__입찰안.xls__입찰안.xls__439"/>
      <sheetName val="_입찰안.xls__입찰안.xls__입찰안.xls__441"/>
      <sheetName val="_입찰안.xls__입찰안.xls__입찰안.xls__440"/>
      <sheetName val="_입찰안.xls__입찰안.xls__입찰안.xls__442"/>
      <sheetName val="_입찰안.xls__입찰안.xls__입찰안.xls__443"/>
      <sheetName val="_입찰안.xls__입찰안.xls__입찰안.xls__444"/>
      <sheetName val="_입찰안.xls__입찰안.xls__입찰안.xls__446"/>
      <sheetName val="_입찰안.xls__입찰안.xls__입찰안.xls__445"/>
      <sheetName val="_입찰안.xls__입찰안.xls__입찰안.xls__450"/>
      <sheetName val="_입찰안.xls__입찰안.xls__입찰안.xls__447"/>
      <sheetName val="_입찰안.xls__입찰안.xls__입찰안.xls__448"/>
      <sheetName val="_입찰안.xls__입찰안.xls__입찰안.xls__449"/>
      <sheetName val="_입찰안.xls__입찰안.xls__입찰안.xls__452"/>
      <sheetName val="_입찰안.xls__입찰안.xls__입찰안.xls__451"/>
      <sheetName val="_입찰안.xls__입찰안.xls__입찰안.xls__453"/>
      <sheetName val="_입찰안.xls__입찰안.xls__입찰안.xls__454"/>
      <sheetName val="_입찰안.xls__입찰안.xls__입찰안.xls__455"/>
      <sheetName val="_입찰안.xls__입찰안.xls__입찰안.xls__456"/>
      <sheetName val="_입찰안.xls__입찰안.xls__입찰안.xls__457"/>
      <sheetName val="_입찰안.xls__입찰안.xls__입찰안.xls__458"/>
      <sheetName val="_입찰안.xls__입찰안.xls__입찰안.xls__459"/>
      <sheetName val="_입찰안.xls__입찰안.xls__입찰안.xls__460"/>
      <sheetName val="_입찰안.xls__입찰안.xls__입찰안.xls__462"/>
      <sheetName val="_입찰안.xls__입찰안.xls__입찰안.xls__461"/>
      <sheetName val="_입찰안.xls__입찰안.xls__입찰안.xls__463"/>
      <sheetName val="_입찰안.xls__입찰안.xls__입찰안.xls__464"/>
      <sheetName val="_입찰안.xls__입찰안.xls__입찰안.xls__465"/>
      <sheetName val="_입찰안.xls__입찰안.xls__입찰안.xls__466"/>
      <sheetName val="_입찰안.xls__입찰안.xls__입찰안.xls__467"/>
      <sheetName val="_입찰안.xls__입찰안.xls__입찰안.xls__468"/>
      <sheetName val="_입찰안.xls__입찰안.xls__입찰안.xls__470"/>
      <sheetName val="_입찰안.xls__입찰안.xls__입찰안.xls__469"/>
      <sheetName val="_입찰안.xls__입찰안.xls__입찰안.xls__472"/>
      <sheetName val="_입찰안.xls__입찰안.xls__입찰안.xls__471"/>
      <sheetName val="_입찰안.xls__입찰안.xls__입찰안.xls__476"/>
      <sheetName val="_입찰안.xls__입찰안.xls__입찰안.xls__474"/>
      <sheetName val="_입찰안.xls__입찰안.xls__입찰안.xls__473"/>
      <sheetName val="_입찰안.xls__입찰안.xls__입찰안.xls__475"/>
      <sheetName val="_입찰안.xls__입찰안.xls__입찰안.xls__478"/>
      <sheetName val="_입찰안.xls__입찰안.xls__입찰안.xls__477"/>
      <sheetName val="_입찰안.xls__입찰안.xls__입찰안.xls__480"/>
      <sheetName val="_입찰안.xls__입찰안.xls__입찰안.xls__479"/>
      <sheetName val="_입찰안.xls__입찰안.xls__입찰안.xls__482"/>
      <sheetName val="_입찰안.xls__입찰안.xls__입찰안.xls__481"/>
      <sheetName val="_입찰안.xls__입찰안.xls__입찰안.xls__486"/>
      <sheetName val="_입찰안.xls__입찰안.xls__입찰안.xls__484"/>
      <sheetName val="_입찰안.xls__입찰안.xls__입찰안.xls__496"/>
      <sheetName val="_입찰안.xls__입찰안.xls__입찰안.xls__487"/>
      <sheetName val="_입찰안.xls__입찰안.xls__입찰안.xls__488"/>
      <sheetName val="_입찰안.xls__입찰안.xls__입찰안.xls__527"/>
      <sheetName val="_입찰안.xls__입찰안.xls__입찰안.xls__521"/>
      <sheetName val="_입찰안.xls__입찰안.xls__입찰안.xls__489"/>
      <sheetName val="_입찰안.xls__입찰안.xls__입찰안.xls__490"/>
      <sheetName val="_입찰안.xls__입찰안.xls__입찰안.xls__492"/>
      <sheetName val="_입찰안.xls__입찰안.xls__입찰안.xls__491"/>
      <sheetName val="_입찰안.xls__입찰안.xls__입찰안.xls__495"/>
      <sheetName val="_입찰안.xls__입찰안.xls__입찰안.xls__494"/>
      <sheetName val="_입찰안.xls__입찰안.xls__입찰안.xls__493"/>
      <sheetName val="_입찰안.xls__입찰안.xls__입찰안.xls__512"/>
      <sheetName val="_입찰안.xls__입찰안.xls__입찰안.xls__502"/>
      <sheetName val="_입찰안.xls__입찰안.xls__입찰안.xls__499"/>
      <sheetName val="_입찰안.xls__입찰안.xls__입찰안.xls__497"/>
      <sheetName val="_입찰안.xls__입찰안.xls__입찰안.xls__498"/>
      <sheetName val="_입찰안.xls__입찰안.xls__입찰안.xls__500"/>
      <sheetName val="_입찰안.xls__입찰안.xls__입찰안.xls__501"/>
      <sheetName val="_입찰안.xls__입찰안.xls__입찰안.xls__504"/>
      <sheetName val="_입찰안.xls__입찰안.xls__입찰안.xls__503"/>
      <sheetName val="_입찰안.xls__입찰안.xls__입찰안.xls__505"/>
      <sheetName val="_입찰안.xls__입찰안.xls__입찰안.xls__508"/>
      <sheetName val="_입찰안.xls__입찰안.xls__입찰안.xls__506"/>
      <sheetName val="_입찰안.xls__입찰안.xls__입찰안.xls__507"/>
      <sheetName val="_입찰안.xls__입찰안.xls__입찰안.xls__509"/>
      <sheetName val="_입찰안.xls__입찰안.xls__입찰안.xls__511"/>
      <sheetName val="_입찰안.xls__입찰안.xls__입찰안.xls__510"/>
      <sheetName val="_입찰안.xls__입찰안.xls__입찰안.xls__514"/>
      <sheetName val="_입찰안.xls__입찰안.xls__입찰안.xls__513"/>
      <sheetName val="_입찰안.xls__입찰안.xls__입찰안.xls__515"/>
      <sheetName val="_입찰안.xls__입찰안.xls__입찰안.xls__517"/>
      <sheetName val="_입찰안.xls__입찰안.xls__입찰안.xls__516"/>
      <sheetName val="_입찰안.xls__입찰안.xls__입찰안.xls__518"/>
      <sheetName val="_입찰안.xls__입찰안.xls__입찰안.xls__520"/>
      <sheetName val="_입찰안.xls__입찰안.xls__입찰안.xls__519"/>
      <sheetName val="_입찰안.xls__입찰안.xls__입찰안.xls__526"/>
      <sheetName val="_입찰안.xls__입찰안.xls__입찰안.xls__523"/>
      <sheetName val="_입찰안.xls__입찰안.xls__입찰안.xls__522"/>
      <sheetName val="_입찰안.xls__입찰안.xls__입찰안.xls__524"/>
      <sheetName val="_입찰안.xls__입찰안.xls__입찰안.xls__525"/>
      <sheetName val="_입찰안.xls__입찰안.xls__입찰안.xls__533"/>
      <sheetName val="_입찰안.xls__입찰안.xls__입찰안.xls__529"/>
      <sheetName val="_입찰안.xls__입찰안.xls__입찰안.xls__528"/>
      <sheetName val="_입찰안.xls__입찰안.xls__입찰안.xls__530"/>
      <sheetName val="_입찰안.xls__입찰안.xls__입찰안.xls__531"/>
      <sheetName val="_입찰안.xls__입찰안.xls__입찰안.xls__562"/>
      <sheetName val="_입찰안.xls__입찰안.xls__입찰안.xls__532"/>
      <sheetName val="_입찰안.xls__입찰안.xls__입찰안.xls__574"/>
      <sheetName val="_입찰안.xls__입찰안.xls__입찰안.xls__535"/>
      <sheetName val="_입찰안.xls__입찰안.xls__입찰안.xls__534"/>
      <sheetName val="_입찰안.xls__입찰안.xls__입찰안.xls__536"/>
      <sheetName val="_입찰안.xls__입찰안.xls__입찰안.xls__537"/>
      <sheetName val="_입찰안.xls__입찰안.xls__입찰안.xls__538"/>
      <sheetName val="_입찰안.xls__입찰안.xls__입찰안.xls__539"/>
      <sheetName val="_입찰안.xls__입찰안.xls__입찰안.xls__541"/>
      <sheetName val="_입찰안.xls__입찰안.xls__입찰안.xls__540"/>
      <sheetName val="_입찰안.xls__입찰안.xls__입찰안.xls__542"/>
      <sheetName val="_입찰안.xls__입찰안.xls__입찰안.xls__543"/>
      <sheetName val="_입찰안.xls__입찰안.xls__입찰안.xls__544"/>
      <sheetName val="_입찰안.xls__입찰안.xls__입찰안.xls__546"/>
      <sheetName val="_입찰안.xls__입찰안.xls__입찰안.xls__545"/>
      <sheetName val="_입찰안.xls__입찰안.xls__입찰안.xls__547"/>
      <sheetName val="_입찰안.xls__입찰안.xls__입찰안.xls__548"/>
      <sheetName val="_입찰안.xls__입찰안.xls__입찰안.xls__549"/>
      <sheetName val="_입찰안.xls__입찰안.xls__입찰안.xls__551"/>
      <sheetName val="_입찰안.xls__입찰안.xls__입찰안.xls__550"/>
      <sheetName val="_입찰안.xls__입찰안.xls__입찰안.xls__554"/>
      <sheetName val="_입찰안.xls__입찰안.xls__입찰안.xls__552"/>
      <sheetName val="_입찰안.xls__입찰안.xls__입찰안.xls__553"/>
      <sheetName val="_입찰안.xls__입찰안.xls__입찰안.xls__556"/>
      <sheetName val="_입찰안.xls__입찰안.xls__입찰안.xls__555"/>
      <sheetName val="_입찰안.xls__입찰안.xls__입찰안.xls__559"/>
      <sheetName val="_입찰안.xls__입찰안.xls__입찰안.xls__557"/>
      <sheetName val="_입찰안.xls__입찰안.xls__입찰안.xls__558"/>
      <sheetName val="_입찰안.xls__입찰안.xls__입찰안.xls__561"/>
      <sheetName val="_입찰안.xls__입찰안.xls__입찰안.xls__560"/>
      <sheetName val="_입찰안.xls__입찰안.xls__입찰안.xls__563"/>
      <sheetName val="_입찰안.xls__입찰안.xls__입찰안.xls__564"/>
      <sheetName val="_입찰안.xls__입찰안.xls__입찰안.xls__575"/>
      <sheetName val="_입찰안.xls__입찰안.xls__입찰안.xls__566"/>
      <sheetName val="_입찰안.xls__입찰안.xls__입찰안.xls__565"/>
      <sheetName val="_입찰안.xls__입찰안.xls__입찰안.xls__567"/>
      <sheetName val="_입찰안.xls__입찰안.xls__입찰안.xls__568"/>
      <sheetName val="_입찰안.xls__입찰안.xls__입찰안.xls__569"/>
      <sheetName val="_입찰안.xls__입찰안.xls__입찰안.xls__570"/>
      <sheetName val="_입찰안.xls__입찰안.xls__입찰안.xls__571"/>
      <sheetName val="_입찰안.xls__입찰안.xls__입찰안.xls__572"/>
      <sheetName val="_입찰안.xls__입찰안.xls__입찰안.xls__573"/>
      <sheetName val="_입찰안.xls__입찰안.xls__입찰안.xls__576"/>
      <sheetName val="_입찰안.xls__입찰안.xls__입찰안.xls__585"/>
      <sheetName val="_입찰안.xls__입찰안.xls__입찰안.xls__577"/>
      <sheetName val="_입찰안.xls__입찰안.xls__입찰안.xls__578"/>
      <sheetName val="_입찰안.xls__입찰안.xls__입찰안.xls__579"/>
      <sheetName val="_입찰안.xls__입찰안.xls__입찰안.xls__580"/>
      <sheetName val="_입찰안.xls__입찰안.xls__입찰안.xls__581"/>
      <sheetName val="_입찰안.xls__입찰안.xls__입찰안.xls__582"/>
      <sheetName val="_입찰안.xls__입찰안.xls__입찰안.xls__583"/>
      <sheetName val="_입찰안.xls__입찰안.xls__입찰안.xls__584"/>
      <sheetName val="_입찰안.xls__입찰안.xls__입찰안.xls__589"/>
      <sheetName val="_입찰안.xls__입찰안.xls__입찰안.xls__590"/>
      <sheetName val="_입찰안.xls__입찰안.xls__입찰안.xls__586"/>
      <sheetName val="_입찰안.xls__입찰안.xls__입찰안.xls__587"/>
      <sheetName val="_입찰안.xls__입찰안.xls__입찰안.xls__588"/>
      <sheetName val="_입찰안.xls__입찰안.xls__입찰안.xls__591"/>
      <sheetName val="_입찰안.xls__입찰안.xls__입찰안.xls__597"/>
      <sheetName val="_입찰안.xls__입찰안.xls__입찰안.xls__596"/>
      <sheetName val="_입찰안.xls__입찰안.xls__입찰안.xls__593"/>
      <sheetName val="_입찰안.xls__입찰안.xls__입찰안.xls__592"/>
      <sheetName val="_입찰안.xls__입찰안.xls__입찰안.xls__594"/>
      <sheetName val="_입찰안.xls__입찰안.xls__입찰안.xls__595"/>
      <sheetName val="_입찰안.xls__입찰안.xls__입찰안.xls__614"/>
      <sheetName val="_입찰안.xls__입찰안.xls__입찰안.xls__598"/>
      <sheetName val="_입찰안.xls__입찰안.xls__입찰안.xls__599"/>
      <sheetName val="_입찰안.xls__입찰안.xls__입찰안.xls__600"/>
      <sheetName val="_입찰안.xls__입찰안.xls__입찰안.xls__628"/>
      <sheetName val="_입찰안.xls__입찰안.xls__입찰안.xls__601"/>
      <sheetName val="_입찰안.xls__입찰안.xls__입찰안.xls__602"/>
      <sheetName val="_입찰안.xls__입찰안.xls__입찰안.xls__606"/>
      <sheetName val="_입찰안.xls__입찰안.xls__입찰안.xls__603"/>
      <sheetName val="_입찰안.xls__입찰안.xls__입찰안.xls__604"/>
      <sheetName val="_입찰안.xls__입찰안.xls__입찰안.xls__605"/>
      <sheetName val="_입찰안.xls__입찰안.xls__입찰안.xls__607"/>
      <sheetName val="_입찰안.xls__입찰안.xls__입찰안.xls__608"/>
      <sheetName val="_입찰안.xls__입찰안.xls__입찰안.xls__609"/>
      <sheetName val="_입찰안.xls__입찰안.xls__입찰안.xls__610"/>
      <sheetName val="_입찰안.xls__입찰안.xls__입찰안.xls__613"/>
      <sheetName val="_입찰안.xls__입찰안.xls__입찰안.xls__611"/>
      <sheetName val="_입찰안.xls__입찰안.xls__입찰안.xls__612"/>
      <sheetName val="_입찰안.xls__입찰안.xls__입찰안.xls__615"/>
      <sheetName val="_입찰안.xls__입찰안.xls__입찰안.xls__616"/>
      <sheetName val="_입찰안.xls__입찰안.xls__입찰안.xls__617"/>
      <sheetName val="_입찰안.xls__입찰안.xls__입찰안.xls__618"/>
      <sheetName val="_입찰안.xls__입찰안.xls__입찰안.xls__619"/>
      <sheetName val="_입찰안.xls__입찰안.xls__입찰안.xls__620"/>
      <sheetName val="_입찰안.xls__입찰안.xls__입찰안.xls__621"/>
      <sheetName val="_입찰안.xls__입찰안.xls__입찰안.xls__622"/>
      <sheetName val="_입찰안.xls__입찰안.xls__입찰안.xls__623"/>
      <sheetName val="_입찰안.xls__입찰안.xls__입찰안.xls__624"/>
      <sheetName val="_입찰안.xls__입찰안.xls__입찰안.xls__625"/>
      <sheetName val="_입찰안.xls__입찰안.xls__입찰안.xls__626"/>
      <sheetName val="_입찰안.xls__입찰안.xls__입찰안.xls__627"/>
      <sheetName val="_입찰안.xls__입찰안.xls__입찰안.xls__635"/>
      <sheetName val="_입찰안.xls__입찰안.xls__입찰안.xls__629"/>
      <sheetName val="_입찰안.xls__입찰안.xls__입찰안.xls__630"/>
      <sheetName val="_입찰안.xls__입찰안.xls__입찰안.xls__631"/>
      <sheetName val="_입찰안.xls__입찰안.xls__입찰안.xls__632"/>
      <sheetName val="_입찰안.xls__입찰안.xls__입찰안.xls__633"/>
      <sheetName val="_입찰안.xls__입찰안.xls__입찰안.xls__634"/>
      <sheetName val="_입찰안.xls__입찰안.xls__입찰안.xls__639"/>
      <sheetName val="_입찰안.xls__입찰안.xls__입찰안.xls__636"/>
      <sheetName val="_입찰안.xls__입찰안.xls__입찰안.xls__638"/>
      <sheetName val="_입찰안.xls__입찰안.xls__입찰안.xls__637"/>
      <sheetName val="_입찰안.xls__입찰안.xls__입찰안.xls__640"/>
      <sheetName val="_입찰안.xls__입찰안.xls__입찰안.xls__641"/>
      <sheetName val="_입찰안.xls__입찰안.xls__입찰안.xls__644"/>
      <sheetName val="_입찰안.xls__입찰안.xls__입찰안.xls__642"/>
      <sheetName val="_입찰안.xls__입찰안.xls__입찰안.xls__643"/>
      <sheetName val="_입찰안.xls__입찰안.xls__입찰안.xls__647"/>
      <sheetName val="_입찰안.xls__입찰안.xls__입찰안.xls__645"/>
      <sheetName val="_입찰안.xls__입찰안.xls__입찰안.xls__646"/>
      <sheetName val="_입찰안.xls__입찰안.xls__입찰안.xls__667"/>
      <sheetName val="_입찰안.xls__입찰안.xls__입찰안.xls__651"/>
      <sheetName val="_입찰안.xls__입찰안.xls__입찰안.xls__649"/>
      <sheetName val="_입찰안.xls__입찰안.xls__입찰안.xls__648"/>
      <sheetName val="_입찰안.xls__입찰안.xls__입찰안.xls__650"/>
      <sheetName val="_입찰안.xls__입찰안.xls__입찰안.xls__652"/>
      <sheetName val="_입찰안.xls__입찰안.xls__입찰안.xls__654"/>
      <sheetName val="_입찰안.xls__입찰안.xls__입찰안.xls__653"/>
      <sheetName val="_입찰안.xls__입찰안.xls__입찰안.xls__672"/>
      <sheetName val="_입찰안.xls__입찰안.xls__입찰안.xls__655"/>
      <sheetName val="_입찰안.xls__입찰안.xls__입찰안.xls__656"/>
      <sheetName val="_입찰안.xls__입찰안.xls__입찰안.xls__657"/>
      <sheetName val="_입찰안.xls__입찰안.xls__입찰안.xls__658"/>
      <sheetName val="_입찰안.xls__입찰안.xls__입찰안.xls__660"/>
      <sheetName val="_입찰안.xls__입찰안.xls__입찰안.xls__659"/>
      <sheetName val="_입찰안.xls__입찰안.xls__입찰안.xls__661"/>
      <sheetName val="_입찰안.xls__입찰안.xls__입찰안.xls__662"/>
      <sheetName val="_입찰안.xls__입찰안.xls__입찰안.xls__663"/>
      <sheetName val="_입찰안.xls__입찰안.xls__입찰안.xls__664"/>
      <sheetName val="_입찰안.xls__입찰안.xls__입찰안.xls__666"/>
      <sheetName val="_입찰안.xls__입찰안.xls__입찰안.xls__665"/>
      <sheetName val="_입찰안.xls__입찰안.xls__입찰안.xls__684"/>
      <sheetName val="_입찰안.xls__입찰안.xls__입찰안.xls__668"/>
      <sheetName val="_입찰안.xls__입찰안.xls__입찰안.xls__669"/>
      <sheetName val="_입찰안.xls__입찰안.xls__입찰안.xls__670"/>
      <sheetName val="_입찰안.xls__입찰안.xls__입찰안.xls__671"/>
      <sheetName val="_입찰안.xls__입찰안.xls__입찰안.xls__674"/>
      <sheetName val="_입찰안.xls__입찰안.xls__입찰안.xls__673"/>
      <sheetName val="_입찰안.xls__입찰안.xls__입찰안.xls__675"/>
      <sheetName val="_입찰안.xls__입찰안.xls__입찰안.xls__693"/>
      <sheetName val="_입찰안.xls__입찰안.xls__입찰안.xls__676"/>
      <sheetName val="_입찰안.xls__입찰안.xls__입찰안.xls__678"/>
      <sheetName val="_입찰안.xls__입찰안.xls__입찰안.xls__677"/>
      <sheetName val="_입찰안.xls__입찰안.xls__입찰안.xls__679"/>
      <sheetName val="_입찰안.xls__입찰안.xls__입찰안.xls__680"/>
      <sheetName val="_입찰안.xls__입찰안.xls__입찰안.xls__681"/>
      <sheetName val="_입찰안.xls__입찰안.xls__입찰안.xls__682"/>
      <sheetName val="_입찰안.xls__입찰안.xls__입찰안.xls__683"/>
      <sheetName val="_입찰안.xls__입찰안.xls__입찰안.xls__685"/>
      <sheetName val="_입찰안.xls__입찰안.xls__입찰안.xls__686"/>
      <sheetName val="_입찰안.xls__입찰안.xls__입찰안.xls__687"/>
      <sheetName val="_입찰안.xls__입찰안.xls__입찰안.xls__688"/>
      <sheetName val="_입찰안.xls__입찰안.xls__입찰안.xls__692"/>
      <sheetName val="_입찰안.xls__입찰안.xls__입찰안.xls__689"/>
      <sheetName val="_입찰안.xls__입찰안.xls__입찰안.xls__690"/>
      <sheetName val="_입찰안.xls__입찰안.xls__입찰안.xls__691"/>
      <sheetName val="_입찰안.xls__입찰안.xls__입찰안.xls__699"/>
      <sheetName val="_입찰안.xls__입찰안.xls__입찰안.xls__694"/>
      <sheetName val="_입찰안.xls__입찰안.xls__입찰안.xls__695"/>
      <sheetName val="_입찰안.xls__입찰안.xls__입찰안.xls__698"/>
      <sheetName val="_입찰안.xls__입찰안.xls__입찰안.xls__696"/>
      <sheetName val="_입찰안.xls__입찰안.xls__입찰안.xls__697"/>
      <sheetName val="_입찰안.xls__입찰안.xls__입찰안.xls__718"/>
      <sheetName val="_입찰안.xls__입찰안.xls__입찰안.xls__704"/>
      <sheetName val="_입찰안.xls__입찰안.xls__입찰안.xls__700"/>
      <sheetName val="_입찰안.xls__입찰안.xls__입찰안.xls__701"/>
      <sheetName val="_입찰안.xls__입찰안.xls__입찰안.xls__702"/>
      <sheetName val="_입찰안.xls__입찰안.xls__입찰안.xls__703"/>
      <sheetName val="_입찰안.xls__입찰안.xls__입찰안.xls__705"/>
      <sheetName val="_입찰안.xls__입찰안.xls__입찰안.xls__706"/>
      <sheetName val="_입찰안.xls__입찰안.xls__입찰안.xls__707"/>
      <sheetName val="_입찰안.xls__입찰안.xls__입찰안.xls__708"/>
      <sheetName val="_입찰안.xls__입찰안.xls__입찰안.xls__728"/>
      <sheetName val="_입찰안.xls__입찰안.xls__입찰안.xls__710"/>
      <sheetName val="_입찰안.xls__입찰안.xls__입찰안.xls__709"/>
      <sheetName val="_입찰안.xls__입찰안.xls__입찰안.xls__711"/>
      <sheetName val="_입찰안.xls__입찰안.xls__입찰안.xls__712"/>
      <sheetName val="_입찰안.xls__입찰안.xls__입찰안.xls__713"/>
      <sheetName val="_입찰안.xls__입찰안.xls__입찰안.xls__715"/>
      <sheetName val="_입찰안.xls__입찰안.xls__입찰안.xls__714"/>
      <sheetName val="_입찰안.xls__입찰안.xls__입찰안.xls__716"/>
      <sheetName val="_입찰안.xls__입찰안.xls__입찰안.xls__717"/>
      <sheetName val="_입찰안.xls__입찰안.xls__입찰안.xls__720"/>
      <sheetName val="_입찰안.xls__입찰안.xls__입찰안.xls__719"/>
      <sheetName val="_입찰안.xls__입찰안.xls__입찰안.xls__721"/>
      <sheetName val="_입찰안.xls__입찰안.xls__입찰안.xls__722"/>
      <sheetName val="_입찰안.xls__입찰안.xls__입찰안.xls__723"/>
      <sheetName val="_입찰안.xls__입찰안.xls__입찰안.xls__724"/>
      <sheetName val="_입찰안.xls__입찰안.xls__입찰안.xls__725"/>
      <sheetName val="_입찰안.xls__입찰안.xls__입찰안.xls__726"/>
      <sheetName val="_입찰안.xls__입찰안.xls__입찰안.xls__727"/>
      <sheetName val="_입찰안.xls__입찰안.xls__입찰안.xls__729"/>
      <sheetName val="_입찰안.xls__입찰안.xls__입찰안.xls__730"/>
      <sheetName val="_입찰안.xls__입찰안.xls__입찰안.xls__732"/>
      <sheetName val="_입찰안.xls__입찰안.xls__입찰안.xls__731"/>
      <sheetName val="_입찰안.xls__입찰안.xls__입찰안.xls__739"/>
      <sheetName val="_입찰안.xls__입찰안.xls__입찰안.xls__733"/>
      <sheetName val="_입찰안.xls__입찰안.xls__입찰안.xls__734"/>
      <sheetName val="_입찰안.xls__입찰안.xls__입찰안.xls__735"/>
      <sheetName val="_입찰안.xls__입찰안.xls__입찰안.xls__736"/>
      <sheetName val="_입찰안.xls__입찰안.xls__입찰안.xls__737"/>
      <sheetName val="_입찰안.xls__입찰안.xls__입찰안.xls__738"/>
      <sheetName val="_입찰안.xls__입찰안.xls__입찰안.xls__743"/>
      <sheetName val="_입찰안.xls__입찰안.xls__입찰안.xls__740"/>
      <sheetName val="_입찰안.xls__입찰안.xls__입찰안.xls__741"/>
      <sheetName val="_입찰안.xls__입찰안.xls__입찰안.xls__742"/>
      <sheetName val="_입찰안.xls__입찰안.xls__입찰안.xls____7"/>
      <sheetName val="_입찰안.xls__입찰안_xls__입찰안_xls____3"/>
      <sheetName val="_입찰안.xls__입찰안.xls__입찰안_xls____2"/>
      <sheetName val="_입찰안.xls__입찰안.xls__입찰안.xls____8"/>
      <sheetName val="_입찰안.xls__입찰안_xls__입찰안_xls____4"/>
      <sheetName val="_입찰안.xls__입찰안.xls__입찰안_xls____3"/>
      <sheetName val="_입찰안.xls__입찰안.xls__입찰안.xls__752"/>
      <sheetName val="_입찰안.xls__입찰안.xls__입찰안.xls__749"/>
      <sheetName val="_입찰안.xls__입찰안.xls__입찰안.xls__745"/>
      <sheetName val="_입찰안.xls__입찰안.xls__입찰안.xls__746"/>
      <sheetName val="_입찰안.xls__입찰안.xls__입찰안.xls__747"/>
      <sheetName val="_입찰안.xls__입찰안.xls__입찰안.xls__748"/>
      <sheetName val="_입찰안.xls__입찰안.xls__입찰안.xls__750"/>
      <sheetName val="_입찰안.xls__입찰안.xls__입찰안.xls__751"/>
      <sheetName val="_입찰안.xls__입찰안.xls__입찰안.xls__754"/>
      <sheetName val="_입찰안.xls__입찰안.xls__입찰안.xls__753"/>
      <sheetName val="_입찰안.xls__입찰안.xls__입찰안.xls__755"/>
      <sheetName val="_입찰안.xls__입찰안.xls__입찰안.xls__759"/>
      <sheetName val="_입찰안.xls__입찰안.xls__입찰안.xls__756"/>
      <sheetName val="_입찰안.xls__입찰안.xls__입찰안.xls__762"/>
      <sheetName val="_입찰안.xls__입찰안.xls__입찰안.xls__757"/>
      <sheetName val="_입찰안.xls__입찰안.xls__입찰안.xls__758"/>
      <sheetName val="_입찰안.xls__입찰안.xls__입찰안.xls__760"/>
      <sheetName val="_입찰안.xls__입찰안.xls__입찰안.xls__761"/>
      <sheetName val="_입찰안.xls__입찰안.xls__입찰안.xls__763"/>
      <sheetName val="_입찰안.xls__입찰안.xls__입찰안.xls__765"/>
      <sheetName val="_입찰안.xls__입찰안.xls__입찰안.xls__764"/>
      <sheetName val="_입찰안_xls__입찰안_xls__입찰안_xls_B_30"/>
      <sheetName val="_입찰안_xls__입찰안_xls__입찰안_xls_B_46"/>
      <sheetName val="_입찰안_xls__입찰안_xls__입찰안_xls_B_45"/>
      <sheetName val="_입찰안_xls__입찰안_xls__입찰안_xls_B_44"/>
      <sheetName val="_입찰안_xls__입찰안_xls__입찰안_xls_B_33"/>
      <sheetName val="_입찰안_xls__입찰안_xls__입찰안_xls_B_31"/>
      <sheetName val="_입찰안_xls__입찰안_xls__입찰안_xls_B_32"/>
      <sheetName val="_입찰안_xls__입찰안_xls__입찰안_xls_B_34"/>
      <sheetName val="_입찰안_xls__입찰안_xls__입찰안_xls_B_35"/>
      <sheetName val="_입찰안_xls__입찰안_xls__입찰안_xls_B_36"/>
      <sheetName val="_입찰안_xls__입찰안_xls__입찰안_xls_B_37"/>
      <sheetName val="_입찰안_xls__입찰안_xls__입찰안_xls_B_40"/>
      <sheetName val="_입찰안_xls__입찰안_xls__입찰안_xls_B_38"/>
      <sheetName val="_입찰안_xls__입찰안_xls__입찰안_xls_B_41"/>
      <sheetName val="_입찰안_xls__입찰안_xls__입찰안_xls_B_39"/>
      <sheetName val="_입찰안_xls__입찰안_xls__입찰안_xls_B_42"/>
      <sheetName val="_입찰안_xls__입찰안_xls__입찰안_xls_B_43"/>
      <sheetName val="_입찰안_xls__입찰안_xls__입찰안_xls_B_47"/>
      <sheetName val="_입찰안_xls__입찰안_xls__입찰안_xls_B_48"/>
      <sheetName val="_입찰안_xls__입찰안_xls__입찰안_xls_B_49"/>
      <sheetName val="_입찰안_xls__입찰안_xls__입찰안_xls_B_54"/>
      <sheetName val="_입찰안_xls__입찰안_xls__입찰안_xls_B_53"/>
      <sheetName val="_입찰안_xls__입찰안_xls__입찰안_xls_B_50"/>
      <sheetName val="_입찰안_xls__입찰안_xls__입찰안_xls_B_51"/>
      <sheetName val="_입찰안_xls__입찰안_xls__입찰안_xls_B_52"/>
      <sheetName val="_입찰안_xls__입찰안_xls__입찰안_xls_B_55"/>
      <sheetName val="_입찰안_xls__입찰안_xls__입찰안_xls_B_56"/>
      <sheetName val="_입찰안_xls__입찰안_xls__입찰안_xls_B_57"/>
      <sheetName val="_입찰안_xls__입찰안_xls__입찰안_xls_B_58"/>
      <sheetName val="_입찰안_xls__입찰안_xls__입찰안_xls_B_59"/>
      <sheetName val="_입찰안_xls__입찰안_xls__입찰안_xls_B_60"/>
      <sheetName val="_입찰안_xls__입찰안_xls__입찰안_xls_B_61"/>
      <sheetName val="_입찰안_xls__입찰안_xls__입찰안_xls_B_62"/>
      <sheetName val="_입찰안_xls__입찰안_xls__입찰안_xls_B_63"/>
      <sheetName val="_입찰안_xls__입찰안_xls__입찰안_xls____5"/>
      <sheetName val="_입찰안_xls__입찰안_xls__입찰안_xls_B_64"/>
      <sheetName val="_입찰안_xls__입찰안_xls__입찰안_xls__103"/>
      <sheetName val="_입찰안_xls__입찰안_xls__입찰안_xls_B_68"/>
      <sheetName val="_입찰안_xls__입찰안_xls__입찰안_xls_B_79"/>
      <sheetName val="_입찰안_xls__입찰안_xls__입찰안_xls_B_80"/>
      <sheetName val="_입찰안_xls__입찰안_xls__입찰안_xls_B_66"/>
      <sheetName val="_입찰안_xls__입찰안_xls__입찰안_xls_B_67"/>
      <sheetName val="_입찰안_xls__입찰안_xls__입찰안_xls_B_65"/>
      <sheetName val="_입찰안_xls__입찰안_xls__입찰안_xls_B_69"/>
      <sheetName val="_입찰안_xls__입찰안_xls__입찰안_xls_B_70"/>
      <sheetName val="_입찰안_xls__입찰안_xls__입찰안_xls_B_71"/>
      <sheetName val="_입찰안_xls__입찰안_xls__입찰안_xls_B_73"/>
      <sheetName val="_입찰안_xls__입찰안_xls__입찰안_xls_B_74"/>
      <sheetName val="_입찰안_xls__입찰안_xls__입찰안_xls_B_72"/>
      <sheetName val="_입찰안_xls__입찰안_xls__입찰안_xls_B_75"/>
      <sheetName val="_입찰안_xls__입찰안_xls__입찰안_xls_B_76"/>
      <sheetName val="_입찰안_xls__입찰안_xls__입찰안_xls_B_77"/>
      <sheetName val="_입찰안_xls__입찰안_xls__입찰안_xls_B_78"/>
      <sheetName val="_입찰안_xls__입찰안_xls__입찰안_xls_B_81"/>
      <sheetName val="_입찰안_xls__입찰안_xls__입찰안_xls_B_82"/>
      <sheetName val="_입찰안_xls__입찰안_xls__입찰안_xls_B_83"/>
      <sheetName val="_입찰안_xls__입찰안_xls__입찰안_xls_B_93"/>
      <sheetName val="_입찰안_xls__입찰안_xls__입찰안_xls_B_96"/>
      <sheetName val="_입찰안_xls__입찰안_xls__입찰안_xls_B_86"/>
      <sheetName val="_입찰안_xls__입찰안_xls__입찰안_xls_B_87"/>
      <sheetName val="_입찰안_xls__입찰안_xls__입찰안_xls_B_84"/>
      <sheetName val="_입찰안_xls__입찰안_xls__입찰안_xls_B_85"/>
      <sheetName val="_입찰안_xls__입찰안_xls__입찰안_xls_B_88"/>
      <sheetName val="_입찰안_xls__입찰안_xls__입찰안_xls_B_89"/>
      <sheetName val="_입찰안_xls__입찰안_xls__입찰안_xls_B_90"/>
      <sheetName val="_입찰안_xls__입찰안_xls__입찰안_xls_B_91"/>
      <sheetName val="_입찰안_xls__입찰안_xls__입찰안_xls_B_92"/>
      <sheetName val="_입찰안_xls__입찰안_xls__입찰안_xls_B_94"/>
      <sheetName val="_입찰안_xls__입찰안_xls__입찰안_xls_B_95"/>
      <sheetName val="_입찰안_xls__입찰안_xls__입찰안_xls_B_97"/>
      <sheetName val="_입찰안_xls__입찰안_xls__입찰안_xls_B_98"/>
      <sheetName val="_입찰안_xls__입찰안_xls__입찰안_xls_B_99"/>
      <sheetName val="_입찰안_xls__입찰안_xls__입찰안_xls_B100"/>
      <sheetName val="_입찰안_xls__입찰안_xls__입찰안_xls_B101"/>
      <sheetName val="_입찰안_xls__입찰안_xls__입찰안_xls__100"/>
      <sheetName val="_입찰안_xls__입찰안_xls__입찰안_xls_B102"/>
      <sheetName val="_입찰안_xls__입찰안_xls__입찰안_xls__101"/>
      <sheetName val="_입찰안_xls__입찰안_xls__입찰안_xls__102"/>
      <sheetName val="_입찰안.xls__입찰안.xls__입찰안.xls__778"/>
      <sheetName val="_입찰안.xls__입찰안.xls__입찰안.xls__770"/>
      <sheetName val="_입찰안.xls__입찰안.xls__입찰안.xls__773"/>
      <sheetName val="_입찰안.xls__입찰안.xls__입찰안.xls__772"/>
      <sheetName val="_입찰안.xls__입찰안.xls__입찰안.xls__766"/>
      <sheetName val="_입찰안.xls__입찰안.xls__입찰안.xls__767"/>
      <sheetName val="_입찰안.xls__입찰안.xls__입찰안.xls__768"/>
      <sheetName val="_입찰안.xls__입찰안.xls__입찰안.xls__769"/>
      <sheetName val="_입찰안.xls__입찰안.xls__입찰안.xls__771"/>
      <sheetName val="_입찰안.xls__입찰안.xls__입찰안.xls__774"/>
      <sheetName val="_입찰안.xls__입찰안.xls__입찰안.xls__777"/>
      <sheetName val="_입찰안.xls__입찰안.xls__입찰안.xls__775"/>
      <sheetName val="_입찰안.xls__입찰안.xls__입찰안.xls__776"/>
      <sheetName val="_입찰안.xls__입찰안.xls__입찰안.xls__779"/>
      <sheetName val="_입찰안.xls__입찰안.xls__입찰안.xls__797"/>
      <sheetName val="_입찰안.xls__입찰안.xls__입찰안.xls__781"/>
      <sheetName val="_입찰안.xls__입찰안.xls__입찰안.xls__785"/>
      <sheetName val="_입찰안.xls__입찰안.xls__입찰안.xls__784"/>
      <sheetName val="_입찰안.xls__입찰안.xls__입찰안.xls__780"/>
      <sheetName val="_입찰안.xls__입찰안.xls__입찰안.xls__783"/>
      <sheetName val="_입찰안.xls__입찰안.xls__입찰안.xls__782"/>
      <sheetName val="_입찰안.xls__입찰안.xls__입찰안.xls__790"/>
      <sheetName val="_입찰안.xls__입찰안.xls__입찰안.xls__791"/>
      <sheetName val="_입찰안.xls__입찰안.xls__입찰안.xls__787"/>
      <sheetName val="_입찰안.xls__입찰안.xls__입찰안.xls__789"/>
      <sheetName val="_입찰안.xls__입찰안.xls__입찰안.xls__786"/>
      <sheetName val="_입찰안.xls__입찰안.xls__입찰안.xls__788"/>
      <sheetName val="_입찰안.xls__입찰안.xls__입찰안.xls__793"/>
      <sheetName val="_입찰안.xls__입찰안.xls__입찰안.xls__792"/>
      <sheetName val="_입찰안.xls__입찰안.xls__입찰안.xls__794"/>
      <sheetName val="_입찰안.xls__입찰안.xls__입찰안.xls__796"/>
      <sheetName val="_입찰안.xls__입찰안.xls__입찰안.xls__795"/>
      <sheetName val="_입찰안.xls__입찰안.xls__입찰안.xls__798"/>
      <sheetName val="_입찰안.xls__입찰안.xls__입찰안.xls__799"/>
      <sheetName val="[입찰안.xls][입찰안.xls]_입___xls_1004"/>
      <sheetName val="[입찰안.xls][입찰안.xls]_입___xls_1003"/>
      <sheetName val="[입찰안.xls][입찰안.xls]_____xls_2337"/>
      <sheetName val="[입찰안.xls][입찰안.xls]_____xls_2340"/>
      <sheetName val="[입찰안.xls][입찰안.xls]_____xls_2332"/>
      <sheetName val="수리결과"/>
      <sheetName val="[입찰안_xls][입찰안_xls]B:\입찰안_xls1"/>
      <sheetName val="B:\입찰안_xls1"/>
      <sheetName val="[입찰안_xls]B:\입찰안_xls1"/>
      <sheetName val="Sheet2_(2)1"/>
      <sheetName val="A_LINE1"/>
      <sheetName val="환율차"/>
      <sheetName val="Job Assign"/>
      <sheetName val="정미시간"/>
      <sheetName val="[입찰안.xls][입찰안.xls]_____xls_2329"/>
      <sheetName val="[입찰안.xls][입찰안.xls]_____xls_2330"/>
      <sheetName val="[입찰안.xls][입찰안.xls]_____xls_2331"/>
      <sheetName val="[입찰안.xls][입찰안.xls]_입찰안_xls_1000"/>
      <sheetName val="[입찰안.xls][입찰안.xls]_____xls_2326"/>
      <sheetName val="[입찰안.xls][입찰안.xls]_____xls_2327"/>
      <sheetName val="[입찰안.xls][입찰안.xls]_____xls_2319"/>
      <sheetName val="[입찰안.xls][입찰안.xls]_____xls_2320"/>
      <sheetName val="[입찰안.xls][입찰안.xls]_____xls_2322"/>
      <sheetName val="[입찰안.xls][입찰안.xls]_____xls_2323"/>
      <sheetName val="[입찰안.xls][입찰안.xls]_____xls_2321"/>
      <sheetName val="[입찰안.xls][입찰안.xls]_____xls_2324"/>
      <sheetName val="[입찰안.xls][입찰안.xls]_____xls_2325"/>
      <sheetName val="[입찰안.xls][입찰안.xls]_____xls_2328"/>
      <sheetName val="[입찰안.xls][입찰안.xls]_____xls_2333"/>
      <sheetName val="[입찰안.xls][입찰안.xls]_____xls_2334"/>
      <sheetName val="[입찰안.xls][입찰안.xls]_____xls_2335"/>
      <sheetName val="[입찰안.xls][입찰안.xls]_____xls_2336"/>
      <sheetName val="[입찰안.xls][입찰안.xls]_____xls_2338"/>
      <sheetName val="[입찰안.xls][입찰안.xls]_____xls_2344"/>
      <sheetName val="[입찰안.xls][입찰안.xls]_____xls_2339"/>
      <sheetName val="[입찰안.xls][입찰안.xls]_____xls_2341"/>
      <sheetName val="[입찰안.xls][입찰안.xls]_____xls_2343"/>
      <sheetName val="[입찰안.xls][입찰안.xls]_____xls_2342"/>
      <sheetName val="[입찰안.xls][입찰안.xls]_____xls_2349"/>
      <sheetName val="[입찰안.xls][입찰안.xls]_____xls_2345"/>
      <sheetName val="[입찰안.xls][입찰안.xls]_____xls_2346"/>
      <sheetName val="[입찰안.xls][입찰안.xls]_____xls_2347"/>
      <sheetName val="[입찰안.xls][입찰안.xls]_____xls_2348"/>
      <sheetName val="[입찰안.xls][입찰안.xls]_____xls_2351"/>
      <sheetName val="[입찰안.xls][입찰안.xls]_____xls_2356"/>
      <sheetName val="[입찰안.xls][입찰안.xls]_____xls_2350"/>
      <sheetName val="[입찰안.xls][입찰안.xls]_____xls_2352"/>
      <sheetName val="[입찰안.xls][입찰안.xls]_____xls_2354"/>
      <sheetName val="[입찰안.xls][입찰안.xls]_____xls_2353"/>
      <sheetName val="[입찰안.xls][입찰안.xls]_____xls_2355"/>
      <sheetName val="[입찰안.xls][입찰안.xls]_____xls_2358"/>
      <sheetName val="[입찰안.xls][입찰안.xls]_____xls_2357"/>
      <sheetName val="[입찰안.xls][입찰안.xls]_____xls_2371"/>
      <sheetName val="[입찰안.xls][입찰안.xls]_____xls_2361"/>
      <sheetName val="[입찰안.xls][입찰안.xls]_____xls_2360"/>
      <sheetName val="[입찰안.xls][입찰안.xls]_____xls_2359"/>
      <sheetName val="[입찰안.xls][입찰안.xls]_____xls_2362"/>
      <sheetName val="[입찰안.xls][입찰안.xls]_____xls_2364"/>
      <sheetName val="[입찰안.xls][입찰안.xls]_____xls_2363"/>
      <sheetName val="[입찰안.xls][입찰안.xls]_____xls_2370"/>
      <sheetName val="[입찰안.xls][입찰안.xls]_____xls_2372"/>
      <sheetName val="[입찰안.xls][입찰안.xls]_____xls_2365"/>
      <sheetName val="[입찰안.xls][입찰안.xls]_____xls_2366"/>
      <sheetName val="[입찰안.xls][입찰안.xls]_____xls_2367"/>
      <sheetName val="[입찰안.xls][입찰안.xls]_____xls_2368"/>
      <sheetName val="[입찰안.xls][입찰안.xls]_____xls_2369"/>
      <sheetName val="[입찰안.xls][입찰안.xls]_____xls_2374"/>
      <sheetName val="[입찰안.xls][입찰안.xls]_____xls_2375"/>
      <sheetName val="[입찰안.xls][입찰안.xls]_____xls_2373"/>
      <sheetName val="[입찰안.xls][입찰안.xls]_____xls_2376"/>
      <sheetName val="[입찰안.xls][입찰안.xls]_____xls_2378"/>
      <sheetName val="[입찰안.xls][입찰안.xls]_____xls_2377"/>
      <sheetName val="[입찰안.xls][입찰안.xls]_____xls_2383"/>
      <sheetName val="[입찰안.xls][입찰안.xls]_____xls_2379"/>
      <sheetName val="[입찰안.xls][입찰안.xls]_____xls_2380"/>
      <sheetName val="[입찰안.xls][입찰안.xls]_____xls_2381"/>
      <sheetName val="[입찰안.xls][입찰안.xls]_____xls_2382"/>
      <sheetName val="[입찰안.xls][입찰안.xls]_____xls_2388"/>
      <sheetName val="[입찰안.xls][입찰안.xls]_____xls_2389"/>
      <sheetName val="[입찰안.xls][입찰안.xls]_____xls_2384"/>
      <sheetName val="[입찰안.xls][입찰안.xls]_____xls_2390"/>
      <sheetName val="[입찰안.xls][입찰안.xls]_____xls_2385"/>
      <sheetName val="[입찰안.xls][입찰안.xls]_____xls_2386"/>
      <sheetName val="[입찰안.xls][입찰안.xls]_____xls_2387"/>
      <sheetName val="[입찰안.xls][입찰안.xls]_____xls_2391"/>
      <sheetName val="[입찰안.xls][입찰안.xls]_____xls_2398"/>
      <sheetName val="[입찰안.xls][입찰안.xls]_____xls_2406"/>
      <sheetName val="[입찰안.xls][입찰안.xls]_____xls_2401"/>
      <sheetName val="CAUDIT"/>
      <sheetName val="6__수량산출서9"/>
      <sheetName val="CM_19"/>
      <sheetName val="수량산출서_(2)8"/>
      <sheetName val="토공_total8"/>
      <sheetName val="전사_(2)8"/>
      <sheetName val="BA_(2)8"/>
      <sheetName val="CP_(2)8"/>
      <sheetName val="일위대가56-1_8"/>
      <sheetName val="일위대가71-1_8"/>
      <sheetName val="일위대가74-1_8"/>
      <sheetName val="일위대가76-1_8"/>
      <sheetName val="일위대가77-1_8"/>
      <sheetName val="일위대가78-1_8"/>
      <sheetName val="_소방공사_산출근거8"/>
      <sheetName val="습식및_셀프레벨링9"/>
      <sheetName val="1차_내역서9"/>
      <sheetName val="BSD_(2)8"/>
      <sheetName val="바_한일양산8"/>
      <sheetName val="Project_Brief8"/>
      <sheetName val="영업_일18"/>
      <sheetName val="기기_내역서8"/>
      <sheetName val="1_CB8"/>
      <sheetName val="유효폭의_계산7"/>
      <sheetName val="아파트_7"/>
      <sheetName val="변경명신물량_(2)8"/>
      <sheetName val="토공_토적표8"/>
      <sheetName val="갑지_을지7"/>
      <sheetName val="2-2_매출분석7"/>
      <sheetName val="미납품_현황7"/>
      <sheetName val="STEEL_BOX_단면설계(SEC_8)7"/>
      <sheetName val="도담구내_개소별_명柖9"/>
      <sheetName val="danh_muc_vat_tu9"/>
      <sheetName val="Register-BG_NCC9"/>
      <sheetName val="Data_29"/>
      <sheetName val="TB_chính9"/>
      <sheetName val="Steel_pipe9"/>
      <sheetName val="Ref_pipe+Ins9"/>
      <sheetName val="Plastic_pipe9"/>
      <sheetName val="Air_Grilles9"/>
      <sheetName val="Cost_bd-&quot;A&quot;9"/>
      <sheetName val="갑지_설계_내역서7"/>
      <sheetName val="기존단가_(2)8"/>
      <sheetName val="설명서_7"/>
      <sheetName val="_FURNACE현설6"/>
      <sheetName val="97_사업추정(WEKI)6"/>
      <sheetName val="8_설치품셈6"/>
      <sheetName val="ITB_COST7"/>
      <sheetName val="자격_땡겨오기7"/>
      <sheetName val="05년_상7"/>
      <sheetName val="영흥TL(UP,DOWN)_7"/>
      <sheetName val="단양_00_아파트-세부내역7"/>
      <sheetName val="2_단면가정_(양곡1교)7"/>
      <sheetName val="8_PILE__(돌출)7"/>
      <sheetName val="1_내역(청_하역장전등)7"/>
      <sheetName val="2000_056"/>
      <sheetName val="표지_(2)7"/>
      <sheetName val="Xunit_(단위환산)7"/>
      <sheetName val="4__VOs_summary8"/>
      <sheetName val="수량산출서_갑지7"/>
      <sheetName val="장비코드표_0506017"/>
      <sheetName val="2007년_생산1부장비7"/>
      <sheetName val="2008년_생산부전장비코드7"/>
      <sheetName val="DDB부_장비_관리현황7"/>
      <sheetName val="Chiet_tinh_dz358"/>
      <sheetName val="Bảng_mã_VT8"/>
      <sheetName val="DATA_LISTS6"/>
      <sheetName val="4_2_1_마루높이_검토7"/>
      <sheetName val="_견적서7"/>
      <sheetName val="품셈_6"/>
      <sheetName val="M-EMS_GP-570(BIT)6"/>
      <sheetName val="내역서_제출7"/>
      <sheetName val="19_07월_세_계6"/>
      <sheetName val="19_07항목별(시트복사금지100번쓰기)6"/>
      <sheetName val="19_05월6"/>
      <sheetName val="TABLE_DB6"/>
      <sheetName val="쌍용_data_base6"/>
      <sheetName val="내역(인테리어_실내)(도급)6"/>
      <sheetName val="내역(인테리어_실외)(도급)6"/>
      <sheetName val="Elec_LG6"/>
      <sheetName val="ESTI_6"/>
      <sheetName val="D_&amp;_W_sizes6"/>
      <sheetName val="Gia_vat_tu6"/>
      <sheetName val="dtct_cong6"/>
      <sheetName val="DGCT_(01)6"/>
      <sheetName val="SCOPE_OF_WORK6"/>
      <sheetName val="Chi_tiet6"/>
      <sheetName val="nhôm_1,2mm6"/>
      <sheetName val="nhôm_1,4mm6"/>
      <sheetName val="01__DATA6"/>
      <sheetName val="중기조종사_단위단가6"/>
      <sheetName val="자재기성_신청서_xlsx6"/>
      <sheetName val="0_목록16"/>
      <sheetName val="So_sanh5"/>
      <sheetName val="[입찰안_xls][입찰안_xls][입찰안_xls]B299"/>
      <sheetName val="[입찰안_xls][입찰안_xls][입찰안_xls]B300"/>
      <sheetName val="[입찰안_xls][입찰안_xls][입찰안_xls]B301"/>
      <sheetName val="[입찰안_xls][입찰안_xls][입찰안_xls]B302"/>
      <sheetName val="[입찰안_xls][입찰안_xls][입찰안_xls]B303"/>
      <sheetName val="[입찰안_xls][입찰안_xls][입찰안_xls]B304"/>
      <sheetName val="[입찰안_xls][입찰안_xls][입찰안_xls]B305"/>
      <sheetName val="[입찰안_xls][입찰안_xls][입찰안_xls]B306"/>
      <sheetName val="PROJ__DATA5"/>
      <sheetName val="_Beams_Sched_5"/>
      <sheetName val="[입찰안_xls][입찰안_xls][입찰안_xls]B307"/>
      <sheetName val="[입찰안_xls][입찰안_xls][입찰안_xls]B308"/>
      <sheetName val="[입찰안_xls][입찰안_xls][입찰안_xls]B309"/>
      <sheetName val="[입찰안_xls][입찰안_xls][입찰안_xls]B310"/>
      <sheetName val="[입찰안_xls][입찰안_xls][입찰안_xls]B311"/>
      <sheetName val="[입찰안_xls][입찰안_xls][입찰안_xls]B312"/>
      <sheetName val="[입찰안_xls][입찰안_xls][입찰안_xls]B313"/>
      <sheetName val="[입찰안_xls][입찰안_xls][입찰안_xls]B314"/>
      <sheetName val="[입찰안_xls][입찰안_xls][입찰안_xls]B315"/>
      <sheetName val="[입찰안_xls][입찰안_xls][입찰안_xls]B316"/>
      <sheetName val="[입찰안_xls][입찰안_xls][입찰안_xls]B317"/>
      <sheetName val="[입찰안_xls][입찰안_xls][입찰안_xls]B318"/>
      <sheetName val="[입찰안_xls][입찰안_xls][입찰안_xls]B319"/>
      <sheetName val="[입찰안_xls][입찰안_xls][입찰안_xls]B320"/>
      <sheetName val="[입찰안_xls][입찰안_xls][입찰안_xls]B321"/>
      <sheetName val="[입찰안_xls][입찰안_xls][입찰안_xls]B322"/>
      <sheetName val="[입찰안_xls][입찰안_xls][입찰안_xls]B323"/>
      <sheetName val="[입찰안_xls][입찰안_xls][입찰안_xls]B324"/>
      <sheetName val="[입찰안_xls][입찰안_xls][입찰안_xls]__24"/>
      <sheetName val="[입찰안_xls][입찰안_xls][입찰안_xls]__25"/>
      <sheetName val="[입찰안_xls][입찰안_xls][입찰안_xls]B325"/>
      <sheetName val="[입찰안_xls][입찰안_xls][입찰안_xls]B326"/>
      <sheetName val="[입찰안_xls][입찰안_xls][입찰안_xls]B327"/>
      <sheetName val="[입찰안_xls][입찰안_xls][입찰안_xls]B328"/>
      <sheetName val="Cọc_nhồi5"/>
      <sheetName val="Phan_tich_ca_may5"/>
      <sheetName val="Chenh_lech_ca_may5"/>
      <sheetName val="TLg_CN&amp;Laixe5"/>
      <sheetName val="TLg_CN&amp;Laixe_(2)5"/>
      <sheetName val="TLg_Laitau5"/>
      <sheetName val="TLg_Laitau_(2)5"/>
      <sheetName val="Dầm_15"/>
      <sheetName val="Gia_VLNCMTC5"/>
      <sheetName val="Sàn_T15"/>
      <sheetName val="Lỗ_thông_gió5"/>
      <sheetName val="Sàn_tầng_01_(_old_)5"/>
      <sheetName val="Chiet_tinh_don_gia_CM5"/>
      <sheetName val="Measure_13065"/>
      <sheetName val="EE_(3)5"/>
      <sheetName val="RAB_AR&amp;STR4"/>
      <sheetName val="Isolasi_Luar_Dalam4"/>
      <sheetName val="Isolasi_Luar4"/>
      <sheetName val="Div26_-_Elect4"/>
      <sheetName val="U_P_Breakdown4"/>
      <sheetName val="1_R18_BF4"/>
      <sheetName val="6_External_works-R184"/>
      <sheetName val="[입찰안_xls][입찰안_xls][입찰안_xls]B329"/>
      <sheetName val="[입찰안_xls][입찰안_xls][입찰안_xls]B330"/>
      <sheetName val="[입찰안_xls][입찰안_xls][입찰안_xls]B331"/>
      <sheetName val="[입찰안_xls][입찰안_xls][입찰안_xls]B332"/>
      <sheetName val="[입찰안_xls][입찰안_xls][입찰안_xls]B333"/>
      <sheetName val="[입찰안_xls][입찰안_xls][입찰안_xls]B334"/>
      <sheetName val="[입찰안_xls][입찰안_xls][입찰안_xls]B335"/>
      <sheetName val="[입찰안_xls][입찰안_xls][입찰안_xls]B336"/>
      <sheetName val="[입찰안_xls][입찰안_xls][입찰안_xls]B337"/>
      <sheetName val="[입찰안_xls][입찰안_xls][입찰안_xls]B338"/>
      <sheetName val="[입찰안_xls][입찰안_xls][입찰안_xls]B339"/>
      <sheetName val="[입찰안_xls][입찰안_xls][입찰안_xls]B340"/>
      <sheetName val="[입찰안_xls][입찰안_xls][입찰안_xls]B341"/>
      <sheetName val="[입찰안_xls][입찰안_xls][입찰안_xls]B342"/>
      <sheetName val="견적비교표_(2)3"/>
      <sheetName val="결재방(지우지_마세요)3"/>
      <sheetName val="EXCHANGE_RATE3"/>
      <sheetName val="[입찰안_xls][입찰안_xls][입찰안_xls]B343"/>
      <sheetName val="[입찰안_xls][입찰안_xls][입찰안_xls]B344"/>
      <sheetName val="TOWER_12TON3"/>
      <sheetName val="공사투입계획(변경결의)19_93"/>
      <sheetName val="노무비_월별지급현황19_93"/>
      <sheetName val="갑지(외주기성)19_93"/>
      <sheetName val="[입찰안_xls][입찰안_xls][입찰안_xls]B345"/>
      <sheetName val="노임단가_및_기계경비3"/>
      <sheetName val="실행내역서_3"/>
      <sheetName val="[입찰안_xls][입찰안_xls][입찰안_xls]B346"/>
      <sheetName val="[입찰안_xls][입찰안_xls][입찰안_xls]B347"/>
      <sheetName val="[입찰안_xls][입찰안_xls][입찰안_xls]B348"/>
      <sheetName val="[입찰안_xls][입찰안_xls][입찰안_xls]B349"/>
      <sheetName val="[입찰안_xls][입찰안_xls][입찰안_xls]B350"/>
      <sheetName val="[입찰안_xls][입찰안_xls][입찰안_xls]B351"/>
      <sheetName val="중강당_내역3"/>
      <sheetName val="[입찰안_xls][입찰안_xls][입찰안_xls]B352"/>
      <sheetName val="[입찰안_xls][입찰안_xls][입찰안_xls]B353"/>
      <sheetName val="[입찰안_xls][입찰안_xls][입찰안_xls]B354"/>
      <sheetName val="[입찰안_xls][입찰안_xls][입찰안_xls]B355"/>
      <sheetName val="[입찰안_xls][입찰안_xls][입찰안_xls]B356"/>
      <sheetName val="[입찰안_xls][입찰안_xls][입찰안_xls]B357"/>
      <sheetName val="[입찰안_xls][입찰안_xls][입찰안_xls]B358"/>
      <sheetName val="[입찰안_xls][입찰안_xls][입찰안_xls]B359"/>
      <sheetName val="[입찰안_xls][입찰안_xls][입찰안_xls]B360"/>
      <sheetName val="[입찰안_xls][입찰안_xls][입찰안_xls]B361"/>
      <sheetName val="[입찰안_xls][입찰안_xls][입찰안_xls]B362"/>
      <sheetName val="[입찰안_xls][입찰안_xls][입찰안_xls]B363"/>
      <sheetName val="[입찰안_xls][입찰안_xls][입찰안_xls]B364"/>
      <sheetName val="[입찰안_xls][입찰안_xls][입찰안_xls]B365"/>
      <sheetName val="6-1_보오링(1)3"/>
      <sheetName val="할증_4"/>
      <sheetName val="간접비_총괄표4"/>
      <sheetName val="노_표-조2"/>
      <sheetName val="[입찰안_xls][입찰안_xls][입찰안_xls]B366"/>
      <sheetName val="[입찰안_xls][입찰안_xls][입찰안_xls]B367"/>
      <sheetName val="Requirement(Work_Crew)2"/>
      <sheetName val="[입찰안_xls][입찰안_xls][입찰안_xls]B368"/>
      <sheetName val="[입찰안_xls][입찰안_xls][입찰안_xls]B369"/>
      <sheetName val="[입찰안_xls][입찰안_xls][입찰안_xls]B370"/>
      <sheetName val="[입찰안_xls][입찰안_xls][입찰안_xls]B371"/>
      <sheetName val="[입찰안_xls][입찰안_xls][입찰안_xls]B372"/>
      <sheetName val="[입찰안_xls][입찰안_xls][입찰안_xls]B373"/>
      <sheetName val="[입찰안_xls][입찰안_xls][입찰안_xls]B374"/>
      <sheetName val="[입찰안_xls][입찰안_xls][입찰안_xls]B375"/>
      <sheetName val="[입찰안_xls][입찰안_xls][입찰안_xls]B376"/>
      <sheetName val="[입찰안_xls][입찰안_xls][입찰안_xls]B377"/>
      <sheetName val="[입찰안_xls][입찰안_xls][입찰안_xls]B378"/>
      <sheetName val="[입찰안_xls][입찰안_xls][입찰안_xls]B379"/>
      <sheetName val="[입찰안_xls][입찰안_xls][입찰안_xls]B380"/>
      <sheetName val="[입찰안_xls][입찰안_xls][입찰안_xls]B381"/>
      <sheetName val="[입찰안_xls][입찰안_xls][입찰안_xls]B382"/>
      <sheetName val="[입찰안_xls][입찰안_xls][입찰안_xls]B383"/>
      <sheetName val="[입찰안_xls][입찰안_xls][입찰안_xls]B384"/>
      <sheetName val="[입찰안_xls][입찰안_xls][입찰안_xls]B385"/>
      <sheetName val="[입찰안_xls][입찰안_xls][입찰안_xls]B386"/>
      <sheetName val="[입찰안_xls][입찰안_xls][입찰안_xls]B387"/>
      <sheetName val="[입찰안_xls][입찰안_xls][입찰안_xls]B388"/>
      <sheetName val="[입찰안_xls][입찰안_xls][입찰안_xls]B389"/>
      <sheetName val="[입찰안_xls][입찰안_xls][입찰안_xls]B390"/>
      <sheetName val="[입찰안_xls][입찰안_xls][입찰안_xls]B391"/>
      <sheetName val="[입찰안_xls][입찰안_xls][입찰안_xls]B392"/>
      <sheetName val="[입찰안_xls][입찰안_xls][입찰안_xls]B393"/>
      <sheetName val="[입찰안_xls][입찰안_xls][입찰안_xls]B394"/>
      <sheetName val="[입찰안_xls][입찰안_xls][입찰안_xls]B395"/>
      <sheetName val="[입찰안_xls][입찰안_xls][입찰안_xls]_978"/>
      <sheetName val="[입찰안_xls][입찰안_xls][입찰안_xls]_979"/>
      <sheetName val="[입찰안_xls][입찰안_xls][입찰안_xls]B396"/>
      <sheetName val="[입찰안_xls][입찰안_xls][입찰안_xls]_980"/>
      <sheetName val="[입찰안_xls][입찰안_xls][입찰안_xls]_981"/>
      <sheetName val="[입찰안_xls][입찰안_xls][입찰안_xls]_982"/>
      <sheetName val="[입찰안_xls][입찰안_xls][입찰안_xls]_983"/>
      <sheetName val="[입찰안_xls][입찰안_xls][입찰안_xls]_984"/>
      <sheetName val="[입찰안_xls][입찰안_xls][입찰안_xls]_985"/>
      <sheetName val="[입찰안_xls][입찰안_xls][입찰안_xls]_986"/>
      <sheetName val="[입찰안_xls][입찰안_xls][입찰안_xls]_987"/>
      <sheetName val="[입찰안_xls][입찰안_xls][입찰안_xls]_988"/>
      <sheetName val="[입찰안_xls][입찰안_xls][입찰안_xls]_989"/>
      <sheetName val="[입찰안_xls][입찰안_xls][입찰안_xls]_990"/>
      <sheetName val="[입찰안_xls][입찰안_xls][입찰안_xls]_991"/>
      <sheetName val="[입찰안_xls][입찰안_xls][입찰안_xls]_992"/>
      <sheetName val="[입찰안_xls][입찰안_xls][입찰안_xls]_993"/>
      <sheetName val="[입찰안_xls][입찰안_xls][입찰안_xls]_994"/>
      <sheetName val="[입찰안_xls][입찰안_xls][입찰안_xls]_995"/>
      <sheetName val="[입찰안_xls][입찰안_xls][입찰안_xls]_996"/>
      <sheetName val="[입찰안_xls][입찰안_xls][입찰안_xls]_997"/>
      <sheetName val="[입찰안_xls][입찰안_xls][입찰안_xls]__26"/>
      <sheetName val="[입찰안_xls][입찰안_xls][입찰안_xls]_998"/>
      <sheetName val="[입찰안_xls][입찰안_xls][입찰안_xls]_999"/>
      <sheetName val="[입찰안_xls][입찰안_xls][입찰안_xls]1000"/>
      <sheetName val="[입찰안_xls][입찰안_xls][입찰안_xls]1001"/>
      <sheetName val="[입찰안_xls][입찰안_xls][입찰안_xls]1002"/>
      <sheetName val="[입찰안_xls][입찰안_xls][입찰안_xls]1003"/>
      <sheetName val="[입찰안_xls][입찰안_xls][입찰안_xls]1004"/>
      <sheetName val="[입찰안_xls][입찰안_xls][입찰안_xls]1005"/>
      <sheetName val="사__업__비__수__지__예__산__서2"/>
      <sheetName val="[입찰안_xls][입찰안_xls][입찰안_xls]1006"/>
      <sheetName val="General_Data2"/>
      <sheetName val="Bill_01_-_CTN4"/>
      <sheetName val="020_235_23634"/>
      <sheetName val="CHITIET_VL-NC-TT1p4"/>
      <sheetName val="Project_Infor4"/>
      <sheetName val="Data_input4"/>
      <sheetName val="[입찰안_xls][입찰안_xls][입찰안_xls]1007"/>
      <sheetName val="[입찰안_xls][입찰안_xls][입찰안_xls]1008"/>
      <sheetName val="[입찰안_xls][입찰안_xls][입찰안_xls]1009"/>
      <sheetName val="[입찰안_xls][입찰안_xls][입찰안_xls]1010"/>
      <sheetName val="[입찰안_xls][입찰안_xls][입찰안_xls]1011"/>
      <sheetName val="[입찰안_xls][입찰안_xls][입찰안_xls]1012"/>
      <sheetName val="[입찰안_xls][입찰안_xls][입찰안_xls]1013"/>
      <sheetName val="[입찰안_xls][입찰안_xls][입찰안_xls]1014"/>
      <sheetName val="[입찰안_xls][입찰안_xls][입찰안_xls]1015"/>
      <sheetName val="[입찰안_xls][입찰안_xls][입찰안_xls]1016"/>
      <sheetName val="[입찰안_xls][입찰안_xls][입찰안_xls]1017"/>
      <sheetName val="[입찰안_xls][입찰안_xls][입찰안_xls]1018"/>
      <sheetName val="[입찰안_xls][입찰안_xls][입찰안_xls]1019"/>
      <sheetName val="[입찰안_xls][입찰안_xls][입찰안_xls]1020"/>
      <sheetName val="[입찰안_xls][입찰안_xls][입찰안_xls]1021"/>
      <sheetName val="[입찰안_xls][입찰안_xls][입찰안_xls]1022"/>
      <sheetName val="[입찰안_xls][입찰안_xls][입찰안_xls]1023"/>
      <sheetName val="[입찰안_xls][입찰안_xls][입찰안_xls]1024"/>
      <sheetName val="[입찰안_xls][입찰안_xls][입찰안_xls]1025"/>
      <sheetName val="[입찰안_xls][입찰안_xls][입찰안_xls]1026"/>
      <sheetName val="[입찰안_xls][입찰안_xls][입찰안_xls]1027"/>
      <sheetName val="[입찰안_xls][입찰안_xls][입찰안_xls]1028"/>
      <sheetName val="[입찰안_xls][입찰안_xls][입찰안_xls]1029"/>
      <sheetName val="[입찰안_xls][입찰안_xls][입찰안_xls]1030"/>
      <sheetName val="[입찰안_xls][입찰안_xls][입찰안_xls]1031"/>
      <sheetName val="[입찰안_xls][입찰안_xls][입찰안_xls]1032"/>
      <sheetName val="[입찰안_xls][입찰안_xls][입찰안_xls]1033"/>
      <sheetName val="[입찰안_xls][입찰안_xls][입찰안_xls]1034"/>
      <sheetName val="[입찰안_xls][입찰안_xls][입찰안_xls]1035"/>
      <sheetName val="[입찰안_xls][입찰안_xls][입찰안_xls]1036"/>
      <sheetName val="[입찰안_xls][입찰안_xls][입찰안_xls]1037"/>
      <sheetName val="[입찰안_xls][입찰안_xls][입찰안_xls]1038"/>
      <sheetName val="[입찰안_xls][입찰안_xls][입찰안_xls]1039"/>
      <sheetName val="[입찰안_xls][입찰안_xls][입찰안_xls]1040"/>
      <sheetName val="[입찰안_xls][입찰안_xls][입찰안_xls]1041"/>
      <sheetName val="[입찰안_xls][입찰안_xls][입찰안_xls]1042"/>
      <sheetName val="[입찰안_xls][입찰안_xls][입찰안_xls]1043"/>
      <sheetName val="[입찰안_xls][입찰안_xls][입찰안_xls]1044"/>
      <sheetName val="[입찰안_xls][입찰안_xls][입찰안_xls]1045"/>
      <sheetName val="[입찰안_xls][입찰안_xls][입찰안_xls]1046"/>
      <sheetName val="[입찰안_xls][입찰안_xls][입찰안_xls]1047"/>
      <sheetName val="[입찰안_xls][입찰안_xls][입찰안_xls]1048"/>
      <sheetName val="[입찰안_xls][입찰안_xls][입찰안_xls]1049"/>
      <sheetName val="[입찰안_xls][입찰안_xls][입찰안_xls]1050"/>
      <sheetName val="[입찰안_xls][입찰안_xls][입찰안_xls]1051"/>
      <sheetName val="[입찰안_xls][입찰안_xls][입찰안_xls]1052"/>
      <sheetName val="[입찰안_xls][입찰안_xls][입찰안_xls]1053"/>
      <sheetName val="[입찰안_xls][입찰안_xls][입찰안_xls]1054"/>
      <sheetName val="[입찰안_xls][입찰안_xls][입찰안_xls]1055"/>
      <sheetName val="[입찰안_xls][입찰안_xls][입찰안_xls]1056"/>
      <sheetName val="[입찰안_xls][입찰안_xls][입찰안_xls]1057"/>
      <sheetName val="[입찰안_xls][입찰안_xls][입찰안_xls]1058"/>
      <sheetName val="[입찰안_xls][입찰안_xls][입찰안_xls]1059"/>
      <sheetName val="[입찰안_xls][입찰안_xls][입찰안_xls]1060"/>
      <sheetName val="[입찰안_xls][입찰안_xls][입찰안_xls]1061"/>
      <sheetName val="[입찰안_xls][입찰안_xls][입찰안_xls]1062"/>
      <sheetName val="[입찰안_xls][입찰안_xls][입찰안_xls]1063"/>
      <sheetName val="[입찰안_xls][입찰안_xls][입찰안_xls]1064"/>
      <sheetName val="[입찰안_xls][입찰안_xls][입찰안_xls]1065"/>
      <sheetName val="[입찰안_xls][입찰안_xls][입찰안_xls]1066"/>
      <sheetName val="[입찰안_xls][입찰안_xls][입찰안_xls]1067"/>
      <sheetName val="[입찰안_xls][입찰안_xls][입찰안_xls]1068"/>
      <sheetName val="[입찰안_xls][입찰안_xls][입찰안_xls]1069"/>
      <sheetName val="[입찰안_xls][입찰안_xls][입찰안_xls]1070"/>
      <sheetName val="[입찰안_xls][입찰안_xls][입찰안_xls]1071"/>
      <sheetName val="[입찰안_xls][입찰안_xls][입찰안_xls]1072"/>
      <sheetName val="[입찰안_xls][입찰안_xls][입찰안_xls]1073"/>
      <sheetName val="[입찰안_xls][입찰안_xls][입찰안_xls]1074"/>
      <sheetName val="[입찰안_xls][입찰안_xls][입찰안_xls]1075"/>
      <sheetName val="[입찰안_xls][입찰안_xls][입찰안_xls]1076"/>
      <sheetName val="[입찰안_xls][입찰안_xls][입찰안_xls]1077"/>
      <sheetName val="[입찰안_xls][입찰안_xls][입찰안_xls]1078"/>
      <sheetName val="[입찰안_xls][입찰안_xls][입찰안_xls]1079"/>
      <sheetName val="[입찰안_xls][입찰안_xls][입찰안_xls]1080"/>
      <sheetName val="[입찰안_xls][입찰안_xls][입찰안_xls]1081"/>
      <sheetName val="[입찰안_xls][입찰안_xls][입찰안_xls]1082"/>
      <sheetName val="[입찰안_xls][입찰안_xls][입찰안_xls]1083"/>
      <sheetName val="[입찰안_xls][입찰안_xls][입찰안_xls]1084"/>
      <sheetName val="[입찰안_xls][입찰안_xls][입찰안_xls]1085"/>
      <sheetName val="[입찰안_xls][입찰안_xls][입찰안_xls]1086"/>
      <sheetName val="[입찰안_xls][입찰안_xls][입찰안_xls]1087"/>
      <sheetName val="[입찰안_xls][입찰안_xls][입찰안_xls]1088"/>
      <sheetName val="[입찰안_xls][입찰안_xls][입찰안_xls]1089"/>
      <sheetName val="[입찰안_xls][입찰안_xls][입찰안_xls]1090"/>
      <sheetName val="[입찰안_xls][입찰안_xls][입찰안_xls]1091"/>
      <sheetName val="[입찰안_xls][입찰안_xls][입찰안_xls]1092"/>
      <sheetName val="_입찰안_xls_직접뀀鞖_4"/>
      <sheetName val="_입찰안_xls__입찰안_xls_직접뀀鞖_4"/>
      <sheetName val="bang_TH4"/>
      <sheetName val="Sheet2_(2)2"/>
      <sheetName val="[입찰안_xls][입찰안_xls][입찰안_xls]1093"/>
      <sheetName val="[입찰안_xls][입찰안_xls][입찰안_xls]1094"/>
      <sheetName val="[입찰안_xls][입찰안_xls][입찰안_xls]1095"/>
      <sheetName val="[입찰안_xls][입찰안_xls][입찰안_xls]1096"/>
      <sheetName val="[입찰안_xls][입찰안_xls][입찰안_xls]1097"/>
      <sheetName val="[입찰안_xls][입찰안_xls][입찰안_xls]1098"/>
      <sheetName val="[입찰안_xls][입찰안_xls][입찰안_xls]1099"/>
      <sheetName val="[입찰안_xls][입찰안_xls][입찰안_xls]1100"/>
      <sheetName val="[입찰안_xls][입찰안_xls][입찰안_xls]1101"/>
      <sheetName val="A_LINE2"/>
      <sheetName val="[입찰안_xls][입찰안_xls][입찰안_xls]1102"/>
      <sheetName val="[입찰안_xls][입찰안_xls][입찰안_xls]1103"/>
      <sheetName val="[입찰안_xls][입찰안_xls][입찰안_xls]1104"/>
      <sheetName val="[입찰안_xls][입찰안_xls][입찰안_xls]1105"/>
      <sheetName val="[입찰안_xls][입찰안_xls][입찰안_xls]1106"/>
      <sheetName val="[입찰안_xls][입찰안_xls][입찰안_xls]1107"/>
      <sheetName val="[입찰안_xls][입찰안_xls][입찰안_xls]1108"/>
      <sheetName val="[입찰안_xls][입찰안_xls][입찰안_xls]1109"/>
      <sheetName val="[입찰안_xls][입찰안_xls][입찰안_xls]1110"/>
      <sheetName val="[입찰안_xls][입찰안_xls][입찰안_xls]1111"/>
      <sheetName val="[입찰안_xls][입찰안_xls][입찰안_xls]1112"/>
      <sheetName val="[입찰안_xls][입찰안_xls][입찰안_xls]1113"/>
      <sheetName val="[입찰안_xls][입찰안_xls][입찰안_xls]1114"/>
      <sheetName val="[입찰안_xls][입찰안_xls][입찰안_xls]1115"/>
      <sheetName val="[입찰안_xls][입찰안_xls][입찰안_xls]1116"/>
      <sheetName val="[입찰안_xls][입찰안_xls][입찰안_xls]1117"/>
      <sheetName val="[입찰안_xls][입찰안_xls][입찰안_xls]1118"/>
      <sheetName val="[입찰안_xls][입찰안_xls][입찰안_xls]1119"/>
      <sheetName val="[입찰안_xls][입찰안_xls][입찰안_xls]1120"/>
      <sheetName val="[입찰안_xls][입찰안_xls][입찰안_xls]1121"/>
      <sheetName val="[입찰안_xls][입찰안_xls][입찰안_xls]1122"/>
      <sheetName val="[입찰안_xls][입찰안_xls][입찰안_xls]1123"/>
      <sheetName val="[입찰안_xls][입찰안_xls][입찰안_xls]1124"/>
      <sheetName val="[입찰안_xls][입찰안_xls][입찰안_xls]1125"/>
      <sheetName val="[입찰안_xls][입찰안_xls][입찰안_xls]1126"/>
      <sheetName val="[입찰안_xls][입찰안_xls][입찰안_xls]1127"/>
      <sheetName val="[입찰안_xls][입찰안_xls][입찰안_xls]1128"/>
      <sheetName val="[입찰안_xls][입찰안_xls][입찰안_xls]1129"/>
      <sheetName val="[입찰안_xls][입찰안_xls][입찰안_xls]1130"/>
      <sheetName val="[입찰안_xls][입찰안_xls][입찰안_xls]1131"/>
      <sheetName val="[입찰안_xls][입찰안_xls][입찰안_xls]1132"/>
      <sheetName val="[입찰안_xls][입찰안_xls][입찰안_xls]1133"/>
      <sheetName val="[입찰안_xls][입찰안_xls][입찰안_xls]1134"/>
      <sheetName val="[입찰안_xls][입찰안_xls][입찰안_xls]1135"/>
      <sheetName val="[입찰안_xls][입찰안_xls][입찰안_xls]1136"/>
      <sheetName val="[입찰안_xls][입찰안_xls][입찰안_xls]1137"/>
      <sheetName val="[입찰안_xls][입찰안_xls][입찰안_xls]1138"/>
      <sheetName val="[입찰안_xls][입찰안_xls][입찰안_xls]1139"/>
      <sheetName val="[입찰안_xls][입찰안_xls][입찰안_xls]1140"/>
      <sheetName val="[입찰안_xls][입찰안_xls][입찰안_xls]1141"/>
      <sheetName val="[입찰안_xls][입찰안_xls][입찰안_xls]1142"/>
      <sheetName val="[입찰안_xls][입찰안_xls][입찰안_xls]1143"/>
      <sheetName val="[입찰안_xls][입찰안_xls][입찰안_xls]1144"/>
      <sheetName val="[입찰안_xls][입찰안_xls][입찰안_xls]1145"/>
      <sheetName val="[입찰안_xls][입찰안_xls][입찰안_xls]1146"/>
      <sheetName val="Phan_tho4"/>
      <sheetName val="Tien_Thuong4"/>
      <sheetName val="NC_XL_6T_cuoi_01_CTy4"/>
      <sheetName val="Data_-6T_dau4"/>
      <sheetName val="Cong_6T4"/>
      <sheetName val="[입찰안_xls][입찰안_xls][입찰안_xls]1147"/>
      <sheetName val="[입찰안_xls][입찰안_xls][입찰안_xls]__27"/>
      <sheetName val="[입찰안_xls][입찰안_xls][입찰안_xls]__28"/>
      <sheetName val="[입찰안_xls][입찰안_xls]직접뀀鞖/5"/>
      <sheetName val="[입찰안_xls][입찰안_xls][입찰안_xls]__29"/>
      <sheetName val="[입찰안_xls][입찰안_xls][입찰안_xls]1148"/>
      <sheetName val="[입찰안_xls][입찰안_xls][입찰안_xls]1149"/>
      <sheetName val="Khoi_luong2"/>
      <sheetName val="_입찰안_xls__입찰안_xls__입찰안_xls____6"/>
      <sheetName val="[입찰안_xls][입찰안_xls][입찰안_xls]1150"/>
      <sheetName val="[입찰안_xls][입찰안_xls][입찰안_xls]1151"/>
      <sheetName val="[입찰안_xls][입찰안_xls][입찰안_xls]1152"/>
      <sheetName val="[입찰안_xls][입찰안_xls][입찰안_xls]1153"/>
      <sheetName val="[입찰안_xls][입찰안_xls][입찰안_xls]1154"/>
      <sheetName val="[입찰안_xls][입찰안_xls][입찰안_xls]1155"/>
      <sheetName val="[입찰안_xls][입찰안_xls][입찰안_xls]1156"/>
      <sheetName val="[입찰안_xls][입찰안_xls][입찰안_xls]1157"/>
      <sheetName val="[입찰안_xls][입찰안_xls][입찰안_xls]1158"/>
      <sheetName val="[입찰안_xls][입찰안_xls][입찰안_xls]1159"/>
      <sheetName val="[입찰안_xls][입찰안_xls][입찰안_xls]1160"/>
      <sheetName val="[입찰안_xls][입찰안_xls][입찰안_xls]1161"/>
      <sheetName val="[입찰안_xls][입찰안_xls][입찰안_xls]1162"/>
      <sheetName val="[입찰안_xls][입찰안_xls][입찰안_xls]1163"/>
      <sheetName val="[입찰안_xls][입찰안_xls][입찰안_xls]1164"/>
      <sheetName val="[입찰안_xls][입찰안_xls][입찰안_xls]1165"/>
      <sheetName val="[입찰안_xls][입찰안_xls][입찰안_xls]1166"/>
      <sheetName val="[입찰안_xls][입찰안_xls][입찰안_xls]1167"/>
      <sheetName val="[입찰안_xls][입찰안_xls][입찰안_xls]1168"/>
      <sheetName val="[입찰안_xls][입찰안_xls][입찰안_xls]1169"/>
      <sheetName val="[입찰안_xls][입찰안_xls][입찰안_xls]1170"/>
      <sheetName val="[입찰안_xls][입찰안_xls][입찰안_xls]1171"/>
      <sheetName val="[입찰안_xls][입찰안_xls][입찰안_xls]1172"/>
      <sheetName val="[입찰안_xls][입찰안_xls][입찰안_xls]1173"/>
      <sheetName val="[입찰안_xls][입찰안_xls][입찰안_xls]1174"/>
      <sheetName val="[입찰안_xls][입찰안_xls][입찰안_xls]1175"/>
      <sheetName val="[입찰안_xls][입찰안_xls][입찰안_xls]1176"/>
      <sheetName val="[입찰안_xls][입찰안_xls][입찰안_xls]1177"/>
      <sheetName val="[입찰안_xls][입찰안_xls][입찰안_xls]1178"/>
      <sheetName val="[입찰안_xls][입찰안_xls][입찰안_xls]1179"/>
      <sheetName val="[입찰안_xls][입찰안_xls][입찰안_xls]1180"/>
      <sheetName val="[입찰안_xls][입찰안_xls][입찰안_xls]1181"/>
      <sheetName val="[입찰안_xls][입찰안_xls][입찰안_xls]1182"/>
      <sheetName val="[입찰안_xls][입찰안_xls][입찰안_xls]1183"/>
      <sheetName val="[입찰안_xls][입찰안_xls][입찰안_xls]1184"/>
      <sheetName val="[입찰안_xls][입찰안_xls][입찰안_xls]1185"/>
      <sheetName val="[입찰안_xls][입찰안_xls][입찰안_xls]1186"/>
      <sheetName val="[입찰안_xls][입찰안_xls][입찰안_xls]1187"/>
      <sheetName val="[입찰안_xls][입찰안_xls][입찰안_xls]1188"/>
      <sheetName val="[입찰안_xls][입찰안_xls][입찰안_xls]1189"/>
      <sheetName val="[입찰안_xls][입찰안_xls][입찰안_xls]1190"/>
      <sheetName val="[입찰안_xls][입찰안_xls][입찰안_xls]1191"/>
      <sheetName val="[입찰안_xls][입찰안_xls][입찰안_xls]1192"/>
      <sheetName val="[입찰안_xls][입찰안_xls][입찰안_xls]1193"/>
      <sheetName val="[입찰안_xls][입찰안_xls][입찰안_xls]1194"/>
      <sheetName val="[입찰안_xls][입찰안_xls][입찰안_xls]1195"/>
      <sheetName val="[입찰안_xls][입찰안_xls][입찰안_xls]1196"/>
      <sheetName val="[입찰안_xls][입찰안_xls][입찰안_xls]1197"/>
      <sheetName val="[입찰안_xls][입찰안_xls][입찰안_xls]1198"/>
      <sheetName val="[입찰안_xls][입찰안_xls][입찰안_xls]1199"/>
      <sheetName val="[입찰안_xls][입찰안_xls][입찰안_xls]1200"/>
      <sheetName val="[입찰안_xls][입찰안_xls][입찰안_xls]1201"/>
      <sheetName val="[입찰안_xls][입찰안_xls][입찰안_xls]1202"/>
      <sheetName val="[입찰안_xls][입찰안_xls][입찰안_xls]1203"/>
      <sheetName val="[입찰안_xls][입찰안_xls][입찰안_xls]1204"/>
      <sheetName val="[입찰안_xls][입찰안_xls][입찰안_xls]1205"/>
      <sheetName val="[입찰안_xls][입찰안_xls][입찰안_xls]1206"/>
      <sheetName val="[입찰안_xls][입찰안_xls][입찰안_xls]1207"/>
      <sheetName val="[입찰안_xls][입찰안_xls][입찰안_xls]1208"/>
      <sheetName val="[입찰안_xls][입찰안_xls][입찰안_xls]1209"/>
      <sheetName val="[입찰안_xls][입찰안_xls][입찰안_xls]1210"/>
      <sheetName val="[입찰안_xls][입찰안_xls][입찰안_xls]1211"/>
      <sheetName val="[입찰안_xls][입찰안_xls][입찰안_xls]1212"/>
      <sheetName val="[입찰안_xls][입찰안_xls][입찰안_xls]1213"/>
      <sheetName val="[입찰안_xls][입찰안_xls][입찰안_xls]1214"/>
      <sheetName val="[입찰안_xls][입찰안_xls][입찰안_xls]1215"/>
      <sheetName val="[입찰안_xls][입찰안_xls][입찰안_xls]1216"/>
      <sheetName val="[입찰안_xls][입찰안_xls][입찰안_xls]1217"/>
      <sheetName val="[입찰안_xls][입찰안_xls][입찰안_xls]1218"/>
      <sheetName val="[입찰안_xls][입찰안_xls][입찰안_xls]1219"/>
      <sheetName val="[입찰안_xls][입찰안_xls][입찰안_xls]1220"/>
      <sheetName val="[입찰안_xls][입찰안_xls][입찰안_xls]1221"/>
      <sheetName val="[입찰안_xls][입찰안_xls][입찰안_xls]1222"/>
      <sheetName val="[입찰안_xls][입찰안_xls][입찰안_xls]1223"/>
      <sheetName val="[입찰안_xls][입찰안_xls][입찰안_xls]1224"/>
      <sheetName val="[입찰안_xls][입찰안_xls][입찰안_xls]1225"/>
      <sheetName val="[입찰안_xls][입찰안_xls][입찰안_xls]1226"/>
      <sheetName val="[입찰안_xls][입찰안_xls][입찰안_xls]1227"/>
      <sheetName val="[입찰안_xls][입찰안_xls][입찰안_xls]1228"/>
      <sheetName val="[입찰안_xls][입찰안_xls][입찰안_xls]1229"/>
      <sheetName val="[입찰안_xls][입찰안_xls][입찰안_xls]1230"/>
      <sheetName val="[입찰안_xls][입찰안_xls][입찰안_xls]1231"/>
      <sheetName val="[입찰안_xls][입찰안_xls][입찰안_xls]1232"/>
      <sheetName val="[입찰안_xls][입찰안_xls][입찰안_xls]1233"/>
      <sheetName val="[입찰안_xls][입찰안_xls][입찰안_xls]1234"/>
      <sheetName val="[입찰안_xls][입찰안_xls][입찰안_xls]1235"/>
      <sheetName val="[입찰안_xls][입찰안_xls][입찰안_xls]1236"/>
      <sheetName val="[입찰안_xls][입찰안_xls][입찰안_xls]1237"/>
      <sheetName val="[입찰안_xls][입찰안_xls][입찰안_xls]1238"/>
      <sheetName val="[입찰안_xls][입찰안_xls][입찰안_xls]1239"/>
      <sheetName val="[입찰안_xls][입찰안_xls][입찰안_xls]1240"/>
      <sheetName val="[입찰안_xls][입찰안_xls][입찰안_xls]1241"/>
      <sheetName val="[입찰안_xls][입찰안_xls][입찰안_xls]1242"/>
      <sheetName val="[입찰안_xls][입찰안_xls][입찰안_xls]1243"/>
      <sheetName val="[입찰안_xls][입찰안_xls][입찰안_xls]1244"/>
      <sheetName val="[입찰안_xls][입찰안_xls][입찰안_xls]1245"/>
      <sheetName val="[입찰안_xls][입찰안_xls][입찰안_xls]1246"/>
      <sheetName val="[입찰안_xls][입찰안_xls][입찰안_xls]1247"/>
      <sheetName val="[입찰안_xls][입찰안_xls][입찰안_xls]1248"/>
      <sheetName val="[입찰안_xls][입찰안_xls][입찰안_xls]1249"/>
      <sheetName val="[입찰안_xls][입찰안_xls][입찰안_xls]1250"/>
      <sheetName val="[입찰안_xls][입찰안_xls][입찰안_xls]1251"/>
      <sheetName val="[입찰안_xls][입찰안_xls][입찰안_xls]1252"/>
      <sheetName val="새로이_설치할_정비기반시설_조서_나번_(2)2"/>
      <sheetName val="[입찰안_xls][입찰안_xls][입찰안_xls]1253"/>
      <sheetName val="[입찰안_xls][입찰안_xls][입찰안_xls]__30"/>
      <sheetName val="[입찰안_xls][입찰안_xls][입찰안_xls]__31"/>
      <sheetName val="[입찰안_xls][입찰안_xls][입찰안_xls]__32"/>
      <sheetName val="[입찰안_xls][입찰안_xls][입찰안_xls]1254"/>
      <sheetName val="DTICH_(Full)2"/>
      <sheetName val="COST_SUMMARY2"/>
      <sheetName val="Xuly_Data2"/>
      <sheetName val="TL_rieng2"/>
      <sheetName val="Thuc_thanh2"/>
      <sheetName val="Cost_factor2"/>
      <sheetName val="Item_list2"/>
      <sheetName val="Sheet_Template_Empty2"/>
      <sheetName val="[입찰안_xls][입찰안_xls][입찰안_xls]1255"/>
      <sheetName val="[입찰안_xls][입찰안_xls][입찰안_xls]1256"/>
      <sheetName val="[입찰안_xls][입찰안_xls][입찰안_xls]1257"/>
      <sheetName val="[입찰안_xls][입찰안_xls][입찰안_xls]1258"/>
      <sheetName val="[입찰안_xls][입찰안_xls][입찰안_xls]1259"/>
      <sheetName val="[입찰안_xls][입찰안_xls][입찰안_xls]1260"/>
      <sheetName val="[입찰안_xls][입찰안_xls][입찰안_xls]1261"/>
      <sheetName val="[입찰안_xls][입찰안_xls][입찰안_xls]1262"/>
      <sheetName val="[입찰안_xls][입찰안_xls][입찰안_xls]1263"/>
      <sheetName val="[입찰안_xls][입찰안_xls][입찰안_xls]1264"/>
      <sheetName val="[입찰안_xls][입찰안_xls][입찰안_xls]1265"/>
      <sheetName val="[입찰안_xls][입찰안_xls][입찰안_xls]1266"/>
      <sheetName val="[입찰안_xls][입찰안_xls][입찰안_xls]1267"/>
      <sheetName val="[입찰안_xls][입찰안_xls][입찰안_xls]1268"/>
      <sheetName val="[입찰안_xls][입찰안_xls][입찰안_xls]1269"/>
      <sheetName val="[입찰안_xls][입찰안_xls][입찰안_xls]1270"/>
      <sheetName val="[입찰안_xls][입찰안_xls][입찰안_xls]1271"/>
      <sheetName val="[입찰안_xls][입찰안_xls][입찰안_xls]1272"/>
      <sheetName val="[입찰안_xls][입찰안_xls][입찰안_xls]1273"/>
      <sheetName val="[입찰안_xls][입찰안_xls][입찰안_xls]1274"/>
      <sheetName val="[입찰안_xls][입찰안_xls][입찰안_xls]1275"/>
      <sheetName val="[입찰안_xls][입찰안_xls][입찰안_xls]1276"/>
      <sheetName val="[입찰안_xls][입찰안_xls][입찰안_xls]1277"/>
      <sheetName val="[입찰안_xls][입찰안_xls][입찰안_xls]1278"/>
      <sheetName val="[입찰안_xls][입찰안_xls][입찰안_xls]1279"/>
      <sheetName val="[입찰안_xls][입찰안_xls][입찰안_xls]1280"/>
      <sheetName val="[입찰안_xls][입찰안_xls][입찰안_xls]1281"/>
      <sheetName val="[입찰안_xls][입찰안_xls][입찰안_xls]1282"/>
      <sheetName val="[입찰안_xls][입찰안_xls][입찰안_xls]1283"/>
      <sheetName val="[입찰안_xls][입찰안_xls][입찰안_xls]1284"/>
      <sheetName val="[입찰안_xls][입찰안_xls][입찰안_xls]1285"/>
      <sheetName val="[입찰안_xls][입찰안_xls][입찰안_xls]1286"/>
      <sheetName val="[입찰안_xls][입찰안_xls][입찰안_xls]1287"/>
      <sheetName val="[입찰안_xls][입찰안_xls][입찰안_xls]1288"/>
      <sheetName val="[입찰안_xls][입찰안_xls][입찰안_xls]1289"/>
      <sheetName val="[입찰안_xls][입찰안_xls][입찰안_xls]1290"/>
      <sheetName val="[입찰안_xls][입찰안_xls][입찰안_xls]1291"/>
      <sheetName val="[입찰안_xls][입찰안_xls][입찰안_xls]1292"/>
      <sheetName val="[입찰안_xls][입찰안_xls][입찰안_xls]1293"/>
      <sheetName val="[입찰안_xls][입찰안_xls][입찰안_xls]1294"/>
      <sheetName val="[입찰안_xls][입찰안_xls][입찰안_xls]1295"/>
      <sheetName val="[입찰안_xls][입찰안_xls][입찰안_xls]1296"/>
      <sheetName val="[입찰안_xls][입찰안_xls][입찰안_xls]1297"/>
      <sheetName val="[입찰안_xls][입찰안_xls][입찰안_xls]1298"/>
      <sheetName val="[입찰안_xls][입찰안_xls][입찰안_xls]1299"/>
      <sheetName val="[입찰안_xls][입찰안_xls][입찰안_xls]1300"/>
      <sheetName val="[입찰안_xls][입찰안_xls][입찰안_xls]1301"/>
      <sheetName val="[입찰안_xls][입찰안_xls][입찰안_xls]1302"/>
      <sheetName val="[입찰안_xls][입찰안_xls][입찰안_xls]1303"/>
      <sheetName val="F_D_SEC__PROP2"/>
      <sheetName val="[입찰안_xls][입찰안_xls][입찰안_xls]1304"/>
      <sheetName val="[입찰안_xls][입찰안_xls][입찰안_xls]1305"/>
      <sheetName val="[입찰안_xls][입찰안_xls][입찰안_xls]1306"/>
      <sheetName val="[입찰안_xls][입찰안_xls][입찰안_xls]1307"/>
      <sheetName val="[입찰안_xls][입찰안_xls][입찰안_xls]1308"/>
      <sheetName val="[입찰안_xls][입찰안_xls][입찰안_xls]1309"/>
      <sheetName val="[입찰안_xls][입찰안_xls][입찰안_xls]1310"/>
      <sheetName val="[입찰안_xls][입찰안_xls][입찰안_xls]1311"/>
      <sheetName val="[입찰안_xls][입찰안_xls][입찰안_xls]1312"/>
      <sheetName val="[입찰안_xls][입찰안_xls][입찰안_xls]1313"/>
      <sheetName val="[입찰안_xls][입찰안_xls][입찰안_xls]1314"/>
      <sheetName val="[입찰안_xls][입찰안_xls][입찰안_xls]1315"/>
      <sheetName val="[입찰안_xls][입찰안_xls][입찰안_xls]1316"/>
      <sheetName val="[입찰안_xls][입찰안_xls][입찰안_xls]1317"/>
      <sheetName val="[입찰안_xls][입찰안_xls][입찰안_xls]1318"/>
      <sheetName val="[입찰안_xls][입찰안_xls][입찰안_xls]1319"/>
      <sheetName val="[입찰안_xls][입찰안_xls][입찰안_xls]1320"/>
      <sheetName val="[입찰안_xls][입찰안_xls][입찰안_xls]1321"/>
      <sheetName val="[입찰안_xls][입찰안_xls][입찰안_xls]1322"/>
      <sheetName val="[입찰안_xls][입찰안_xls][입찰안_xls]1323"/>
      <sheetName val="[입찰안_xls][입찰안_xls][입찰안_xls]1324"/>
      <sheetName val="[입찰안_xls][입찰안_xls][입찰안_xls]1325"/>
      <sheetName val="[입찰안_xls][입찰안_xls][입찰안_xls]1326"/>
      <sheetName val="[입찰안_xls][입찰안_xls][입찰안_xls]1327"/>
      <sheetName val="[입찰안_xls][입찰안_xls][입찰안_xls]1328"/>
      <sheetName val="[입찰안_xls][입찰안_xls][입찰안_xls]1329"/>
      <sheetName val="[입찰안_xls][입찰안_xls][입찰안_xls]1330"/>
      <sheetName val="[입찰안_xls][입찰안_xls][입찰안_xls]1331"/>
      <sheetName val="[입찰안_xls][입찰안_xls][입찰안_xls]1332"/>
      <sheetName val="[입찰안_xls][입찰안_xls][입찰안_xls]1333"/>
      <sheetName val="[입찰안_xls][입찰안_xls][입찰안_xls]1334"/>
      <sheetName val="[입찰안_xls][입찰안_xls][입찰안_xls]1335"/>
      <sheetName val="[입찰안_xls][입찰안_xls][입찰안_xls]1336"/>
      <sheetName val="[입찰안_xls][입찰안_xls][입찰안_xls]1337"/>
      <sheetName val="[입찰안_xls][입찰안_xls][입찰안_xls]1338"/>
      <sheetName val="[입찰안_xls][입찰안_xls][입찰안_xls]1339"/>
      <sheetName val="[입찰안_xls][입찰안_xls][입찰안_xls]1340"/>
      <sheetName val="[입찰안_xls][입찰안_xls][입찰안_xls]1341"/>
      <sheetName val="Code_022"/>
      <sheetName val="Code_032"/>
      <sheetName val="Code_042"/>
      <sheetName val="Code_052"/>
      <sheetName val="Code_062"/>
      <sheetName val="Code_072"/>
      <sheetName val="Code_092"/>
      <sheetName val="[입찰안_xls][입찰안_xls][입찰안_xls]1342"/>
      <sheetName val="[입찰안_xls][입찰안_xls][입찰안_xls]1343"/>
      <sheetName val="[입찰안_xls][입찰안_xls][입찰안_xls]1344"/>
      <sheetName val="[입찰안_xls][입찰안_xls][입찰안_xls]1345"/>
      <sheetName val="[입찰안_xls][입찰안_xls][입찰안_xls]1346"/>
      <sheetName val="[입찰안_xls][입찰안_xls][입찰안_xls]1347"/>
      <sheetName val="[입찰안_xls][입찰안_xls][입찰안_xls]1348"/>
      <sheetName val="[입찰안_xls][입찰안_xls][입찰안_xls]1349"/>
      <sheetName val="[입찰안_xls][입찰안_xls][입찰안_xls]1350"/>
      <sheetName val="[입찰안_xls][입찰안_xls][입찰안_xls]1351"/>
      <sheetName val="[입찰안_xls][입찰안_xls][입찰안_xls]1352"/>
      <sheetName val="[입찰안_xls][입찰안_xls][입찰안_xls]1353"/>
      <sheetName val="[입찰안_xls][입찰안_xls][입찰안_xls]1354"/>
      <sheetName val="[입찰안_xls][입찰안_xls][입찰안_xls]1355"/>
      <sheetName val="[입찰안_xls][입찰안_xls][입찰안_xls]1356"/>
      <sheetName val="[입찰안_xls][입찰안_xls][입찰안_xls]1357"/>
      <sheetName val="[입찰안_xls][입찰안_xls][입찰안_xls]1358"/>
      <sheetName val="[입찰안_xls][입찰안_xls][입찰안_xls]1359"/>
      <sheetName val="[입찰안_xls][입찰안_xls][입찰안_xls]1360"/>
      <sheetName val="[입찰안_xls][입찰안_xls][입찰안_xls]1361"/>
      <sheetName val="[입찰안_xls][입찰안_xls][입찰안_xls]1362"/>
      <sheetName val="[입찰안_xls][입찰안_xls][입찰안_xls]1363"/>
      <sheetName val="[입찰안_xls][입찰안_xls][입찰안_xls]1364"/>
      <sheetName val="[입찰안_xls][입찰안_xls][입찰안_xls]1365"/>
      <sheetName val="[입찰안_xls][입찰안_xls][입찰안_xls]1366"/>
      <sheetName val="[입찰안_xls][입찰안_xls][입찰안_xls]1367"/>
      <sheetName val="[입찰안_xls][입찰안_xls][입찰안_xls]1368"/>
      <sheetName val="[입찰안_xls][입찰안_xls][입찰안_xls]1369"/>
      <sheetName val="[입찰안_xls][입찰안_xls][입찰안_xls]1370"/>
      <sheetName val="[입찰안_xls][입찰안_xls][입찰안_xls]1371"/>
      <sheetName val="[입찰안_xls][입찰안_xls][입찰안_xls]1372"/>
      <sheetName val="[입찰안_xls][입찰안_xls][입찰안_xls]1373"/>
      <sheetName val="[입찰안_xls][입찰안_xls][입찰안_xls]1374"/>
      <sheetName val="[입찰안_xls][입찰안_xls][입찰안_xls]1375"/>
      <sheetName val="[입찰안_xls][입찰안_xls][입찰안_xls]1376"/>
      <sheetName val="[입찰안_xls][입찰안_xls][입찰안_xls]1377"/>
      <sheetName val="co-no_22"/>
      <sheetName val="(1)2002년_매출목표_산출2"/>
      <sheetName val="[입찰안_xls][입찰안_xls][입찰안_xls]1378"/>
      <sheetName val="[입찰안_xls][입찰안_xls][입찰안_xls]1379"/>
      <sheetName val="[입찰안_xls][입찰안_xls][입찰안_xls]1380"/>
      <sheetName val="[입찰안_xls][입찰안_xls][입찰안_xls]1381"/>
      <sheetName val="[입찰안_xls][입찰안_xls][입찰안_xls]1382"/>
      <sheetName val="[입찰안_xls][입찰안_xls][입찰안_xls]1383"/>
      <sheetName val="[입찰안_xls][입찰안_xls][입찰안_xls]1384"/>
      <sheetName val="[입찰안_xls][입찰안_xls][입찰안_xls]1385"/>
      <sheetName val="[입찰안_xls][입찰안_xls][입찰안_xls]1386"/>
      <sheetName val="[입찰안_xls][입찰안_xls][입찰안_xls]1387"/>
      <sheetName val="[입찰안_xls][입찰안_xls][입찰안_xls]1388"/>
      <sheetName val="[입찰안_xls][입찰안_xls][입찰안_xls]1389"/>
      <sheetName val="[입찰안_xls][입찰안_xls][입찰안_xls]1390"/>
      <sheetName val="[입찰안_xls][입찰안_xls][입찰안_xls]1391"/>
      <sheetName val="[입찰안_xls][입찰안_xls][입찰안_xls]1392"/>
      <sheetName val="[입찰안_xls][입찰안_xls][입찰안_xls]1393"/>
      <sheetName val="[입찰안_xls][입찰안_xls][입찰안_xls]1394"/>
      <sheetName val="[입찰안_xls][입찰안_xls][입찰안_xls]1395"/>
      <sheetName val="[입찰안_xls][입찰안_xls][입찰안_xls]1396"/>
      <sheetName val="[입찰안_xls][입찰안_xls][입찰안_xls]1397"/>
      <sheetName val="[입찰안_xls][입찰안_xls][입찰안_xls]1398"/>
      <sheetName val="[입찰안_xls][입찰안_xls][입찰안_xls]1399"/>
      <sheetName val="[입찰안_xls][입찰안_xls][입찰안_xls]1400"/>
      <sheetName val="[입찰안_xls][입찰안_xls][입찰안_xls]1401"/>
      <sheetName val="[입찰안_xls][입찰안_xls][입찰안_xls]1402"/>
      <sheetName val="[입찰안_xls][입찰안_xls][입찰안_xls]1403"/>
      <sheetName val="[입찰안_xls][입찰안_xls][입찰안_xls]1404"/>
      <sheetName val="[입찰안_xls][입찰안_xls][입찰안_xls]1405"/>
      <sheetName val="[입찰안_xls][입찰안_xls][입찰안_xls]1406"/>
      <sheetName val="[입찰안_xls][입찰안_xls][입찰안_xls]1407"/>
      <sheetName val="[입찰안_xls][입찰안_xls][입찰안_xls]1408"/>
      <sheetName val="[입찰안_xls][입찰안_xls][입찰안_xls]1409"/>
      <sheetName val="[입찰안_xls][입찰안_xls][입찰안_xls]1410"/>
      <sheetName val="[입찰안_xls][입찰안_xls][입찰안_xls]1411"/>
      <sheetName val="[입찰안_xls][입찰안_xls][입찰안_xls]1412"/>
      <sheetName val="[입찰안_xls][입찰안_xls][입찰안_xls]1413"/>
      <sheetName val="[입찰안_xls][입찰안_xls][입찰안_xls]1414"/>
      <sheetName val="유효폭의_계산6"/>
      <sheetName val="갑지_을지6"/>
      <sheetName val="2-2_매출분석6"/>
      <sheetName val="미납품_현황6"/>
      <sheetName val="STEEL_BOX_단면설계(SEC_8)6"/>
      <sheetName val="갑지_설계_내역서6"/>
      <sheetName val="설명서_6"/>
      <sheetName val="_FURNACE현설5"/>
      <sheetName val="97_사업추정(WEKI)5"/>
      <sheetName val="8_설치품셈5"/>
      <sheetName val="ITB_COST6"/>
      <sheetName val="자격_땡겨오기6"/>
      <sheetName val="05년_상6"/>
      <sheetName val="영흥TL(UP,DOWN)_6"/>
      <sheetName val="단양_00_아파트-세부내역6"/>
      <sheetName val="2_단면가정_(양곡1교)6"/>
      <sheetName val="8_PILE__(돌출)6"/>
      <sheetName val="1_내역(청_하역장전등)6"/>
      <sheetName val="2000_055"/>
      <sheetName val="표지_(2)6"/>
      <sheetName val="수량산출서_갑지6"/>
      <sheetName val="4_2_1_마루높이_검토6"/>
      <sheetName val="_견적서6"/>
      <sheetName val="품셈_5"/>
      <sheetName val="M-EMS_GP-570(BIT)5"/>
      <sheetName val="내역서_제출6"/>
      <sheetName val="19_07월_세_계5"/>
      <sheetName val="19_07항목별(시트복사금지100번쓰기)5"/>
      <sheetName val="19_05월5"/>
      <sheetName val="TABLE_DB5"/>
      <sheetName val="쌍용_data_base5"/>
      <sheetName val="내역(인테리어_실내)(도급)5"/>
      <sheetName val="내역(인테리어_실외)(도급)5"/>
      <sheetName val="중기조종사_단위단가5"/>
      <sheetName val="자재기성_신청서_xlsx5"/>
      <sheetName val="0_목록15"/>
      <sheetName val="PROJ__DATA4"/>
      <sheetName val="_Beams_Sched_4"/>
      <sheetName val="[입찰안_xls][입찰안_xls][입찰안_xls]B228"/>
      <sheetName val="[입찰안_xls][입찰안_xls][입찰안_xls]B229"/>
      <sheetName val="[입찰안_xls][입찰안_xls][입찰안_xls]B230"/>
      <sheetName val="[입찰안_xls][입찰안_xls][입찰안_xls]B231"/>
      <sheetName val="[입찰안_xls][입찰안_xls][입찰안_xls]B232"/>
      <sheetName val="[입찰안_xls][입찰안_xls][입찰안_xls]B233"/>
      <sheetName val="[입찰안_xls][입찰안_xls][입찰안_xls]B234"/>
      <sheetName val="[입찰안_xls][입찰안_xls][입찰안_xls]B235"/>
      <sheetName val="[입찰안_xls][입찰안_xls][입찰안_xls]B236"/>
      <sheetName val="[입찰안_xls][입찰안_xls][입찰안_xls]B237"/>
      <sheetName val="[입찰안_xls][입찰안_xls][입찰안_xls]B238"/>
      <sheetName val="[입찰안_xls][입찰안_xls][입찰안_xls]B239"/>
      <sheetName val="[입찰안_xls][입찰안_xls][입찰안_xls]B240"/>
      <sheetName val="[입찰안_xls][입찰안_xls][입찰안_xls]B241"/>
      <sheetName val="[입찰안_xls][입찰안_xls][입찰안_xls]B242"/>
      <sheetName val="[입찰안_xls][입찰안_xls][입찰안_xls]B243"/>
      <sheetName val="[입찰안_xls][입찰안_xls][입찰안_xls]B244"/>
      <sheetName val="견적비교표_(2)2"/>
      <sheetName val="결재방(지우지_마세요)2"/>
      <sheetName val="EXCHANGE_RATE2"/>
      <sheetName val="[입찰안_xls][입찰안_xls][입찰안_xls]B245"/>
      <sheetName val="[입찰안_xls][입찰안_xls][입찰안_xls]B246"/>
      <sheetName val="TOWER_12TON2"/>
      <sheetName val="공사투입계획(변경결의)19_92"/>
      <sheetName val="노무비_월별지급현황19_92"/>
      <sheetName val="갑지(외주기성)19_92"/>
      <sheetName val="[입찰안_xls][입찰안_xls][입찰안_xls]B247"/>
      <sheetName val="노임단가_및_기계경비2"/>
      <sheetName val="실행내역서_2"/>
      <sheetName val="[입찰안_xls][입찰안_xls][입찰안_xls]B248"/>
      <sheetName val="[입찰안_xls][입찰안_xls][입찰안_xls]B249"/>
      <sheetName val="[입찰안_xls][입찰안_xls][입찰안_xls]B250"/>
      <sheetName val="[입찰안_xls][입찰안_xls][입찰안_xls]B251"/>
      <sheetName val="[입찰안_xls][입찰안_xls][입찰안_xls]B252"/>
      <sheetName val="[입찰안_xls][입찰안_xls][입찰안_xls]B253"/>
      <sheetName val="중강당_내역2"/>
      <sheetName val="[입찰안_xls][입찰안_xls][입찰안_xls]B254"/>
      <sheetName val="[입찰안_xls][입찰안_xls][입찰안_xls]B255"/>
      <sheetName val="[입찰안_xls][입찰안_xls][입찰안_xls]B256"/>
      <sheetName val="[입찰안_xls][입찰안_xls][입찰안_xls]B257"/>
      <sheetName val="[입찰안_xls][입찰안_xls][입찰안_xls]B258"/>
      <sheetName val="[입찰안_xls][입찰안_xls][입찰안_xls]B259"/>
      <sheetName val="[입찰안_xls][입찰안_xls][입찰안_xls]B260"/>
      <sheetName val="[입찰안_xls][입찰안_xls][입찰안_xls]B261"/>
      <sheetName val="[입찰안_xls][입찰안_xls][입찰안_xls]B262"/>
      <sheetName val="[입찰안_xls][입찰안_xls][입찰안_xls]B263"/>
      <sheetName val="[입찰안_xls][입찰안_xls][입찰안_xls]B264"/>
      <sheetName val="[입찰안_xls][입찰안_xls][입찰안_xls]B265"/>
      <sheetName val="[입찰안_xls][입찰안_xls][입찰안_xls]B266"/>
      <sheetName val="[입찰안_xls][입찰안_xls][입찰안_xls]B267"/>
      <sheetName val="6-1_보오링(1)2"/>
      <sheetName val="할증_3"/>
      <sheetName val="간접비_총괄표3"/>
      <sheetName val="[입찰안_xls][입찰안_xls][입찰안_xls]B268"/>
      <sheetName val="[입찰안_xls][입찰안_xls][입찰안_xls]B269"/>
      <sheetName val="[입찰안_xls][입찰안_xls][입찰안_xls]B270"/>
      <sheetName val="[입찰안_xls][입찰안_xls][입찰안_xls]B271"/>
      <sheetName val="[입찰안_xls][입찰안_xls][입찰안_xls]B272"/>
      <sheetName val="[입찰안_xls][입찰안_xls][입찰안_xls]B273"/>
      <sheetName val="[입찰안_xls][입찰안_xls][입찰안_xls]B274"/>
      <sheetName val="[입찰안_xls][입찰안_xls][입찰안_xls]B275"/>
      <sheetName val="[입찰안_xls][입찰안_xls][입찰안_xls]B276"/>
      <sheetName val="[입찰안_xls][입찰안_xls][입찰안_xls]B277"/>
      <sheetName val="[입찰안_xls][입찰안_xls][입찰안_xls]B278"/>
      <sheetName val="[입찰안_xls][입찰안_xls][입찰안_xls]B279"/>
      <sheetName val="[입찰안_xls][입찰안_xls][입찰안_xls]B280"/>
      <sheetName val="[입찰안_xls][입찰안_xls][입찰안_xls]B281"/>
      <sheetName val="[입찰안_xls][입찰안_xls][입찰안_xls]B282"/>
      <sheetName val="[입찰안_xls][입찰안_xls][입찰안_xls]B283"/>
      <sheetName val="[입찰안_xls][입찰안_xls][입찰안_xls]B284"/>
      <sheetName val="[입찰안_xls][입찰안_xls][입찰안_xls]B285"/>
      <sheetName val="[입찰안_xls][입찰안_xls][입찰안_xls]B286"/>
      <sheetName val="[입찰안_xls][입찰안_xls][입찰안_xls]B287"/>
      <sheetName val="[입찰안_xls][입찰안_xls][입찰안_xls]B288"/>
      <sheetName val="[입찰안_xls][입찰안_xls][입찰안_xls]B289"/>
      <sheetName val="[입찰안_xls][입찰안_xls][입찰안_xls]B290"/>
      <sheetName val="[입찰안_xls][입찰안_xls][입찰안_xls]B291"/>
      <sheetName val="[입찰안_xls][입찰안_xls][입찰안_xls]B292"/>
      <sheetName val="[입찰안_xls][입찰안_xls][입찰안_xls]B293"/>
      <sheetName val="[입찰안_xls][입찰안_xls][입찰안_xls]B294"/>
      <sheetName val="[입찰안_xls][입찰안_xls][입찰안_xls]B295"/>
      <sheetName val="[입찰안_xls][입찰안_xls][입찰안_xls]B296"/>
      <sheetName val="[입찰안_xls][입찰안_xls][입찰안_xls]B297"/>
      <sheetName val="[입찰안_xls][입찰안_xls][입찰안_xls]B298"/>
      <sheetName val="Bill_01_-_CTN3"/>
      <sheetName val="020_235_23633"/>
      <sheetName val="CHITIET_VL-NC-TT1p3"/>
      <sheetName val="Project_Infor3"/>
      <sheetName val="Data_input3"/>
      <sheetName val="_입찰안_xls_직접뀀鞖_3"/>
      <sheetName val="_입찰안_xls__입찰안_xls_직접뀀鞖_3"/>
      <sheetName val="bang_TH3"/>
      <sheetName val="Phan_tho3"/>
      <sheetName val="Tien_Thuong3"/>
      <sheetName val="NC_XL_6T_cuoi_01_CTy3"/>
      <sheetName val="Data_-6T_dau3"/>
      <sheetName val="Cong_6T3"/>
      <sheetName val="[입찰안_xls][입찰안_xls][입찰안_xls]__18"/>
      <sheetName val="[입찰안_xls][입찰안_xls][입찰안_xls]__19"/>
      <sheetName val="[입찰안_xls][입찰안_xls][입찰안_xls]__20"/>
      <sheetName val="새로이_설치할_정비기반시설_조서_나번_(2)1"/>
      <sheetName val="[입찰안_xls][입찰안_xls][입찰안_xls]__21"/>
      <sheetName val="[입찰안_xls][입찰안_xls][입찰안_xls]__22"/>
      <sheetName val="[입찰안_xls][입찰안_xls][입찰안_xls]__23"/>
      <sheetName val="F_D_SEC__PROP1"/>
      <sheetName val="[입찰안_xls][입찰안_xls][입찰안_xls]_886"/>
      <sheetName val="[입찰안_xls][입찰안_xls][입찰안_xls]_887"/>
      <sheetName val="[입찰안_xls][입찰안_xls][입찰안_xls]_888"/>
      <sheetName val="[입찰안_xls][입찰안_xls][입찰안_xls]_889"/>
      <sheetName val="[입찰안_xls][입찰안_xls][입찰안_xls]_890"/>
      <sheetName val="[입찰안_xls][입찰안_xls][입찰안_xls]_891"/>
      <sheetName val="[입찰안_xls][입찰안_xls][입찰안_xls]_892"/>
      <sheetName val="[입찰안_xls][입찰안_xls][입찰안_xls]_893"/>
      <sheetName val="[입찰안_xls][입찰안_xls][입찰안_xls]_894"/>
      <sheetName val="[입찰안_xls][입찰안_xls][입찰안_xls]_895"/>
      <sheetName val="[입찰안_xls][입찰안_xls][입찰안_xls]_896"/>
      <sheetName val="[입찰안_xls][입찰안_xls][입찰안_xls]_897"/>
      <sheetName val="[입찰안_xls][입찰안_xls][입찰안_xls]_898"/>
      <sheetName val="[입찰안_xls][입찰안_xls][입찰안_xls]_899"/>
      <sheetName val="[입찰안_xls][입찰안_xls][입찰안_xls]_900"/>
      <sheetName val="[입찰안_xls][입찰안_xls][입찰안_xls]_901"/>
      <sheetName val="[입찰안_xls][입찰안_xls][입찰안_xls]_902"/>
      <sheetName val="[입찰안_xls][입찰안_xls][입찰안_xls]_903"/>
      <sheetName val="[입찰안_xls][입찰안_xls][입찰안_xls]_904"/>
      <sheetName val="Code_021"/>
      <sheetName val="Code_031"/>
      <sheetName val="Code_041"/>
      <sheetName val="Code_051"/>
      <sheetName val="Code_061"/>
      <sheetName val="Code_071"/>
      <sheetName val="Code_091"/>
      <sheetName val="[입찰안_xls][입찰안_xls][입찰안_xls]_905"/>
      <sheetName val="[입찰안_xls][입찰안_xls][입찰안_xls]_906"/>
      <sheetName val="[입찰안_xls][입찰안_xls][입찰안_xls]_907"/>
      <sheetName val="[입찰안_xls][입찰안_xls][입찰안_xls]_908"/>
      <sheetName val="[입찰안_xls][입찰안_xls][입찰안_xls]_909"/>
      <sheetName val="[입찰안_xls][입찰안_xls][입찰안_xls]_910"/>
      <sheetName val="[입찰안_xls][입찰안_xls][입찰안_xls]_911"/>
      <sheetName val="[입찰안_xls][입찰안_xls][입찰안_xls]_912"/>
      <sheetName val="[입찰안_xls][입찰안_xls][입찰안_xls]_913"/>
      <sheetName val="[입찰안_xls][입찰안_xls][입찰안_xls]_914"/>
      <sheetName val="[입찰안_xls][입찰안_xls][입찰안_xls]_915"/>
      <sheetName val="[입찰안_xls][입찰안_xls][입찰안_xls]_916"/>
      <sheetName val="[입찰안_xls][입찰안_xls][입찰안_xls]_917"/>
      <sheetName val="[입찰안_xls][입찰안_xls][입찰안_xls]_918"/>
      <sheetName val="[입찰안_xls][입찰안_xls][입찰안_xls]_919"/>
      <sheetName val="[입찰안_xls][입찰안_xls][입찰안_xls]_920"/>
      <sheetName val="[입찰안_xls][입찰안_xls][입찰안_xls]_921"/>
      <sheetName val="[입찰안_xls][입찰안_xls][입찰안_xls]_922"/>
      <sheetName val="[입찰안_xls][입찰안_xls][입찰안_xls]_923"/>
      <sheetName val="[입찰안_xls][입찰안_xls][입찰안_xls]_924"/>
      <sheetName val="[입찰안_xls][입찰안_xls][입찰안_xls]_925"/>
      <sheetName val="[입찰안_xls][입찰안_xls][입찰안_xls]_926"/>
      <sheetName val="[입찰안_xls][입찰안_xls][입찰안_xls]_927"/>
      <sheetName val="[입찰안_xls][입찰안_xls][입찰안_xls]_928"/>
      <sheetName val="[입찰안_xls][입찰안_xls][입찰안_xls]_929"/>
      <sheetName val="[입찰안_xls][입찰안_xls][입찰안_xls]_930"/>
      <sheetName val="[입찰안_xls][입찰안_xls][입찰안_xls]_931"/>
      <sheetName val="[입찰안_xls][입찰안_xls][입찰안_xls]_932"/>
      <sheetName val="[입찰안_xls][입찰안_xls][입찰안_xls]_933"/>
      <sheetName val="[입찰안_xls][입찰안_xls][입찰안_xls]_934"/>
      <sheetName val="[입찰안_xls][입찰안_xls][입찰안_xls]_935"/>
      <sheetName val="[입찰안_xls][입찰안_xls][입찰안_xls]_936"/>
      <sheetName val="[입찰안_xls][입찰안_xls][입찰안_xls]_937"/>
      <sheetName val="[입찰안_xls][입찰안_xls][입찰안_xls]_938"/>
      <sheetName val="[입찰안_xls][입찰안_xls][입찰안_xls]_939"/>
      <sheetName val="[입찰안_xls][입찰안_xls][입찰안_xls]_940"/>
      <sheetName val="co-no_21"/>
      <sheetName val="(1)2002년_매출목표_산출1"/>
      <sheetName val="[입찰안_xls][입찰안_xls][입찰안_xls]_941"/>
      <sheetName val="[입찰안_xls][입찰안_xls][입찰안_xls]_942"/>
      <sheetName val="[입찰안_xls][입찰안_xls][입찰안_xls]_943"/>
      <sheetName val="[입찰안_xls][입찰안_xls][입찰안_xls]_944"/>
      <sheetName val="[입찰안_xls][입찰안_xls][입찰안_xls]_945"/>
      <sheetName val="[입찰안_xls][입찰안_xls][입찰안_xls]_946"/>
      <sheetName val="[입찰안_xls][입찰안_xls][입찰안_xls]_947"/>
      <sheetName val="[입찰안_xls][입찰안_xls][입찰안_xls]_948"/>
      <sheetName val="[입찰안_xls][입찰안_xls][입찰안_xls]_949"/>
      <sheetName val="[입찰안_xls][입찰안_xls][입찰안_xls]_950"/>
      <sheetName val="[입찰안_xls][입찰안_xls][입찰안_xls]_951"/>
      <sheetName val="[입찰안_xls][입찰안_xls][입찰안_xls]_952"/>
      <sheetName val="[입찰안_xls][입찰안_xls][입찰안_xls]_953"/>
      <sheetName val="[입찰안_xls][입찰안_xls][입찰안_xls]_954"/>
      <sheetName val="[입찰안_xls][입찰안_xls][입찰안_xls]_955"/>
      <sheetName val="[입찰안_xls][입찰안_xls][입찰안_xls]_956"/>
      <sheetName val="[입찰안_xls][입찰안_xls][입찰안_xls]_957"/>
      <sheetName val="[입찰안_xls][입찰안_xls][입찰안_xls]_958"/>
      <sheetName val="[입찰안_xls][입찰안_xls][입찰안_xls]_959"/>
      <sheetName val="[입찰안_xls][입찰안_xls][입찰안_xls]_960"/>
      <sheetName val="[입찰안_xls][입찰안_xls][입찰안_xls]_961"/>
      <sheetName val="[입찰안_xls][입찰안_xls][입찰안_xls]_962"/>
      <sheetName val="[입찰안_xls][입찰안_xls][입찰안_xls]_963"/>
      <sheetName val="[입찰안_xls][입찰안_xls][입찰안_xls]_964"/>
      <sheetName val="[입찰안_xls][입찰안_xls][입찰안_xls]_965"/>
      <sheetName val="[입찰안_xls][입찰안_xls][입찰안_xls]_966"/>
      <sheetName val="[입찰안_xls][입찰안_xls][입찰안_xls]_967"/>
      <sheetName val="[입찰안_xls][입찰안_xls][입찰안_xls]_968"/>
      <sheetName val="[입찰안_xls][입찰안_xls][입찰안_xls]_969"/>
      <sheetName val="[입찰안_xls][입찰안_xls][입찰안_xls]_970"/>
      <sheetName val="[입찰안_xls][입찰안_xls][입찰안_xls]_971"/>
      <sheetName val="[입찰안_xls][입찰안_xls][입찰안_xls]_972"/>
      <sheetName val="[입찰안_xls][입찰안_xls][입찰안_xls]_973"/>
      <sheetName val="[입찰안_xls][입찰안_xls][입찰안_xls]_974"/>
      <sheetName val="[입찰안_xls][입찰안_xls][입찰안_xls]_975"/>
      <sheetName val="[입찰안_xls][입찰안_xls][입찰안_xls]_976"/>
      <sheetName val="[입찰안_xls][입찰안_xls][입찰안_xls]_977"/>
      <sheetName val="7.안전관㣸C"/>
      <sheetName val="장외on2"/>
      <sheetName val="조도계산서_(도서"/>
      <sheetName val="[입찰안.xls][입찰안.xls]__찰__xls_1000"/>
      <sheetName val="[입찰안.xls][입찰안.xls]_입_안_xls_1011"/>
      <sheetName val="[입찰안.xls][입찰안.xls]_____xls_2397"/>
      <sheetName val="[입찰안.xls][입찰안.xls]_____xls_2392"/>
      <sheetName val="[입찰안.xls][입찰안.xls]_____xls_2393"/>
      <sheetName val="[입찰안.xls][입찰안.xls]_____xls_2394"/>
      <sheetName val="[입찰안.xls][입찰안.xls]_____xls_2395"/>
      <sheetName val="[입찰안.xls][입찰안.xls]_____xls_2396"/>
      <sheetName val="[입찰안.xls][입찰안.xls]_____xls_2399"/>
      <sheetName val="[입찰안.xls][입찰안.xls]_____xls_2400"/>
      <sheetName val="[입찰안.xls][입찰안.xls]_____xls_2402"/>
      <sheetName val="[입찰안.xls][입찰안.xls]_____xls_2403"/>
      <sheetName val="[입찰안.xls][입찰안.xls]_____xls_2410"/>
      <sheetName val="[입찰안.xls][입찰안.xls]_____xls_2408"/>
      <sheetName val="[입찰안.xls][입찰안.xls]_____xls_2404"/>
      <sheetName val="[입찰안.xls][입찰안.xls]_____xls_2405"/>
      <sheetName val="[입찰안.xls][입찰안.xls]_____xls_2407"/>
      <sheetName val="[입찰안.xls][입찰안.xls]_____xls_2409"/>
      <sheetName val="[입찰안.xls][입찰안.xls]_____xls_2412"/>
      <sheetName val="[입찰안.xls][입찰안.xls]_____xls_2411"/>
      <sheetName val="[입찰안.xls][입찰안.xls]_____xls_2413"/>
      <sheetName val="[입찰안.xls][입찰안.xls]_____xls_2559"/>
      <sheetName val="[입찰안.xls][입찰안.xls]_____xls_2558"/>
      <sheetName val="[입찰안.xls][입찰안.xls]_____xls_2550"/>
      <sheetName val="[입찰안.xls][입찰안.xls]_____xls_2551"/>
      <sheetName val="[입찰안.xls][입찰안.xls]_____xls_2549"/>
      <sheetName val="[입찰안.xls][입찰안.xls]_____xls_2548"/>
      <sheetName val="[입찰안.xls][입찰안.xls]_____xls_2532"/>
      <sheetName val="[입찰안.xls][입찰안.xls]_____xls_2529"/>
      <sheetName val="[입찰안.xls][입찰안.xls]_____xls_2528"/>
      <sheetName val="기초입력 DATA"/>
      <sheetName val="증감조서"/>
      <sheetName val="[입찰안.xls][입찰안.xls]_입찰안_xls_1001"/>
      <sheetName val="2선재"/>
      <sheetName val="공사비"/>
      <sheetName val="산출서양식01"/>
      <sheetName val="[입찰안.xls][입찰안.xls]_입_안_xls_1012"/>
      <sheetName val="[입찰안.xls][입찰안.xls]_입_안_xls_1013"/>
      <sheetName val="[입찰안.xls][입찰안.xls]_입찰안_xls_1002"/>
      <sheetName val="[입찰안.xls][입찰안.xls]_입찰안_xls_1003"/>
      <sheetName val="[입찰안.xls][입찰안.xls]_입_안_xls_1015"/>
      <sheetName val="[입찰안.xls][입찰안.xls]_입_안_xls_1014"/>
      <sheetName val="[입찰안.xls][입찰안.xls]_입찰안_xls_1004"/>
      <sheetName val="[입찰안.xls][입찰안.xls]_입_안_xls_1016"/>
      <sheetName val="[입찰안.xls][입찰안.xls]_입찰안_xls_1005"/>
      <sheetName val="[입찰안.xls][입찰안.xls]_입_안_xls_1017"/>
      <sheetName val="[입찰안.xls][입찰안.xls]_입찰안_xls_1006"/>
      <sheetName val="[입찰안.xls][입찰안.xls]_입_안_xls_1018"/>
      <sheetName val="[입찰안.xls][입찰안.xls]_입_안_xls_1019"/>
      <sheetName val="[입찰안.xls][입찰안.xls]_입찰안_xls_1009"/>
      <sheetName val="[입찰안.xls][입찰안.xls]_입찰안_xls_1007"/>
      <sheetName val="[입찰안.xls][입찰안.xls]_입찰안_xls_1008"/>
      <sheetName val="[입찰안.xls][입찰안.xls]_입_안_xls_1020"/>
      <sheetName val="[입찰안.xls][입찰안.xls]_입_안_xls_1021"/>
      <sheetName val="[입찰안.xls][입찰안.xls]_입_안_xls_1022"/>
      <sheetName val="[입찰안.xls][입찰안.xls]_____xls_2415"/>
      <sheetName val="[입찰안.xls][입찰안.xls]_____xls_2416"/>
      <sheetName val="[입찰안.xls][입찰안.xls]_____xls_2414"/>
      <sheetName val="[입찰안.xls][입찰안.xls]_____xls_2417"/>
      <sheetName val="[입찰안.xls][입찰안.xls]_____xls_2425"/>
      <sheetName val="[입찰안.xls][입찰안.xls]_____xls_2418"/>
      <sheetName val="[입찰안.xls][입찰안.xls]_____xls_2419"/>
      <sheetName val="[입찰안.xls][입찰안.xls]_____xls_2422"/>
      <sheetName val="[입찰안.xls][입찰안.xls]_____xls_2420"/>
      <sheetName val="[입찰안.xls][입찰안.xls]_____xls_2421"/>
      <sheetName val="[입찰안.xls][입찰안.xls]_____xls_2424"/>
      <sheetName val="[입찰안.xls][입찰안.xls]_____xls_2423"/>
      <sheetName val="[입찰안.xls][입찰안.xls]_____xls_2426"/>
      <sheetName val="[입찰안.xls][입찰안.xls]_____xls_2428"/>
      <sheetName val="[입찰안.xls][입찰안.xls]_____xls_2427"/>
      <sheetName val="[입찰안.xls][입찰안.xls]_____xls_2429"/>
      <sheetName val="[입찰안.xls][입찰안.xls]_____xls_2435"/>
      <sheetName val="[입찰안.xls][입찰안.xls]_____xls_2434"/>
      <sheetName val="[입찰안.xls][입찰안.xls]_____xls_2433"/>
      <sheetName val="[입찰안.xls][입찰안.xls]_____xls_2432"/>
      <sheetName val="[입찰안.xls][입찰안.xls]_____xls_2431"/>
      <sheetName val="[입찰안.xls][입찰안.xls]_____xls_2430"/>
      <sheetName val="[입찰안.xls][입찰안.xls]_____xls_2436"/>
      <sheetName val="[입찰안.xls][입찰안.xls]_____xls_2437"/>
      <sheetName val="[입찰안.xls][입찰안.xls]_____xls_2439"/>
      <sheetName val="[입찰안.xls][입찰안.xls]_____xls_2438"/>
      <sheetName val="[입찰안.xls][입찰안.xls]_____xls_2441"/>
      <sheetName val="[입찰안.xls][입찰안.xls]_____xls_2440"/>
      <sheetName val="[입찰안.xls][입찰안.xls]_____xls_2442"/>
      <sheetName val="[입찰안.xls][입찰안.xls]_____xls_2443"/>
      <sheetName val="[입찰안.xls][입찰안.xls]_____xls_2444"/>
      <sheetName val="[입찰안.xls][입찰안.xls]_____xls_2447"/>
      <sheetName val="[입찰안.xls][입찰안.xls]_____xls_2448"/>
      <sheetName val="[입찰안.xls][입찰안.xls]_____xls_2449"/>
      <sheetName val="[입찰안.xls][입찰안.xls]_____xls_2445"/>
      <sheetName val="[입찰안.xls][입찰안.xls]_____xls_2446"/>
      <sheetName val="[입찰안.xls][입찰안.xls]_____xls_2461"/>
      <sheetName val="[입찰안.xls][입찰안.xls]_____xls_2462"/>
      <sheetName val="[입찰안.xls][입찰안.xls]_____xls_2451"/>
      <sheetName val="[입찰안.xls][입찰안.xls]_____xls_2450"/>
      <sheetName val="[입찰안.xls][입찰안.xls]_____xls_2456"/>
      <sheetName val="[입찰안.xls][입찰안.xls]_____xls_2454"/>
      <sheetName val="[입찰안.xls][입찰안.xls]_____xls_2455"/>
      <sheetName val="[입찰안.xls][입찰안.xls]_____xls_2453"/>
      <sheetName val="[입찰안.xls][입찰안.xls]_____xls_2452"/>
      <sheetName val="[입찰안.xls][입찰안.xls]_____xls_2457"/>
      <sheetName val="[입찰안.xls][입찰안.xls]_____xls_2458"/>
      <sheetName val="[입찰안.xls][입찰안.xls]_____xls_2460"/>
      <sheetName val="[입찰안.xls][입찰안.xls]_____xls_2459"/>
      <sheetName val="[입찰안.xls][입찰안.xls]_____xls_2463"/>
      <sheetName val="[입찰안.xls][입찰안.xls]_____xls_2474"/>
      <sheetName val="[입찰안.xls][입찰안.xls]_____xls_2473"/>
      <sheetName val="[입찰안.xls][입찰안.xls]_____xls_2464"/>
      <sheetName val="[입찰안.xls][입찰안.xls]_____xls_2465"/>
      <sheetName val="[입찰안.xls][입찰안.xls]_____xls_2470"/>
      <sheetName val="[입찰안.xls][입찰안.xls]_____xls_2471"/>
      <sheetName val="[입찰안.xls][입찰안.xls]_____xls_2472"/>
      <sheetName val="[입찰안.xls][입찰안.xls]_____xls_2466"/>
      <sheetName val="[입찰안.xls][입찰안.xls]_____xls_2469"/>
      <sheetName val="[입찰안.xls][입찰안.xls]_____xls_2467"/>
      <sheetName val="[입찰안.xls][입찰안.xls]_____xls_2468"/>
      <sheetName val="가시설수량"/>
      <sheetName val="[입찰안.xls][입찰안.xls]_____xls_2476"/>
      <sheetName val="[입찰안.xls][입찰안.xls]_____xls_2475"/>
      <sheetName val="04.01"/>
      <sheetName val="[입찰안.xls][입찰안.xls]_____xls_2513"/>
      <sheetName val="[입찰안.xls][입찰안.xls]_____xls_2477"/>
      <sheetName val="[입찰안.xls][입찰안.xls]_____xls_2479"/>
      <sheetName val="[입찰안.xls][입찰안.xls]_____xls_2478"/>
      <sheetName val="[입찰안.xls][입찰안.xls]_____xls_2483"/>
      <sheetName val="[입찰안.xls][입찰안.xls]_____xls_2481"/>
      <sheetName val="[입찰안.xls][입찰안.xls]_____xls_2482"/>
      <sheetName val="[입찰안.xls][입찰안.xls]_____xls_2480"/>
      <sheetName val="[입찰안.xls][입찰안.xls]_____xls_2497"/>
      <sheetName val="[입찰안.xls][입찰안.xls]_____xls_2484"/>
      <sheetName val="[입찰안.xls][입찰안.xls]_____xls_2498"/>
      <sheetName val="[입찰안.xls][입찰안.xls]_____xls_2499"/>
      <sheetName val="[입찰안.xls][입찰안.xls]_____xls_2485"/>
      <sheetName val="[입찰안.xls][입찰안.xls]_____xls_2486"/>
      <sheetName val="[입찰안.xls][입찰안.xls]_____xls_2487"/>
      <sheetName val="[입찰안.xls][입찰안.xls]_____xls_2492"/>
      <sheetName val="[입찰안.xls][입찰안.xls]_____xls_2494"/>
      <sheetName val="[입찰안.xls][입찰안.xls]_____xls_2489"/>
      <sheetName val="[입찰안.xls][입찰안.xls]_____xls_2488"/>
      <sheetName val="[입찰안.xls][입찰안.xls]_____xls_2495"/>
      <sheetName val="[입찰안.xls][입찰안.xls]_____xls_2490"/>
      <sheetName val="[입찰안.xls][입찰안.xls]_____xls_2491"/>
      <sheetName val="[입찰안.xls][입찰안.xls]_____xls_2496"/>
      <sheetName val="[입찰안.xls][입찰안.xls]_____xls_2493"/>
      <sheetName val="[입찰안.xls][입찰안.xls]_____xls_2500"/>
      <sheetName val="[입찰안.xls][입찰안.xls]_____xls_2501"/>
      <sheetName val="[입찰안.xls][입찰안.xls]_____xls_2502"/>
      <sheetName val="[입찰안.xls][입찰안.xls]_____xls_2505"/>
      <sheetName val="[입찰안.xls][입찰안.xls]_____xls_2503"/>
      <sheetName val="[입찰안.xls][입찰안.xls]_____xls_2504"/>
      <sheetName val="[입찰안.xls][입찰안.xls]_____xls_2508"/>
      <sheetName val="[입찰안.xls][입찰안.xls]_____xls_2507"/>
      <sheetName val="[입찰안.xls][입찰안.xls]_____xls_2506"/>
      <sheetName val="[입찰안.xls][입찰안.xls]_____xls_2509"/>
      <sheetName val="[입찰안.xls][입찰안.xls]_____xls_2511"/>
      <sheetName val="내역_v濐Ȫ)⋘"/>
      <sheetName val="[입찰안.xls][입찰안.xls]_____xls_2510"/>
      <sheetName val="[입찰안.xls][입찰안.xls]_____xls_2512"/>
      <sheetName val="[입찰안.xls][입찰안.xls]_____xls_2524"/>
      <sheetName val="[입찰안.xls][입찰안.xls]_____xls_2523"/>
      <sheetName val="환율c­"/>
      <sheetName val="pile_bearing_capa_&amp;_¬"/>
      <sheetName val="공종별예산조서"/>
      <sheetName val="[입찰안.xls][입찰안.xls]_____xls_2514"/>
      <sheetName val="[입찰안.xls][입찰안.xls]_____xls_2515"/>
      <sheetName val="[입찰안.xls][입찰안.xls]_____xls_2516"/>
      <sheetName val="[입찰안.xls][입찰안.xls]_____xls_2518"/>
      <sheetName val="[입찰안.xls][입찰안.xls]_____xls_2517"/>
      <sheetName val="[입찰안.xls][입찰안.xls]_____xls_2519"/>
      <sheetName val="[입찰안.xls][입찰안.xls]_____xls_2522"/>
      <sheetName val="[입찰안.xls][입찰안.xls]_____xls_2520"/>
      <sheetName val="[입찰안.xls][입찰안.xls]_____xls_2521"/>
      <sheetName val="[입찰안.xls][입찰안.xls]_____xls_2525"/>
      <sheetName val="[입찰안.xls][입찰안.xls]_____xls_2526"/>
      <sheetName val="[입찰안.xls][입찰안.xls]_____xls_2527"/>
      <sheetName val="[입찰안.xls][입찰안.xls]_____xls_2530"/>
      <sheetName val="[입찰안.xls][입찰안.xls]_____xls_2531"/>
      <sheetName val="[입찰안.xls][입찰안.xls]_____xls_2533"/>
      <sheetName val="[입찰안.xls][입찰안.xls]_____xls_2535"/>
      <sheetName val="[입찰안.xls][입찰안.xls]_____xls_2538"/>
      <sheetName val="[입찰안.xls][입찰안.xls]_____xls_2534"/>
      <sheetName val="[입찰안.xls][입찰안.xls]_____xls_2536"/>
      <sheetName val="[입찰안.xls][입찰안.xls]_____xls_2537"/>
      <sheetName val="[입찰안.xls][입찰안.xls]_____xls_2539"/>
      <sheetName val="[입찰안.xls][입찰안.xls]_____xls_2540"/>
      <sheetName val="[입찰안.xls][입찰안.xls]_____xls_2541"/>
      <sheetName val="[입찰안.xls][입찰안.xls]_____xls_2542"/>
      <sheetName val="[입찰안.xls][입찰안.xls]_____xls_2545"/>
      <sheetName val="[입찰안.xls][입찰안.xls]_____xls_2546"/>
      <sheetName val="[입찰안.xls][입찰안.xls]_____xls_2543"/>
      <sheetName val="[입찰안.xls][입찰안.xls]_____xls_2544"/>
      <sheetName val="[입찰안.xls][입찰안.xls]_____xls_2547"/>
      <sheetName val="[입찰안.xls][입찰안.xls]_____xls_2556"/>
      <sheetName val="[입찰안.xls][입찰안.xls]_____xls_2552"/>
      <sheetName val="[입찰안.xls][입찰안.xls]_____xls_2553"/>
      <sheetName val="[입찰안.xls][입찰안.xls]_____xls_2554"/>
      <sheetName val="[입찰안.xls][입찰안.xls]_____xls_2555"/>
      <sheetName val="[입찰안.xls][입찰안.xls]_____xls_2557"/>
      <sheetName val="[입찰안.xls][입찰안.xls]_____xls_2560"/>
      <sheetName val="[입찰안.xls][입찰안.xls]_____xls_2561"/>
      <sheetName val="[입찰안.xls][입찰안.xls]_____xls_2563"/>
      <sheetName val="[입찰안.xls][입찰안.xls]_____xls_2562"/>
      <sheetName val="[입찰안.xls][입찰안.xls]_____xls_2564"/>
      <sheetName val="[입찰안.xls][입찰안.xls]_____xls_2565"/>
      <sheetName val="[입찰안.xls][입찰안.xls]_____xls_2566"/>
      <sheetName val="[입찰안.xls][입찰안.xls]_____xls_2567"/>
      <sheetName val="[입찰안.xls][입찰안.xls]_____xls_2570"/>
      <sheetName val="[입찰안.xls][입찰안.xls]_____xls_2572"/>
      <sheetName val="[입찰안.xls][입찰안.xls]_____xls_2571"/>
      <sheetName val="[입찰안.xls][입찰안.xls]_____xls_2573"/>
      <sheetName val="[입찰안.xls][입찰안.xls]_____xls_2574"/>
      <sheetName val="6__안전관ꦡ_x001d_"/>
      <sheetName val="TB NẶNG"/>
      <sheetName val="MTL$-INTER"/>
      <sheetName val="NEW-PANEL"/>
      <sheetName val="DS-Thuong 6T dau"/>
      <sheetName val="Gia "/>
      <sheetName val="Cash2"/>
      <sheetName val="Z"/>
      <sheetName val="tra-vat-lieu"/>
      <sheetName val="mong"/>
      <sheetName val="가격산출"/>
      <sheetName val="[입찰안.xls][입찰안.xls]_입찰__xls_1001"/>
      <sheetName val="[입찰안.xls][입찰안.xls]_입_안_xls_1023"/>
      <sheetName val="[입찰안.xls][입찰안.xls]_입_안_xls_1024"/>
      <sheetName val="[입찰안.xls][입찰안.xls]_입찰안_xls_1010"/>
      <sheetName val="[입찰안.xls][입찰안.xls]_입_안_xls_1025"/>
      <sheetName val="[입찰안.xls][입찰안.xls]_입찰안_xls_1011"/>
      <sheetName val="[입찰안.xls][입찰안.xls]_입_안_xls_1028"/>
      <sheetName val="[입찰안.xls][입찰안.xls]_입_안_xls_1026"/>
      <sheetName val="[입찰안.xls][입찰안.xls]_입_안_xls_1027"/>
      <sheetName val="[입찰안.xls][입찰안.xls]_____xls_2610"/>
      <sheetName val="[입찰안.xls][입찰안.xls]_____xls_2609"/>
      <sheetName val="[입찰안.xls][입찰안.xls]_____xls_2604"/>
      <sheetName val="제수변 수량집계Ȍ_x0000_嫰͇ｙ"/>
      <sheetName val="일위대가(여기까지)"/>
      <sheetName val="제목현황"/>
      <sheetName val="준공정_x0000_"/>
      <sheetName val="SUMARY SS"/>
      <sheetName val="sat"/>
      <sheetName val="T-goc"/>
      <sheetName val="[입찰안.xls][입찰안.xls]_____xls_2601"/>
      <sheetName val="[입찰안.xls][입찰안.xls]_____xls_2603"/>
      <sheetName val="[입찰안.xls][입찰안.xls]_____xls_2602"/>
      <sheetName val="[입찰안.xls][입찰안.xls]_____xls_2579"/>
      <sheetName val="[입찰안.xls][입찰안.xls]_____xls_2580"/>
      <sheetName val="[입찰안.xls][입찰안.xls]_____xls_2581"/>
      <sheetName val="[입찰안.xls][입찰안.xls]__찰안_xls_1004"/>
      <sheetName val="[입찰안.xls][입찰안.xls]__찰안_xls_1005"/>
      <sheetName val="[입찰안.xls][입찰안.xls]__찰안_xls_1003"/>
      <sheetName val="D_xd800_ᵆ騃"/>
      <sheetName val="plan&amp;section_of_foundatio_x0000_"/>
      <sheetName val="최적단면"/>
      <sheetName val="현금흐름Ⅰ"/>
      <sheetName val="[입찰안.xls][입찰안.xls]_____xls_2576"/>
      <sheetName val="[입찰안.xls][입찰안.xls]_____xls_2578"/>
      <sheetName val="[입찰안.xls][입찰안.xls]_____xls_2577"/>
      <sheetName val="SALES"/>
      <sheetName val="[입찰안.xls][입찰안.xls]_____xls_2575"/>
      <sheetName val="[입찰안.xls][입찰안.xls]_____xls_2586"/>
      <sheetName val="[입찰안.xls][입찰안.xls]_____xls_2584"/>
      <sheetName val="[입찰안.xls][입찰안.xls]_____xls_2585"/>
      <sheetName val="1,2,3,4_x0005__x0000__x0000__x"/>
      <sheetName val="plan&amp;section_of__x0000__x0000__"/>
      <sheetName val="design_crit_x0000__x0000__x0005"/>
      <sheetName val="소포내역_x0000__x0000__x0005__x0000"/>
      <sheetName val="working_load_at０ʵŚÃ堠ᴕ_x0000__x0"/>
      <sheetName val="pile_bearing_capa_&amp;_¬웰ﾕ쀀_x000"/>
      <sheetName val="수량산출서집계(_x0000__x0000__x0005__x"/>
      <sheetName val="design_c_x0000__x0000_Ȑꙭî_x000"/>
      <sheetName val="ጵ_x0000__x0000_Ոጶ_x0000__x0000_"/>
      <sheetName val="ጲ_x0000__x0000_Ոፍ_x0000__x0000_"/>
      <sheetName val="ጳ_x0000__x0000_Ոጴ_x0000__x0000_"/>
      <sheetName val="ጳ_x0000__x0000_Ոጳ_x0000__x0000_"/>
      <sheetName val="ፋ_x0000__x0000_Ոፌ_x0000__x0000_"/>
      <sheetName val="ጴ_x0000__x0000_Ոጳ_x0000__x0000_"/>
      <sheetName val="ጿ_x0000__x0000_Ոጊ_x0000__x0000_"/>
      <sheetName val="ጱ_x0000__x0000_Ոጼ_x0000__x0000_"/>
      <sheetName val="ጷ_x0000__x0000_Ոጸ_x0000__x0000_"/>
      <sheetName val="ጿ_x0000__x0000_Ոጿ_x0000__x0000_"/>
      <sheetName val="ጵ_x0000__x0000_Ոፋ_x0000__x0000_"/>
      <sheetName val="ጻ_x0000__x0000_Ոጻ_x0000__x0000_"/>
      <sheetName val="ጴ_x0000__x0000_Ոጾ_x0000__x0000_"/>
      <sheetName val="ጶ_x0000__x0000_Ոጷ_x0000__x0000_"/>
      <sheetName val="ጊ_x0000__x0000_Ոጊ_x0000__x0000_"/>
      <sheetName val="ጸ_x0000__x0000_Ոጿ_x0000__x0000_"/>
      <sheetName val="ጴ_x0000__x0000_Ոጵ_x0000__x0000_"/>
      <sheetName val="ፍ_x0000__x0000_Ոጳ_x0000__x0000_"/>
      <sheetName val="ጊ_x0000__x0000_Ոጱ_x0000__x0000_"/>
      <sheetName val="ጱ_x0000__x0000_Ոጲ_x0000__x0000_"/>
      <sheetName val="ጴ_x0000__x0000_Ոፊ_x0000__x0000_"/>
      <sheetName val="ድ_x0000__x0000_Ոጳ_x0000__x0000_"/>
      <sheetName val="ፊ_x0000__x0000_Ոጵ_x0000__x0000_"/>
      <sheetName val="ፌ_x0000__x0000_Ոጿ_x0000__x0000_"/>
      <sheetName val="ጴ_x0000__x0000_Ոጴ_x0000__x0000_"/>
      <sheetName val="ጲ_x0000__x0000_Ոድ_x0000__x0000_"/>
      <sheetName val="pile_bearing_ca怀꿟세_x0000_䘀뤙_x"/>
      <sheetName val="참고2.조달내역"/>
      <sheetName val="[입찰안.xls][입찰안.xls]_____xls_2582"/>
      <sheetName val="[입찰안.xls][입찰안.xls]_____xls_2583"/>
      <sheetName val="[입찰안.xls][입찰안.xls]_____xls_2588"/>
      <sheetName val="[입찰안.xls][입찰안.xls]_____xls_2590"/>
      <sheetName val="감가상각"/>
      <sheetName val="호표"/>
      <sheetName val="[입찰안.xls][입찰안.xls]_____xls_2593"/>
      <sheetName val="직원유류수불현황"/>
      <sheetName val="개인별 ㅪ0"/>
      <sheetName val="개인별 Ø_x0000_Ԁ"/>
      <sheetName val="[입찰안.xls][입찰안.xls]_____xls_2587"/>
      <sheetName val="[입찰안.xls][입찰안.xls]_____xls_2589"/>
      <sheetName val="[입찰안.xls][입찰안.xls]_____xls_2591"/>
      <sheetName val="[입찰안.xls][입찰안.xls]_____xls_2592"/>
      <sheetName val="[입찰안.xls][입찰안.xls]_____xls_2594"/>
      <sheetName val="[입찰안.xls][입찰안.xls]_____xls_2595"/>
      <sheetName val="[입찰안.xls][입찰안.xls]_____xls_2596"/>
      <sheetName val="[입찰안.xls][입찰안.xls]_____xls_2597"/>
      <sheetName val="[입찰안.xls][입찰안.xls]_____xls_2600"/>
      <sheetName val="[입찰안.xls][입찰안.xls]_____xls_2598"/>
      <sheetName val="[입찰안.xls][입찰안.xls]_____xls_2599"/>
      <sheetName val="[입찰안.xls][입찰안.xls]_____xls_2606"/>
      <sheetName val="[입찰안.xls][입찰안.xls]_____xls_2605"/>
      <sheetName val="[입찰안.xls][입찰안.xls]_____xls_2607"/>
      <sheetName val="[입찰안.xls][입찰안.xls]_____xls_2608"/>
      <sheetName val="[입찰안.xls][입찰안.xls]_____xls_2614"/>
      <sheetName val="[입찰안.xls][입찰안.xls]_____xls_2612"/>
      <sheetName val="[입찰안.xls][입찰안.xls]_____xls_2611"/>
      <sheetName val="[입찰안.xls][입찰안.xls]_____xls_2615"/>
      <sheetName val="[입찰안.xls][입찰안.xls]_____xls_2613"/>
      <sheetName val="[입찰안.xls][입찰안.xls]_____xls_2616"/>
      <sheetName val="[입찰안.xls][입찰안.xls]_____xls_2618"/>
      <sheetName val="[입찰안.xls][입찰안.xls]_____xls_2617"/>
      <sheetName val="[입찰안.xls][입찰안.xls]_____xls_2619"/>
      <sheetName val="[입찰안.xls][입찰안.xls]_____xls_2620"/>
      <sheetName val="[입찰안.xls][입찰안.xls]_____xls_2621"/>
      <sheetName val="[입찰안.xls][입찰안.xls]_____xls_2622"/>
      <sheetName val="[입찰안.xls][입찰안.xls]_____xls_2625"/>
      <sheetName val="[입찰안.xls][입찰안.xls]_____xls_2623"/>
      <sheetName val="[입찰안.xls][입찰안.xls]_____xls_2624"/>
      <sheetName val="[입찰안.xls][입찰안.xls]_____xls_2626"/>
      <sheetName val="[입찰안.xls][입찰안.xls]_____xls_2627"/>
      <sheetName val="[입찰안.xls][입찰안.xls]_____xls_26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/>
      <sheetData sheetId="939"/>
      <sheetData sheetId="940"/>
      <sheetData sheetId="941" refreshError="1"/>
      <sheetData sheetId="942" refreshError="1"/>
      <sheetData sheetId="943"/>
      <sheetData sheetId="944" refreshError="1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 refreshError="1"/>
      <sheetData sheetId="1700"/>
      <sheetData sheetId="1701"/>
      <sheetData sheetId="1702"/>
      <sheetData sheetId="1703"/>
      <sheetData sheetId="1704" refreshError="1"/>
      <sheetData sheetId="1705" refreshError="1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/>
      <sheetData sheetId="1783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 refreshError="1"/>
      <sheetData sheetId="2025" refreshError="1"/>
      <sheetData sheetId="2026"/>
      <sheetData sheetId="2027"/>
      <sheetData sheetId="2028" refreshError="1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 refreshError="1"/>
      <sheetData sheetId="2216" refreshError="1"/>
      <sheetData sheetId="2217" refreshError="1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 refreshError="1"/>
      <sheetData sheetId="2252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/>
      <sheetData sheetId="2289" refreshError="1"/>
      <sheetData sheetId="2290" refreshError="1"/>
      <sheetData sheetId="2291" refreshError="1"/>
      <sheetData sheetId="2292"/>
      <sheetData sheetId="2293" refreshError="1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 refreshError="1"/>
      <sheetData sheetId="2308"/>
      <sheetData sheetId="2309" refreshError="1"/>
      <sheetData sheetId="2310"/>
      <sheetData sheetId="2311"/>
      <sheetData sheetId="2312" refreshError="1"/>
      <sheetData sheetId="2313" refreshError="1"/>
      <sheetData sheetId="2314" refreshError="1"/>
      <sheetData sheetId="2315" refreshError="1"/>
      <sheetData sheetId="2316"/>
      <sheetData sheetId="2317" refreshError="1"/>
      <sheetData sheetId="2318" refreshError="1"/>
      <sheetData sheetId="2319" refreshError="1"/>
      <sheetData sheetId="2320" refreshError="1"/>
      <sheetData sheetId="232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 refreshError="1"/>
      <sheetData sheetId="2360" refreshError="1"/>
      <sheetData sheetId="2361" refreshError="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/>
      <sheetData sheetId="2410"/>
      <sheetData sheetId="2411"/>
      <sheetData sheetId="2412" refreshError="1"/>
      <sheetData sheetId="2413"/>
      <sheetData sheetId="2414"/>
      <sheetData sheetId="2415"/>
      <sheetData sheetId="2416" refreshError="1"/>
      <sheetData sheetId="2417"/>
      <sheetData sheetId="2418"/>
      <sheetData sheetId="2419"/>
      <sheetData sheetId="2420"/>
      <sheetData sheetId="2421"/>
      <sheetData sheetId="2422" refreshError="1"/>
      <sheetData sheetId="2423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/>
      <sheetData sheetId="2433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 refreshError="1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 refreshError="1"/>
      <sheetData sheetId="2866"/>
      <sheetData sheetId="2867"/>
      <sheetData sheetId="2868"/>
      <sheetData sheetId="2869" refreshError="1"/>
      <sheetData sheetId="2870" refreshError="1"/>
      <sheetData sheetId="2871"/>
      <sheetData sheetId="2872" refreshError="1"/>
      <sheetData sheetId="2873" refreshError="1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 refreshError="1"/>
      <sheetData sheetId="2892" refreshError="1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/>
      <sheetData sheetId="2956" refreshError="1"/>
      <sheetData sheetId="2957" refreshError="1"/>
      <sheetData sheetId="2958" refreshError="1"/>
      <sheetData sheetId="2959"/>
      <sheetData sheetId="2960" refreshError="1"/>
      <sheetData sheetId="2961"/>
      <sheetData sheetId="2962"/>
      <sheetData sheetId="2963"/>
      <sheetData sheetId="2964"/>
      <sheetData sheetId="2965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 refreshError="1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/>
      <sheetData sheetId="3040" refreshError="1"/>
      <sheetData sheetId="3041" refreshError="1"/>
      <sheetData sheetId="3042" refreshError="1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/>
      <sheetData sheetId="3055"/>
      <sheetData sheetId="3056" refreshError="1"/>
      <sheetData sheetId="3057" refreshError="1"/>
      <sheetData sheetId="3058"/>
      <sheetData sheetId="3059"/>
      <sheetData sheetId="3060" refreshError="1"/>
      <sheetData sheetId="3061" refreshError="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 refreshError="1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 refreshError="1"/>
      <sheetData sheetId="3127" refreshError="1"/>
      <sheetData sheetId="3128"/>
      <sheetData sheetId="3129"/>
      <sheetData sheetId="3130" refreshError="1"/>
      <sheetData sheetId="3131"/>
      <sheetData sheetId="3132" refreshError="1"/>
      <sheetData sheetId="3133"/>
      <sheetData sheetId="3134"/>
      <sheetData sheetId="3135"/>
      <sheetData sheetId="3136" refreshError="1"/>
      <sheetData sheetId="3137" refreshError="1"/>
      <sheetData sheetId="3138" refreshError="1"/>
      <sheetData sheetId="3139" refreshError="1"/>
      <sheetData sheetId="3140"/>
      <sheetData sheetId="3141" refreshError="1"/>
      <sheetData sheetId="3142" refreshError="1"/>
      <sheetData sheetId="3143" refreshError="1"/>
      <sheetData sheetId="3144"/>
      <sheetData sheetId="3145"/>
      <sheetData sheetId="3146" refreshError="1"/>
      <sheetData sheetId="3147"/>
      <sheetData sheetId="3148" refreshError="1"/>
      <sheetData sheetId="3149" refreshError="1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/>
      <sheetData sheetId="3185" refreshError="1"/>
      <sheetData sheetId="3186" refreshError="1"/>
      <sheetData sheetId="3187" refreshError="1"/>
      <sheetData sheetId="3188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/>
      <sheetData sheetId="3201"/>
      <sheetData sheetId="3202" refreshError="1"/>
      <sheetData sheetId="3203" refreshError="1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 refreshError="1"/>
      <sheetData sheetId="3221"/>
      <sheetData sheetId="3222"/>
      <sheetData sheetId="3223"/>
      <sheetData sheetId="3224"/>
      <sheetData sheetId="3225" refreshError="1"/>
      <sheetData sheetId="3226"/>
      <sheetData sheetId="3227"/>
      <sheetData sheetId="3228"/>
      <sheetData sheetId="3229"/>
      <sheetData sheetId="3230" refreshError="1"/>
      <sheetData sheetId="3231" refreshError="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 refreshError="1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 refreshError="1"/>
      <sheetData sheetId="3313" refreshError="1"/>
      <sheetData sheetId="3314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/>
      <sheetData sheetId="3323" refreshError="1"/>
      <sheetData sheetId="3324" refreshError="1"/>
      <sheetData sheetId="3325" refreshError="1"/>
      <sheetData sheetId="3326" refreshError="1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 refreshError="1"/>
      <sheetData sheetId="3351"/>
      <sheetData sheetId="3352" refreshError="1"/>
      <sheetData sheetId="3353" refreshError="1"/>
      <sheetData sheetId="3354" refreshError="1"/>
      <sheetData sheetId="3355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 refreshError="1"/>
      <sheetData sheetId="3813"/>
      <sheetData sheetId="3814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 refreshError="1"/>
      <sheetData sheetId="3831"/>
      <sheetData sheetId="3832" refreshError="1"/>
      <sheetData sheetId="3833" refreshError="1"/>
      <sheetData sheetId="3834" refreshError="1"/>
      <sheetData sheetId="3835"/>
      <sheetData sheetId="3836" refreshError="1"/>
      <sheetData sheetId="3837" refreshError="1"/>
      <sheetData sheetId="3838" refreshError="1"/>
      <sheetData sheetId="3839"/>
      <sheetData sheetId="3840"/>
      <sheetData sheetId="3841" refreshError="1"/>
      <sheetData sheetId="3842"/>
      <sheetData sheetId="3843"/>
      <sheetData sheetId="3844" refreshError="1"/>
      <sheetData sheetId="3845" refreshError="1"/>
      <sheetData sheetId="3846"/>
      <sheetData sheetId="3847"/>
      <sheetData sheetId="3848"/>
      <sheetData sheetId="3849"/>
      <sheetData sheetId="3850" refreshError="1"/>
      <sheetData sheetId="3851" refreshError="1"/>
      <sheetData sheetId="3852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 refreshError="1"/>
      <sheetData sheetId="3861" refreshError="1"/>
      <sheetData sheetId="3862"/>
      <sheetData sheetId="3863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 refreshError="1"/>
      <sheetData sheetId="3902" refreshError="1"/>
      <sheetData sheetId="3903"/>
      <sheetData sheetId="3904" refreshError="1"/>
      <sheetData sheetId="3905"/>
      <sheetData sheetId="3906"/>
      <sheetData sheetId="3907"/>
      <sheetData sheetId="3908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 refreshError="1"/>
      <sheetData sheetId="4069" refreshError="1"/>
      <sheetData sheetId="4070"/>
      <sheetData sheetId="407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 refreshError="1"/>
      <sheetData sheetId="4082"/>
      <sheetData sheetId="4083" refreshError="1"/>
      <sheetData sheetId="4084" refreshError="1"/>
      <sheetData sheetId="4085"/>
      <sheetData sheetId="4086"/>
      <sheetData sheetId="4087"/>
      <sheetData sheetId="4088"/>
      <sheetData sheetId="4089" refreshError="1"/>
      <sheetData sheetId="4090" refreshError="1"/>
      <sheetData sheetId="4091" refreshError="1"/>
      <sheetData sheetId="4092" refreshError="1"/>
      <sheetData sheetId="4093"/>
      <sheetData sheetId="4094"/>
      <sheetData sheetId="4095" refreshError="1"/>
      <sheetData sheetId="4096" refreshError="1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 refreshError="1"/>
      <sheetData sheetId="4106" refreshError="1"/>
      <sheetData sheetId="4107" refreshError="1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 refreshError="1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 refreshError="1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 refreshError="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 refreshError="1"/>
      <sheetData sheetId="4676" refreshError="1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 refreshError="1"/>
      <sheetData sheetId="4695" refreshError="1"/>
      <sheetData sheetId="4696" refreshError="1"/>
      <sheetData sheetId="4697" refreshError="1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 refreshError="1"/>
      <sheetData sheetId="4732" refreshError="1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 refreshError="1"/>
      <sheetData sheetId="4895"/>
      <sheetData sheetId="4896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 refreshError="1"/>
      <sheetData sheetId="4941" refreshError="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/>
      <sheetData sheetId="4979"/>
      <sheetData sheetId="4980"/>
      <sheetData sheetId="4981"/>
      <sheetData sheetId="4982"/>
      <sheetData sheetId="4983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 refreshError="1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 refreshError="1"/>
      <sheetData sheetId="5064" refreshError="1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 refreshError="1"/>
      <sheetData sheetId="5251" refreshError="1"/>
      <sheetData sheetId="5252" refreshError="1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 refreshError="1"/>
      <sheetData sheetId="5854"/>
      <sheetData sheetId="5855"/>
      <sheetData sheetId="5856"/>
      <sheetData sheetId="5857"/>
      <sheetData sheetId="5858"/>
      <sheetData sheetId="5859"/>
      <sheetData sheetId="5860"/>
      <sheetData sheetId="5861" refreshError="1"/>
      <sheetData sheetId="5862" refreshError="1"/>
      <sheetData sheetId="5863"/>
      <sheetData sheetId="5864" refreshError="1"/>
      <sheetData sheetId="5865"/>
      <sheetData sheetId="5866" refreshError="1"/>
      <sheetData sheetId="5867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/>
      <sheetData sheetId="5889"/>
      <sheetData sheetId="5890"/>
      <sheetData sheetId="5891"/>
      <sheetData sheetId="5892" refreshError="1"/>
      <sheetData sheetId="5893" refreshError="1"/>
      <sheetData sheetId="5894" refreshError="1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 refreshError="1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 refreshError="1"/>
      <sheetData sheetId="6542" refreshError="1"/>
      <sheetData sheetId="6543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/>
      <sheetData sheetId="6550" refreshError="1"/>
      <sheetData sheetId="6551" refreshError="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/>
      <sheetData sheetId="6712" refreshError="1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 refreshError="1"/>
      <sheetData sheetId="7179" refreshError="1"/>
      <sheetData sheetId="7180" refreshError="1"/>
      <sheetData sheetId="718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 refreshError="1"/>
      <sheetData sheetId="7269"/>
      <sheetData sheetId="7270"/>
      <sheetData sheetId="7271"/>
      <sheetData sheetId="7272" refreshError="1"/>
      <sheetData sheetId="7273" refreshError="1"/>
      <sheetData sheetId="7274"/>
      <sheetData sheetId="7275"/>
      <sheetData sheetId="7276" refreshError="1"/>
      <sheetData sheetId="7277"/>
      <sheetData sheetId="7278" refreshError="1"/>
      <sheetData sheetId="7279" refreshError="1"/>
      <sheetData sheetId="7280" refreshError="1"/>
      <sheetData sheetId="7281"/>
      <sheetData sheetId="7282" refreshError="1"/>
      <sheetData sheetId="7283"/>
      <sheetData sheetId="7284"/>
      <sheetData sheetId="7285"/>
      <sheetData sheetId="7286" refreshError="1"/>
      <sheetData sheetId="7287" refreshError="1"/>
      <sheetData sheetId="7288" refreshError="1"/>
      <sheetData sheetId="7289"/>
      <sheetData sheetId="7290"/>
      <sheetData sheetId="7291"/>
      <sheetData sheetId="7292"/>
      <sheetData sheetId="7293"/>
      <sheetData sheetId="7294"/>
      <sheetData sheetId="7295"/>
      <sheetData sheetId="7296" refreshError="1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 refreshError="1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/>
      <sheetData sheetId="7358"/>
      <sheetData sheetId="7359"/>
      <sheetData sheetId="7360"/>
      <sheetData sheetId="7361"/>
      <sheetData sheetId="7362"/>
      <sheetData sheetId="7363" refreshError="1"/>
      <sheetData sheetId="7364"/>
      <sheetData sheetId="7365" refreshError="1"/>
      <sheetData sheetId="7366"/>
      <sheetData sheetId="7367" refreshError="1"/>
      <sheetData sheetId="7368" refreshError="1"/>
      <sheetData sheetId="7369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/>
      <sheetData sheetId="7387" refreshError="1"/>
      <sheetData sheetId="7388" refreshError="1"/>
      <sheetData sheetId="7389" refreshError="1"/>
      <sheetData sheetId="7390"/>
      <sheetData sheetId="7391" refreshError="1"/>
      <sheetData sheetId="7392"/>
      <sheetData sheetId="7393"/>
      <sheetData sheetId="7394"/>
      <sheetData sheetId="7395" refreshError="1"/>
      <sheetData sheetId="7396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/>
      <sheetData sheetId="7404" refreshError="1"/>
      <sheetData sheetId="7405"/>
      <sheetData sheetId="7406"/>
      <sheetData sheetId="7407"/>
      <sheetData sheetId="7408" refreshError="1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 refreshError="1"/>
      <sheetData sheetId="7479"/>
      <sheetData sheetId="7480"/>
      <sheetData sheetId="7481" refreshError="1"/>
      <sheetData sheetId="7482" refreshError="1"/>
      <sheetData sheetId="7483" refreshError="1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/>
      <sheetData sheetId="7503"/>
      <sheetData sheetId="7504"/>
      <sheetData sheetId="7505"/>
      <sheetData sheetId="7506" refreshError="1"/>
      <sheetData sheetId="7507" refreshError="1"/>
      <sheetData sheetId="7508"/>
      <sheetData sheetId="7509"/>
      <sheetData sheetId="7510"/>
      <sheetData sheetId="7511" refreshError="1"/>
      <sheetData sheetId="7512"/>
      <sheetData sheetId="7513"/>
      <sheetData sheetId="7514"/>
      <sheetData sheetId="7515"/>
      <sheetData sheetId="7516"/>
      <sheetData sheetId="7517"/>
      <sheetData sheetId="7518"/>
      <sheetData sheetId="7519" refreshError="1"/>
      <sheetData sheetId="7520"/>
      <sheetData sheetId="752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 refreshError="1"/>
      <sheetData sheetId="7543"/>
      <sheetData sheetId="7544" refreshError="1"/>
      <sheetData sheetId="7545"/>
      <sheetData sheetId="7546"/>
      <sheetData sheetId="7547"/>
      <sheetData sheetId="7548" refreshError="1"/>
      <sheetData sheetId="7549"/>
      <sheetData sheetId="7550"/>
      <sheetData sheetId="7551"/>
      <sheetData sheetId="7552"/>
      <sheetData sheetId="7553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/>
      <sheetData sheetId="8215" refreshError="1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 refreshError="1"/>
      <sheetData sheetId="8240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/>
      <sheetData sheetId="8251"/>
      <sheetData sheetId="8252"/>
      <sheetData sheetId="8253" refreshError="1"/>
      <sheetData sheetId="8254" refreshError="1"/>
      <sheetData sheetId="8255" refreshError="1"/>
      <sheetData sheetId="8256" refreshError="1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/>
      <sheetData sheetId="9044"/>
      <sheetData sheetId="9045" refreshError="1"/>
      <sheetData sheetId="9046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 refreshError="1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 refreshError="1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 refreshError="1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 refreshError="1"/>
      <sheetData sheetId="10091" refreshError="1"/>
      <sheetData sheetId="10092" refreshError="1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 refreshError="1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 refreshError="1"/>
      <sheetData sheetId="10124" refreshError="1"/>
      <sheetData sheetId="10125" refreshError="1"/>
      <sheetData sheetId="10126"/>
      <sheetData sheetId="10127" refreshError="1"/>
      <sheetData sheetId="10128" refreshError="1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/>
      <sheetData sheetId="10143" refreshError="1"/>
      <sheetData sheetId="10144" refreshError="1"/>
      <sheetData sheetId="10145" refreshError="1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 refreshError="1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 refreshError="1"/>
      <sheetData sheetId="10181"/>
      <sheetData sheetId="10182"/>
      <sheetData sheetId="10183" refreshError="1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 refreshError="1"/>
      <sheetData sheetId="10207"/>
      <sheetData sheetId="10208"/>
      <sheetData sheetId="10209" refreshError="1"/>
      <sheetData sheetId="10210"/>
      <sheetData sheetId="10211"/>
      <sheetData sheetId="10212" refreshError="1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 refreshError="1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 refreshError="1"/>
      <sheetData sheetId="10236" refreshError="1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 refreshError="1"/>
      <sheetData sheetId="10249"/>
      <sheetData sheetId="10250"/>
      <sheetData sheetId="10251"/>
      <sheetData sheetId="10252"/>
      <sheetData sheetId="10253" refreshError="1"/>
      <sheetData sheetId="10254" refreshError="1"/>
      <sheetData sheetId="10255" refreshError="1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 refreshError="1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 refreshError="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/>
      <sheetData sheetId="10313" refreshError="1"/>
      <sheetData sheetId="10314" refreshError="1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 refreshError="1"/>
      <sheetData sheetId="10344" refreshError="1"/>
      <sheetData sheetId="10345" refreshError="1"/>
      <sheetData sheetId="10346" refreshError="1"/>
      <sheetData sheetId="10347"/>
      <sheetData sheetId="10348"/>
      <sheetData sheetId="10349"/>
      <sheetData sheetId="10350" refreshError="1"/>
      <sheetData sheetId="10351"/>
      <sheetData sheetId="10352"/>
      <sheetData sheetId="10353"/>
      <sheetData sheetId="10354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 refreshError="1"/>
      <sheetData sheetId="10371"/>
      <sheetData sheetId="10372"/>
      <sheetData sheetId="10373"/>
      <sheetData sheetId="10374" refreshError="1"/>
      <sheetData sheetId="10375" refreshError="1"/>
      <sheetData sheetId="10376"/>
      <sheetData sheetId="10377"/>
      <sheetData sheetId="10378"/>
      <sheetData sheetId="10379"/>
      <sheetData sheetId="10380" refreshError="1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 refreshError="1"/>
      <sheetData sheetId="10390"/>
      <sheetData sheetId="10391"/>
      <sheetData sheetId="10392" refreshError="1"/>
      <sheetData sheetId="10393"/>
      <sheetData sheetId="10394"/>
      <sheetData sheetId="10395" refreshError="1"/>
      <sheetData sheetId="10396" refreshError="1"/>
      <sheetData sheetId="10397"/>
      <sheetData sheetId="10398" refreshError="1"/>
      <sheetData sheetId="10399" refreshError="1"/>
      <sheetData sheetId="10400" refreshError="1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/>
      <sheetData sheetId="10424" refreshError="1"/>
      <sheetData sheetId="10425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하조서"/>
      <sheetName val="Qheet6"/>
      <sheetName val="실행철강하도"/>
      <sheetName val="입찰안"/>
      <sheetName val="준검 내역서"/>
      <sheetName val="차액보증"/>
      <sheetName val="산출내역서"/>
      <sheetName val="공사개요"/>
      <sheetName val="갑지"/>
      <sheetName val="주차구획선수량"/>
      <sheetName val="실행대비"/>
      <sheetName val="내역서"/>
      <sheetName val="자재단가비교표"/>
      <sheetName val="개요"/>
      <sheetName val="일위대가"/>
      <sheetName val="#REF"/>
      <sheetName val="부대tu"/>
      <sheetName val="신공항A-9(원가수정)"/>
      <sheetName val="A-4"/>
      <sheetName val="내역"/>
      <sheetName val="가도공"/>
      <sheetName val="저"/>
      <sheetName val="금호"/>
      <sheetName val="데리네이타현황"/>
      <sheetName val="한강운반비"/>
      <sheetName val="정부노임단가"/>
      <sheetName val="변경비교-을"/>
      <sheetName val="6공구(당초)"/>
      <sheetName val="품의서"/>
      <sheetName val="목차"/>
      <sheetName val="노임단가"/>
      <sheetName val="서∼군(2)"/>
      <sheetName val="SP-B1"/>
      <sheetName val="재개발"/>
      <sheetName val="후다내역"/>
      <sheetName val="도급"/>
      <sheetName val="SG"/>
      <sheetName val="토적집계"/>
      <sheetName val="98NS-N"/>
      <sheetName val="소야공정계획표"/>
      <sheetName val="설계예산서"/>
      <sheetName val="45,46"/>
      <sheetName val="지주설치제원"/>
      <sheetName val="BID"/>
      <sheetName val="기초코드"/>
      <sheetName val="대로근거"/>
      <sheetName val="중로근거"/>
      <sheetName val="일위(토목)"/>
      <sheetName val="을"/>
      <sheetName val="SANTOGO"/>
      <sheetName val="준공조서갑지"/>
      <sheetName val="흥양2교토공집계표"/>
      <sheetName val="갑지(추정)"/>
      <sheetName val="공업용수관로"/>
      <sheetName val="입적표"/>
      <sheetName val="1.수인터널"/>
      <sheetName val="일위대가표"/>
      <sheetName val="98지급계획"/>
      <sheetName val="대비"/>
      <sheetName val="시공여유율"/>
      <sheetName val="토목주소"/>
      <sheetName val="물가시세"/>
      <sheetName val="Total"/>
      <sheetName val="낙찰표"/>
      <sheetName val="부대내역"/>
      <sheetName val="6PILE  (돌출)"/>
      <sheetName val="eq_data"/>
      <sheetName val="원형1호맨홀토공수량"/>
      <sheetName val="자재단가"/>
      <sheetName val="특수선일위대가"/>
      <sheetName val="교대(A1)"/>
      <sheetName val="건축내역서"/>
      <sheetName val="단가비교표"/>
      <sheetName val="총괄-1"/>
      <sheetName val="단가산출서"/>
      <sheetName val="DATA"/>
      <sheetName val="시화점실행"/>
      <sheetName val="설계"/>
      <sheetName val="초기화면"/>
      <sheetName val="건축내역"/>
      <sheetName val="기본단가"/>
      <sheetName val="설 계"/>
      <sheetName val="경비"/>
      <sheetName val="0.0ControlSheet"/>
      <sheetName val="0.1keyAssumption"/>
      <sheetName val="입찰품의서"/>
      <sheetName val="2.대외공문"/>
      <sheetName val="광산내역"/>
      <sheetName val="2000년1차"/>
      <sheetName val="입력시트"/>
      <sheetName val="AS포장복구 "/>
      <sheetName val="Dae_Jiju"/>
      <sheetName val="Sikje_ingun"/>
      <sheetName val="TREE_D"/>
      <sheetName val="장비집계"/>
      <sheetName val="표지"/>
      <sheetName val="기계내역"/>
      <sheetName val="실행내역서"/>
      <sheetName val="BSD (2)"/>
      <sheetName val="보할"/>
      <sheetName val="전기공사"/>
      <sheetName val="공문(신)"/>
      <sheetName val="공통가설"/>
      <sheetName val="단"/>
      <sheetName val="3차준공"/>
      <sheetName val="하수급견적대비"/>
      <sheetName val="DATE"/>
      <sheetName val="type-F"/>
      <sheetName val="맨홀수량"/>
      <sheetName val="입출재고현황 (2)"/>
      <sheetName val="수문일1"/>
      <sheetName val="가시설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결과조달"/>
      <sheetName val="현장관리"/>
      <sheetName val="여과지동"/>
      <sheetName val="기초자료"/>
      <sheetName val="을지"/>
      <sheetName val="nys"/>
      <sheetName val="연결임시"/>
      <sheetName val="충주"/>
      <sheetName val="골조시행"/>
      <sheetName val="실행내역"/>
      <sheetName val="ELECTRIC"/>
      <sheetName val="기성신청"/>
      <sheetName val="내역(최종본4.5)"/>
      <sheetName val="공제구간조서"/>
      <sheetName val="위치조서"/>
      <sheetName val="기흥하도용"/>
      <sheetName val="ABUT수량-A1"/>
      <sheetName val="2000년하반기"/>
      <sheetName val="횡배수관토공수량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1공구_건정토건_토공"/>
      <sheetName val="1공구_건정토건_철콘"/>
      <sheetName val="보도내역_(3)"/>
      <sheetName val="준검_내역서"/>
      <sheetName val="1_수인터널"/>
      <sheetName val="6PILE__(돌출)"/>
      <sheetName val="2_대외공문"/>
      <sheetName val="설_계"/>
      <sheetName val="AS포장복구_"/>
      <sheetName val="배수통관(좌)"/>
      <sheetName val="강교(Sub)"/>
      <sheetName val="토사(PE)"/>
      <sheetName val="몰탈재료산출"/>
      <sheetName val="원본(갑지)"/>
      <sheetName val="BJJIN"/>
      <sheetName val="산출내역서집계표"/>
      <sheetName val="TYPE-A"/>
      <sheetName val="간접비"/>
      <sheetName val="2.고용보험료산출근거"/>
      <sheetName val="1.취수장"/>
      <sheetName val="9GNG운반"/>
      <sheetName val="단면가정"/>
      <sheetName val="설계조건"/>
      <sheetName val="부재력정리"/>
      <sheetName val="조명시설"/>
      <sheetName val="s"/>
      <sheetName val="4.내진설계"/>
      <sheetName val="1. 설계조건 2.단면가정 3. 하중계산"/>
      <sheetName val="DATA 입력란"/>
      <sheetName val="전체_1설계"/>
      <sheetName val="수로단위수량"/>
      <sheetName val="APT"/>
      <sheetName val="부하(성남)"/>
      <sheetName val="부하계산서"/>
      <sheetName val="EQUIP-H"/>
      <sheetName val="교각1"/>
      <sheetName val="제잡비.xls"/>
      <sheetName val="3BL공동구 수량"/>
      <sheetName val="N賃率-職"/>
      <sheetName val="수량산출"/>
      <sheetName val="자재"/>
      <sheetName val="공종별산출내역서"/>
      <sheetName val="경영혁신본부"/>
      <sheetName val="관일"/>
      <sheetName val="총괄내역서"/>
      <sheetName val="배관단가조사서"/>
      <sheetName val="일위대가(계측기설치)"/>
      <sheetName val="구천"/>
      <sheetName val="전신"/>
      <sheetName val="수량조서"/>
      <sheetName val="코드표"/>
      <sheetName val="I一般比"/>
      <sheetName val="적용대가"/>
      <sheetName val="인건비 "/>
      <sheetName val=" 총괄표"/>
      <sheetName val="Type(123)"/>
      <sheetName val="공사비총괄표"/>
      <sheetName val="접속도로1"/>
      <sheetName val="손익현황"/>
      <sheetName val="현황CODE"/>
      <sheetName val="토공사"/>
      <sheetName val="전기일위대가"/>
      <sheetName val="전신환매도율"/>
      <sheetName val="일위대가(1)"/>
      <sheetName val="직노"/>
      <sheetName val="일위대가(가설)"/>
      <sheetName val="설계예산"/>
      <sheetName val="신대방33(적용)"/>
      <sheetName val="자재목록"/>
      <sheetName val="중기목록"/>
      <sheetName val="단가목록"/>
      <sheetName val="일위목록"/>
      <sheetName val="노임목록"/>
      <sheetName val="6호기"/>
      <sheetName val="설직재-1"/>
      <sheetName val="수자재단위당"/>
      <sheetName val="4)유동표"/>
      <sheetName val="포장단면별단위수량"/>
      <sheetName val="마산방향"/>
      <sheetName val="진주방향"/>
      <sheetName val="설계내역서"/>
      <sheetName val="공사비예산서(토목분)"/>
      <sheetName val="단가"/>
      <sheetName val="최초침전지집계표"/>
      <sheetName val="세금자료"/>
      <sheetName val="물량표"/>
      <sheetName val="내역(최종본4_5)"/>
      <sheetName val="0_0ControlSheet"/>
      <sheetName val="0_1keyAssumption"/>
      <sheetName val="토공(우물통,기타) "/>
      <sheetName val="팔당터널(1공구)"/>
      <sheetName val="배수내역"/>
      <sheetName val="96보완계획7.12"/>
      <sheetName val="관급"/>
      <sheetName val="플랜트 설치"/>
      <sheetName val="wall"/>
      <sheetName val="Front"/>
      <sheetName val="철거산출근거"/>
      <sheetName val="가격조사서"/>
      <sheetName val="단가조사"/>
      <sheetName val="수량3"/>
      <sheetName val="토목내역"/>
      <sheetName val="STAND20"/>
      <sheetName val="공사"/>
      <sheetName val="확약서"/>
      <sheetName val="F4-F7"/>
      <sheetName val="장비당단가 (1)"/>
      <sheetName val="Sheet2 (2)"/>
      <sheetName val="업무"/>
      <sheetName val="집계"/>
      <sheetName val="날개벽(시점좌측)"/>
      <sheetName val="전차선로 물량표"/>
      <sheetName val="공통(20-91)"/>
      <sheetName val="TB-내역서"/>
      <sheetName val="현대물량"/>
      <sheetName val="노무비"/>
      <sheetName val="2000전체분"/>
      <sheetName val="1.설계기준"/>
      <sheetName val="수량산출서"/>
      <sheetName val="인건비"/>
      <sheetName val="CONCRETE"/>
      <sheetName val="MOTOR"/>
      <sheetName val="98수문일위"/>
      <sheetName val="원가서"/>
      <sheetName val="원가계산 (2)"/>
      <sheetName val="포장공자재집계표"/>
      <sheetName val="투찰(하수)"/>
      <sheetName val="내역서01"/>
      <sheetName val="프랜트면허"/>
      <sheetName val="97년 추정"/>
      <sheetName val="현장관리비 산출내역"/>
      <sheetName val="교각계산"/>
      <sheetName val="부대입찰 내역서"/>
      <sheetName val="금액내역서"/>
      <sheetName val="원가계산서"/>
      <sheetName val="자재집계표"/>
      <sheetName val="명단"/>
      <sheetName val="일위(PN)"/>
      <sheetName val="실행(ALT1)"/>
      <sheetName val="정보"/>
      <sheetName val="노원열병합  건축공사기성내역서"/>
      <sheetName val="현황산출서"/>
      <sheetName val="광통신 견적내역서1"/>
      <sheetName val="갑지1"/>
      <sheetName val="EJ"/>
      <sheetName val="할증 "/>
      <sheetName val="전기실-1"/>
      <sheetName val="잡철물"/>
      <sheetName val="_REF"/>
      <sheetName val="견적서"/>
      <sheetName val="현장별계약현황('98.10.31)"/>
      <sheetName val="구의33고"/>
      <sheetName val="세부내역"/>
      <sheetName val="건축집계"/>
      <sheetName val="실행내역서 "/>
      <sheetName val="VXXXXXXX"/>
      <sheetName val="J直材4"/>
      <sheetName val="건설성적"/>
      <sheetName val="증감내역서"/>
      <sheetName val="전기단가조사서"/>
      <sheetName val="보고"/>
      <sheetName val="1.설계조건"/>
      <sheetName val="현장관리비"/>
      <sheetName val="경영상태"/>
      <sheetName val="가로등내역서"/>
      <sheetName val="자재일람"/>
      <sheetName val="전라자금"/>
      <sheetName val="b_yesan"/>
      <sheetName val="COPING"/>
      <sheetName val="산수배수"/>
      <sheetName val="Eq. Mobilization"/>
      <sheetName val="Y-WORK"/>
      <sheetName val="200"/>
      <sheetName val="중기일위대가"/>
      <sheetName val="선정요령"/>
      <sheetName val="화설내"/>
      <sheetName val="도급b_balju"/>
      <sheetName val="노임이"/>
      <sheetName val="뚝토공"/>
      <sheetName val="연습"/>
      <sheetName val="건축내역(진해석동)"/>
      <sheetName val="주경기-오배수"/>
      <sheetName val="설계서"/>
      <sheetName val="예산서"/>
      <sheetName val="총공사비"/>
      <sheetName val="집계표(수배전제조구매)"/>
      <sheetName val="종단계산"/>
      <sheetName val="입적6-10"/>
      <sheetName val="공량산출서"/>
      <sheetName val="실행간접비용"/>
      <sheetName val="JUCKEYK"/>
      <sheetName val="건축-물가변동"/>
      <sheetName val="품셈TABLE"/>
      <sheetName val="견적대비표"/>
      <sheetName val="단가(반정1교-원주)"/>
      <sheetName val="주요자재단가"/>
      <sheetName val="각형맨홀"/>
      <sheetName val="본공사"/>
      <sheetName val="S0"/>
      <sheetName val="인사자료총집계"/>
      <sheetName val="자금청구"/>
      <sheetName val="0Title"/>
      <sheetName val="DC-O-4-S(설명서)"/>
      <sheetName val="평균터파기고(1-2,ASP)"/>
      <sheetName val="프라임 강변역(4,236)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집계표(OPTION)"/>
      <sheetName val="물집"/>
      <sheetName val="음료실행"/>
      <sheetName val="하중"/>
      <sheetName val="날개벽"/>
      <sheetName val="장비별표(오거보링)(Ø400)(12M)"/>
      <sheetName val="공사비산출내역"/>
      <sheetName val="IW-LIST"/>
      <sheetName val="발주설계서(당초)"/>
      <sheetName val="설-원가"/>
      <sheetName val="강북라우터"/>
      <sheetName val="변경후원본2"/>
      <sheetName val="8.PILE  (돌출)"/>
      <sheetName val="콤보박스와 리스트박스의 연결"/>
      <sheetName val="유형처분"/>
      <sheetName val="설계명세서"/>
      <sheetName val="예산M6-B"/>
      <sheetName val="AB자재단가"/>
      <sheetName val="상세산출"/>
      <sheetName val="건축공사"/>
      <sheetName val="울산자금"/>
      <sheetName val="비교1"/>
      <sheetName val="신우"/>
      <sheetName val="세부내역서"/>
      <sheetName val="機器明細(MC)"/>
      <sheetName val="공사분석"/>
      <sheetName val="국내"/>
      <sheetName val="우석문틀"/>
      <sheetName val="Sheet9"/>
      <sheetName val="지급자재"/>
      <sheetName val="건집"/>
      <sheetName val="기집"/>
      <sheetName val="토집"/>
      <sheetName val="조집"/>
      <sheetName val="2000년 공정표"/>
      <sheetName val="입찰보고"/>
      <sheetName val="적현로"/>
      <sheetName val="시중노임단가"/>
      <sheetName val="횡배수관"/>
      <sheetName val="건축적용원가계산"/>
      <sheetName val="총집계표"/>
      <sheetName val="신공항A-;(원가수정)"/>
      <sheetName val="수 량 명 세 서 - 1"/>
      <sheetName val="견적조건"/>
      <sheetName val="설내역서 "/>
      <sheetName val="전기"/>
      <sheetName val="TBN실행"/>
      <sheetName val="지중자재단가"/>
      <sheetName val="산출근거"/>
      <sheetName val="현경"/>
      <sheetName val="기초(1)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참조"/>
      <sheetName val="2.건축"/>
      <sheetName val="덕전리"/>
      <sheetName val="샘플표지"/>
      <sheetName val="앵커구조계산"/>
      <sheetName val="집 계 표"/>
      <sheetName val="역T형"/>
      <sheetName val="입찰"/>
      <sheetName val="마산월령동골조물량변경"/>
      <sheetName val="업무분장"/>
      <sheetName val="실행(표지,갑,을)"/>
      <sheetName val="일위대가목차"/>
      <sheetName val="간접경상비"/>
      <sheetName val="BREAKDOWN(철거설치)"/>
      <sheetName val="DATA 입력부"/>
      <sheetName val="밸브설치"/>
      <sheetName val="기계경비"/>
      <sheetName val="P.M 별"/>
      <sheetName val="예산내역서"/>
      <sheetName val="수입"/>
      <sheetName val="공정표 "/>
      <sheetName val="S12"/>
      <sheetName val="TOT"/>
      <sheetName val="1호맨홀수량산출"/>
      <sheetName val="관련자료입력"/>
      <sheetName val="구조물철거타공정이월"/>
      <sheetName val="50-4(2차)"/>
      <sheetName val="TEST1"/>
      <sheetName val="수량집계표"/>
      <sheetName val="5.2코핑"/>
      <sheetName val="철근단면적"/>
      <sheetName val="본부장"/>
      <sheetName val="파이프류"/>
      <sheetName val="현장별"/>
      <sheetName val="3F"/>
      <sheetName val="간접"/>
      <sheetName val="맨홀(2호)"/>
      <sheetName val="내역분기"/>
      <sheetName val="설계변경내역서"/>
      <sheetName val="원가계산"/>
      <sheetName val="남양내역"/>
      <sheetName val="직공비"/>
      <sheetName val="NOMUBI"/>
      <sheetName val="sw1"/>
      <sheetName val="벽체면적당일위대가"/>
      <sheetName val="작성기준"/>
      <sheetName val="배수공"/>
      <sheetName val="깨기"/>
      <sheetName val="동원(3)"/>
      <sheetName val="말고개터널조명전압강하"/>
      <sheetName val="2000.05"/>
      <sheetName val="명세서"/>
      <sheetName val="유림골조"/>
      <sheetName val="4.경비 5.영업외수지"/>
      <sheetName val="전체"/>
      <sheetName val="TS"/>
      <sheetName val="지급어음"/>
      <sheetName val="총괄"/>
      <sheetName val="최종보고1"/>
      <sheetName val="9-1차이내역"/>
      <sheetName val=" 견적서"/>
      <sheetName val="Input"/>
      <sheetName val="3월"/>
      <sheetName val="CJE"/>
      <sheetName val="choose"/>
      <sheetName val="견적을지"/>
      <sheetName val="FB25JN"/>
      <sheetName val="금융비용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소비자가"/>
      <sheetName val="CALCULATION"/>
      <sheetName val="5사남"/>
      <sheetName val="CIP 공사"/>
      <sheetName val="전체ﾴ엿서"/>
      <sheetName val="코드"/>
      <sheetName val="사통"/>
      <sheetName val="구분자"/>
      <sheetName val="ITEM"/>
      <sheetName val="수토공단위당"/>
      <sheetName val="시운전연료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별표 "/>
      <sheetName val="base"/>
      <sheetName val="포설list원본"/>
      <sheetName val="차수"/>
      <sheetName val="2.교량(신설)"/>
      <sheetName val="위생기구"/>
      <sheetName val="기계실냉난방"/>
      <sheetName val="A"/>
      <sheetName val="식재수량표"/>
      <sheetName val="식재일위"/>
      <sheetName val="부안일위"/>
      <sheetName val="모래기초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대림경상68억"/>
      <sheetName val="개산공사비"/>
      <sheetName val="1차설계변경내역"/>
      <sheetName val="PI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경상비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대우"/>
      <sheetName val="1맨AO"/>
      <sheetName val="내역서(전기)"/>
      <sheetName val="배수관공"/>
      <sheetName val="측구공"/>
      <sheetName val="영업소실적"/>
      <sheetName val="기계경비일람"/>
      <sheetName val="보도경계블럭"/>
      <sheetName val="1차3회-개소별명세서-빨간색-인쇄용(21873)"/>
      <sheetName val="수목단가"/>
      <sheetName val="시설수량표"/>
      <sheetName val="토목품셈"/>
      <sheetName val="남양시작동010313100%"/>
      <sheetName val="식재"/>
      <sheetName val="시설물"/>
      <sheetName val="식재출력용"/>
      <sheetName val="유지관리"/>
      <sheetName val="아파트-가설"/>
      <sheetName val="일위대가목록"/>
      <sheetName val="공통가설공사"/>
      <sheetName val="연부97-1"/>
      <sheetName val="SUB일위대가"/>
      <sheetName val="토량1-1"/>
      <sheetName val="울산자동제어"/>
      <sheetName val="일위_파일"/>
      <sheetName val="조건"/>
      <sheetName val="일반부표"/>
      <sheetName val="CTEMCOST"/>
      <sheetName val="CODE"/>
      <sheetName val="내역서변경성원"/>
      <sheetName val="근로자자료입력"/>
      <sheetName val="참고자료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산출금액내역"/>
      <sheetName val="Baby일위대가"/>
      <sheetName val="C-노임단가"/>
      <sheetName val="내역서당초"/>
      <sheetName val="1.본부별"/>
      <sheetName val="000000"/>
      <sheetName val="변경후-SHEET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수량산출서 갑지"/>
      <sheetName val="단중"/>
      <sheetName val="마감사양"/>
      <sheetName val="건축토목실행내역"/>
      <sheetName val="1.3.1절점좌표"/>
      <sheetName val="1.1설계기준"/>
      <sheetName val="Mc1"/>
      <sheetName val="첨부1-1"/>
      <sheetName val="빙설"/>
      <sheetName val="날개벽수량표"/>
      <sheetName val="포장공"/>
      <sheetName val="구단"/>
      <sheetName val="중기가격"/>
      <sheetName val="주식"/>
      <sheetName val="상수도토공집계표"/>
      <sheetName val="원본"/>
      <sheetName val="단가표"/>
      <sheetName val="원가"/>
      <sheetName val="1안"/>
      <sheetName val="tggwan(mac)"/>
      <sheetName val="guard(mac)"/>
      <sheetName val="정렬"/>
      <sheetName val="말뚝지지력산정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견적의뢰서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효율표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만년달력"/>
      <sheetName val="단가산출(T)"/>
      <sheetName val="공사원가계산서"/>
      <sheetName val="인사자료"/>
      <sheetName val="맨홀수량산출"/>
      <sheetName val="재료집계표"/>
      <sheetName val="쌍송교"/>
      <sheetName val="database"/>
      <sheetName val="현장일반사항"/>
      <sheetName val="96노임기준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0동"/>
      <sheetName val="적용토목"/>
      <sheetName val="식재인부"/>
      <sheetName val="평자재단가"/>
      <sheetName val="공통부대비"/>
      <sheetName val="공문"/>
      <sheetName val="기둥(원형)"/>
      <sheetName val="8)중점관리장비현황"/>
      <sheetName val="돈암사업"/>
      <sheetName val="전체기준Data"/>
      <sheetName val="설계내역"/>
      <sheetName val="1-1호"/>
      <sheetName val="기본DATA"/>
      <sheetName val="현장지지물물량"/>
      <sheetName val="공통자료"/>
      <sheetName val="안전시설내역서"/>
      <sheetName val="총공사내역서"/>
      <sheetName val="49일위"/>
      <sheetName val="22일위"/>
      <sheetName val="설비"/>
      <sheetName val="EQUIP LIST"/>
      <sheetName val="SF내역및원가02"/>
      <sheetName val="출장내역"/>
      <sheetName val="XL4Poppy"/>
      <sheetName val="cable-data"/>
      <sheetName val="노무비산출"/>
      <sheetName val="#3E1_GCR"/>
      <sheetName val="소소총괄표"/>
      <sheetName val="본사인상전"/>
      <sheetName val="FI원가_1"/>
      <sheetName val="구조물"/>
      <sheetName val="1공구_건정토건_토공2"/>
      <sheetName val="기초입력 DATA"/>
      <sheetName val="입찰내역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교각"/>
      <sheetName val="내부마감"/>
      <sheetName val="재활용 악취_먼지DUCT산출"/>
      <sheetName val="항목지정"/>
      <sheetName val="경비산출"/>
      <sheetName val="설계명세"/>
      <sheetName val="평3"/>
      <sheetName val="증감분석"/>
      <sheetName val="터파기및재료"/>
      <sheetName val="4.장비손료"/>
      <sheetName val="1F"/>
      <sheetName val="인원현황"/>
      <sheetName val="단중표"/>
      <sheetName val="내역총괄"/>
      <sheetName val="내역총괄2"/>
      <sheetName val="내역총괄3"/>
      <sheetName val="간접재료비산출표-27-30"/>
      <sheetName val="기기리스트"/>
      <sheetName val="시설물기초"/>
      <sheetName val="산출근거(S4)"/>
      <sheetName val="단가조사-2"/>
      <sheetName val="VE절감"/>
      <sheetName val="산출기준(파견전산실)"/>
      <sheetName val="기본사항"/>
      <sheetName val="현장관리비데이타"/>
      <sheetName val="공정코드"/>
      <sheetName val="재료"/>
      <sheetName val="현장식당(1)"/>
      <sheetName val="입력"/>
      <sheetName val="일반수량"/>
      <sheetName val="흄관기초"/>
      <sheetName val="입력그림"/>
      <sheetName val="정부노임"/>
      <sheetName val="바닥판"/>
      <sheetName val="학생내역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식재일위대가"/>
      <sheetName val="기초일위대가"/>
      <sheetName val="단가대비표"/>
      <sheetName val="이자율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전계가"/>
      <sheetName val="DATA2000"/>
      <sheetName val="5.정산서"/>
      <sheetName val="포장직선구간"/>
      <sheetName val="1062-X방향 "/>
      <sheetName val="TABLE DB"/>
      <sheetName val="쌍용 data base"/>
      <sheetName val="기안"/>
      <sheetName val="내역및원가02"/>
      <sheetName val="예정(3)"/>
      <sheetName val="부산제일극장"/>
      <sheetName val="수주현황2월"/>
      <sheetName val="가중치"/>
      <sheetName val="빙100장비사양"/>
      <sheetName val="유림콘도"/>
      <sheetName val="3차토목내역"/>
      <sheetName val="말뚝기초(안정검토)-외측"/>
      <sheetName val="현금흐름"/>
      <sheetName val="품셈(기초)"/>
      <sheetName val="일반관리비전체분당초변경대비표"/>
      <sheetName val="사용계획"/>
      <sheetName val="지급수수료월별금액산정"/>
      <sheetName val="상가지급현황"/>
      <sheetName val="Ⅱ1-0타"/>
      <sheetName val="전체내역 (2)"/>
      <sheetName val="Hyundai.Unit.cost.xls"/>
      <sheetName val="단위수량"/>
      <sheetName val="배수장토목공사비"/>
      <sheetName val="일위대가-01"/>
      <sheetName val="조명일위"/>
      <sheetName val="공사수행보고"/>
      <sheetName val="작성"/>
      <sheetName val="입력값"/>
      <sheetName val="설계기준 및 하중계산"/>
      <sheetName val="수목데이타 "/>
      <sheetName val="대공종"/>
      <sheetName val="제거식EA"/>
      <sheetName val="NAIL단가산출"/>
      <sheetName val="단양 00 아파트-세부내역"/>
      <sheetName val="방송(체육관)"/>
      <sheetName val="배명(단가)"/>
      <sheetName val="형틀공사"/>
      <sheetName val="분전반일위대가"/>
      <sheetName val="수리결과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70%"/>
      <sheetName val="원내역서 그대로"/>
      <sheetName val="01"/>
      <sheetName val="부대공자재집계표"/>
      <sheetName val="가시설(TYPE-A)"/>
      <sheetName val="1-1평균터파기고(1)"/>
      <sheetName val="램머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손익분석"/>
      <sheetName val="참조-(1)"/>
      <sheetName val="산근"/>
      <sheetName val="물량산출근거"/>
      <sheetName val="자재co"/>
      <sheetName val="UR2-Calculation"/>
      <sheetName val="사진"/>
      <sheetName val="예총"/>
      <sheetName val="L형옹벽"/>
      <sheetName val="포장절단"/>
      <sheetName val="1호맨홀토공"/>
      <sheetName val="Sight n M.H"/>
      <sheetName val="Trend(Agitator)"/>
      <sheetName val="단가 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1호맨홀가감수량"/>
      <sheetName val="ilch"/>
      <sheetName val="Table"/>
      <sheetName val="대비표"/>
      <sheetName val="(C)원내역"/>
      <sheetName val="포장수량집계"/>
      <sheetName val="옹벽단면치수"/>
      <sheetName val="검토현황"/>
      <sheetName val="증감내역"/>
      <sheetName val="소일위대가코드표"/>
      <sheetName val="외주가공"/>
      <sheetName val="전도품의"/>
      <sheetName val="정의"/>
      <sheetName val="영동(D)"/>
      <sheetName val="969910( R)"/>
      <sheetName val="한성교회 신축공사(050713)_CheckList"/>
      <sheetName val="Sheet14"/>
      <sheetName val="Sheet13"/>
      <sheetName val="편성절차"/>
      <sheetName val="부대공"/>
      <sheetName val="2002자금수지계획(진행+신규)"/>
      <sheetName val="2변경1"/>
      <sheetName val="10.경제성분석"/>
      <sheetName val="전국현황"/>
      <sheetName val="계약서"/>
      <sheetName val="용집"/>
      <sheetName val="표층포설및다짐"/>
      <sheetName val="은행"/>
      <sheetName val="소방사항"/>
      <sheetName val="BQ(실행)"/>
      <sheetName val="COVER"/>
      <sheetName val="BOJUNGGM"/>
      <sheetName val="수문보고"/>
      <sheetName val="토지산출내역"/>
      <sheetName val="TYPE1"/>
      <sheetName val="공사비"/>
      <sheetName val="배선(낙차)"/>
      <sheetName val="암거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공정표_"/>
      <sheetName val="장비당단가_(1)"/>
      <sheetName val="Sheet2_(2)"/>
      <sheetName val="별표_"/>
      <sheetName val="2_건축"/>
      <sheetName val="수_량_명_세_서_-_1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내___역"/>
      <sheetName val="프라임_강변역(4,236)"/>
      <sheetName val="8_PILE__(돌출)"/>
      <sheetName val="2000년_공정표"/>
      <sheetName val="집_계_표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단면_(2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집계표(공종별)"/>
      <sheetName val="단면설계"/>
      <sheetName val="안정검토"/>
      <sheetName val="교통표지판수량집계표"/>
      <sheetName val="산근(1)"/>
      <sheetName val="2F 회의실견적(5_14 일대)"/>
      <sheetName val="ASALTOTA"/>
      <sheetName val="울산시산표"/>
      <sheetName val="2.1"/>
      <sheetName val="도"/>
      <sheetName val="중기단가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총수량집계표"/>
      <sheetName val="심사"/>
      <sheetName val="수장"/>
      <sheetName val="철골공사"/>
      <sheetName val="맨홀되메우기"/>
      <sheetName val="b_balju_cho"/>
      <sheetName val="경비 (1)"/>
      <sheetName val="당진1,2호기전선관설치및접지4차공사내역서-을지"/>
      <sheetName val="현금흐름표"/>
      <sheetName val="07제품별수익성"/>
      <sheetName val="교각별철근수량집계표"/>
      <sheetName val="출력X"/>
      <sheetName val="6동"/>
      <sheetName val="P_x0005_"/>
      <sheetName val="P嘐"/>
      <sheetName val="strut type"/>
      <sheetName val="제경비율"/>
      <sheetName val="성서방향-교대(A2)"/>
      <sheetName val="횡날개수집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총괄집계 "/>
      <sheetName val="단면치수"/>
      <sheetName val="DC"/>
      <sheetName val="중기사용료산출근거"/>
      <sheetName val="단가 및 재료비"/>
      <sheetName val="내역서 (2)"/>
      <sheetName val="기본정보"/>
      <sheetName val="중기일위대밀"/>
      <sheetName val="PĴ"/>
      <sheetName val="Pꮸ"/>
      <sheetName val="P估"/>
      <sheetName val="일반물자(한국통신)"/>
      <sheetName val="108.수선비"/>
      <sheetName val="맨홀_공사비"/>
      <sheetName val="품목"/>
      <sheetName val="T기성9605"/>
      <sheetName val="비교표"/>
      <sheetName val="2004노형교"/>
      <sheetName val="기계 도급내역서"/>
      <sheetName val="청 구"/>
      <sheetName val="일위대가1"/>
      <sheetName val="경성자금"/>
      <sheetName val="도급내역"/>
      <sheetName val="工완성공사율"/>
      <sheetName val="포장공사"/>
      <sheetName val="참고"/>
      <sheetName val="PAINT"/>
      <sheetName val="상행-교대(A1-A2)"/>
      <sheetName val="48_x0005__x0000_"/>
      <sheetName val="옥외"/>
      <sheetName val="수전기기DATA"/>
      <sheetName val="15100"/>
      <sheetName val="산출근거#2-3"/>
      <sheetName val="미드수량"/>
      <sheetName val="장척총괄"/>
      <sheetName val="4월예정공정표"/>
      <sheetName val="지구단위계획"/>
      <sheetName val="다중모드"/>
      <sheetName val="배관물량집계(기본)"/>
      <sheetName val="1차설계Ꮗԯ_x0000_"/>
      <sheetName val="1차설계逷≙_xdc00_≙"/>
      <sheetName val="-15.0"/>
      <sheetName val="사  업  비  수  지  예  산  서"/>
      <sheetName val="hvac(제어동)"/>
      <sheetName val="기성금내역서"/>
      <sheetName val="시가지우회도로공내역서"/>
      <sheetName val="전체공사"/>
      <sheetName val="내역서(총)"/>
      <sheetName val="내역(가지)"/>
      <sheetName val="CM 1"/>
      <sheetName val="철거폐쇄현황"/>
      <sheetName val="ETC"/>
      <sheetName val="상세도"/>
      <sheetName val="품종코드"/>
      <sheetName val="01AC"/>
      <sheetName val="Sheet10"/>
      <sheetName val="통합"/>
      <sheetName val="97 사업추정(WEKI)"/>
      <sheetName val="7.전산해석결과"/>
      <sheetName val="4.하중"/>
      <sheetName val="철탑공사"/>
      <sheetName val="총체보활공정표"/>
      <sheetName val="평균높이산출근거"/>
      <sheetName val="횡배수관위치조서"/>
      <sheetName val="암거(2)"/>
      <sheetName val="TCDB"/>
      <sheetName val="기초단가일람표"/>
      <sheetName val="quotation"/>
      <sheetName val="용수간선"/>
      <sheetName val="가격"/>
      <sheetName val="4.2.1 마루높이 검토"/>
      <sheetName val="일위목차"/>
      <sheetName val="인적사항"/>
      <sheetName val="미장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개인별 순위표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임율산출표"/>
      <sheetName val="청주(철골발주의뢰서)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예산대비"/>
      <sheetName val=" ｹ-ﾌﾞﾙ"/>
      <sheetName val="kimre scrubber"/>
      <sheetName val="FRP PIPING 일위대가"/>
      <sheetName val="세부항목"/>
      <sheetName val="출력자료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경비공통"/>
      <sheetName val="문학간접"/>
      <sheetName val="1월"/>
      <sheetName val="Balance"/>
      <sheetName val="제안실적sum조회"/>
      <sheetName val="Macro3"/>
      <sheetName val="Basic"/>
      <sheetName val="info"/>
      <sheetName val="금액"/>
      <sheetName val="위치"/>
      <sheetName val="신평리 권리자명부"/>
      <sheetName val="배수내역(총수량)"/>
      <sheetName val="일위대가 (PM)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투찰추정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목록"/>
      <sheetName val="계정"/>
      <sheetName val="메서,변+증"/>
      <sheetName val="명일작업계획 (3)"/>
      <sheetName val="연결원본-절대지우지말것"/>
      <sheetName val="검색방"/>
      <sheetName val="일위대가집계표"/>
      <sheetName val="산출서집계HS"/>
      <sheetName val="자동세륜기"/>
      <sheetName val="잔수량(작성)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앵커(3안)"/>
      <sheetName val="용선 C.L"/>
      <sheetName val="전 체"/>
      <sheetName val="4동급수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6.이토처리시간"/>
      <sheetName val="실행(1)"/>
      <sheetName val="공사비집계"/>
      <sheetName val="일일총괄"/>
      <sheetName val="차선"/>
      <sheetName val="차조서"/>
      <sheetName val="MIJIBI"/>
      <sheetName val="전기2005"/>
      <sheetName val="참조자료"/>
      <sheetName val="ESC(K치)"/>
      <sheetName val="도급내역서"/>
      <sheetName val="관리비비계상"/>
      <sheetName val="콘센트신설"/>
      <sheetName val="CAPVC"/>
      <sheetName val="태안9)3-2)원내역"/>
      <sheetName val="수완하도"/>
      <sheetName val="김포내역"/>
      <sheetName val="제잡비(주공종)"/>
      <sheetName val="7월11일"/>
      <sheetName val="L형옹벽(key)"/>
      <sheetName val="날개벽(좌,우=45도,75도)"/>
      <sheetName val="죽원1교"/>
      <sheetName val="맨홀"/>
      <sheetName val="기초공"/>
      <sheetName val="토  공"/>
      <sheetName val="자재비"/>
      <sheetName val="납부서"/>
      <sheetName val="SCH"/>
      <sheetName val="사다리"/>
      <sheetName val="SPEC"/>
      <sheetName val="단위중기"/>
      <sheetName val="수량명세서"/>
      <sheetName val="JJ"/>
      <sheetName val="신규단가산출"/>
      <sheetName val="부영주택(잡철물)"/>
      <sheetName val="매인"/>
      <sheetName val="업무처리전"/>
      <sheetName val="기계사급자재"/>
      <sheetName val="BEND LOSS"/>
      <sheetName val="99 조정금액"/>
      <sheetName val="부도어음"/>
      <sheetName val="비목군분류일위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회사정보"/>
      <sheetName val="준설량산정표"/>
      <sheetName val="JUCK"/>
      <sheetName val="흄관기_x0000_"/>
      <sheetName val="흄관기鬀"/>
      <sheetName val="흄관기0"/>
      <sheetName val="기초부재력검토"/>
      <sheetName val="POOM_MOTO"/>
      <sheetName val="POOM_MOTO2"/>
      <sheetName val="수량-가로등"/>
      <sheetName val="3.관로전환기"/>
      <sheetName val="제수"/>
      <sheetName val="공기"/>
      <sheetName val="EQ"/>
      <sheetName val="외주현황.wq1"/>
      <sheetName val="태화42 "/>
      <sheetName val="EP0618"/>
      <sheetName val="편입토지조서"/>
      <sheetName val="하도계약반영"/>
      <sheetName val="수량산근(출력X)"/>
      <sheetName val="표준화수량집계표(출력X)"/>
      <sheetName val="품셈총괄(출력X)"/>
      <sheetName val="FILE1"/>
      <sheetName val="내역서-2"/>
      <sheetName val="연장및면적(좌측)"/>
      <sheetName val="배수喘_x001a_"/>
      <sheetName val="인상효1"/>
      <sheetName val="1И"/>
      <sheetName val="발주현황"/>
      <sheetName val="설비비4"/>
      <sheetName val="1공구_건정토건_철槜〚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월별수입"/>
      <sheetName val="건축공사실행"/>
      <sheetName val="건축원가"/>
      <sheetName val="1차 내역서"/>
      <sheetName val="물량내역서"/>
      <sheetName val="3BL공동구_x0000__x0000_Ԁ"/>
      <sheetName val="TYPE-1"/>
      <sheetName val="220 (2)"/>
      <sheetName val="조ꟕ"/>
      <sheetName val="HW일위"/>
      <sheetName val="VOC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통계연보"/>
      <sheetName val="인입관수량총괄"/>
      <sheetName val="D1.2 COF모듈자재 입출재고 (B급)"/>
      <sheetName val="NOM³_x0000_Ԁ"/>
      <sheetName val="NOMֳ_x0000_缀"/>
      <sheetName val="대창(장성)"/>
      <sheetName val="공사명입력"/>
      <sheetName val="인제내역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인원조직표"/>
      <sheetName val="물량표S"/>
      <sheetName val="중기산출근거기초"/>
      <sheetName val=" "/>
      <sheetName val="기초자료입력"/>
      <sheetName val="교량"/>
      <sheetName val="F 월별기성수금현황 "/>
      <sheetName val="단위수량DATA"/>
      <sheetName val="배명(단가柖"/>
      <sheetName val="새공통"/>
      <sheetName val="할증표"/>
      <sheetName val="적용단가"/>
      <sheetName val="콘크리트포장"/>
      <sheetName val="암거난간벽집계(2)"/>
      <sheetName val="FANDBS"/>
      <sheetName val="GRDATA"/>
      <sheetName val="SHAFTDBSE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주요재료비(원본)"/>
      <sheetName val="실행내역서(DCU)"/>
      <sheetName val="중기쥰종사 단위단가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FAB별"/>
      <sheetName val="사유서제출현황-2"/>
      <sheetName val="근로자명단2013"/>
      <sheetName val="보강현황"/>
      <sheetName val="내역(전력)"/>
      <sheetName val="내역서1999.8최종"/>
      <sheetName val="부대표지_x0000__x0000__x0005__x0000_腰"/>
      <sheetName val="VENT"/>
      <sheetName val="준검_내逃ᚹ欃"/>
      <sheetName val="토공 total"/>
      <sheetName val="설계내역2"/>
      <sheetName val="변경내역서"/>
      <sheetName val="tra-vat-lieu"/>
      <sheetName val="공량(전기)"/>
      <sheetName val="항목코드"/>
      <sheetName val="1鶈"/>
      <sheetName val="TRAY 헹거산출"/>
      <sheetName val="타설"/>
      <sheetName val="3BL공동구"/>
      <sheetName val="월별계획"/>
      <sheetName val="함열량 db"/>
      <sheetName val="䣐"/>
      <sheetName val="간이연락"/>
      <sheetName val="고객사 관리 코드"/>
      <sheetName val="산출0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PTVT (MAU)"/>
      <sheetName val="기초목"/>
      <sheetName val="125x125"/>
      <sheetName val="TOSHIBA-Structure"/>
      <sheetName val="GAEYO"/>
      <sheetName val="1.1"/>
      <sheetName val="기존단가 (2)"/>
      <sheetName val="물량표(신)"/>
      <sheetName val="일위대가(산근)"/>
      <sheetName val="콘크리트"/>
      <sheetName val="식생블럭단위수량"/>
      <sheetName val="변경집계표"/>
      <sheetName val="토공정보"/>
      <sheetName val="교각토"/>
      <sheetName val="단가(동바蔨ũ"/>
      <sheetName val="8설7발"/>
      <sheetName val="Proposal"/>
      <sheetName val="주안3차A-A"/>
      <sheetName val="철집"/>
      <sheetName val="YES-T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Level-DATA"/>
      <sheetName val="Fr Revit"/>
      <sheetName val="NSA Summary"/>
      <sheetName val="FitOutConfCentre"/>
      <sheetName val="사리부설"/>
      <sheetName val="3.전기산출기초"/>
      <sheetName val="단위중량표"/>
      <sheetName val="기계실냉༛彬"/>
      <sheetName val="chiettinh"/>
      <sheetName val="Parem"/>
      <sheetName val="THVT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1_수인터널5"/>
      <sheetName val="2_대외공문5"/>
      <sheetName val="6PILE__(돌출)5"/>
      <sheetName val="AS포장복구_5"/>
      <sheetName val="설_계5"/>
      <sheetName val="내역(최종본4_5)5"/>
      <sheetName val="0_0ControlSheet5"/>
      <sheetName val="0_1keyAssumption5"/>
      <sheetName val="Sheet1_(2)4"/>
      <sheetName val="입출재고현황_(2)4"/>
      <sheetName val="전차선로_물량표4"/>
      <sheetName val="노원열병합__건축공사기성내역서4"/>
      <sheetName val="1_취수장4"/>
      <sheetName val="_총괄표4"/>
      <sheetName val="96보완계획7_124"/>
      <sheetName val="BSD_(2)4"/>
      <sheetName val="4_내진설계4"/>
      <sheetName val="3BL공동구_수량4"/>
      <sheetName val="실행내역서_4"/>
      <sheetName val="부대입찰_내역서4"/>
      <sheetName val="1__설계조건_2_단면가정_3__하중계산4"/>
      <sheetName val="DATA_입력란4"/>
      <sheetName val="1_설계조건4"/>
      <sheetName val="2_고용보험료산출근거4"/>
      <sheetName val="제잡비_xls4"/>
      <sheetName val="인건비_4"/>
      <sheetName val="콤보박스와_리스트박스의_연결4"/>
      <sheetName val="4_경비_5_영업외수지2"/>
      <sheetName val="_견적서2"/>
      <sheetName val="현장별계약현황('98_10_31)4"/>
      <sheetName val="토공(우물통,기타)_4"/>
      <sheetName val="플랜트_설치4"/>
      <sheetName val="원가계산_(2)4"/>
      <sheetName val="Eq__Mobilization4"/>
      <sheetName val="장비당단가_(1)3"/>
      <sheetName val="Sheet2_(2)3"/>
      <sheetName val="97년_추정4"/>
      <sheetName val="현장관리비_산출내역4"/>
      <sheetName val="2000년_공정표2"/>
      <sheetName val="수_량_명_세_서_-_13"/>
      <sheetName val="광통신_견적내역서12"/>
      <sheetName val="할증_2"/>
      <sheetName val="unit_42"/>
      <sheetName val="1_설계기준3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8_PILE__(돌출)3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1차_내역서1"/>
      <sheetName val="중기쥰종사_단위단가1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STEEL_BOX_단면설계(SEC_8)1"/>
      <sheetName val="6_이토처리시간1"/>
      <sheetName val="울진항공등화_내역서1"/>
      <sheetName val="영흥TL(UP,DOWN)_1"/>
      <sheetName val="일_위_대_가_표1"/>
      <sheetName val="설계기준_및_하중계산1"/>
      <sheetName val="5호광장_(만점)2"/>
      <sheetName val="인천국제_(만점)_(2)2"/>
      <sheetName val="전선_및_전선관1"/>
      <sheetName val="Sight_n_M_H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PTVT_(MAU)1"/>
      <sheetName val="kimre_scrubber1"/>
      <sheetName val="내역서_(2)1"/>
      <sheetName val="strut_type1"/>
      <sheetName val="한성교회_신축공사(050713)_CheckList1"/>
      <sheetName val="FRP_PIPING_일위대가1"/>
      <sheetName val="총괄집계_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10_경제성분석"/>
      <sheetName val="단가_및_재료비1"/>
      <sheetName val="기계_도급내역서"/>
      <sheetName val="-15_0"/>
      <sheetName val="고객사_관리_코드1"/>
      <sheetName val="사__업__비__수__지__예__산__서"/>
      <sheetName val="1차설계逷≙≙"/>
      <sheetName val="Div26_-_Elect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모선자재_집계표"/>
      <sheetName val="재료의_할증"/>
      <sheetName val="내역서_"/>
      <sheetName val="공내역_및_견적조건"/>
      <sheetName val="2_1"/>
      <sheetName val="Bảng_mã_VT"/>
      <sheetName val="Khoi_luong"/>
      <sheetName val="DonGia_chetao"/>
      <sheetName val="DonGia_VatTuLK"/>
      <sheetName val="표__지"/>
      <sheetName val="D1_2_COF모듈자재_입출재고_(B급)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CF_DT"/>
      <sheetName val="Quantity"/>
      <sheetName val="Prelims"/>
      <sheetName val="Rate"/>
      <sheetName val="cong thuc tinh chi tiet"/>
      <sheetName val="00000000"/>
      <sheetName val="cong_thuc_tinh_chi_tiet"/>
      <sheetName val="cong_thuc_tinh_chi_tiet1"/>
      <sheetName val="Kiem-Toan"/>
      <sheetName val="gVL"/>
      <sheetName val="토량산출서"/>
      <sheetName val="전압강하"/>
      <sheetName val="LD"/>
      <sheetName val="치수표"/>
      <sheetName val="-배수구조총재료"/>
      <sheetName val="총공사Ԁ쭭㠯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GiaVT"/>
      <sheetName val="Q'ty"/>
      <sheetName val="chi tiet"/>
      <sheetName val="PPC Summary"/>
      <sheetName val="Worshop"/>
      <sheetName val="ac"/>
      <sheetName val="LPG"/>
      <sheetName val="슬래브수량산출"/>
      <sheetName val="D.B"/>
      <sheetName val="20관리비율"/>
      <sheetName val="벽체면적˱ጐɈី"/>
      <sheetName val="1.청구서"/>
      <sheetName val="2.내역서"/>
      <sheetName val="기성지급예정"/>
      <sheetName val="실지급내역"/>
      <sheetName val="노무비지급"/>
      <sheetName val="표"/>
      <sheetName val="인부신상_x0000__x0000_"/>
      <sheetName val="호곡중학교"/>
      <sheetName val="수지예산"/>
      <sheetName val="외주대비-구_x0005__x0000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동력부하계산"/>
      <sheetName val="공종코드"/>
      <sheetName val="K2 site Total 내역서"/>
      <sheetName val="0217상가미분양자산"/>
      <sheetName val="구조ఀ덀_x0000_"/>
      <sheetName val="외주대비x_x0000_Ԁ_x0000_"/>
      <sheetName val="Lumen"/>
      <sheetName val="해외교육"/>
      <sheetName val="foxz"/>
      <sheetName val="Tong hop"/>
      <sheetName val="Phan lap dat"/>
      <sheetName val="Lắp Ráp"/>
      <sheetName val="외주대비-구ꮸ〇"/>
      <sheetName val="조ꌀ"/>
      <sheetName val="조Ꝣ"/>
      <sheetName val="총괄표 "/>
      <sheetName val="구조물터파기ꗤNˠ"/>
      <sheetName val="연평잔"/>
      <sheetName val="Efficiency"/>
      <sheetName val="계약대비내역서 (부경)"/>
      <sheetName val="집행대비내역서 (부경)"/>
      <sheetName val="계약그라우팅.포장"/>
      <sheetName val="계약사무실조경 "/>
      <sheetName val="횡배수관 토공량 산출"/>
      <sheetName val="평가내역"/>
      <sheetName val="부대공사비"/>
      <sheetName val="철근׃"/>
      <sheetName val="템플릿"/>
      <sheetName val="Config"/>
      <sheetName val="합천내역"/>
      <sheetName val="06 일위대가목록"/>
      <sheetName val="외주대비-구_x0000__x0000_"/>
      <sheetName val="자판실행"/>
      <sheetName val="구조怀ྋĀ"/>
      <sheetName val="기초입력ԯ_x0000_缀_x0000__x0000_"/>
      <sheetName val="토목단가"/>
      <sheetName val="부대표지_x0000__x0000__x0005__x0000_䥀"/>
      <sheetName val="행정표준(2惍"/>
      <sheetName val="행정표준(2ネ"/>
      <sheetName val="부대표지_x0000__x0000__x0005__x0000_⽠"/>
      <sheetName val="수로BOX"/>
      <sheetName val="수벽설치(효자)"/>
      <sheetName val="2013년상반기"/>
      <sheetName val="본장"/>
      <sheetName val="오억미만"/>
      <sheetName val="관접합및부설"/>
      <sheetName val="가정급수관"/>
      <sheetName val="도시정비"/>
      <sheetName val="개발"/>
      <sheetName val="도시정비 "/>
      <sheetName val="민간"/>
      <sheetName val="_x0000__x0010__x0000_내"/>
      <sheetName val="청_구"/>
      <sheetName val="7_전산해석결과"/>
      <sheetName val="4_하중"/>
      <sheetName val="chi_tiet"/>
      <sheetName val="PPC_Summary"/>
      <sheetName val="기존단가_(2)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인부신상헾⼳"/>
      <sheetName val="토공계산서(부체도로)"/>
      <sheetName val="3.1.6 전산처리결과"/>
      <sheetName val="계산내역(설비)"/>
      <sheetName val="1-׃⼿"/>
      <sheetName val="1-닑⽋"/>
      <sheetName val="1-_x0005__x0000_"/>
      <sheetName val="97_사업추정(WEKI)"/>
      <sheetName val="_ｹ-ﾌﾞﾙ"/>
      <sheetName val="신평리_권리자명부"/>
      <sheetName val="토__공"/>
      <sheetName val="견적颙⿬"/>
      <sheetName val="견적颙⿶"/>
      <sheetName val="견적"/>
      <sheetName val="견적颙』"/>
      <sheetName val="99_조정금액"/>
      <sheetName val="외주현황_wq1"/>
      <sheetName val="태화42_"/>
      <sheetName val="배수喘"/>
      <sheetName val="220_(2)"/>
      <sheetName val="토공_total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1_1"/>
      <sheetName val="_"/>
      <sheetName val="수량산출서_x0000__x0000__x0005_"/>
      <sheetName val="수량산출서_x0010__x0000_"/>
      <sheetName val="출장㺎Ă"/>
      <sheetName val="PIPING"/>
      <sheetName val="아파트급수지하PIT층평면도(평면도)"/>
      <sheetName val="A-100전제"/>
      <sheetName val="건_′近丂"/>
      <sheetName val="건_ê_x0000_Ԁ"/>
      <sheetName val="⑻동원인원산출서⑧"/>
      <sheetName val="기초데이타"/>
      <sheetName val="총공사_x0000__x0000_Ԁ"/>
      <sheetName val="일위대가Ȓ_x0000_"/>
      <sheetName val="일위대가顔-"/>
      <sheetName val="용산1(해보)"/>
      <sheetName val="매입"/>
      <sheetName val="Bab泅啢堀㭔*"/>
      <sheetName val="부대표지츀 _x0000__x0000_얈"/>
      <sheetName val="부대표지츀 _x0000__x0000_篐"/>
      <sheetName val="견적_x0005_"/>
      <sheetName val="CԀ"/>
      <sheetName val="chitiet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견적표지_(3"/>
      <sheetName val="SCOPE OF WORK"/>
      <sheetName val="BG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01. DATA"/>
      <sheetName val="서울대규장각(가시설흙막이)"/>
      <sheetName val="Summary"/>
      <sheetName val="H. MECHANICAL"/>
      <sheetName val="J. FIRE FIGHTING"/>
      <sheetName val="MECHANICAL"/>
      <sheetName val="Sàn T1"/>
      <sheetName val="Lỗ thông gió"/>
      <sheetName val="CodeSheet"/>
      <sheetName val="DI-ESTI"/>
      <sheetName val="Bang gia 2011.10.12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1_수인터널7"/>
      <sheetName val="내역(최종본4_5)7"/>
      <sheetName val="설_계7"/>
      <sheetName val="입출재고현황_(2)6"/>
      <sheetName val="6PILE__(돌출)7"/>
      <sheetName val="2_대외공문7"/>
      <sheetName val="AS포장복구_7"/>
      <sheetName val="0_0ControlSheet7"/>
      <sheetName val="0_1keyAssumption7"/>
      <sheetName val="4_내진설계6"/>
      <sheetName val="Sheet1_(2)6"/>
      <sheetName val="1_취수장6"/>
      <sheetName val="BSD_(2)6"/>
      <sheetName val="4_경비_5_영업외수지4"/>
      <sheetName val="_견적서4"/>
      <sheetName val="전차선로_물량표6"/>
      <sheetName val="노원열병합__건축공사기성내역서6"/>
      <sheetName val="_총괄표6"/>
      <sheetName val="96보완계획7_126"/>
      <sheetName val="3BL공동구_수량6"/>
      <sheetName val="실행내역서_6"/>
      <sheetName val="부대입찰_내역서6"/>
      <sheetName val="1__설계조건_2_단면가정_3__하중계산6"/>
      <sheetName val="DATA_입력란6"/>
      <sheetName val="1_설계조건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장비당단가_(1)5"/>
      <sheetName val="Sheet2_(2)5"/>
      <sheetName val="97년_추정6"/>
      <sheetName val="현장관리비_산출내역6"/>
      <sheetName val="2000년_공정표4"/>
      <sheetName val="수_량_명_세_서_-_15"/>
      <sheetName val="광통신_견적내역서14"/>
      <sheetName val="할증_4"/>
      <sheetName val="unit_44"/>
      <sheetName val="1_설계기준5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8_PILE__(돌출)5"/>
      <sheetName val="5_2코핑4"/>
      <sheetName val="배수공_시멘트_및_골재량_산출4"/>
      <sheetName val="7_PILE__(돌출)4"/>
      <sheetName val="P_M_별4"/>
      <sheetName val="CIP_공사5"/>
      <sheetName val="표지_(2)6"/>
      <sheetName val="수량산출서_갑지4"/>
      <sheetName val="DATA_입력부4"/>
      <sheetName val="표지_(3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6__안전관리비10"/>
      <sheetName val="HRSG_SMALL072206"/>
      <sheetName val="교각토공__2_6"/>
      <sheetName val="3_공통공사대비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2차전체변경예정_(2)5"/>
      <sheetName val="단면_(2)5"/>
      <sheetName val="토공유동표(전체_당초)5"/>
      <sheetName val="구조______4"/>
      <sheetName val="b_balju_(2)5"/>
      <sheetName val="노무비_4"/>
      <sheetName val="화재_탐지_설비4"/>
      <sheetName val="Customer_Databas4"/>
      <sheetName val="4_LINE4"/>
      <sheetName val="7_th4"/>
      <sheetName val="_갑지4"/>
      <sheetName val="4_일위대가집계4"/>
      <sheetName val="내역서_제출4"/>
      <sheetName val="A_LINE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2_교량(신설)4"/>
      <sheetName val="EQUIP_LIST4"/>
      <sheetName val="일위대가_(PM)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제출내역_(2)4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2_2_오피스텔(12~32F)4"/>
      <sheetName val="일위대가_집계표4"/>
      <sheetName val="6__안전관리비11"/>
      <sheetName val="자__재4"/>
      <sheetName val="개인별_순위표4"/>
      <sheetName val="CM_14"/>
      <sheetName val="기술부_VENDOR_LIST4"/>
      <sheetName val="단계별내역_(2)4"/>
      <sheetName val="2_2_띠장의_설계4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설계기준_및_하중계산3"/>
      <sheetName val="5호광장_(만점)4"/>
      <sheetName val="인천국제_(만점)_(2)4"/>
      <sheetName val="전선_및_전선관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수목데이타_3"/>
      <sheetName val="kimre_scrubber3"/>
      <sheetName val="내역서_(2)3"/>
      <sheetName val="strut_type3"/>
      <sheetName val="한성교회_신축공사(050713)_CheckList3"/>
      <sheetName val="FRP_PIPING_일위대가3"/>
      <sheetName val="9_1지하2층하부보4"/>
      <sheetName val="4_일위대가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4_2_1_마루높이_검토3"/>
      <sheetName val="BOX_본체3"/>
      <sheetName val="Bảng_mã_VT2"/>
      <sheetName val="중기쥰종사_단위단가3"/>
      <sheetName val="STEEL_BOX_단면설계(SEC_8)3"/>
      <sheetName val="6_이토처리시간3"/>
      <sheetName val="울진항공등화_내역서3"/>
      <sheetName val="영흥TL(UP,DOWN)_3"/>
      <sheetName val="일_위_대_가_표3"/>
      <sheetName val="PTVT_(MAU)3"/>
      <sheetName val="총괄집계_3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함열량_db2"/>
      <sheetName val="10_경제성분석2"/>
      <sheetName val="단가_및_재료비3"/>
      <sheetName val="기계_도급내역서2"/>
      <sheetName val="-15_02"/>
      <sheetName val="고객사_관리_코드3"/>
      <sheetName val="사__업__비__수__지__예__산__서2"/>
      <sheetName val="Div26_-_Elect2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모선자재_집계표2"/>
      <sheetName val="재료의_할증2"/>
      <sheetName val="내역서_2"/>
      <sheetName val="공내역_및_견적조건2"/>
      <sheetName val="2_12"/>
      <sheetName val="Khoi_luong2"/>
      <sheetName val="Fr_Revit2"/>
      <sheetName val="NSA_Summary2"/>
      <sheetName val="DonGia_chetao2"/>
      <sheetName val="DonGia_VatTuLK2"/>
      <sheetName val="표__지2"/>
      <sheetName val="D1_2_COF모듈자재_입출재고_(B급)2"/>
      <sheetName val="cong_thuc_tinh_chi_tiet2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Tong_hop"/>
      <sheetName val="NS_Lán_trại"/>
      <sheetName val="Check_cong_no_NC"/>
      <sheetName val="Gia_VLNCMTC"/>
      <sheetName val="[후다_x0001_ _x0010__x0000__x0003_ _x0010__x0000__x0001__x0000__x0010__x0000__x0001_ _x0010__x0000__x0003_"/>
      <sheetName val="Thống kê"/>
      <sheetName val="Sikje_in"/>
      <sheetName val="샌딩_에폭시_도장"/>
      <sheetName val="외주대비_ᨀ晙ԯ"/>
      <sheetName val="유통간부"/>
      <sheetName val="장기"/>
      <sheetName val="수정계획3"/>
      <sheetName val="시작"/>
      <sheetName val="받을어음"/>
      <sheetName val="유가증권"/>
      <sheetName val="대손상각"/>
      <sheetName val="HS"/>
      <sheetName val="Sikje_in_x0005_"/>
      <sheetName val="Tai khoan"/>
      <sheetName val="청_구1"/>
      <sheetName val="7_전산해석결과1"/>
      <sheetName val="4_하중1"/>
      <sheetName val="chi_tiet1"/>
      <sheetName val="PPC_Summary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KET_CAU-_MJV2"/>
      <sheetName val="Ví_dụ"/>
      <sheetName val="Phan_lap_dat"/>
      <sheetName val="Lắp_Ráp"/>
      <sheetName val="SCOPE_OF_WORK"/>
      <sheetName val="대3류_"/>
      <sheetName val="Sàn_T1"/>
      <sheetName val="Lỗ_thông_gió"/>
      <sheetName val="Index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동업계매출속보"/>
      <sheetName val="GI-LIST"/>
      <sheetName val="중기사용료 (2)"/>
      <sheetName val="목창호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Bang TH"/>
      <sheetName val="Shelves"/>
      <sheetName val="0"/>
      <sheetName val="Cọc nhồi"/>
      <sheetName val="MTL(AG)"/>
      <sheetName val="Notes"/>
      <sheetName val="5.NKTC"/>
      <sheetName val="4.BBNT-LĐ"/>
      <sheetName val="01__DATA"/>
      <sheetName val="Tai_khoan"/>
      <sheetName val="중기사용료_(2)"/>
      <sheetName val="BTRA"/>
      <sheetName val="[후다_x0001_ _x0010_"/>
      <sheetName val="외주대비 -석축?????_x0012_[후다내역.XLS]견적표지 (3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_후다_x0001_ _x0010__x0000__x0003"/>
      <sheetName val="5.6 NTKL ĐHKK "/>
      <sheetName val="5.12 NTKL PCCC"/>
      <sheetName val="ThongSo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新规"/>
      <sheetName val="D &amp; W sizes"/>
      <sheetName val="Package1"/>
      <sheetName val="tra_vat_lieu"/>
      <sheetName val="ptvt"/>
      <sheetName val="_후다_x0001_ _x0010_"/>
      <sheetName val="Goc CC"/>
      <sheetName val="Gtvl"/>
      <sheetName val="Thkp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금속및금속창호"/>
      <sheetName val="근생APT-신마감"/>
      <sheetName val="복지관_FIART"/>
      <sheetName val="근생APT-FIART"/>
      <sheetName val="근생-FIART"/>
      <sheetName val="경비_원본"/>
      <sheetName val="중사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내역서변⢳쨁"/>
      <sheetName val="내역서변⢳쉨쨁"/>
      <sheetName val="내역서변⢳쨁"/>
      <sheetName val="내역서변ꙭ _x0000_"/>
      <sheetName val="NOM³"/>
      <sheetName val="NOMֳ"/>
      <sheetName val="Assumptions"/>
      <sheetName val="투찰금액"/>
      <sheetName val="D_B"/>
      <sheetName val="금회_청구사항(기계)"/>
      <sheetName val="기성갑지_(소방)"/>
      <sheetName val="금회_청구사항(소방)"/>
      <sheetName val="K2_site_Total_내역서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06_일위대가목록"/>
      <sheetName val="외주대비x"/>
      <sheetName val="기초입력ԯ"/>
      <sheetName val="수량산출서_x0010_"/>
      <sheetName val="총공사"/>
      <sheetName val="부대표지츀 "/>
      <sheetName val="건_ê"/>
      <sheetName val="조명율ၒ"/>
      <sheetName val="재무가정"/>
      <sheetName val="사전공사"/>
      <sheetName val="Rect. 10"/>
      <sheetName val="제품목록"/>
      <sheetName val="현장´_x0000_Ԁ_x0000_"/>
      <sheetName val="SIL98"/>
      <sheetName val="BD운반거리"/>
      <sheetName val="위생悱"/>
      <sheetName val="IMF Code"/>
      <sheetName val="THMAVT"/>
      <sheetName val="electrical"/>
      <sheetName val="Gia"/>
      <sheetName val="Pag_hal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6PILE__(돌출)8"/>
      <sheetName val="AS포장복구_8"/>
      <sheetName val="설_계8"/>
      <sheetName val="내역(최종본4_5)8"/>
      <sheetName val="0_0ControlSheet8"/>
      <sheetName val="0_1keyAssumption8"/>
      <sheetName val="Sheet1_(2)7"/>
      <sheetName val="입출재고현황_(2)7"/>
      <sheetName val="전차선로_물량표7"/>
      <sheetName val="노원열병합__건축공사기성내역서7"/>
      <sheetName val="1_취수장7"/>
      <sheetName val="_총괄표7"/>
      <sheetName val="96보완계획7_127"/>
      <sheetName val="BSD_(2)7"/>
      <sheetName val="4_내진설계7"/>
      <sheetName val="3BL공동구_수량7"/>
      <sheetName val="실행내역서_7"/>
      <sheetName val="부대입찰_내역서7"/>
      <sheetName val="1__설계조건_2_단면가정_3__하중계산7"/>
      <sheetName val="DATA_입력란7"/>
      <sheetName val="1_설계조건7"/>
      <sheetName val="2_고용보험료산출근거7"/>
      <sheetName val="제잡비_xls7"/>
      <sheetName val="인건비_7"/>
      <sheetName val="콤보박스와_리스트박스의_연결7"/>
      <sheetName val="4_경비_5_영업외수지5"/>
      <sheetName val="_견적서5"/>
      <sheetName val="현장별계약현황('98_10_31)7"/>
      <sheetName val="토공(우물통,기타)_7"/>
      <sheetName val="플랜트_설치7"/>
      <sheetName val="원가계산_(2)7"/>
      <sheetName val="Eq__Mobilization7"/>
      <sheetName val="장비당단가_(1)6"/>
      <sheetName val="Sheet2_(2)6"/>
      <sheetName val="97년_추정7"/>
      <sheetName val="현장관리비_산출내역7"/>
      <sheetName val="2000년_공정표5"/>
      <sheetName val="수_량_명_세_서_-_16"/>
      <sheetName val="광통신_견적내역서15"/>
      <sheetName val="할증_5"/>
      <sheetName val="unit_45"/>
      <sheetName val="1_설계기준6"/>
      <sheetName val="별표_6"/>
      <sheetName val="2_건축6"/>
      <sheetName val="공정표_6"/>
      <sheetName val="설내역서_6"/>
      <sheetName val="프라임_강변역(4,236)5"/>
      <sheetName val="내___역5"/>
      <sheetName val="집_계_표5"/>
      <sheetName val="8_PILE__(돌출)6"/>
      <sheetName val="5_2코핑5"/>
      <sheetName val="배수공_시멘트_및_골재량_산출5"/>
      <sheetName val="7_PILE__(돌출)5"/>
      <sheetName val="P_M_별5"/>
      <sheetName val="CIP_공사6"/>
      <sheetName val="표지_(2)7"/>
      <sheetName val="수량산출서_갑지5"/>
      <sheetName val="DATA_입력부5"/>
      <sheetName val="표지_(3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6__안전관리비12"/>
      <sheetName val="HRSG_SMALL072207"/>
      <sheetName val="교각토공__2_7"/>
      <sheetName val="3_공통공사대비7"/>
      <sheetName val="8_현장관리비6"/>
      <sheetName val="7_안전관리비6"/>
      <sheetName val="하도내역_(철콘)6"/>
      <sheetName val="조건표_(2)6"/>
      <sheetName val="목차_6"/>
      <sheetName val="7__현장관리비_6"/>
      <sheetName val="노무비_근거6"/>
      <sheetName val="임율_Data6"/>
      <sheetName val="2차전체변경예정_(2)6"/>
      <sheetName val="단면_(2)6"/>
      <sheetName val="토공유동표(전체_당초)6"/>
      <sheetName val="구조______5"/>
      <sheetName val="b_balju_(2)6"/>
      <sheetName val="노무비_5"/>
      <sheetName val="화재_탐지_설비5"/>
      <sheetName val="Customer_Databas5"/>
      <sheetName val="4_LINE5"/>
      <sheetName val="7_th5"/>
      <sheetName val="_갑지5"/>
      <sheetName val="4_일위대가집계5"/>
      <sheetName val="내역서_제출5"/>
      <sheetName val="A_LINE5"/>
      <sheetName val="5__현장관리비(new)_5"/>
      <sheetName val="방배동내역_(총괄)5"/>
      <sheetName val="간_지15"/>
      <sheetName val="5__현장관리비_new__5"/>
      <sheetName val="Temporary_Mooring5"/>
      <sheetName val="중기조종사_단위단가6"/>
      <sheetName val="총_원가계산5"/>
      <sheetName val="2_교량(신설)5"/>
      <sheetName val="EQUIP_LIST5"/>
      <sheetName val="일위대가_(PM)4"/>
      <sheetName val="2000_055"/>
      <sheetName val="원내역서_그대로4"/>
      <sheetName val="1_3_1절점좌표5"/>
      <sheetName val="1_1설계기준5"/>
      <sheetName val="1_본부별5"/>
      <sheetName val="기초입력_DATA5"/>
      <sheetName val="재활용_악취_먼지DUCT산출5"/>
      <sheetName val="남양시작동자105노65기1_3화1_24"/>
      <sheetName val="관음목장(제출용)자105인97_54"/>
      <sheetName val="전체내역_(2)4"/>
      <sheetName val="Hyundai_Unit_cost_xls4"/>
      <sheetName val="제출내역_(2)5"/>
      <sheetName val="TABLE_DB4"/>
      <sheetName val="쌍용_data_base4"/>
      <sheetName val="969910(_R)4"/>
      <sheetName val="1062-X방향_4"/>
      <sheetName val="5_정산서5"/>
      <sheetName val="PROJECT_BRIEF4"/>
      <sheetName val="4_장비손료5"/>
      <sheetName val="①idea_pipeline4"/>
      <sheetName val="IMP_통일양식4"/>
      <sheetName val="LYS_통일양식4"/>
      <sheetName val="Xunit_(단위환산)4"/>
      <sheetName val="유통기한_프로그램4"/>
      <sheetName val="2_2_오피스텔(12~32F)5"/>
      <sheetName val="일위대가_집계표5"/>
      <sheetName val="6__안전관리비13"/>
      <sheetName val="자__재5"/>
      <sheetName val="개인별_순위표5"/>
      <sheetName val="CM_15"/>
      <sheetName val="기술부_VENDOR_LIST5"/>
      <sheetName val="단계별내역_(2)5"/>
      <sheetName val="2_2_띠장의_설계5"/>
      <sheetName val="경비_(1)4"/>
      <sheetName val="2F_회의실견적(5_14_일대)4"/>
      <sheetName val="단양_00_아파트-세부내역5"/>
      <sheetName val="VENDOR_LIST4"/>
      <sheetName val="단가_4"/>
      <sheetName val="108_수선비4"/>
      <sheetName val="1차_내역서4"/>
      <sheetName val="중기쥰종사_단위단가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_1지하2층하부보5"/>
      <sheetName val="4_2_1_마루높이_검토4"/>
      <sheetName val="4_일위대가5"/>
      <sheetName val="BOX_본체4"/>
      <sheetName val="STEEL_BOX_단면설계(SEC_8)4"/>
      <sheetName val="6_이토처리시간4"/>
      <sheetName val="울진항공등화_내역서4"/>
      <sheetName val="영흥TL(UP,DOWN)_4"/>
      <sheetName val="일_위_대_가_표4"/>
      <sheetName val="PTVT_(MAU)4"/>
      <sheetName val="설계기준_및_하중계산4"/>
      <sheetName val="5호광장_(만점)5"/>
      <sheetName val="인천국제_(만점)_(2)5"/>
      <sheetName val="전선_및_전선관4"/>
      <sheetName val="Sight_n_M_H4"/>
      <sheetName val="매출요약(월별)_-년간4"/>
      <sheetName val="Piping_Design_Data4"/>
      <sheetName val="4_&amp;_10-inch,_CO2_Combo_&amp;_Sweep4"/>
      <sheetName val="1_䷨수장4"/>
      <sheetName val="4_뀴진설Ⳅ4"/>
      <sheetName val="전䰨선로_물량표4"/>
      <sheetName val="㶀대입찰_내역서4"/>
      <sheetName val="수목데이타_4"/>
      <sheetName val="내역서_(2)4"/>
      <sheetName val="총괄집계_4"/>
      <sheetName val="kimre_scrubber4"/>
      <sheetName val="strut_type4"/>
      <sheetName val="한성교회_신축공사(050713)_CheckList4"/>
      <sheetName val="FRP_PIPING_일위대가4"/>
      <sheetName val="MP_MOB4"/>
      <sheetName val="명일작업계획_(3)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함열량_db3"/>
      <sheetName val="10_경제성분석3"/>
      <sheetName val="단가_및_재료비4"/>
      <sheetName val="기계_도급내역서3"/>
      <sheetName val="-15_03"/>
      <sheetName val="고객사_관리_코드4"/>
      <sheetName val="Div26_-_Elect3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모선자재_집계표3"/>
      <sheetName val="재료의_할증3"/>
      <sheetName val="내역서_3"/>
      <sheetName val="사__업__비__수__지__예__산__서3"/>
      <sheetName val="표__지3"/>
      <sheetName val="D1_2_COF모듈자재_입출재고_(B급)3"/>
      <sheetName val="공내역_및_견적조건3"/>
      <sheetName val="2_13"/>
      <sheetName val="Bảng_mã_VT3"/>
      <sheetName val="Khoi_luong3"/>
      <sheetName val="DonGia_chetao3"/>
      <sheetName val="DonGia_VatTuLK3"/>
      <sheetName val="Fr_Revit3"/>
      <sheetName val="NSA_Summary3"/>
      <sheetName val="cong_thuc_tinh_chi_tiet3"/>
      <sheetName val="청_구2"/>
      <sheetName val="7_전산해석결과2"/>
      <sheetName val="4_하중2"/>
      <sheetName val="chi_tiet2"/>
      <sheetName val="PPC_Summary2"/>
      <sheetName val="Gia_VLNCMTC1"/>
      <sheetName val="기존단가_(2)2"/>
      <sheetName val="_IL-3_XLSY갑지5"/>
      <sheetName val="97_사업추정(WEKI)1"/>
      <sheetName val="KET_CAU-_MJV21"/>
      <sheetName val="Ví_dụ1"/>
      <sheetName val="Tong_hop1"/>
      <sheetName val="Phan_lap_dat1"/>
      <sheetName val="Lắp_Ráp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BEND_LOSS1"/>
      <sheetName val="신평리_권리자명부1"/>
      <sheetName val="_ｹ-ﾌﾞﾙ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토공_total1"/>
      <sheetName val="TRAY_헹거산출1"/>
      <sheetName val="Bang_gia_2011_10_12"/>
      <sheetName val="중기사용료_(2)1"/>
      <sheetName val="99_조정금액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일위(열차무선)"/>
      <sheetName val="(A)내역서"/>
      <sheetName val="분뇨"/>
      <sheetName val="구의동공내역서"/>
      <sheetName val="__"/>
      <sheetName val="운동장 (2)"/>
      <sheetName val="일대목록표"/>
      <sheetName val="99년원가"/>
      <sheetName val="산출(1~20)"/>
      <sheetName val="신고조서"/>
      <sheetName val="판정1교토공"/>
      <sheetName val="특별땅고르기"/>
      <sheetName val="직접공사비"/>
      <sheetName val="조인트"/>
      <sheetName val="데리네И̏䨸ɟ"/>
      <sheetName val="주공 갑지"/>
      <sheetName val="마스터02"/>
      <sheetName val="O＆P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투자효율분석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BOQFinishing"/>
      <sheetName val="일반전기"/>
      <sheetName val="HVAC"/>
      <sheetName val="Elec LG"/>
      <sheetName val="Ref"/>
      <sheetName val="운동장_(2)"/>
      <sheetName val="외주대비_-석É"/>
      <sheetName val="ESTI."/>
      <sheetName val="1.Requisition(E)"/>
      <sheetName val="dtct cong"/>
      <sheetName val="単価表"/>
      <sheetName val="SLCONG"/>
      <sheetName val="SLGA"/>
      <sheetName val="DG"/>
      <sheetName val="NHÀ NHẬP LIỆU"/>
      <sheetName val="MÓNG SILO"/>
      <sheetName val="電気設備表"/>
      <sheetName val="DI_ESTI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Doi so"/>
      <sheetName val="手动计画"/>
      <sheetName val="DTCT"/>
      <sheetName val="TL rieng"/>
      <sheetName val="8월차잔"/>
      <sheetName val="시설이용권명세서"/>
      <sheetName val="전기일위목록"/>
      <sheetName val="Kihon-Jiko"/>
      <sheetName val="PL Vua"/>
      <sheetName val="조선용암면"/>
      <sheetName val="CODE-LIST"/>
      <sheetName val="Basic Wage"/>
      <sheetName val="Menber List"/>
      <sheetName val="보도내 "/>
      <sheetName val="Measure 1306"/>
      <sheetName val="DAF-2"/>
      <sheetName val="DM.ChiPhi"/>
      <sheetName val="GIAVLIEU"/>
      <sheetName val="수정_x0000__x0000_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태화42_1"/>
      <sheetName val="외주현황_wq11"/>
      <sheetName val="220_(2)1"/>
      <sheetName val="토__공1"/>
      <sheetName val="3_관로전환기1"/>
      <sheetName val="F_월별기성수금현황_1"/>
      <sheetName val="내역서1999_8최종1"/>
      <sheetName val="3_전기산출기초1"/>
      <sheetName val="_1"/>
      <sheetName val="금회_청구사항(기계)1"/>
      <sheetName val="기성갑지_(소방)1"/>
      <sheetName val="금회_청구사항(소방)1"/>
      <sheetName val="D_B1"/>
      <sheetName val="1_청구서1"/>
      <sheetName val="2_내역서1"/>
      <sheetName val="1_11"/>
      <sheetName val="K2_site_Total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원가 (2)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공사비대비표(을지)"/>
      <sheetName val="설비원가"/>
      <sheetName val="연령현황"/>
      <sheetName val="코드일람표"/>
      <sheetName val="전_x0000_"/>
      <sheetName val="표지 (3_x0005_"/>
      <sheetName val="_x0000__x0008__x0000__x0005__x0000_"/>
      <sheetName val="_x0000__x0004__x0000__x0004__x0000_"/>
      <sheetName val="_x0000__x0003__x0000__x0004__x0000__x0000__x0000__x0000_"/>
      <sheetName val="1공구_건정토건_토_x0000__x0000_"/>
      <sheetName val="자재단가표"/>
      <sheetName val="gyun"/>
      <sheetName val="갑漅⿊"/>
      <sheetName val="18.궤도재료"/>
      <sheetName val="교각怀"/>
      <sheetName val="내역 "/>
      <sheetName val="기본데이타입력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2.입력sheet"/>
      <sheetName val="시멘혷_xdf67__x0000__x0000_"/>
      <sheetName val="시멘혾_xdf67__x0000__x0000_"/>
      <sheetName val="위생䲀æ"/>
      <sheetName val="현장´"/>
      <sheetName val="표지 ¬_x0000__x0000_"/>
      <sheetName val="본댐설계"/>
      <sheetName val="변경요청내역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[회다내역,X켊楳켎攳嶪剃嶮布쵌섌)"/>
      <sheetName val="3BL공동구__x0000__x0000_"/>
      <sheetName val="외Å_x0000_怀"/>
      <sheetName val="측구_x0000_"/>
      <sheetName val="홈용접표"/>
      <sheetName val="수정시산표"/>
      <sheetName val="교각¾_x0000_"/>
      <sheetName val="단가(강재운_x0000__x0000_"/>
      <sheetName val="변경갑지"/>
      <sheetName val="증감(갑지)"/>
      <sheetName val="급수공사"/>
      <sheetName val="가시설흙막이"/>
      <sheetName val="토목집계(1)"/>
      <sheetName val="수량산출서"/>
      <sheetName val="Rect__10"/>
      <sheetName val="1-"/>
      <sheetName val="내"/>
      <sheetName val="부대표지츀_얈"/>
      <sheetName val="부대표지츀_篐"/>
      <sheetName val="장비명"/>
      <sheetName val="1차3회-개소별명세서-빨간색-인쇄용(2187_x0000__x0000_"/>
      <sheetName val="피벗테이블데이터분석"/>
      <sheetName val="PMT"/>
      <sheetName val="간접비 총괄표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적용환율"/>
      <sheetName val="PRECAST lightconc-II"/>
      <sheetName val="3. CNT"/>
      <sheetName val="unit price list(M)"/>
      <sheetName val="General2"/>
      <sheetName val="Breakdown (B)"/>
      <sheetName val="NS"/>
      <sheetName val="NKC6"/>
      <sheetName val="건_裪选"/>
      <sheetName val="건_䃪氼᠝"/>
      <sheetName val="내역서(부대공사)"/>
      <sheetName val="1공구_건정토건_철_x0000__x0000_"/>
      <sheetName val="TỔNG HỢP"/>
      <sheetName val="C.MECHANICAL"/>
      <sheetName val="TEMP"/>
      <sheetName val="Cable임피던스"/>
      <sheetName val="견적대비"/>
      <sheetName val="NX01"/>
      <sheetName val="Du thau"/>
      <sheetName val="1.관로"/>
      <sheetName val="일위수량"/>
      <sheetName val="입찰품_x0005__x0000_"/>
      <sheetName val="입찰품誀걜"/>
      <sheetName val="입찰품紴"/>
      <sheetName val="Sikje_in_x005f_x0005__x005f_x0000_"/>
      <sheetName val="CԀ_x005f_x0000_缀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TAIKHOAN"/>
      <sheetName val="Pipe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escon"/>
      <sheetName val="thông tin"/>
      <sheetName val="tifico"/>
      <sheetName val="RAB AR&amp;STR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48_x005f_x0005_"/>
      <sheetName val="_후다_x005f_x0001_ _x005f_x0010__x005f_x0000__x0003"/>
      <sheetName val="Names"/>
      <sheetName val="07_Themal"/>
      <sheetName val="단가산출서(토공사)"/>
      <sheetName val="제작계획"/>
      <sheetName val="수⋜Ɇ녈"/>
      <sheetName val="1공구_건정토건_철槜〩"/>
      <sheetName val="1공구_건정토건_철㑸4"/>
      <sheetName val="토목내역서 (도급단가) (2)"/>
      <sheetName val="외Å_x0000_"/>
      <sheetName val="외Å_x0000_退"/>
      <sheetName val="인원계획-미화"/>
      <sheetName val="4ⶌ쌈"/>
      <sheetName val="4_x0000__x0000_Ԁ"/>
      <sheetName val="[후다내역.XLS]__H1775_c_ESTI96____2"/>
      <sheetName val="일위대가 "/>
      <sheetName val="_x0015__x0000_"/>
      <sheetName val="9-1❬ǻ_xdbf8_ἐ"/>
      <sheetName val="신축이음"/>
      <sheetName val="업무량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전도금청구서"/>
      <sheetName val="2월"/>
      <sheetName val="산출내력"/>
      <sheetName val="4.수량산출서"/>
      <sheetName val="단가多〒_x0005_"/>
      <sheetName val="외주정비"/>
      <sheetName val="전문품의"/>
      <sheetName val="const."/>
      <sheetName val="특기시방서"/>
      <sheetName val="인력소운반"/>
      <sheetName val="흥양2교토_x0000_h曘ʹ"/>
      <sheetName val="흥양2교토_x0000__x0000__x0005__x0000_"/>
      <sheetName val="인부노임"/>
      <sheetName val="안양동교 1안"/>
      <sheetName val="건축일"/>
      <sheetName val="2. 주요공지（主要公告）"/>
      <sheetName val="건축(을)"/>
      <sheetName val="자동제_x0000_"/>
      <sheetName val="만봉용지매수비(총괄)"/>
      <sheetName val="도급표지É_x0000__x0000__x0001_Ԁ"/>
      <sheetName val="단가(기자재)"/>
      <sheetName val="공사추진현황"/>
      <sheetName val="자재기성 신청서.xlsx"/>
      <sheetName val="SP-¬_x0000_"/>
      <sheetName val="GRD_x0000__x0000_"/>
      <sheetName val="품À_x0000_"/>
      <sheetName val="A 견적"/>
      <sheetName val="2월분"/>
      <sheetName val="4.예산내역서"/>
      <sheetName val="개략"/>
      <sheetName val="표준공사비-조명제외x10%up"/>
      <sheetName val="관공일위대가"/>
      <sheetName val="산출(토공‥"/>
      <sheetName val="양수장내역"/>
      <sheetName val="SP-ኬ_x0002_"/>
      <sheetName val="SP-咬⶘"/>
      <sheetName val="흥양2교토"/>
      <sheetName val="도급표지É"/>
      <sheetName val="입찰내역 발주처 양식"/>
      <sheetName val="수배전(갑)"/>
      <sheetName val="세목전체"/>
      <sheetName val="eq_da_x0000__x0000_"/>
      <sheetName val="청산공사"/>
      <sheetName val="기본"/>
      <sheetName val="BREAKDOW"/>
      <sheetName val="BREAKDOW頀ᵛ瀞囏_x001c_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4_내진_x0005__x0000_"/>
      <sheetName val="Parameters"/>
      <sheetName val="02_EqptCost"/>
      <sheetName val="견적(._x0000__x0000_"/>
      <sheetName val="2_대외ɡ_x0000_က"/>
      <sheetName val="2_대외ⱔⰀ"/>
      <sheetName val="가설재손료"/>
      <sheetName val="정보매체A동"/>
      <sheetName val="옥외 전력간선공사"/>
      <sheetName val="2.교_x0000__x0000__xdd08_̚벝"/>
      <sheetName val="벽체면적당일위Á_x0000_"/>
      <sheetName val="보안등"/>
      <sheetName val="인부신상ĺ"/>
      <sheetName val="말고개터널조명전¬_x0000_Ԁ"/>
      <sheetName val="BH-1 (2)"/>
      <sheetName val="내역서_x0000__x0000_Ԁ_x0000_"/>
      <sheetName val="CTEၒ_x0000__x0000__x0000__x0000_"/>
      <sheetName val="barchart"/>
      <sheetName val="Matls"/>
      <sheetName val="Labor"/>
      <sheetName val="건축2"/>
      <sheetName val="구조물타공濐̉"/>
      <sheetName val="[후다내역.XLS]__H1775_c_ESTI96____3"/>
      <sheetName val="식재鱸þ"/>
      <sheetName val="식재雨ē"/>
      <sheetName val="0_0Control렌㟳䠓䒆_x0013__x0000_"/>
      <sheetName val="0_0Control뀌欨砓﹮_x0012__x0000_"/>
      <sheetName val="0_0Control㠌ᅝ逜㓿_x001c__x0000_"/>
      <sheetName val="0_0Control㠌ᅝ퀜㔋_x001c__x0000_"/>
      <sheetName val="5-8공구"/>
      <sheetName val="_________x005f_x0000__x005f_x0000__x005f_x0000__2"/>
      <sheetName val="NOM³_x005f_x0000_Ԁ"/>
      <sheetName val="NOMֳ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편입조서"/>
      <sheetName val="식재_x0002_"/>
      <sheetName val="[후다내역.XLS]__H1775_c_ESTI96____4"/>
      <sheetName val="간지1"/>
      <sheetName val="1.사유서"/>
      <sheetName val="간지2"/>
      <sheetName val="간지3"/>
      <sheetName val="부재별집계표"/>
      <sheetName val="도면"/>
      <sheetName val="외주대비-က辏_xda68__x0000_Ԁ耙"/>
      <sheetName val="대ꮸ"/>
      <sheetName val="ARCH"/>
      <sheetName val="일위대가목׃"/>
      <sheetName val="A1내역_총괄표"/>
      <sheetName val="시설_x0000__x0000__x0005_"/>
      <sheetName val="부대공(집계)"/>
      <sheetName val="대莈"/>
      <sheetName val="대耨"/>
      <sheetName val="1공구_건정토건_철槜〽"/>
      <sheetName val="수지"/>
      <sheetName val="PPS2"/>
      <sheetName val="직공_x0000_"/>
      <sheetName val=" 견적Ⴗ"/>
      <sheetName val="Budget Code"/>
      <sheetName val="Phu cap"/>
      <sheetName val="3차토목ꊆ"/>
      <sheetName val="간접경_x0000_薔"/>
      <sheetName val="FAB4생산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데이터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영업점별목표산출"/>
      <sheetName val="손익분기점 데이터"/>
      <sheetName val="매각대상자산 청산가치"/>
      <sheetName val="生产量"/>
      <sheetName val="计划原单位"/>
      <sheetName val="명부"/>
      <sheetName val="배부전원가표"/>
      <sheetName val="전년대비"/>
      <sheetName val="판매목표"/>
      <sheetName val="J형측구단위수량"/>
      <sheetName val="폐기물"/>
      <sheetName val="T13(P68~72,78)"/>
      <sheetName val="1공구_건정토건_䘂꫼"/>
      <sheetName val="1공구_건정토건__x0000__x0000__x0000_"/>
      <sheetName val="1공구_건정토건__x0000__x0000_Ԁ"/>
      <sheetName val="외Å"/>
      <sheetName val="교각토ꙭ"/>
      <sheetName val="사용현황"/>
      <sheetName val="용역비내역-진짜"/>
      <sheetName val="2000년 임금추정"/>
      <sheetName val="6MONTHS"/>
      <sheetName val="PTDM"/>
      <sheetName val="dropdown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MAIN GATE HOUSE"/>
      <sheetName val="우,숤수"/>
      <sheetName val="***********************00"/>
      <sheetName val="01__DATA2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대3류_2"/>
      <sheetName val="외주대비_ᨀ晙ԯ3"/>
      <sheetName val="3_단가산출서2"/>
      <sheetName val="4_단가산출기초2"/>
      <sheetName val="H__MECHANICAL2"/>
      <sheetName val="J__FIRE_FIGHTING2"/>
      <sheetName val="Sàn_T12"/>
      <sheetName val="Lỗ_thông_gió2"/>
      <sheetName val="Thống_kê2"/>
      <sheetName val="Tai_khoan2"/>
      <sheetName val="Bang_gia_2011_10_121"/>
      <sheetName val="중기사용료_(2)2"/>
      <sheetName val="投标材料清单_1"/>
      <sheetName val="ጊ후다내역_XLS]0_0ControlSheet31"/>
      <sheetName val="Dầm_11"/>
      <sheetName val="Unit_Rate(non_print)1"/>
      <sheetName val="Cọc_nhồi1"/>
      <sheetName val="5_6_NTKL_ĐHKK_1"/>
      <sheetName val="5_12_NTKL_PCCC1"/>
      <sheetName val="5_NKTC1"/>
      <sheetName val="4_BBNT-LĐ1"/>
      <sheetName val="외주대비_-석축???_x1"/>
      <sheetName val="D_&amp;_W_sizes1"/>
      <sheetName val="Goc_CC1"/>
      <sheetName val="Sàn_tầng_01_(_old_)1"/>
      <sheetName val="Gia_thanh_chuoi_su1"/>
      <sheetName val="Tiep_dia1"/>
      <sheetName val="Don_gia_vung_III-Can_Tho1"/>
      <sheetName val="TH_MEP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운동장_(2)1"/>
      <sheetName val="외주대비_-석É1"/>
      <sheetName val="IMF_Code1"/>
      <sheetName val="Elec_LG"/>
      <sheetName val="ESTI_"/>
      <sheetName val="1_Requisition(E)"/>
      <sheetName val="dtct_cong"/>
      <sheetName val="NHÀ_NHẬP_LIỆU"/>
      <sheetName val="MÓNG_SIL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Doi_so"/>
      <sheetName val="TL_rieng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보도내역_x0000__x0000_Ԁ_x0000_က"/>
      <sheetName val="부대표지_"/>
      <sheetName val="2.교"/>
      <sheetName val="내역서변_x0000__x0000_鷐"/>
      <sheetName val="공사내용"/>
      <sheetName val="환산표"/>
      <sheetName val="Bab泅啢堀㭔_"/>
      <sheetName val="장비종합부표"/>
      <sheetName val="집계표_식재"/>
      <sheetName val="부표"/>
      <sheetName val="DFA"/>
      <sheetName val="T.KE CP1"/>
      <sheetName val="Bang_TH1"/>
      <sheetName val="외주대비_-석축_x005f_x0000__x005f_x0000__x005f_x0000__x"/>
      <sheetName val="주공_갑지1"/>
      <sheetName val="5_2_6~7공사요율1"/>
      <sheetName val="04_12월건강보험(일용직)1"/>
      <sheetName val="1_내역(청_하역장전등)1"/>
      <sheetName val="2_원가집계1"/>
      <sheetName val="C_MECHANICAL"/>
      <sheetName val="Measure_1306"/>
      <sheetName val="DM_ChiPhi"/>
      <sheetName val="Basic_Wage"/>
      <sheetName val="Menber_List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보도내_1"/>
      <sheetName val="PL_Vua"/>
      <sheetName val="Du_thau"/>
      <sheetName val="1_관로"/>
      <sheetName val="입찰품"/>
      <sheetName val="TỔNG_HỢP"/>
      <sheetName val="ጊ후다내역_XLS_0_0ControlSheet31"/>
      <sheetName val="외주대비_-석축____x1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PRECAST_lightconc-II"/>
      <sheetName val="3__CNT"/>
      <sheetName val="unit_price_list(M)"/>
      <sheetName val="Breakdown_(B)"/>
      <sheetName val="RAB_AR&amp;STR"/>
      <sheetName val="thông_tin"/>
      <sheetName val="_후다_x005f_x0001___x005f_x0010__x005f_x0000__x0003"/>
      <sheetName val="Nhan_cong"/>
      <sheetName val="Thiet_bi"/>
      <sheetName val="Vat_tu"/>
      <sheetName val="May_TC"/>
      <sheetName val="Bang_KL"/>
      <sheetName val="TH_Kinh_phi"/>
      <sheetName val="cataloge_moi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0_0ControlSheet10"/>
      <sheetName val="0_1keyAssumption10"/>
      <sheetName val="4_내진설계9"/>
      <sheetName val="Sheet1_(2)9"/>
      <sheetName val="1_취수장9"/>
      <sheetName val="BSD_(2)9"/>
      <sheetName val="4_경비_5_영업외수지7"/>
      <sheetName val="_견적서7"/>
      <sheetName val="1__설계조건_2_단면가정_3__하중계산9"/>
      <sheetName val="DATA_입력란9"/>
      <sheetName val="실행내역서_9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토공(우물통,기타)_9"/>
      <sheetName val="현장관리비_산출내역9"/>
      <sheetName val="현장별계약현황('98_10_31)9"/>
      <sheetName val="97년_추정9"/>
      <sheetName val="Eq__Mobilization9"/>
      <sheetName val="원가계산_(2)9"/>
      <sheetName val="1_설계조건9"/>
      <sheetName val="광통신_견적내역서17"/>
      <sheetName val="할증_7"/>
      <sheetName val="노원열병합__건축공사기성내역서9"/>
      <sheetName val="unit_47"/>
      <sheetName val="플랜트_설치9"/>
      <sheetName val="1_설계기준8"/>
      <sheetName val="콤보박스와_리스트박스의_연결9"/>
      <sheetName val="별표_8"/>
      <sheetName val="수_량_명_세_서_-_18"/>
      <sheetName val="2_건축8"/>
      <sheetName val="공정표_8"/>
      <sheetName val="설내역서_8"/>
      <sheetName val="프라임_강변역(4,236)7"/>
      <sheetName val="내___역7"/>
      <sheetName val="집_계_표7"/>
      <sheetName val="8_PILE__(돌출)8"/>
      <sheetName val="2000년_공정표7"/>
      <sheetName val="5_2코핑7"/>
      <sheetName val="배수공_시멘트_및_골재량_산출7"/>
      <sheetName val="7_PILE__(돌출)7"/>
      <sheetName val="P_M_별7"/>
      <sheetName val="CIP_공사8"/>
      <sheetName val="표지_(2)9"/>
      <sheetName val="수량산출서_갑지7"/>
      <sheetName val="DATA_입력부7"/>
      <sheetName val="표지_(3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6__안전관리비16"/>
      <sheetName val="HRSG_SMALL072209"/>
      <sheetName val="교각토공__2_9"/>
      <sheetName val="3_공통공사대비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2차전체변경예정_(2)8"/>
      <sheetName val="단면_(2)8"/>
      <sheetName val="토공유동표(전체_당초)8"/>
      <sheetName val="구조______7"/>
      <sheetName val="b_balju_(2)8"/>
      <sheetName val="노무비_7"/>
      <sheetName val="화재_탐지_설비7"/>
      <sheetName val="Customer_Databas7"/>
      <sheetName val="4_LINE7"/>
      <sheetName val="7_th7"/>
      <sheetName val="_갑지7"/>
      <sheetName val="4_일위대가집계7"/>
      <sheetName val="내역서_제출7"/>
      <sheetName val="A_LINE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총_원가계산7"/>
      <sheetName val="2_교량(신설)7"/>
      <sheetName val="EQUIP_LIST7"/>
      <sheetName val="일위대가_(PM)6"/>
      <sheetName val="2000_057"/>
      <sheetName val="원내역서_그대로6"/>
      <sheetName val="1_3_1절점좌표7"/>
      <sheetName val="1_1설계기준7"/>
      <sheetName val="1_본부별7"/>
      <sheetName val="기초입력_DATA7"/>
      <sheetName val="재활용_악취_먼지DUCT산출7"/>
      <sheetName val="남양시작동자105노65기1_3화1_26"/>
      <sheetName val="관음목장(제출용)자105인97_56"/>
      <sheetName val="전체내역_(2)6"/>
      <sheetName val="Hyundai_Unit_cost_xls6"/>
      <sheetName val="제출내역_(2)7"/>
      <sheetName val="TABLE_DB6"/>
      <sheetName val="쌍용_data_base6"/>
      <sheetName val="969910(_R)6"/>
      <sheetName val="1062-X방향_6"/>
      <sheetName val="5_정산서7"/>
      <sheetName val="PROJECT_BRIEF6"/>
      <sheetName val="4_장비손료7"/>
      <sheetName val="단가_6"/>
      <sheetName val="108_수선비6"/>
      <sheetName val="①idea_pipeline6"/>
      <sheetName val="IMP_통일양식6"/>
      <sheetName val="LYS_통일양식6"/>
      <sheetName val="Xunit_(단위환산)6"/>
      <sheetName val="유통기한_프로그램6"/>
      <sheetName val="단양_00_아파트-세부내역7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2_2_띠장의_설계7"/>
      <sheetName val="경비_(1)6"/>
      <sheetName val="2F_회의실견적(5_14_일대)6"/>
      <sheetName val="VENDOR_LIST6"/>
      <sheetName val="설계기준_및_하중계산6"/>
      <sheetName val="5호광장_(만점)7"/>
      <sheetName val="인천국제_(만점)_(2)7"/>
      <sheetName val="전선_및_전선관6"/>
      <sheetName val="Sight_n_M_H6"/>
      <sheetName val="매출요약(월별)_-년간6"/>
      <sheetName val="Piping_Design_Data6"/>
      <sheetName val="4_&amp;_10-inch,_CO2_Combo_&amp;_Sweep6"/>
      <sheetName val="1_䷨수장6"/>
      <sheetName val="4_뀴진설Ⳅ6"/>
      <sheetName val="전䰨선로_물량표6"/>
      <sheetName val="㶀대입찰_내역서6"/>
      <sheetName val="수목데이타_6"/>
      <sheetName val="내역서_(2)6"/>
      <sheetName val="총괄집계_6"/>
      <sheetName val="kimre_scrubber6"/>
      <sheetName val="strut_type6"/>
      <sheetName val="한성교회_신축공사(050713)_CheckList6"/>
      <sheetName val="FRP_PIPING_일위대가6"/>
      <sheetName val="9_1지하2층하부보7"/>
      <sheetName val="4_일위대가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4_2_1_마루높이_검토6"/>
      <sheetName val="BOX_본체6"/>
      <sheetName val="MP_MOB6"/>
      <sheetName val="명일작업계획_(3)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세골재__T2_변경_현황6"/>
      <sheetName val="전화공사_공량_및_집계표6"/>
      <sheetName val="참조_(2)6"/>
      <sheetName val="6__직접경비6"/>
      <sheetName val="대가_(보완)6"/>
      <sheetName val="3_자재비(총괄)6"/>
      <sheetName val="제조_경영6"/>
      <sheetName val="4_전기6"/>
      <sheetName val="노_무_비6"/>
      <sheetName val="미납품_현황6"/>
      <sheetName val="신설개소별_총집계표(동해-배전)6"/>
      <sheetName val="용선_C_L6"/>
      <sheetName val="전_체6"/>
      <sheetName val="STEEL_BOX_단면설계(SEC_8)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함열량_db5"/>
      <sheetName val="10_경제성분석5"/>
      <sheetName val="단가_및_재료비6"/>
      <sheetName val="기계_도급내역서5"/>
      <sheetName val="-15_05"/>
      <sheetName val="6_이토처리시간6"/>
      <sheetName val="울진항공등화_내역서6"/>
      <sheetName val="영흥TL(UP,DOWN)_6"/>
      <sheetName val="일_위_대_가_표6"/>
      <sheetName val="고객사_관리_코드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중기쥰종사_단위단가6"/>
      <sheetName val="1차_내역서6"/>
      <sheetName val="PTVT_(MAU)6"/>
      <sheetName val="사__업__비__수__지__예__산__서5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Tong_hop3"/>
      <sheetName val="NS_Lán_trại3"/>
      <sheetName val="Check_cong_no_NC3"/>
      <sheetName val="Div26_-_Elect5"/>
      <sheetName val="Fr_Revit5"/>
      <sheetName val="NSA_Summary5"/>
      <sheetName val="DonGia_chetao5"/>
      <sheetName val="DonGia_VatTuLK5"/>
      <sheetName val="모선자재_집계표5"/>
      <sheetName val="재료의_할증5"/>
      <sheetName val="내역서_5"/>
      <sheetName val="공내역_및_견적조건5"/>
      <sheetName val="2_15"/>
      <sheetName val="Bảng_mã_VT5"/>
      <sheetName val="Khoi_luong5"/>
      <sheetName val="청_구4"/>
      <sheetName val="7_전산해석결과4"/>
      <sheetName val="4_하중4"/>
      <sheetName val="표__지5"/>
      <sheetName val="D1_2_COF모듈자재_입출재고_(B급)5"/>
      <sheetName val="기존단가_(2)4"/>
      <sheetName val="chi_tiet4"/>
      <sheetName val="PPC_Summary4"/>
      <sheetName val="Phan_lap_dat3"/>
      <sheetName val="Lắp_Ráp3"/>
      <sheetName val="97_사업추정(WEKI)3"/>
      <sheetName val="cong_thuc_tinh_chi_tiet5"/>
      <sheetName val="Gia_VLNCMTC3"/>
      <sheetName val="샌딩_에폭시_도장4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_IL-3_XLSY갑지7"/>
      <sheetName val="KET_CAU-_MJV23"/>
      <sheetName val="Ví_dụ3"/>
      <sheetName val="SCOPE_OF_WORK3"/>
      <sheetName val="대3류_3"/>
      <sheetName val="외주대비_ᨀ晙ԯ4"/>
      <sheetName val="3_단가산출서3"/>
      <sheetName val="4_단가산출기초3"/>
      <sheetName val="BEND_LOSS3"/>
      <sheetName val="신평리_권리자명부3"/>
      <sheetName val="_ｹ-ﾌﾞﾙ3"/>
      <sheetName val="01__DATA3"/>
      <sheetName val="H__MECHANICAL3"/>
      <sheetName val="J__FIRE_FIGHTING3"/>
      <sheetName val="토공_total3"/>
      <sheetName val="TRAY_헹거산출3"/>
      <sheetName val="Sàn_T13"/>
      <sheetName val="Lỗ_thông_gió3"/>
      <sheetName val="Thống_kê3"/>
      <sheetName val="Tai_khoan3"/>
      <sheetName val="Bang_gia_2011_10_122"/>
      <sheetName val="중기사용료_(2)3"/>
      <sheetName val="99_조정금액3"/>
      <sheetName val="投标材料清单_2"/>
      <sheetName val="ጊ후다내역_XLS]0_0ControlSheet32"/>
      <sheetName val="Dầm_12"/>
      <sheetName val="Unit_Rate(non_print)2"/>
      <sheetName val="Cọc_nhồi2"/>
      <sheetName val="Bang_TH2"/>
      <sheetName val="5_6_NTKL_ĐHKK_2"/>
      <sheetName val="5_12_NTKL_PCCC2"/>
      <sheetName val="Sàn_tầng_01_(_old_)2"/>
      <sheetName val="5_NKTC2"/>
      <sheetName val="4_BBNT-LĐ2"/>
      <sheetName val="D_&amp;_W_sizes2"/>
      <sheetName val="Goc_CC2"/>
      <sheetName val="Gia_thanh_chuoi_su2"/>
      <sheetName val="Tiep_dia2"/>
      <sheetName val="Don_gia_vung_III-Can_Tho2"/>
      <sheetName val="TH_MEP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운동장_(2)2"/>
      <sheetName val="외주대비_-석É2"/>
      <sheetName val="외주대비_-석축???_x2"/>
      <sheetName val="IMF_Code2"/>
      <sheetName val="외주대비_-석축_x005f_x0000__x005f_x0000__x005f_x0000__1"/>
      <sheetName val="Elec_LG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ESTI_1"/>
      <sheetName val="Doi_so1"/>
      <sheetName val="1_Requisition(E)1"/>
      <sheetName val="dtct_cong1"/>
      <sheetName val="TL_rieng1"/>
      <sheetName val="주공_갑지2"/>
      <sheetName val="5_2_6~7공사요율2"/>
      <sheetName val="04_12월건강보험(일용직)2"/>
      <sheetName val="1_내역(청_하역장전등)2"/>
      <sheetName val="2_원가집계2"/>
      <sheetName val="C_MECHANICAL1"/>
      <sheetName val="Measure_13061"/>
      <sheetName val="DM_ChiPhi1"/>
      <sheetName val="NHÀ_NHẬP_LIỆU1"/>
      <sheetName val="MÓNG_SILO1"/>
      <sheetName val="Basic_Wage1"/>
      <sheetName val="Menber_List1"/>
      <sheetName val="05_유류비자금청구(완)2"/>
      <sheetName val="19_07월_세_계2"/>
      <sheetName val="19_07항목별(시트복사금지100번쓰기)2"/>
      <sheetName val="19_05월2"/>
      <sheetName val="grid_(1)2"/>
      <sheetName val="경율산정_XLS2"/>
      <sheetName val="PAD_TR보호대기초2"/>
      <sheetName val="보도내_2"/>
      <sheetName val="PL_Vua1"/>
      <sheetName val="Du_thau1"/>
      <sheetName val="1_관로1"/>
      <sheetName val="TỔNG_HỢP1"/>
      <sheetName val="ጊ후다내역_XLS_0_0ControlSheet32"/>
      <sheetName val="외주대비_-석축____x2"/>
      <sheetName val="ጳ??Ⴔጳ??Lጴ??_ጵ??_ጶ??ఀጷ??_ጸ?2"/>
      <sheetName val="ጊ??Ⴔጱ??Lጲ??_ድ??nጳ??lጳ??eጴ1"/>
      <sheetName val="ጵ??Ⴔጶ??Lጷ??_ጸ??yጿ??uጿ??iጊ?1"/>
      <sheetName val="ጿ??Ⴔጿ??Lጊ??ېጱ??_ጲ??೵ድ??Ⴔጳ?1"/>
      <sheetName val="ጊ??Ⴔጊ??Lጱ??᳴ጲ??_ድ??ᰕጳ??װጳ1"/>
      <sheetName val="ጶ??Ⴔጷ??Lጸ??_ጿ??_ጿ??_ጊ??2"/>
      <sheetName val="ጿ??Ⴔጊ??Lጱ??Șጲ??ᩘድ??_ጳ??_ጳ?1"/>
      <sheetName val="ድ??Ⴔጳ??Lጳ??_ጴ??ഀጳ??nጳ??_1"/>
      <sheetName val="ጴ??Ⴔጵ??Lጶ??_ጷ??ഀጸ??nጿ??_1"/>
      <sheetName val="ጳ??Ⴔጴ??Lጵ??_ጶ??ᔼጷ??1ጸ??2ጿ?1"/>
      <sheetName val="ጸ??Ⴔጿ??Lጿ??_ጊ??_ጱ??ݴጲ??1"/>
      <sheetName val="ጴ??Ⴔጳ??Lጳ??iጴ??_ጵ??eጶ??e1"/>
      <sheetName val="ጵ??Ⴔጶ??Lጷ??ᝥጸ??Uጿ??Oጿ??_1"/>
      <sheetName val="ጳ??Ⴔጴ??Lጵ??֑ጶ??_ጷ??-ጸ??׭1"/>
      <sheetName val="ጲ??Ⴔድ??Lጳ??_ጳ??᪅ጴ??Șጳ??᧝ጳ1"/>
      <sheetName val="ጸ??Ⴔጿ??Lጿ??_ጊ??᪅ጊ??ႜጱ??1"/>
      <sheetName val="ጴ??Ⴔጵ??Lጶ??_ጷ??ᅸጸ??Ꮙጿ??°ጿ1"/>
      <sheetName val="ጶ??Ⴔጷ??Lጸ??_ጿ??(ጿ??ᅸጊ??)1"/>
      <sheetName val="ጳ??Ⴔጴ??Lጴ??_ፊ??(ጵ??ఀፋ??)1"/>
      <sheetName val="ጱ??Ⴔጲ??Lድ??ެጳ??_ጳ??(ጴ??1"/>
      <sheetName val="ጿ??Ⴔጿ??Lጊ??ᙔጱ??೵ጲ??_ድ??1"/>
      <sheetName val="ጱ??Ⴔጲ??Lድ??ಜጳ??(ጳ??_ጴ??1"/>
      <sheetName val="ጸ??Ⴔጿ??Lጿ??ݴጊ??෼ጱ??_ጲ??1"/>
      <sheetName val="ድ??Ⴔጳ??Lጳ??0ጴ??_ጳ??Iጳ??1"/>
      <sheetName val="ጸ??Ⴔጿ??Lጿ??iጊ??_ጱ??uጲ??r1"/>
      <sheetName val="PRECAST_lightconc-II1"/>
      <sheetName val="Rect__101"/>
      <sheetName val="3__CNT1"/>
      <sheetName val="unit_price_list(M)1"/>
      <sheetName val="Breakdown_(B)1"/>
      <sheetName val="RAB_AR&amp;STR1"/>
      <sheetName val="thông_tin1"/>
      <sheetName val="_후다_x005f_x0001___x005f_x0010__x005f_x0000__x0001"/>
      <sheetName val="Nhan_cong1"/>
      <sheetName val="Thiet_bi1"/>
      <sheetName val="Vat_tu1"/>
      <sheetName val="May_TC1"/>
      <sheetName val="Bang_KL1"/>
      <sheetName val="TH_Kinh_phi1"/>
      <sheetName val="cataloge_moi1"/>
      <sheetName val="PTdam"/>
      <sheetName val="Loose"/>
      <sheetName val="Tinhtoan"/>
      <sheetName val="견적내역서"/>
      <sheetName val="금융비×"/>
      <sheetName val="부관맨홀조서"/>
      <sheetName val="자재가격"/>
      <sheetName val="시멘ౘ潭ힶ"/>
      <sheetName val="견적의뢰"/>
      <sheetName val="1Month+Sheet2!"/>
      <sheetName val="머릿글,로고양식"/>
      <sheetName val="현장별미수"/>
      <sheetName val="코드정의서"/>
      <sheetName val="2_대외栀⥘턀"/>
      <sheetName val="2_대외⢚❗턀"/>
      <sheetName val="2_대외゚/"/>
      <sheetName val="하도급내역"/>
      <sheetName val="파일의이용"/>
      <sheetName val="1공구산느㉐_x0000__x0000_"/>
      <sheetName val="1공구산晭Ó뇠ᬵ"/>
      <sheetName val="1공구산옘蔘:"/>
      <sheetName val="양식3"/>
      <sheetName val="차량별점검"/>
      <sheetName val="출입구총집계"/>
      <sheetName val="계약"/>
      <sheetName val="일  위  대  가 "/>
      <sheetName val="VS P-Q"/>
      <sheetName val="말고개터널조명전¬"/>
      <sheetName val="간접경_x0002__x0000_"/>
      <sheetName val="간접경尠ヮ"/>
      <sheetName val="간접경Ơワ"/>
      <sheetName val="간접경쾨㧘"/>
      <sheetName val="간접경푨㧘"/>
      <sheetName val="간접경ロ"/>
      <sheetName val="간접경쿐⾐"/>
      <sheetName val="공통ꊐ͉"/>
      <sheetName val="수량산출서 (2)"/>
      <sheetName val="BOX-1510"/>
      <sheetName val="철근_x0000_"/>
      <sheetName val="민감도"/>
      <sheetName val="산출서"/>
      <sheetName val="220_(2)3"/>
      <sheetName val="토__공3"/>
      <sheetName val="태화42_3"/>
      <sheetName val="3_관로전환기3"/>
      <sheetName val="외주현황_wq13"/>
      <sheetName val="_3"/>
      <sheetName val="1차3회-개 "/>
      <sheetName val="K2_site_Total_내역서3"/>
      <sheetName val="F_월별기성수금현황_3"/>
      <sheetName val="내역서1999_8최종3"/>
      <sheetName val="3_전기산출기초3"/>
      <sheetName val="D_B3"/>
      <sheetName val="1_1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금회_청구사항(기계)3"/>
      <sheetName val="기성갑지_(소방)3"/>
      <sheetName val="금회_청구사항(소방)3"/>
      <sheetName val="1_청구서3"/>
      <sheetName val="2_내역서3"/>
      <sheetName val="동강_배관3"/>
      <sheetName val="WCR_외주3"/>
      <sheetName val="ANILINE_-_OPTION3"/>
      <sheetName val="MDI_-_OPTION3"/>
      <sheetName val="06_일위대가목록3"/>
      <sheetName val="총괄표_3"/>
      <sheetName val="계약대비내역서_(부경)3"/>
      <sheetName val="집행대비내역서_(부경)3"/>
      <sheetName val="계약그라우팅_포장3"/>
      <sheetName val="계약사무실조경_3"/>
      <sheetName val="횡배수관_토공량_산출3"/>
      <sheetName val="1차3회-개_"/>
      <sheetName val="내역_"/>
      <sheetName val="3_1_6_전산처리결과2"/>
      <sheetName val="도시정비_2"/>
      <sheetName val="1차설계변경瀀"/>
      <sheetName val="부대표지츀_"/>
      <sheetName val="표지_¬"/>
      <sheetName val="2_입력sheet"/>
      <sheetName val="원가_(2)"/>
      <sheetName val="내역서변ꙭ_"/>
      <sheetName val="BREAKDOW頀ᵛ瀞囏攀"/>
      <sheetName val="표지_(3"/>
      <sheetName val="18_궤도재료"/>
      <sheetName val="간접비_총괄표"/>
      <sheetName val="지역별"/>
      <sheetName val="중"/>
      <sheetName val="말고개터널조명전@_x0000_Ԁ"/>
      <sheetName val="말고개터널조명전㵀"/>
      <sheetName val="말고개터널조명전㵀렀"/>
      <sheetName val="Budget_Code"/>
      <sheetName val="Phu_cap"/>
      <sheetName val="삼홍테크"/>
      <sheetName val="proj"/>
      <sheetName val="Buy vs. Lease Car"/>
      <sheetName val="Cash2"/>
      <sheetName val="Z"/>
      <sheetName val="Sum ELE  CAP S1-4  "/>
      <sheetName val="BEAM"/>
      <sheetName val="Ton Kho"/>
      <sheetName val="발주수량표"/>
      <sheetName val="Land Dev't. Ph-1"/>
      <sheetName val="CHITIET VL-NC-TT1p"/>
      <sheetName val="Danh muc"/>
      <sheetName val="SGC RATE"/>
      <sheetName val="TinhGiaNC"/>
      <sheetName val="DG3285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5. MATERIAL LIST"/>
      <sheetName val="Đầu tư"/>
      <sheetName val="7.공정표"/>
      <sheetName val="B9_MEP"/>
      <sheetName val="7_공정표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Ton_Kho"/>
      <sheetName val="Schedule S-Curve Revision#3"/>
      <sheetName val="Joinery works"/>
      <sheetName val="BIDDING-SUM"/>
      <sheetName val="THONG KE CAU KIEN"/>
      <sheetName val="실행단가철(ems코드적용)"/>
      <sheetName val="기계내역서"/>
      <sheetName val="변수표"/>
      <sheetName val="공사투입계획(변경결의)19.9"/>
      <sheetName val="노무비 월별지급현황19.9"/>
      <sheetName val="갑지(외주기성)19.9"/>
      <sheetName val="주차"/>
      <sheetName val="시멘혷"/>
      <sheetName val="시멘혾"/>
      <sheetName val="9-1❬ǻἐ"/>
      <sheetName val="BH-1_(2)"/>
      <sheetName val="토목내역서_(도급단가)_(2)"/>
      <sheetName val="단가_x0000__x0000__x0005_"/>
      <sheetName val="code_intools"/>
      <sheetName val="code_magics"/>
      <sheetName val="CondPol"/>
      <sheetName val="시멘혷?"/>
      <sheetName val="시멘혾?"/>
      <sheetName val="1차설계변경瀀?"/>
      <sheetName val="부대표지__x0000__x0000_Ԁ_x0000_"/>
      <sheetName val="지점별강우량"/>
      <sheetName val="할빙수"/>
      <sheetName val="적심사표"/>
      <sheetName val="ELEC"/>
      <sheetName val="11월가격"/>
      <sheetName val="간접경_x0000_發"/>
      <sheetName val="간접경̆"/>
      <sheetName val="간접경_x0000_ㇶ"/>
      <sheetName val="5_단가대비표"/>
      <sheetName val="02자재"/>
      <sheetName val="lam-moi"/>
      <sheetName val="thao-go"/>
      <sheetName val="TH XL"/>
      <sheetName val="t-h HA THE"/>
      <sheetName val="CTEMCÇ_x0000_Ԁ"/>
      <sheetName val="도급표지__x0003__x0000_鲠͕糑"/>
      <sheetName val="교각傹"/>
      <sheetName val="협조전"/>
      <sheetName val="자금청구(건축)"/>
      <sheetName val="7.PILE  ꆭᶩ萀ᘲ"/>
      <sheetName val="49"/>
      <sheetName val="노임,재료비"/>
      <sheetName val="MCC제원"/>
      <sheetName val="말고개터널조명전압_x0000__x0000_"/>
      <sheetName val="9-1俔ȭ胠෣"/>
      <sheetName val="9-1❬w镘Ώ"/>
      <sheetName val="단위세대물량"/>
      <sheetName val="구분표"/>
      <sheetName val="제원입력"/>
      <sheetName val="천서간선"/>
      <sheetName val="PRD투입장비계획"/>
      <sheetName val="Thuc thanh"/>
      <sheetName val="STR"/>
      <sheetName val="일일보고"/>
      <sheetName val="PACKING을지(5)"/>
      <sheetName val="월별인건비현황"/>
      <sheetName val="2차보상토지"/>
      <sheetName val="이름표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준검_내역서11"/>
      <sheetName val="2_대외공문11"/>
      <sheetName val="1_수인터널11"/>
      <sheetName val="설_계11"/>
      <sheetName val="0_0ControlSheet11"/>
      <sheetName val="0_1keyAssumption11"/>
      <sheetName val="6PILE__(돌출)11"/>
      <sheetName val="AS포장복구_11"/>
      <sheetName val="Sheet1_(2)10"/>
      <sheetName val="내역(최종본4_5)11"/>
      <sheetName val="입출재고현황_(2)10"/>
      <sheetName val="BSD_(2)10"/>
      <sheetName val="제잡비_xls10"/>
      <sheetName val="실행내역서_10"/>
      <sheetName val="1_설계조건10"/>
      <sheetName val="전차선로_물량표10"/>
      <sheetName val="현장별계약현황('98_10_31)10"/>
      <sheetName val="96보완계획7_1210"/>
      <sheetName val="4_내진설계10"/>
      <sheetName val="_총괄표10"/>
      <sheetName val="1__설계조건_2_단면가정_3__하중계산10"/>
      <sheetName val="DATA_입력란10"/>
      <sheetName val="2_고용보험료산출근거10"/>
      <sheetName val="1_취수장10"/>
      <sheetName val="3BL공동구_수량10"/>
      <sheetName val="인건비_10"/>
      <sheetName val="플랜트_설치10"/>
      <sheetName val="노원열병합__건축공사기성내역서10"/>
      <sheetName val="부대입찰_내역서10"/>
      <sheetName val="토공(우물통,기타)_10"/>
      <sheetName val="원가계산_(2)10"/>
      <sheetName val="Eq__Mobilization10"/>
      <sheetName val="장비당단가_(1)9"/>
      <sheetName val="Sheet2_(2)9"/>
      <sheetName val="1_설계기준9"/>
      <sheetName val="97년_추정10"/>
      <sheetName val="현장관리비_산출내역10"/>
      <sheetName val="콤보박스와_리스트박스의_연결10"/>
      <sheetName val="수_량_명_세_서_-_19"/>
      <sheetName val="2_건축9"/>
      <sheetName val="프라임_강변역(4,236)8"/>
      <sheetName val="내___역8"/>
      <sheetName val="집_계_표8"/>
      <sheetName val="공정표_9"/>
      <sheetName val="5_2코핑8"/>
      <sheetName val="배수공_시멘트_및_골재량_산출8"/>
      <sheetName val="7_PILE__(돌출)8"/>
      <sheetName val="P_M_별8"/>
      <sheetName val="8_PILE__(돌출)9"/>
      <sheetName val="2000년_공정표8"/>
      <sheetName val="2_교량(신설)8"/>
      <sheetName val="별표_9"/>
      <sheetName val="설내역서_9"/>
      <sheetName val="광통신_견적내역서18"/>
      <sheetName val="할증_8"/>
      <sheetName val="unit_48"/>
      <sheetName val="DATA_입력부8"/>
      <sheetName val="EQUIP_LIST8"/>
      <sheetName val="CIP_공사9"/>
      <sheetName val="4_경비_5_영업외수지8"/>
      <sheetName val="_견적서8"/>
      <sheetName val="표지_(2)10"/>
      <sheetName val="수량산출서_갑지8"/>
      <sheetName val="표지_(3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교각토공__2_10"/>
      <sheetName val="1_본부별8"/>
      <sheetName val="2000_058"/>
      <sheetName val="HRSG_SMALL0722010"/>
      <sheetName val="6__안전관리비18"/>
      <sheetName val="하도내역_(철콘)9"/>
      <sheetName val="3_공통공사대비10"/>
      <sheetName val="노무비_근거9"/>
      <sheetName val="조건표_(2)9"/>
      <sheetName val="임율_Data9"/>
      <sheetName val="2차전체변경예정_(2)9"/>
      <sheetName val="토공유동표(전체_당초)9"/>
      <sheetName val="목차_9"/>
      <sheetName val="단면_(2)9"/>
      <sheetName val="b_balju_(2)9"/>
      <sheetName val="8_현장관리비9"/>
      <sheetName val="7_안전관리비9"/>
      <sheetName val="7__현장관리비_9"/>
      <sheetName val="노무비_8"/>
      <sheetName val="내역서_제출8"/>
      <sheetName val="구조______8"/>
      <sheetName val="간_지18"/>
      <sheetName val="화재_탐지_설비8"/>
      <sheetName val="4_일위대가집계8"/>
      <sheetName val="5__현장관리비(new)_8"/>
      <sheetName val="Customer_Databas8"/>
      <sheetName val="방배동내역_(총괄)8"/>
      <sheetName val="1_3_1절점좌표8"/>
      <sheetName val="1_1설계기준8"/>
      <sheetName val="기초입력_DATA8"/>
      <sheetName val="4_장비손료8"/>
      <sheetName val="단양_00_아파트-세부내역8"/>
      <sheetName val="5호광장_(만점)8"/>
      <sheetName val="인천국제_(만점)_(2)8"/>
      <sheetName val="전선_및_전선관7"/>
      <sheetName val="VENDOR_LIST7"/>
      <sheetName val="남양시작동자105노65기1_3화1_27"/>
      <sheetName val="관음목장(제출용)자105인97_57"/>
      <sheetName val="2F_회의실견적(5_14_일대)7"/>
      <sheetName val="설계기준_및_하중계산7"/>
      <sheetName val="5_정산서8"/>
      <sheetName val="재활용_악취_먼지DUCT산출8"/>
      <sheetName val="1062-X방향_7"/>
      <sheetName val="TABLE_DB7"/>
      <sheetName val="쌍용_data_base7"/>
      <sheetName val="수목데이타_7"/>
      <sheetName val="원내역서_그대로7"/>
      <sheetName val="전체내역_(2)7"/>
      <sheetName val="Hyundai_Unit_cost_xls7"/>
      <sheetName val="중기조종사_단위단가9"/>
      <sheetName val="5__현장관리비_new__8"/>
      <sheetName val="Temporary_Mooring8"/>
      <sheetName val="A_LINE8"/>
      <sheetName val="제출내역_(2)8"/>
      <sheetName val="PROJECT_BRIEF7"/>
      <sheetName val="기계_도급내역서6"/>
      <sheetName val="Sight_n_M_H7"/>
      <sheetName val="Piping_Design_Data7"/>
      <sheetName val="4_&amp;_10-inch,_CO2_Combo_&amp;_Sweep7"/>
      <sheetName val="kimre_scrubber7"/>
      <sheetName val="단가_7"/>
      <sheetName val="매출요약(월별)_-년간7"/>
      <sheetName val="4_LINE8"/>
      <sheetName val="7_th8"/>
      <sheetName val="_갑지8"/>
      <sheetName val="총_원가계산8"/>
      <sheetName val="108_수선비7"/>
      <sheetName val="969910(_R)7"/>
      <sheetName val="FRP_PIPING_일위대가7"/>
      <sheetName val="경비_(1)7"/>
      <sheetName val="2_16"/>
      <sheetName val="한성교회_신축공사(050713)_CheckList7"/>
      <sheetName val="strut_type7"/>
      <sheetName val="1_䷨수장7"/>
      <sheetName val="4_뀴진설Ⳅ7"/>
      <sheetName val="전䰨선로_물량표7"/>
      <sheetName val="㶀대입찰_내역서7"/>
      <sheetName val="2_2_오피스텔(12~32F)8"/>
      <sheetName val="일위대가_집계표8"/>
      <sheetName val="9_1지하2층하부보8"/>
      <sheetName val="단계별내역_(2)8"/>
      <sheetName val="4_일위대가8"/>
      <sheetName val="신평리_권리자명부4"/>
      <sheetName val="공내역_및_견적조건6"/>
      <sheetName val="단가_및_재료비7"/>
      <sheetName val="총괄집계_7"/>
      <sheetName val="내역서_(2)7"/>
      <sheetName val="10_경제성분석6"/>
      <sheetName val="청_구5"/>
      <sheetName val="-15_06"/>
      <sheetName val="개인별_순위표8"/>
      <sheetName val="단가대비표_(3)7"/>
      <sheetName val="STEEL_BOX_단면설계(SEC_8)7"/>
      <sheetName val="2_2_띠장의_설계8"/>
      <sheetName val="자__재8"/>
      <sheetName val="CM_18"/>
      <sheetName val="세골재__T2_변경_현황7"/>
      <sheetName val="6__안전관리비19"/>
      <sheetName val="기술부_VENDOR_LIST8"/>
      <sheetName val="4_2_1_마루높이_검토7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변압기_및_발전기_용량7"/>
      <sheetName val="조도계산서_(도서)7"/>
      <sheetName val="빌딩_안내7"/>
      <sheetName val="CABLE_(2)7"/>
      <sheetName val="G_R300경비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전화공사_공량_및_집계표7"/>
      <sheetName val="참조_(2)7"/>
      <sheetName val="6__직접경비7"/>
      <sheetName val="대가_(보완)7"/>
      <sheetName val="3_자재비(총괄)7"/>
      <sheetName val="제조_경영7"/>
      <sheetName val="4_전기7"/>
      <sheetName val="노_무_비7"/>
      <sheetName val="미납품_현황7"/>
      <sheetName val="신설개소별_총집계표(동해-배전)7"/>
      <sheetName val="BOX_본체7"/>
      <sheetName val="MP_MOB7"/>
      <sheetName val="사__업__비__수__지__예__산__서6"/>
      <sheetName val="97_사업추정(WEKI)4"/>
      <sheetName val="기존단가_(2)5"/>
      <sheetName val="7_전산해석결과5"/>
      <sheetName val="4_하중5"/>
      <sheetName val="_ｹ-ﾌﾞﾙ4"/>
      <sheetName val="일위대가_(PM)7"/>
      <sheetName val="①idea_pipeline7"/>
      <sheetName val="IMP_통일양식7"/>
      <sheetName val="LYS_통일양식7"/>
      <sheetName val="Xunit_(단위환산)7"/>
      <sheetName val="유통기한_프로그램7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명일작업계획_(3)7"/>
      <sheetName val="용선_C_L7"/>
      <sheetName val="전_체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SHEET_PILE단가7"/>
      <sheetName val="6_이토처리시간7"/>
      <sheetName val="1차_내역서7"/>
      <sheetName val="BEND_LOSS4"/>
      <sheetName val="TRAY_헹거산출4"/>
      <sheetName val="울진항공등화_내역서7"/>
      <sheetName val="일_위_대_가_표7"/>
      <sheetName val="영흥TL(UP,DOWN)_7"/>
      <sheetName val="3련_BOX7"/>
      <sheetName val="내역서_6"/>
      <sheetName val="2_1외주7"/>
      <sheetName val="2_3노무7"/>
      <sheetName val="2_4자재7"/>
      <sheetName val="2_2장비7"/>
      <sheetName val="2_5경비7"/>
      <sheetName val="2_6수목대7"/>
      <sheetName val="모선자재_집계표6"/>
      <sheetName val="재료의_할증6"/>
      <sheetName val="D1_2_COF모듈자재_입출재고_(B급)6"/>
      <sheetName val="99_조정금액4"/>
      <sheetName val="함열량_db6"/>
      <sheetName val="고객사_관리_코드7"/>
      <sheetName val="중기쥰종사_단위단가7"/>
      <sheetName val="PTVT_(MAU)7"/>
      <sheetName val="토공_total4"/>
      <sheetName val="표__지6"/>
      <sheetName val="Div26_-_Elect6"/>
      <sheetName val="Khoi_luong6"/>
      <sheetName val="Bảng_mã_VT6"/>
      <sheetName val="DonGia_chetao6"/>
      <sheetName val="DonGia_VatTuLK6"/>
      <sheetName val="Fr_Revit6"/>
      <sheetName val="NSA_Summary6"/>
      <sheetName val="chi_tiet5"/>
      <sheetName val="PPC_Summary5"/>
      <sheetName val="Tong_hop4"/>
      <sheetName val="Phan_lap_dat4"/>
      <sheetName val="Lắp_Ráp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cong_thuc_tinh_chi_tiet6"/>
      <sheetName val="_IL-3_XLSY갑지8"/>
      <sheetName val="KET_CAU-_MJV24"/>
      <sheetName val="Ví_dụ4"/>
      <sheetName val="Gia_VLNCMTC4"/>
      <sheetName val="01__DATA4"/>
      <sheetName val="샌딩_에폭시_도장5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COPE_OF_WORK4"/>
      <sheetName val="대3류_4"/>
      <sheetName val="외주대비_ᨀ晙ԯ5"/>
      <sheetName val="3_단가산출서4"/>
      <sheetName val="4_단가산출기초4"/>
      <sheetName val="Rect__102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H__MECHANICAL4"/>
      <sheetName val="J__FIRE_FIGHTING4"/>
      <sheetName val="Sàn_T14"/>
      <sheetName val="Lỗ_thông_gió4"/>
      <sheetName val="Bang_gia_2011_10_123"/>
      <sheetName val="Thống_kê4"/>
      <sheetName val="Tai_khoan4"/>
      <sheetName val="중기사용료_(2)4"/>
      <sheetName val="投标材料清单_3"/>
      <sheetName val="ጊ후다내역_XLS]0_0ControlSheet33"/>
      <sheetName val="Dầm_13"/>
      <sheetName val="Unit_Rate(non_print)3"/>
      <sheetName val="Bang_TH3"/>
      <sheetName val="Cọc_nhồi3"/>
      <sheetName val="5_NKTC3"/>
      <sheetName val="4_BBNT-LĐ3"/>
      <sheetName val="외주대비_-석축???_x3"/>
      <sheetName val="5_6_NTKL_ĐHKK_3"/>
      <sheetName val="5_12_NTKL_PCCC3"/>
      <sheetName val="D_&amp;_W_sizes3"/>
      <sheetName val="Goc_CC3"/>
      <sheetName val="Sàn_tầng_01_(_old_)3"/>
      <sheetName val="Gia_thanh_chuoi_su3"/>
      <sheetName val="Tiep_dia3"/>
      <sheetName val="Don_gia_vung_III-Can_Tho3"/>
      <sheetName val="TH_MEP3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운동장_(2)3"/>
      <sheetName val="주공_갑지3"/>
      <sheetName val="외주대비_-석É3"/>
      <sheetName val="5_2_6~7공사요율3"/>
      <sheetName val="04_12월건강보험(일용직)3"/>
      <sheetName val="1_내역(청_하역장전등)3"/>
      <sheetName val="2_원가집계3"/>
      <sheetName val="05_유류비자금청구(완)3"/>
      <sheetName val="19_07월_세_계3"/>
      <sheetName val="19_07항목별(시트복사금지100번쓰기)3"/>
      <sheetName val="19_05월3"/>
      <sheetName val="grid_(1)3"/>
      <sheetName val="경율산정_XLS3"/>
      <sheetName val="PAD_TR보호대기초3"/>
      <sheetName val="IMF_Code3"/>
      <sheetName val="Elec_LG2"/>
      <sheetName val="ESTI_2"/>
      <sheetName val="1_Requisition(E)2"/>
      <sheetName val="dtct_cong2"/>
      <sheetName val="NHÀ_NHẬP_LIỆU2"/>
      <sheetName val="MÓNG_SILO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Doi_so2"/>
      <sheetName val="TL_rieng2"/>
      <sheetName val="PL_Vua2"/>
      <sheetName val="Basic_Wage2"/>
      <sheetName val="Menber_List2"/>
      <sheetName val="보도내_3"/>
      <sheetName val="Measure_13062"/>
      <sheetName val="DM_ChiPhi2"/>
      <sheetName val="외주대비_-석축_x005f_x0000__x005f_x0000__x005f_x0000__2"/>
      <sheetName val="물가변동_총괄서4"/>
      <sheetName val="7_1유효폭4"/>
      <sheetName val="허용전류-IEC_DATA4"/>
      <sheetName val="본선_토공_분배표4"/>
      <sheetName val="을_23"/>
      <sheetName val="을_13"/>
      <sheetName val="토공_갑지3"/>
      <sheetName val="각사별공사비분개_3"/>
      <sheetName val="해외_연수비용_계산-삭제3"/>
      <sheetName val="해외_기술훈련비_(합계)3"/>
      <sheetName val="Pier_33"/>
      <sheetName val="BOX(1_5X1_5)2"/>
      <sheetName val="TYPE_A2"/>
      <sheetName val="장비투입_(2)2"/>
      <sheetName val="C_&amp;_G_RHS2"/>
      <sheetName val="5_3_단면가정2"/>
      <sheetName val="ITB_COST2"/>
      <sheetName val="CATCH_BASIN2"/>
      <sheetName val="Man_Hole2"/>
      <sheetName val="WEIGHT_LIST1"/>
      <sheetName val="산#2-1_(2)1"/>
      <sheetName val="설산1_나1"/>
      <sheetName val="1_토공1"/>
      <sheetName val="Process_Piping2"/>
      <sheetName val="plan&amp;section_of_foundation1"/>
      <sheetName val="design_criteria1"/>
      <sheetName val="자재_집계표1"/>
      <sheetName val="Raw_Data1"/>
      <sheetName val="PHC파일_천공_및_항타1"/>
      <sheetName val="일위대가_"/>
      <sheetName val="견적(_"/>
      <sheetName val="[후다내역_XLS]__H1775_c_ESTI96____2"/>
      <sheetName val="옥외_전력간선공사"/>
      <sheetName val="ጊ후다내역_XLS_0_0ControlSheet33"/>
      <sheetName val="외주대비_-석축____x3"/>
      <sheetName val="C_MECHANICAL2"/>
      <sheetName val="Du_thau2"/>
      <sheetName val="1_관로2"/>
      <sheetName val="TỔNG_HỢP2"/>
      <sheetName val="ጳ??Ⴔጳ??Lጴ??_ጵ??_ጶ??ఀጷ??_ጸ?3"/>
      <sheetName val="ጊ??Ⴔጱ??Lጲ??_ድ??nጳ??lጳ??eጴ2"/>
      <sheetName val="ጵ??Ⴔጶ??Lጷ??_ጸ??yጿ??uጿ??iጊ?2"/>
      <sheetName val="ጿ??Ⴔጿ??Lጊ??ېጱ??_ጲ??೵ድ??Ⴔጳ?2"/>
      <sheetName val="ጊ??Ⴔጊ??Lጱ??᳴ጲ??_ድ??ᰕጳ??װጳ2"/>
      <sheetName val="ጶ??Ⴔጷ??Lጸ??_ጿ??_ጿ??_ጊ??3"/>
      <sheetName val="ጿ??Ⴔጊ??Lጱ??Șጲ??ᩘድ??_ጳ??_ጳ?2"/>
      <sheetName val="ድ??Ⴔጳ??Lጳ??_ጴ??ഀጳ??nጳ??_2"/>
      <sheetName val="ጴ??Ⴔጵ??Lጶ??_ጷ??ഀጸ??nጿ??_2"/>
      <sheetName val="ጳ??Ⴔጴ??Lጵ??_ጶ??ᔼጷ??1ጸ??2ጿ?2"/>
      <sheetName val="ጸ??Ⴔጿ??Lጿ??_ጊ??_ጱ??ݴጲ??2"/>
      <sheetName val="ጴ??Ⴔጳ??Lጳ??iጴ??_ጵ??eጶ??e2"/>
      <sheetName val="ጵ??Ⴔጶ??Lጷ??ᝥጸ??Uጿ??Oጿ??_2"/>
      <sheetName val="ጳ??Ⴔጴ??Lጵ??֑ጶ??_ጷ??-ጸ??׭2"/>
      <sheetName val="ጲ??Ⴔድ??Lጳ??_ጳ??᪅ጴ??Șጳ??᧝ጳ2"/>
      <sheetName val="ጸ??Ⴔጿ??Lጿ??_ጊ??᪅ጊ??ႜጱ??2"/>
      <sheetName val="ጴ??Ⴔጵ??Lጶ??_ጷ??ᅸጸ??Ꮙጿ??°ጿ2"/>
      <sheetName val="ጶ??Ⴔጷ??Lጸ??_ጿ??(ጿ??ᅸጊ??)2"/>
      <sheetName val="ጳ??Ⴔጴ??Lጴ??_ፊ??(ጵ??ఀፋ??)2"/>
      <sheetName val="ጱ??Ⴔጲ??Lድ??ެጳ??_ጳ??(ጴ??2"/>
      <sheetName val="ጿ??Ⴔጿ??Lጊ??ᙔጱ??೵ጲ??_ድ??2"/>
      <sheetName val="ጱ??Ⴔጲ??Lድ??ಜጳ??(ጳ??_ጴ??2"/>
      <sheetName val="ጸ??Ⴔጿ??Lጿ??ݴጊ??෼ጱ??_ጲ??2"/>
      <sheetName val="ድ??Ⴔጳ??Lጳ??0ጴ??_ጳ??Iጳ??2"/>
      <sheetName val="ጸ??Ⴔጿ??Lጿ??iጊ??_ጱ??uጲ??r2"/>
      <sheetName val="3__CNT2"/>
      <sheetName val="unit_price_list(M)2"/>
      <sheetName val="Breakdown_(B)2"/>
      <sheetName val="thông_tin2"/>
      <sheetName val="2_교̚벝"/>
      <sheetName val="0_0Control렌㟳䠓䒆"/>
      <sheetName val="0_0Control뀌欨砓﹮"/>
      <sheetName val="0_0Control㠌ᅝ逜㓿"/>
      <sheetName val="0_0Control㠌ᅝ퀜㔋"/>
      <sheetName val="손익분기점_데이터"/>
      <sheetName val="매각대상자산_청산가치"/>
      <sheetName val="const_"/>
      <sheetName val="자재기성_신청서_xlsx"/>
      <sheetName val="SP-ኬ"/>
      <sheetName val="입찰내역_발주처_양식"/>
      <sheetName val="[후다내역_XLS]__H1775_c_ESTI96____3"/>
      <sheetName val="BREAKDOW頀ᵛ瀞囏"/>
      <sheetName val="2000년_임금추정"/>
      <sheetName val="1_사유서"/>
      <sheetName val="PRECAST_lightconc-II2"/>
      <sheetName val="RAB_AR&amp;STR2"/>
      <sheetName val="_후다_x005f_x0001___x005f_x0010__x005f_x0000__x0002"/>
      <sheetName val="Nhan_cong2"/>
      <sheetName val="Thiet_bi2"/>
      <sheetName val="Vat_tu2"/>
      <sheetName val="May_TC2"/>
      <sheetName val="Bang_KL2"/>
      <sheetName val="TH_Kinh_phi2"/>
      <sheetName val="cataloge_moi2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MAIN_GATE_HOUSE"/>
      <sheetName val="견적?"/>
      <sheetName val="수량산출서??"/>
      <sheetName val="수량산출서?"/>
      <sheetName val="부대표지???腰"/>
      <sheetName val="부대표지???䥀"/>
      <sheetName val="부대표지???⽠"/>
      <sheetName val="일__위__대__가_ư"/>
      <sheetName val="일__위__대__가_፠"/>
      <sheetName val="일__위__대__가_"/>
      <sheetName val="일__위__대__가_팠"/>
      <sheetName val="일__위__대__가_⡰"/>
      <sheetName val="일__위__대__가_㜰"/>
      <sheetName val="일__위__대__가_븰"/>
      <sheetName val="T_KE_CP1"/>
      <sheetName val="4_내진"/>
      <sheetName val="시설"/>
      <sheetName val="_견적Ⴗ"/>
      <sheetName val="[후다내역_XLS]__H1775_c_ESTI96____4"/>
      <sheetName val="2_교"/>
      <sheetName val="시설_x0005__x0000_"/>
      <sheetName val="도급표지  (怀꿟"/>
      <sheetName val="배방교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월별손익(용역)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평야부"/>
      <sheetName val="단가16(노임)"/>
      <sheetName val="일위노임"/>
      <sheetName val=" 갑_x001f_"/>
      <sheetName val="서∼군(2寅"/>
      <sheetName val="원가계산(2)"/>
      <sheetName val="상하수대비내역(공내역)"/>
      <sheetName val="ChartData"/>
      <sheetName val="변경비⣗鼏휂"/>
      <sheetName val="소야공정계_x0000__x0000_"/>
      <sheetName val="소야공정계罈."/>
      <sheetName val="골재산출"/>
      <sheetName val="부_x0000_쎥_x0000_"/>
      <sheetName val="合成単価作成表-BLDG"/>
      <sheetName val="건축원가계산서"/>
      <sheetName val="C.배수관공"/>
      <sheetName val="주차구획_x0000__x0000_Ԁ"/>
      <sheetName val="급여병적자료"/>
      <sheetName val="6.RJP이토처리시간"/>
      <sheetName val="7.RJP지층별제원"/>
      <sheetName val="흥양2교토_x0000__x0000_Ā_x0000_"/>
      <sheetName val="4_수량산출서1"/>
      <sheetName val="안양동교_1안1"/>
      <sheetName val="4_수량산출서2"/>
      <sheetName val="안양동교_1안2"/>
      <sheetName val="A_견적1"/>
      <sheetName val="const_1"/>
      <sheetName val="4_예산내역서1"/>
      <sheetName val="입찰내역_발주처_양식1"/>
      <sheetName val="자재기성_신청서_xlsx1"/>
      <sheetName val="TREE_䢬"/>
      <sheetName val="흥양2교토㎈ï뇸ર"/>
      <sheetName val="공량산출근거서"/>
      <sheetName val="도급표지  (3_x0000_"/>
      <sheetName val="6공구(_xda8b_瀀"/>
      <sheetName val="Sh_x0000__x0000__x0000_"/>
      <sheetName val="Sh_x0010__x0000_ጾ"/>
      <sheetName val="소야공정_x0000__x0000_Ԁ"/>
      <sheetName val="단가산品Ṹ"/>
      <sheetName val="NaBisulfit, hol fl ph 5,5&amp;7,5"/>
      <sheetName val="2021"/>
      <sheetName val="Simulasi "/>
      <sheetName val="Plan 4620 Ton"/>
      <sheetName val="총원가Simul(v1월)"/>
      <sheetName val="월선택"/>
      <sheetName val="12cgou"/>
      <sheetName val="시멘_xd800_㜷頀"/>
      <sheetName val="7.경제성결과"/>
      <sheetName val="가설공사비"/>
      <sheetName val="견적표지 (3"/>
      <sheetName val="0_0ControlSheet31"/>
      <sheetName val="0_0ControlSheet32"/>
      <sheetName val="__H1775_c_ESTI96____2"/>
      <sheetName val="0_0Control_x000c__x0000__x0000__x0001_Ԁ_x0000_"/>
      <sheetName val="PUMP"/>
      <sheetName val="화산경계"/>
      <sheetName val="MONTH FROM START INSTALL_06_22"/>
      <sheetName val="배수내역 (2)"/>
      <sheetName val="4_x0000__x0000__x0005_"/>
      <sheetName val="Bab品Ṹ頀Ṻ픀"/>
      <sheetName val="포장복구집계"/>
      <sheetName val="호표(수)"/>
      <sheetName val="단가최종"/>
      <sheetName val="2_대외ɡ"/>
      <sheetName val="말고개터널조명전@"/>
      <sheetName val="9-1❬ǻ?"/>
      <sheetName val="보도내역"/>
      <sheetName val="간접경"/>
      <sheetName val="내역서변"/>
      <sheetName val="견적(助_x0010__x0000_"/>
      <sheetName val="단가(동_x0000__x0000__x0005_"/>
      <sheetName val="단가(동_x0005__x0000_"/>
      <sheetName val="제경비(전체)"/>
      <sheetName val="IntercompanyAROct2001"/>
      <sheetName val="계정과목"/>
      <sheetName val="기별용지"/>
      <sheetName val="구Ⴚ_x0000_"/>
      <sheetName val="공사비내역"/>
      <sheetName val="방송(체육·脀"/>
      <sheetName val="1차3회-개소별명세서-빨_x0000__x0000__x0005__x0000_䢀ඌȜ_x0000__x0000__x0000__x0001__x0000_ㅰ"/>
      <sheetName val="1차3회-개소별명세서-빨_x0000__x0000__x0005__x0000_腠ਫ਼Ȝ_x0000__x0000__x0000__x0001__x0000_ㅰ"/>
      <sheetName val="폐기물운반"/>
      <sheetName val="2002공임"/>
      <sheetName val="2002자재가격"/>
      <sheetName val="CIP_x0000__x0000_Ā"/>
      <sheetName val="공통가_x0000_쫨_x0000_"/>
      <sheetName val="1-1.경비산출내역"/>
      <sheetName val="토공(완충)"/>
      <sheetName val="자재집계"/>
      <sheetName val="단가(동濐Ȫ"/>
      <sheetName val="OUTPUT"/>
      <sheetName val="외주대비-က辏?Ԁ耙"/>
      <sheetName val="원안"/>
      <sheetName val="전선"/>
      <sheetName val="자재테이블"/>
      <sheetName val="시멘Ç_x0000_Ԁ_x0000_"/>
      <sheetName val="외주대비-က辏_xda68_"/>
      <sheetName val="현금및현금등가물"/>
      <sheetName val="부대표지__x0000__x0000__x0000__x0007"/>
      <sheetName val="외주대비 -석축_x0000__x0000__x0000__x2"/>
      <sheetName val="견적표지_(32"/>
      <sheetName val="부대표지__x0000__x0000__x0000__x0008"/>
      <sheetName val="외주대비 -석축_x0000__x0000__x0000__x3"/>
      <sheetName val="견적표지_(322"/>
      <sheetName val="부대표지__x0000__x0000__x0000__x0009"/>
      <sheetName val="외주대비 -석축_x0000__x0000__x0000__x4"/>
      <sheetName val="견적표지_(3222"/>
      <sheetName val="부대표지__x0000__x0000__x0000__x00010"/>
      <sheetName val="외주대비 -석축_x0000__x0000__x0000__x5"/>
      <sheetName val="견적표지_(32222"/>
      <sheetName val="부대표지__x0000__x0000__x0000__x00011"/>
      <sheetName val="외주대비 -석축_x0000__x0000__x0000__x6"/>
      <sheetName val="견적표지_(322222"/>
      <sheetName val="부대표지__x0000__x0000__x0000__x00012"/>
      <sheetName val="외주대비 -석축_x0000__x0000__x0000__x7"/>
      <sheetName val="견적표지_(3222222"/>
      <sheetName val="부대표지__x0000__x0000__x0000__x00013"/>
      <sheetName val="외주대비 -석축_x0000__x0000__x0000__x8"/>
      <sheetName val="견적표지_(32222222"/>
      <sheetName val="부대표지__x0000__x0000__x0000__x00014"/>
      <sheetName val="04고객별 담당자"/>
      <sheetName val="단가(강재운_x0005__x0000_"/>
      <sheetName val="단가(강재운⩿⾔"/>
      <sheetName val="일위대가-1"/>
      <sheetName val="토__공4"/>
      <sheetName val="태화42_4"/>
      <sheetName val="_4"/>
      <sheetName val="외주현황_wq14"/>
      <sheetName val="220_(2)4"/>
      <sheetName val="3_관로전환기4"/>
      <sheetName val="F_월별기성수금현황_4"/>
      <sheetName val="내역서1999_8최종4"/>
      <sheetName val="3_전기산출기초4"/>
      <sheetName val="1_청구서4"/>
      <sheetName val="2_내역서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총괄표_4"/>
      <sheetName val="D_B4"/>
      <sheetName val="동강_배관4"/>
      <sheetName val="WCR_외주4"/>
      <sheetName val="ANILINE_-_OPTION4"/>
      <sheetName val="MDI_-_OPTION4"/>
      <sheetName val="06_일위대가목록4"/>
      <sheetName val="1_14"/>
      <sheetName val="계약대비내역서_(부경)4"/>
      <sheetName val="집행대비내역서_(부경)4"/>
      <sheetName val="계약그라우팅_포장4"/>
      <sheetName val="계약사무실조경_4"/>
      <sheetName val="금회_청구사항(기계)4"/>
      <sheetName val="기성갑지_(소방)4"/>
      <sheetName val="금회_청구사항(소방)4"/>
      <sheetName val="K2_site_Total_내역서4"/>
      <sheetName val="도시정비_3"/>
      <sheetName val="횡배수관_토공량_산출4"/>
      <sheetName val="3_1_6_전산처리결과3"/>
      <sheetName val="원가_(2)1"/>
      <sheetName val="부대표지츀_1"/>
      <sheetName val="2_입력sheet1"/>
      <sheetName val="BH-1_(2)1"/>
      <sheetName val="내역_1"/>
      <sheetName val="18_궤도재료1"/>
      <sheetName val="간접비_총괄표1"/>
      <sheetName val="토목내역서_(도급단가)_(2)1"/>
      <sheetName val="Budget_Code1"/>
      <sheetName val="Phu_cap1"/>
      <sheetName val="도급표지_鲠͕糑"/>
      <sheetName val="2__주요공지（主要公告）1"/>
      <sheetName val="수량산출서_(2)"/>
      <sheetName val="VS_P-Q"/>
      <sheetName val="공사투입계획(변경결의)19_9"/>
      <sheetName val="노무비_월별지급현황19_9"/>
      <sheetName val="갑지(외주기성)19_9"/>
      <sheetName val="Buy_vs__Lease_Car"/>
      <sheetName val="Sum_ELE__CAP_S1-4__"/>
      <sheetName val="Ton_Kho1"/>
      <sheetName val="Land_Dev't__Ph-1"/>
      <sheetName val="CHITIET_VL-NC-TT1p"/>
      <sheetName val="Danh_muc"/>
      <sheetName val="SGC_RATE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5__MATERIAL_LIST"/>
      <sheetName val="Đầu_tư1"/>
      <sheetName val="7_공정표1"/>
      <sheetName val="Schedule_S-Curve_Revision#3"/>
      <sheetName val="Joinery_works"/>
      <sheetName val="THONG_KE_CAU_KIEN"/>
      <sheetName val="1차3회-개_1"/>
      <sheetName val="시설"/>
      <sheetName val="시멘㜷頀"/>
      <sheetName val="문10"/>
      <sheetName val="샤워실위생"/>
      <sheetName val="선수금"/>
      <sheetName val="SONIC"/>
      <sheetName val=" 토목 처리장도급내역서 "/>
      <sheetName val="C-노_x0000__x0000__x0005_"/>
      <sheetName val="계장 품셈표"/>
      <sheetName val="형틀"/>
      <sheetName val="4.경비 5.영0_x0000__x0000__x0000_"/>
      <sheetName val="bqmp"/>
      <sheetName val="시산표"/>
      <sheetName val="환율199911"/>
      <sheetName val="설계변경(변경분)"/>
      <sheetName val="수량산출표"/>
      <sheetName val="기둥(胔Ẩ_x0018_"/>
      <sheetName val="기둥(˔_x0000_ꠀ"/>
      <sheetName val="기둥(㷔₼ "/>
      <sheetName val="기둥(㷔嚼"/>
      <sheetName val="단가(강재운반_x0000_"/>
      <sheetName val="식재수䏈轐"/>
      <sheetName val="총괄BOQ"/>
      <sheetName val="구조물터파기_x0003__x0000_蠀_xd8c9_"/>
      <sheetName val="도급표지__x0003_"/>
      <sheetName val="표지 ¬_x0000_Ԁ"/>
      <sheetName val="관급자재산출근거"/>
      <sheetName val="2008년하반기노임"/>
      <sheetName val="표준차도부연장집계-ASP"/>
      <sheetName val="패널"/>
      <sheetName val="Modulၒ_x0000_"/>
      <sheetName val="CB"/>
      <sheetName val="점_x0000__x0000_Ā"/>
      <sheetName val="1공구 건_xdc00_䘢䠂檱䠛檳"/>
      <sheetName val="3_공통공사偤°"/>
      <sheetName val="1.수_x0000__x0000__x0005_"/>
      <sheetName val="포장총괄집계표"/>
      <sheetName val="가_x0000__x0000_"/>
      <sheetName val="부대내寀"/>
      <sheetName val="부대내_x0005_"/>
      <sheetName val="출근부&amp;임금대장"/>
      <sheetName val="기계경비시간당손료목록"/>
      <sheetName val="인구"/>
      <sheetName val="환경평가"/>
      <sheetName val="보도내역 (_x0010__x0000_"/>
      <sheetName val="I.설계조건"/>
      <sheetName val="3.바닥판설계"/>
      <sheetName val="7)각세대내"/>
      <sheetName val="고유코드_설계"/>
      <sheetName val="드럼사이즈 내역"/>
      <sheetName val="현장인원명부"/>
      <sheetName val="개인신상"/>
      <sheetName val="입찰품跀"/>
      <sheetName val="슬래브(PF)(하류)"/>
      <sheetName val="STAND98"/>
      <sheetName val="외주대비 -석축_x0000__x0000__x0000__x0000__x0000__x0012_[후다내역.XLS]_____4"/>
      <sheetName val="Sens&amp;Anal"/>
      <sheetName val="공사비 내역 (가)"/>
      <sheetName val="GRD_x0000_"/>
      <sheetName val="일위대가 집_x0000__x0000_"/>
      <sheetName val="점_x0000__x0000__x0005_"/>
      <sheetName val="원본자재"/>
      <sheetName val="4 L速뇥ᝠ"/>
      <sheetName val="견적刀_x0010_"/>
      <sheetName val="외주대비 -ʶ_x0000_"/>
      <sheetName val="변수"/>
      <sheetName val="교각토공_(㡈įᐨ"/>
      <sheetName val="99년하반기"/>
      <sheetName val="건축설_x0000_"/>
      <sheetName val="건축설賨"/>
      <sheetName val="시점부수량산출서"/>
      <sheetName val="Tax Ref"/>
      <sheetName val="BOQ-E"/>
      <sheetName val="Dayworks"/>
      <sheetName val="비품"/>
      <sheetName val="입적Æ"/>
      <sheetName val="주간기성"/>
      <sheetName val="입력데이타(비_x0000__x0000_Ԁ_x0000_"/>
      <sheetName val="GRD_x0000_鯦"/>
      <sheetName val="GRD_x0000_黎"/>
      <sheetName val="지역개발"/>
      <sheetName val="入力用(家賃)"/>
      <sheetName val="入力用(駐車)"/>
      <sheetName val="인건嫨"/>
      <sheetName val="닪면_(2)3"/>
      <sheetName val="코드정보"/>
      <sheetName val="3.일반사상"/>
      <sheetName val="일반수량총괄집계"/>
      <sheetName val="PAY2002"/>
      <sheetName val="1-7(재가공내역)"/>
      <sheetName val="프로젝트"/>
      <sheetName val="도급표지렀觖갂垹䠀"/>
      <sheetName val="도급표지  (ꀀ႑"/>
      <sheetName val="우성교간선"/>
      <sheetName val="통신물량"/>
      <sheetName val="기본내용"/>
      <sheetName val="견적서표지"/>
      <sheetName val="주차구획"/>
      <sheetName val="Sh_x0010_"/>
      <sheetName val="1.수"/>
      <sheetName val="부"/>
      <sheetName val="점"/>
      <sheetName val="소야공정"/>
      <sheetName val="도급표지  㧈_x0014_冈"/>
      <sheetName val="Sheet22"/>
      <sheetName val="일위합"/>
      <sheetName val="E총15"/>
      <sheetName val="BREAKDOWN(철거Þ_x0000_Ԁ"/>
      <sheetName val="9-1차이碏꾂"/>
      <sheetName val="9-1차이ﺏ動"/>
      <sheetName val="9-1차이梏鎃"/>
      <sheetName val="현장인원¬_x0000_"/>
      <sheetName val="단가(동"/>
      <sheetName val="TH-Dien"/>
      <sheetName val="내역서_x0000__x0000_㠀_x0000_"/>
      <sheetName val="MP"/>
      <sheetName val="CMQS"/>
      <sheetName val="월간보고자료FORM2"/>
      <sheetName val="주관사업"/>
      <sheetName val="골재및자재집계표"/>
      <sheetName val="공조기"/>
      <sheetName val="내역서(기계)"/>
      <sheetName val="TOWER 10TON"/>
      <sheetName val="주요물량"/>
      <sheetName val="토적계산서"/>
      <sheetName val="전산품의"/>
      <sheetName val="현금예금"/>
      <sheetName val="4월계획"/>
      <sheetName val="5.경비"/>
      <sheetName val="1공구_건정토건_토공13"/>
      <sheetName val="1공구_건정토건_철콘13"/>
      <sheetName val="도급표지_13"/>
      <sheetName val="도급표지__(4)13"/>
      <sheetName val="부대표지_(4)13"/>
      <sheetName val="도급표지__(3)13"/>
      <sheetName val="부대표지_(3)13"/>
      <sheetName val="도급표지__(2)13"/>
      <sheetName val="부대표지_(2)13"/>
      <sheetName val="토__목13"/>
      <sheetName val="조__경13"/>
      <sheetName val="전_기13"/>
      <sheetName val="건__축13"/>
      <sheetName val="보도내역_(3)13"/>
      <sheetName val="준검_내역서13"/>
      <sheetName val="2_대외공문13"/>
      <sheetName val="설_계13"/>
      <sheetName val="1_수인터널13"/>
      <sheetName val="6PILE__(돌출)13"/>
      <sheetName val="AS포장복구_13"/>
      <sheetName val="내역(최종본4_5)13"/>
      <sheetName val="0_0ControlSheet13"/>
      <sheetName val="0_1keyAssumption13"/>
      <sheetName val="Sheet1_(2)12"/>
      <sheetName val="입출재고현황_(2)12"/>
      <sheetName val="4_내진설계12"/>
      <sheetName val="1_취수장12"/>
      <sheetName val="전차선로_물량표12"/>
      <sheetName val="BSD_(2)12"/>
      <sheetName val="제잡비_xls12"/>
      <sheetName val="노원열병합__건축공사기성내역서12"/>
      <sheetName val="현장별계약현황('98_10_31)12"/>
      <sheetName val="96보완계획7_1212"/>
      <sheetName val="1__설계조건_2_단면가정_3__하중계산12"/>
      <sheetName val="DATA_입력란12"/>
      <sheetName val="인건비_12"/>
      <sheetName val="3BL공동구_수량12"/>
      <sheetName val="플랜트_설치12"/>
      <sheetName val="실행내역서_12"/>
      <sheetName val="부대입찰_내역서12"/>
      <sheetName val="토공(우물통,기타)_12"/>
      <sheetName val="_총괄표12"/>
      <sheetName val="2_고용보험료산출근거12"/>
      <sheetName val="원가계산_(2)12"/>
      <sheetName val="Eq__Mobilization12"/>
      <sheetName val="1_설계조건12"/>
      <sheetName val="장비당단가_(1)11"/>
      <sheetName val="Sheet2_(2)11"/>
      <sheetName val="1_설계기준11"/>
      <sheetName val="97년_추정12"/>
      <sheetName val="현장관리비_산출내역12"/>
      <sheetName val="프라임_강변역(4,236)10"/>
      <sheetName val="내___역10"/>
      <sheetName val="집_계_표10"/>
      <sheetName val="콤보박스와_리스트박스의_연결12"/>
      <sheetName val="공정표_11"/>
      <sheetName val="5_2코핑10"/>
      <sheetName val="수_량_명_세_서_-_111"/>
      <sheetName val="배수공_시멘트_및_골재량_산출10"/>
      <sheetName val="7_PILE__(돌출)10"/>
      <sheetName val="P_M_별10"/>
      <sheetName val="2_건축11"/>
      <sheetName val="8_PILE__(돌출)11"/>
      <sheetName val="2000년_공정표10"/>
      <sheetName val="2_교량(신설)10"/>
      <sheetName val="별표_11"/>
      <sheetName val="설내역서_11"/>
      <sheetName val="광통신_견적내역서110"/>
      <sheetName val="할증_10"/>
      <sheetName val="unit_410"/>
      <sheetName val="DATA_입력부10"/>
      <sheetName val="CIP_공사11"/>
      <sheetName val="표지_(2)12"/>
      <sheetName val="EQUIP_LIST10"/>
      <sheetName val="4_경비_5_영업외수지10"/>
      <sheetName val="_견적서10"/>
      <sheetName val="수량산출서_갑지10"/>
      <sheetName val="5_정산서10"/>
      <sheetName val="표지_(3)12"/>
      <sheetName val="교각집계_(2)12"/>
      <sheetName val="교각토공_(2)12"/>
      <sheetName val="교각철근_(2)12"/>
      <sheetName val="외주대비_-석축12"/>
      <sheetName val="외주대비-구조물_(2)12"/>
      <sheetName val="견적표지_(3)12"/>
      <sheetName val="_HIT-&gt;HMC_견적(3900)12"/>
      <sheetName val="일__위__대__가__목__록12"/>
      <sheetName val="교각토공__2_12"/>
      <sheetName val="2000_0510"/>
      <sheetName val="1_3_1절점좌표10"/>
      <sheetName val="1_1설계기준10"/>
      <sheetName val="1_본부별10"/>
      <sheetName val="HRSG_SMALL0722012"/>
      <sheetName val="6__안전관리비22"/>
      <sheetName val="하도내역_(철콘)11"/>
      <sheetName val="3_공통공사대비12"/>
      <sheetName val="노무비_근거11"/>
      <sheetName val="조건표_(2)11"/>
      <sheetName val="임율_Data11"/>
      <sheetName val="2차전체변경예정_(2)11"/>
      <sheetName val="토공유동표(전체_당초)11"/>
      <sheetName val="목차_11"/>
      <sheetName val="단면_(2)11"/>
      <sheetName val="b_balju_(2)11"/>
      <sheetName val="8_현장관리비11"/>
      <sheetName val="7_안전관리비11"/>
      <sheetName val="7__현장관리비_11"/>
      <sheetName val="노무비_10"/>
      <sheetName val="내역서_제출10"/>
      <sheetName val="구조______10"/>
      <sheetName val="간_지110"/>
      <sheetName val="화재_탐지_설비10"/>
      <sheetName val="4_일위대가집계10"/>
      <sheetName val="5__현장관리비(new)_10"/>
      <sheetName val="Customer_Databas10"/>
      <sheetName val="방배동내역_(총괄)10"/>
      <sheetName val="기초입력_DATA10"/>
      <sheetName val="재활용_악취_먼지DUCT산출10"/>
      <sheetName val="4_장비손료10"/>
      <sheetName val="단양_00_아파트-세부내역10"/>
      <sheetName val="5호광장_(만점)10"/>
      <sheetName val="인천국제_(만점)_(2)10"/>
      <sheetName val="전선_및_전선관9"/>
      <sheetName val="VENDOR_LIST9"/>
      <sheetName val="남양시작동자105노65기1_3화1_29"/>
      <sheetName val="관음목장(제출용)자105인97_59"/>
      <sheetName val="2F_회의실견적(5_14_일대)9"/>
      <sheetName val="한성교회_신축공사(050713)_CheckList9"/>
      <sheetName val="설계기준_및_하중계산9"/>
      <sheetName val="Sight_n_M_H9"/>
      <sheetName val="단가_9"/>
      <sheetName val="4_LINE10"/>
      <sheetName val="7_th10"/>
      <sheetName val="_갑지10"/>
      <sheetName val="A_LINE10"/>
      <sheetName val="5__현장관리비_new__10"/>
      <sheetName val="Temporary_Mooring10"/>
      <sheetName val="중기조종사_단위단가11"/>
      <sheetName val="총_원가계산10"/>
      <sheetName val="매출요약(월별)_-년간9"/>
      <sheetName val="Piping_Design_Data9"/>
      <sheetName val="4_&amp;_10-inch,_CO2_Combo_&amp;_Sweep9"/>
      <sheetName val="PROJECT_BRIEF9"/>
      <sheetName val="전체내역_(2)9"/>
      <sheetName val="Hyundai_Unit_cost_xls9"/>
      <sheetName val="1062-X방향_9"/>
      <sheetName val="TABLE_DB9"/>
      <sheetName val="쌍용_data_base9"/>
      <sheetName val="수목데이타_9"/>
      <sheetName val="1_䷨수장9"/>
      <sheetName val="4_뀴진설Ⳅ9"/>
      <sheetName val="전䰨선로_물량표9"/>
      <sheetName val="㶀대입찰_내역서9"/>
      <sheetName val="제출내역_(2)10"/>
      <sheetName val="969910(_R)9"/>
      <sheetName val="원내역서_그대로9"/>
      <sheetName val="strut_type9"/>
      <sheetName val="내역서_(2)9"/>
      <sheetName val="총괄집계_9"/>
      <sheetName val="단가_및_재료비9"/>
      <sheetName val="경비_(1)9"/>
      <sheetName val="기계_도급내역서8"/>
      <sheetName val="10_경제성분석8"/>
      <sheetName val="청_구7"/>
      <sheetName val="kimre_scrubber9"/>
      <sheetName val="FRP_PIPING_일위대가9"/>
      <sheetName val="개인별_순위표10"/>
      <sheetName val="2_2_오피스텔(12~32F)10"/>
      <sheetName val="일위대가_집계표10"/>
      <sheetName val="9_1지하2층하부보10"/>
      <sheetName val="단계별내역_(2)10"/>
      <sheetName val="4_일위대가10"/>
      <sheetName val="공내역_및_견적조건8"/>
      <sheetName val="2_18"/>
      <sheetName val="-15_08"/>
      <sheetName val="108_수선비9"/>
      <sheetName val="신평리_권리자명부6"/>
      <sheetName val="97_사업추정(WEKI)6"/>
      <sheetName val="일위대가_(PM)9"/>
      <sheetName val="사__업__비__수__지__예__산__서8"/>
      <sheetName val="7_전산해석결과7"/>
      <sheetName val="4_하중7"/>
      <sheetName val="STEEL_BOX_단면설계(SEC_8)9"/>
      <sheetName val="2_2_띠장의_설계10"/>
      <sheetName val="자__재10"/>
      <sheetName val="CM_110"/>
      <sheetName val="세골재__T2_변경_현황9"/>
      <sheetName val="6__안전관리비23"/>
      <sheetName val="기술부_VENDOR_LIST10"/>
      <sheetName val="4_2_1_마루높이_검토9"/>
      <sheetName val="내역서_(3)10"/>
      <sheetName val="산출양식_(2)10"/>
      <sheetName val="전체산출내역서갑(변경)_10"/>
      <sheetName val="A_터파기공10"/>
      <sheetName val="B_측·집10"/>
      <sheetName val="배(자·집)_(2)10"/>
      <sheetName val="2_01측·터·집10"/>
      <sheetName val="땅깍·수_(1-1)10"/>
      <sheetName val="0-52_10"/>
      <sheetName val="콘·다_(2)10"/>
      <sheetName val="기·집_(2)10"/>
      <sheetName val="콘·다_(3)10"/>
      <sheetName val="병원내역집계표_(2)10"/>
      <sheetName val="실행총괄_10"/>
      <sheetName val="[IL-3_XLSY갑지10"/>
      <sheetName val="4_일위대가목차10"/>
      <sheetName val="내역_ver1_010"/>
      <sheetName val="2000,9월_일위10"/>
      <sheetName val="1_노무비명세서(해동)10"/>
      <sheetName val="1_노무비명세서(토목)10"/>
      <sheetName val="2_노무비명세서(해동)10"/>
      <sheetName val="2_노무비명세서(수직보호망)10"/>
      <sheetName val="2_노무비명세서(난간대)10"/>
      <sheetName val="2_사진대지10"/>
      <sheetName val="3_사진대지10"/>
      <sheetName val="변압기_및_발전기_용량9"/>
      <sheetName val="조도계산서_(도서)9"/>
      <sheetName val="빌딩_안내9"/>
      <sheetName val="CABLE_(2)9"/>
      <sheetName val="G_R300경비9"/>
      <sheetName val="단가대비표_(3)9"/>
      <sheetName val="기성내역서(을)_(2)9"/>
      <sheetName val="1단계_(2)9"/>
      <sheetName val="2_1__노무비_평균단가산출9"/>
      <sheetName val="3_공사비(07년노임단가)9"/>
      <sheetName val="3_공사비(단가조사표)9"/>
      <sheetName val="3_공사비(물량산출표)9"/>
      <sheetName val="3_공사비(일위대가표목록)9"/>
      <sheetName val="3_공사비(일위대가표)9"/>
      <sheetName val="TRE_TABLE9"/>
      <sheetName val="Requirement(Work_Crew)9"/>
      <sheetName val="진입도로B_(2)9"/>
      <sheetName val="2_냉난방설비공사9"/>
      <sheetName val="7_자동제어공사9"/>
      <sheetName val="중강당_내역9"/>
      <sheetName val="기초자료입력및_K치_확인9"/>
      <sheetName val="실행내역_9"/>
      <sheetName val="자재_단가_비교표(견적)9"/>
      <sheetName val="자재_단가_비교표9"/>
      <sheetName val="Bid_Summary9"/>
      <sheetName val="이동시_예상비용9"/>
      <sheetName val="Seg_1DE비용9"/>
      <sheetName val="Transit_비용_감가상각미포함9"/>
      <sheetName val="전화공사_공량_및_집계표9"/>
      <sheetName val="참조_(2)9"/>
      <sheetName val="6__직접경비9"/>
      <sheetName val="대가_(보완)9"/>
      <sheetName val="3_자재비(총괄)9"/>
      <sheetName val="제조_경영9"/>
      <sheetName val="4_전기9"/>
      <sheetName val="노_무_비9"/>
      <sheetName val="미납품_현황9"/>
      <sheetName val="신설개소별_총집계표(동해-배전)9"/>
      <sheetName val="BOX_본체9"/>
      <sheetName val="MP_MOB9"/>
      <sheetName val="태화42_5"/>
      <sheetName val="_ｹ-ﾌﾞﾙ6"/>
      <sheetName val="토__공5"/>
      <sheetName val="①idea_pipeline9"/>
      <sheetName val="IMP_통일양식9"/>
      <sheetName val="LYS_통일양식9"/>
      <sheetName val="Xunit_(단위환산)9"/>
      <sheetName val="유통기한_프로그램9"/>
      <sheetName val="1-1_현장정리9"/>
      <sheetName val="1-2_토공9"/>
      <sheetName val="1-3_WMM,GSB9"/>
      <sheetName val="1-4_BITUMINOUS_COURSE9"/>
      <sheetName val="1-5_BOX_CULVERTS9"/>
      <sheetName val="1-6_BRIDGE9"/>
      <sheetName val="1-7_DRAINAGE9"/>
      <sheetName val="1-8_TRAFFIC9"/>
      <sheetName val="1-9_MISCELLANEOUS9"/>
      <sheetName val="1-10_ELECTRICAL9"/>
      <sheetName val="1-12_도급외항목9"/>
      <sheetName val="명일작업계획_(3)9"/>
      <sheetName val="용선_C_L9"/>
      <sheetName val="전_체9"/>
      <sheetName val="흙막이B_(오산운암)9"/>
      <sheetName val="타이로드_흙막이9"/>
      <sheetName val="타이로드_흙막이(근입장2_5M)9"/>
      <sheetName val="타이로드(근입장2_5M)9"/>
      <sheetName val="pile_항타9"/>
      <sheetName val="pile_항타(디젤)9"/>
      <sheetName val="pile_항타_A9"/>
      <sheetName val="pile_항타_B9"/>
      <sheetName val="pile_항타_C9"/>
      <sheetName val="pile_인발9"/>
      <sheetName val="pile_인발_A9"/>
      <sheetName val="pile_인발_B9"/>
      <sheetName val="pile_인발_C9"/>
      <sheetName val="20TON_TRAILER9"/>
      <sheetName val="토류판_(2)9"/>
      <sheetName val="SHEET_PILE단가9"/>
      <sheetName val="6_이토처리시간9"/>
      <sheetName val="220_(2)5"/>
      <sheetName val="_5"/>
      <sheetName val="외주현황_wq15"/>
      <sheetName val="울진항공등화_내역서9"/>
      <sheetName val="일_위_대_가_표9"/>
      <sheetName val="영흥TL(UP,DOWN)_9"/>
      <sheetName val="3련_BOX9"/>
      <sheetName val="내역서_8"/>
      <sheetName val="2_1외주9"/>
      <sheetName val="2_3노무9"/>
      <sheetName val="2_4자재9"/>
      <sheetName val="2_2장비9"/>
      <sheetName val="2_5경비9"/>
      <sheetName val="2_6수목대9"/>
      <sheetName val="모선자재_집계표8"/>
      <sheetName val="재료의_할증8"/>
      <sheetName val="D1_2_COF모듈자재_입출재고_(B급)8"/>
      <sheetName val="기존단가_(2)7"/>
      <sheetName val="BEND_LOSS6"/>
      <sheetName val="1차_내역서9"/>
      <sheetName val="내역서1999_8최종5"/>
      <sheetName val="토공_total6"/>
      <sheetName val="3_관로전환기5"/>
      <sheetName val="TRAY_헹거산출6"/>
      <sheetName val="함열량_db8"/>
      <sheetName val="고객사_관리_코드9"/>
      <sheetName val="중기쥰종사_단위단가9"/>
      <sheetName val="PTVT_(MAU)9"/>
      <sheetName val="1_15"/>
      <sheetName val="F_월별기성수금현황_5"/>
      <sheetName val="99_조정금액6"/>
      <sheetName val="표__지8"/>
      <sheetName val="3_전기산출기초5"/>
      <sheetName val="금회_청구사항(기계)5"/>
      <sheetName val="기성갑지_(소방)5"/>
      <sheetName val="금회_청구사항(소방)5"/>
      <sheetName val="D_B5"/>
      <sheetName val="Div26_-_Elect8"/>
      <sheetName val="Khoi_luong8"/>
      <sheetName val="Bảng_mã_VT8"/>
      <sheetName val="DonGia_chetao8"/>
      <sheetName val="DonGia_VatTuLK8"/>
      <sheetName val="Fr_Revit8"/>
      <sheetName val="NSA_Summary8"/>
      <sheetName val="동강_배관5"/>
      <sheetName val="WCR_외주5"/>
      <sheetName val="ANILINE_-_OPTION5"/>
      <sheetName val="MDI_-_OPTION5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chi_tiet7"/>
      <sheetName val="PPC_Summary7"/>
      <sheetName val="06_일위대가목록5"/>
      <sheetName val="1_청구서5"/>
      <sheetName val="2_내역서5"/>
      <sheetName val="Tong_hop6"/>
      <sheetName val="Phan_lap_dat6"/>
      <sheetName val="Lắp_Ráp6"/>
      <sheetName val="총괄표_5"/>
      <sheetName val="계약대비내역서_(부경)5"/>
      <sheetName val="집행대비내역서_(부경)5"/>
      <sheetName val="계약그라우팅_포장5"/>
      <sheetName val="계약사무실조경_5"/>
      <sheetName val="횡배수관_토공량_산출5"/>
      <sheetName val="K2_site_Total_내역서5"/>
      <sheetName val="cong_thuc_tinh_chi_tiet8"/>
      <sheetName val="Gia_VLNCMTC6"/>
      <sheetName val="_IL-3_XLSY갑지10"/>
      <sheetName val="KET_CAU-_MJV26"/>
      <sheetName val="Ví_dụ6"/>
      <sheetName val="Phieu_trinh_ky_cấu_tháp6"/>
      <sheetName val="Phieu_trinh_ky_VTP6"/>
      <sheetName val="KS-VL_rời6"/>
      <sheetName val="Tai_san6"/>
      <sheetName val="Check_dong_tien6"/>
      <sheetName val="Chi_phí_SDTS6"/>
      <sheetName val="Check_COST6"/>
      <sheetName val="DATA_HD6"/>
      <sheetName val="Tong_hop_1TM6"/>
      <sheetName val="NS_Lán_trại6"/>
      <sheetName val="Check_cong_no_NC6"/>
      <sheetName val="01__DATA6"/>
      <sheetName val="도시정비_4"/>
      <sheetName val="샌딩_에폭시_도장7"/>
      <sheetName val="Summary_VO_No_36"/>
      <sheetName val="VO_No_3_16"/>
      <sheetName val="VO_No_3_26"/>
      <sheetName val="VO_No_3_36"/>
      <sheetName val="VO_No_3_46"/>
      <sheetName val="VO_No_3_56"/>
      <sheetName val="VO_No_3_66"/>
      <sheetName val="VO_No_3_76"/>
      <sheetName val="VO_No_3_86"/>
      <sheetName val="SCOPE_OF_WORK6"/>
      <sheetName val="대3류_6"/>
      <sheetName val="외주대비_ᨀ晙ԯ7"/>
      <sheetName val="3_단가산출서6"/>
      <sheetName val="4_단가산출기초6"/>
      <sheetName val="H__MECHANICAL6"/>
      <sheetName val="J__FIRE_FIGHTING6"/>
      <sheetName val="Sàn_T16"/>
      <sheetName val="Lỗ_thông_gió6"/>
      <sheetName val="Thống_kê6"/>
      <sheetName val="Tai_khoan6"/>
      <sheetName val="Bang_gia_2011_10_125"/>
      <sheetName val="중기사용료_(2)6"/>
      <sheetName val="投标材料清单_5"/>
      <sheetName val="ጊ후다내역_XLS]0_0ControlSheet35"/>
      <sheetName val="Dầm_15"/>
      <sheetName val="Unit_Rate(non_print)5"/>
      <sheetName val="Cọc_nhồi5"/>
      <sheetName val="5_6_NTKL_ĐHKK_5"/>
      <sheetName val="5_12_NTKL_PCCC5"/>
      <sheetName val="5_NKTC5"/>
      <sheetName val="4_BBNT-LĐ5"/>
      <sheetName val="외주대비_-석축???_x5"/>
      <sheetName val="D_&amp;_W_sizes5"/>
      <sheetName val="Goc_CC5"/>
      <sheetName val="Sàn_tầng_01_(_old_)5"/>
      <sheetName val="Gia_thanh_chuoi_su5"/>
      <sheetName val="Tiep_dia5"/>
      <sheetName val="Don_gia_vung_III-Can_Tho5"/>
      <sheetName val="TH_MEP5"/>
      <sheetName val="_DATA5"/>
      <sheetName val="0_Bìa5"/>
      <sheetName val="1_Mục_lục5"/>
      <sheetName val="2_Phiếu_kiểm_tra5"/>
      <sheetName val="BM-06a_Mẫu_chứng_chỉ_thanh_toá5"/>
      <sheetName val="3_Bảng_TT_giá_trị_thực_hiện5"/>
      <sheetName val="4_Bảng_TT_KL_thực_hiện5"/>
      <sheetName val="6_KL_DD_chi_tiết5"/>
      <sheetName val="5_công_nhật5"/>
      <sheetName val="ROW_3a-chi_tiết5"/>
      <sheetName val="ROW_5-_chi_tiết5"/>
      <sheetName val="ROW_6-_chi_tiết5"/>
      <sheetName val="KL_khoán_đổ_bê_tông_T75"/>
      <sheetName val="6__Bảng_TT_giá_trị_giảm_trừ_HĐ5"/>
      <sheetName val="6__Hồ_sơ_đính_kèm5"/>
      <sheetName val="운동장_(2)5"/>
      <sheetName val="주공_갑지5"/>
      <sheetName val="외주대비_-석É5"/>
      <sheetName val="5_2_6~7공사요율5"/>
      <sheetName val="04_12월건강보험(일용직)5"/>
      <sheetName val="1_내역(청_하역장전등)5"/>
      <sheetName val="2_원가집계5"/>
      <sheetName val="05_유류비자금청구(완)5"/>
      <sheetName val="19_07월_세_계5"/>
      <sheetName val="19_07항목별(시트복사금지100번쓰기)5"/>
      <sheetName val="19_05월5"/>
      <sheetName val="grid_(1)5"/>
      <sheetName val="경율산정_XLS5"/>
      <sheetName val="PAD_TR보호대기초5"/>
      <sheetName val="IMF_Code5"/>
      <sheetName val="Elec_LG4"/>
      <sheetName val="ESTI_4"/>
      <sheetName val="1_Requisition(E)4"/>
      <sheetName val="dtct_cong4"/>
      <sheetName val="NHÀ_NHẬP_LIỆU4"/>
      <sheetName val="MÓNG_SILO4"/>
      <sheetName val="3_14"/>
      <sheetName val="3_104"/>
      <sheetName val="3_24"/>
      <sheetName val="3_34"/>
      <sheetName val="3_44"/>
      <sheetName val="3_54"/>
      <sheetName val="3_64"/>
      <sheetName val="3_74"/>
      <sheetName val="3_84"/>
      <sheetName val="3_94"/>
      <sheetName val="Doi_so4"/>
      <sheetName val="TL_rieng4"/>
      <sheetName val="3_1_6_전산처리결과4"/>
      <sheetName val="Rect__104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원가_(2)2"/>
      <sheetName val="부대표지츀_2"/>
      <sheetName val="물가변동_총괄서6"/>
      <sheetName val="7_1유효폭6"/>
      <sheetName val="허용전류-IEC_DATA6"/>
      <sheetName val="본선_토공_분배표6"/>
      <sheetName val="을_25"/>
      <sheetName val="을_15"/>
      <sheetName val="토공_갑지5"/>
      <sheetName val="각사별공사비분개_5"/>
      <sheetName val="해외_연수비용_계산-삭제5"/>
      <sheetName val="해외_기술훈련비_(합계)5"/>
      <sheetName val="Pier_35"/>
      <sheetName val="BOX(1_5X1_5)4"/>
      <sheetName val="TYPE_A4"/>
      <sheetName val="장비투입_(2)4"/>
      <sheetName val="C_&amp;_G_RHS4"/>
      <sheetName val="5_3_단면가정4"/>
      <sheetName val="ITB_COST4"/>
      <sheetName val="CATCH_BASIN4"/>
      <sheetName val="Man_Hole4"/>
      <sheetName val="WEIGHT_LIST3"/>
      <sheetName val="산#2-1_(2)3"/>
      <sheetName val="설산1_나3"/>
      <sheetName val="1_토공3"/>
      <sheetName val="Process_Piping4"/>
      <sheetName val="plan&amp;section_of_foundation3"/>
      <sheetName val="design_criteria3"/>
      <sheetName val="자재_집계표3"/>
      <sheetName val="Raw_Data3"/>
      <sheetName val="PHC파일_천공_및_항타3"/>
      <sheetName val="내역_2"/>
      <sheetName val="보도내_5"/>
      <sheetName val="18_궤도재료2"/>
      <sheetName val="Measure_13064"/>
      <sheetName val="DM_ChiPhi4"/>
      <sheetName val="Basic_Wage4"/>
      <sheetName val="Menber_List4"/>
      <sheetName val="외주대비_-석축_x005f_x0000__x005f_x0000__x005f_x0000__4"/>
      <sheetName val="2_입력sheet2"/>
      <sheetName val="PL_Vua4"/>
      <sheetName val="간접비_총괄표2"/>
      <sheetName val="일위대가_2"/>
      <sheetName val="TỔNG_HỢP4"/>
      <sheetName val="C_MECHANICAL4"/>
      <sheetName val="Du_thau4"/>
      <sheetName val="1_관로4"/>
      <sheetName val="ጊ후다내역_XLS_0_0ControlSheet35"/>
      <sheetName val="외주대비_-석축____x5"/>
      <sheetName val="ጳ??Ⴔጳ??Lጴ??_ጵ??_ጶ??ఀጷ??_ጸ?5"/>
      <sheetName val="ጊ??Ⴔጱ??Lጲ??_ድ??nጳ??lጳ??eጴ4"/>
      <sheetName val="ጵ??Ⴔጶ??Lጷ??_ጸ??yጿ??uጿ??iጊ?4"/>
      <sheetName val="ጿ??Ⴔጿ??Lጊ??ېጱ??_ጲ??೵ድ??Ⴔጳ?4"/>
      <sheetName val="ጊ??Ⴔጊ??Lጱ??᳴ጲ??_ድ??ᰕጳ??װጳ4"/>
      <sheetName val="ጶ??Ⴔጷ??Lጸ??_ጿ??_ጿ??_ጊ??5"/>
      <sheetName val="ጿ??Ⴔጊ??Lጱ??Șጲ??ᩘድ??_ጳ??_ጳ?4"/>
      <sheetName val="ድ??Ⴔጳ??Lጳ??_ጴ??ഀጳ??nጳ??_4"/>
      <sheetName val="ጴ??Ⴔጵ??Lጶ??_ጷ??ഀጸ??nጿ??_4"/>
      <sheetName val="ጳ??Ⴔጴ??Lጵ??_ጶ??ᔼጷ??1ጸ??2ጿ?4"/>
      <sheetName val="ጸ??Ⴔጿ??Lጿ??_ጊ??_ጱ??ݴጲ??4"/>
      <sheetName val="ጴ??Ⴔጳ??Lጳ??iጴ??_ጵ??eጶ??e4"/>
      <sheetName val="ጵ??Ⴔጶ??Lጷ??ᝥጸ??Uጿ??Oጿ??_4"/>
      <sheetName val="ጳ??Ⴔጴ??Lጵ??֑ጶ??_ጷ??-ጸ??׭4"/>
      <sheetName val="ጲ??Ⴔድ??Lጳ??_ጳ??᪅ጴ??Șጳ??᧝ጳ4"/>
      <sheetName val="ጸ??Ⴔጿ??Lጿ??_ጊ??᪅ጊ??ႜጱ??4"/>
      <sheetName val="ጴ??Ⴔጵ??Lጶ??_ጷ??ᅸጸ??Ꮙጿ??°ጿ4"/>
      <sheetName val="ጶ??Ⴔጷ??Lጸ??_ጿ??(ጿ??ᅸጊ??)4"/>
      <sheetName val="ጳ??Ⴔጴ??Lጴ??_ፊ??(ጵ??ఀፋ??)4"/>
      <sheetName val="ጱ??Ⴔጲ??Lድ??ެጳ??_ጳ??(ጴ??4"/>
      <sheetName val="ጿ??Ⴔጿ??Lጊ??ᙔጱ??೵ጲ??_ድ??4"/>
      <sheetName val="ጱ??Ⴔጲ??Lድ??ಜጳ??(ጳ??_ጴ??4"/>
      <sheetName val="ጸ??Ⴔጿ??Lጿ??ݴጊ??෼ጱ??_ጲ??4"/>
      <sheetName val="ድ??Ⴔጳ??Lጳ??0ጴ??_ጳ??Iጳ??4"/>
      <sheetName val="ጸ??Ⴔጿ??Lጿ??iጊ??_ጱ??uጲ??r4"/>
      <sheetName val="3__CNT4"/>
      <sheetName val="unit_price_list(M)4"/>
      <sheetName val="Breakdown_(B)4"/>
      <sheetName val="thông_tin4"/>
      <sheetName val="PRECAST_lightconc-II4"/>
      <sheetName val="RAB_AR&amp;STR4"/>
      <sheetName val="Nhan_cong4"/>
      <sheetName val="Thiet_bi4"/>
      <sheetName val="Vat_tu4"/>
      <sheetName val="May_TC4"/>
      <sheetName val="Bang_KL4"/>
      <sheetName val="TH_Kinh_phi4"/>
      <sheetName val="cataloge_moi4"/>
      <sheetName val="_후다_x005f_x0001___x005f_x0010__x005f_x0000__x0005"/>
      <sheetName val="Budget_Code2"/>
      <sheetName val="Phu_cap2"/>
      <sheetName val="토목내역서_(도급단가)_(2)2"/>
      <sheetName val="[후다내역_XLS]__H1775_c_ESTI96____7"/>
      <sheetName val="옥외_전력간선공사2"/>
      <sheetName val="BH-1_(2)2"/>
      <sheetName val="ጳ__Ⴔጳ__Lጴ___ጵ___ጶ__ఀጷ___ጸ_3"/>
      <sheetName val="ጊ__Ⴔጱ__Lጲ___ድ__nጳ__lጳ__eጴ2"/>
      <sheetName val="ጵ__Ⴔጶ__Lጷ___ጸ__yጿ__uጿ__iጊ_2"/>
      <sheetName val="ጿ__Ⴔጿ__Lጊ__ېጱ___ጲ__೵ድ__Ⴔጳ_2"/>
      <sheetName val="ጊ__Ⴔጊ__Lጱ__᳴ጲ___ድ__ᰕጳ__װጳ2"/>
      <sheetName val="ጶ__Ⴔጷ__Lጸ___ጿ___ጿ___ጊ__3"/>
      <sheetName val="ጿ__Ⴔጊ__Lጱ__Șጲ__ᩘድ___ጳ___ጳ_2"/>
      <sheetName val="ድ__Ⴔጳ__Lጳ___ጴ__ഀጳ__nጳ___2"/>
      <sheetName val="ጴ__Ⴔጵ__Lጶ___ጷ__ഀጸ__nጿ___2"/>
      <sheetName val="ጳ__Ⴔጴ__Lጵ___ጶ__ᔼጷ__1ጸ__2ጿ_2"/>
      <sheetName val="ጸ__Ⴔጿ__Lጿ___ጊ___ጱ__ݴጲ__2"/>
      <sheetName val="ጴ__Ⴔጳ__Lጳ__iጴ___ጵ__eጶ__e2"/>
      <sheetName val="ጵ__Ⴔጶ__Lጷ__ᝥጸ__Uጿ__Oጿ___2"/>
      <sheetName val="ጳ__Ⴔጴ__Lጵ__֑ጶ___ጷ__-ጸ__׭2"/>
      <sheetName val="ጲ__Ⴔድ__Lጳ___ጳ__᪅ጴ__Șጳ__᧝ጳ2"/>
      <sheetName val="ጸ__Ⴔጿ__Lጿ___ጊ__᪅ጊ__ႜጱ__2"/>
      <sheetName val="ጴ__Ⴔጵ__Lጶ___ጷ__ᅸጸ__Ꮙጿ__°ጿ2"/>
      <sheetName val="ጶ__Ⴔጷ__Lጸ___ጿ__(ጿ__ᅸጊ__)2"/>
      <sheetName val="ጳ__Ⴔጴ__Lጴ___ፊ__(ጵ__ఀፋ__)2"/>
      <sheetName val="ጱ__Ⴔጲ__Lድ__ެጳ___ጳ__(ጴ__2"/>
      <sheetName val="ጿ__Ⴔጿ__Lጊ__ᙔጱ__೵ጲ___ድ__2"/>
      <sheetName val="ጱ__Ⴔጲ__Lድ__ಜጳ__(ጳ___ጴ__2"/>
      <sheetName val="ጸ__Ⴔጿ__Lጿ__ݴጊ__෼ጱ___ጲ__2"/>
      <sheetName val="ድ__Ⴔጳ__Lጳ__0ጴ___ጳ__Iጳ__2"/>
      <sheetName val="ጸ__Ⴔጿ__Lጿ__iጊ___ጱ__uጲ__r2"/>
      <sheetName val="MAIN_GATE_HOUSE2"/>
      <sheetName val="T_KE_CP12"/>
      <sheetName val="2__주요공지（主要公告）2"/>
      <sheetName val="4_예산내역서2"/>
      <sheetName val="A_견적2"/>
      <sheetName val="1_사유서2"/>
      <sheetName val="손익분기점_데이터2"/>
      <sheetName val="매각대상자산_청산가치2"/>
      <sheetName val="2000년_임금추정2"/>
      <sheetName val="const_2"/>
      <sheetName val="자재기성_신청서_xlsx2"/>
      <sheetName val="입찰내역_발주처_양식2"/>
      <sheetName val="2_교2"/>
      <sheetName val="[후다내역_XLS]__H1775_c_ESTI96____8"/>
      <sheetName val="[후다내역_XLS]__H1775_c_ESTI96____9"/>
      <sheetName val="일__위__대__가_2"/>
      <sheetName val="_견적Ⴗ2"/>
      <sheetName val="VS_P-Q2"/>
      <sheetName val="1차3회-개_2"/>
      <sheetName val="1공구_건정토건_토공12"/>
      <sheetName val="1공구_건정토건_철콘12"/>
      <sheetName val="도급표지_12"/>
      <sheetName val="도급표지__(4)12"/>
      <sheetName val="부대표지_(4)12"/>
      <sheetName val="도급표지__(3)12"/>
      <sheetName val="부대표지_(3)12"/>
      <sheetName val="도급표지__(2)12"/>
      <sheetName val="부대표지_(2)12"/>
      <sheetName val="토__목12"/>
      <sheetName val="조__경12"/>
      <sheetName val="전_기12"/>
      <sheetName val="건__축12"/>
      <sheetName val="보도내역_(3)12"/>
      <sheetName val="준검_내역서12"/>
      <sheetName val="2_대외공문12"/>
      <sheetName val="설_계12"/>
      <sheetName val="1_수인터널12"/>
      <sheetName val="6PILE__(돌출)12"/>
      <sheetName val="AS포장복구_12"/>
      <sheetName val="내역(최종본4_5)12"/>
      <sheetName val="0_0ControlSheet12"/>
      <sheetName val="0_1keyAssumption12"/>
      <sheetName val="Sheet1_(2)11"/>
      <sheetName val="입출재고현황_(2)11"/>
      <sheetName val="4_내진설계11"/>
      <sheetName val="1_취수장11"/>
      <sheetName val="전차선로_물량표11"/>
      <sheetName val="BSD_(2)11"/>
      <sheetName val="제잡비_xls11"/>
      <sheetName val="노원열병합__건축공사기성내역서11"/>
      <sheetName val="현장별계약현황('98_10_31)11"/>
      <sheetName val="96보완계획7_1211"/>
      <sheetName val="1__설계조건_2_단면가정_3__하중계산11"/>
      <sheetName val="DATA_입력란11"/>
      <sheetName val="인건비_11"/>
      <sheetName val="3BL공동구_수량11"/>
      <sheetName val="플랜트_설치11"/>
      <sheetName val="실행내역서_11"/>
      <sheetName val="부대입찰_내역서11"/>
      <sheetName val="토공(우물통,기타)_11"/>
      <sheetName val="_총괄표11"/>
      <sheetName val="2_고용보험료산출근거11"/>
      <sheetName val="원가계산_(2)11"/>
      <sheetName val="Eq__Mobilization11"/>
      <sheetName val="1_설계조건11"/>
      <sheetName val="장비당단가_(1)10"/>
      <sheetName val="Sheet2_(2)10"/>
      <sheetName val="1_설계기준10"/>
      <sheetName val="97년_추정11"/>
      <sheetName val="현장관리비_산출내역11"/>
      <sheetName val="프라임_강변역(4,236)9"/>
      <sheetName val="내___역9"/>
      <sheetName val="집_계_표9"/>
      <sheetName val="콤보박스와_리스트박스의_연결11"/>
      <sheetName val="공정표_10"/>
      <sheetName val="5_2코핑9"/>
      <sheetName val="수_량_명_세_서_-_110"/>
      <sheetName val="배수공_시멘트_및_골재량_산출9"/>
      <sheetName val="7_PILE__(돌출)9"/>
      <sheetName val="P_M_별9"/>
      <sheetName val="2_건축10"/>
      <sheetName val="8_PILE__(돌출)10"/>
      <sheetName val="2000년_공정표9"/>
      <sheetName val="2_교량(신설)9"/>
      <sheetName val="별표_10"/>
      <sheetName val="설내역서_10"/>
      <sheetName val="광통신_견적내역서19"/>
      <sheetName val="할증_9"/>
      <sheetName val="unit_49"/>
      <sheetName val="DATA_입력부9"/>
      <sheetName val="CIP_공사10"/>
      <sheetName val="표지_(2)11"/>
      <sheetName val="EQUIP_LIST9"/>
      <sheetName val="4_경비_5_영업외수지9"/>
      <sheetName val="_견적서9"/>
      <sheetName val="수량산출서_갑지9"/>
      <sheetName val="5_정산서9"/>
      <sheetName val="표지_(3)11"/>
      <sheetName val="교각집계_(2)11"/>
      <sheetName val="교각토공_(2)11"/>
      <sheetName val="교각철근_(2)11"/>
      <sheetName val="외주대비_-석축11"/>
      <sheetName val="외주대비-구조물_(2)11"/>
      <sheetName val="견적표지_(3)11"/>
      <sheetName val="_HIT-&gt;HMC_견적(3900)11"/>
      <sheetName val="일__위__대__가__목__록11"/>
      <sheetName val="교각토공__2_11"/>
      <sheetName val="2000_059"/>
      <sheetName val="1_3_1절점좌표9"/>
      <sheetName val="1_1설계기준9"/>
      <sheetName val="1_본부별9"/>
      <sheetName val="HRSG_SMALL0722011"/>
      <sheetName val="6__안전관리비20"/>
      <sheetName val="하도내역_(철콘)10"/>
      <sheetName val="3_공통공사대비11"/>
      <sheetName val="노무비_근거10"/>
      <sheetName val="조건표_(2)10"/>
      <sheetName val="임율_Data10"/>
      <sheetName val="2차전체변경예정_(2)10"/>
      <sheetName val="토공유동표(전체_당초)10"/>
      <sheetName val="목차_10"/>
      <sheetName val="단면_(2)10"/>
      <sheetName val="b_balju_(2)10"/>
      <sheetName val="8_현장관리비10"/>
      <sheetName val="7_안전관리비10"/>
      <sheetName val="7__현장관리비_10"/>
      <sheetName val="노무비_9"/>
      <sheetName val="내역서_제출9"/>
      <sheetName val="구조______9"/>
      <sheetName val="간_지19"/>
      <sheetName val="화재_탐지_설비9"/>
      <sheetName val="4_일위대가집계9"/>
      <sheetName val="5__현장관리비(new)_9"/>
      <sheetName val="Customer_Databas9"/>
      <sheetName val="방배동내역_(총괄)9"/>
      <sheetName val="기초입력_DATA9"/>
      <sheetName val="재활용_악취_먼지DUCT산출9"/>
      <sheetName val="4_장비손료9"/>
      <sheetName val="단양_00_아파트-세부내역9"/>
      <sheetName val="5호광장_(만점)9"/>
      <sheetName val="인천국제_(만점)_(2)9"/>
      <sheetName val="전선_및_전선관8"/>
      <sheetName val="VENDOR_LIST8"/>
      <sheetName val="남양시작동자105노65기1_3화1_28"/>
      <sheetName val="관음목장(제출용)자105인97_58"/>
      <sheetName val="2F_회의실견적(5_14_일대)8"/>
      <sheetName val="한성교회_신축공사(050713)_CheckList8"/>
      <sheetName val="설계기준_및_하중계산8"/>
      <sheetName val="Sight_n_M_H8"/>
      <sheetName val="단가_8"/>
      <sheetName val="4_LINE9"/>
      <sheetName val="7_th9"/>
      <sheetName val="_갑지9"/>
      <sheetName val="A_LINE9"/>
      <sheetName val="5__현장관리비_new__9"/>
      <sheetName val="Temporary_Mooring9"/>
      <sheetName val="중기조종사_단위단가10"/>
      <sheetName val="총_원가계산9"/>
      <sheetName val="매출요약(월별)_-년간8"/>
      <sheetName val="Piping_Design_Data8"/>
      <sheetName val="4_&amp;_10-inch,_CO2_Combo_&amp;_Sweep8"/>
      <sheetName val="PROJECT_BRIEF8"/>
      <sheetName val="전체내역_(2)8"/>
      <sheetName val="Hyundai_Unit_cost_xls8"/>
      <sheetName val="1062-X방향_8"/>
      <sheetName val="TABLE_DB8"/>
      <sheetName val="쌍용_data_base8"/>
      <sheetName val="수목데이타_8"/>
      <sheetName val="1_䷨수장8"/>
      <sheetName val="4_뀴진설Ⳅ8"/>
      <sheetName val="전䰨선로_물량표8"/>
      <sheetName val="㶀대입찰_내역서8"/>
      <sheetName val="제출내역_(2)9"/>
      <sheetName val="969910(_R)8"/>
      <sheetName val="원내역서_그대로8"/>
      <sheetName val="strut_type8"/>
      <sheetName val="내역서_(2)8"/>
      <sheetName val="총괄집계_8"/>
      <sheetName val="단가_및_재료비8"/>
      <sheetName val="경비_(1)8"/>
      <sheetName val="기계_도급내역서7"/>
      <sheetName val="10_경제성분석7"/>
      <sheetName val="청_구6"/>
      <sheetName val="kimre_scrubber8"/>
      <sheetName val="FRP_PIPING_일위대가8"/>
      <sheetName val="개인별_순위표9"/>
      <sheetName val="2_2_오피스텔(12~32F)9"/>
      <sheetName val="일위대가_집계표9"/>
      <sheetName val="9_1지하2층하부보9"/>
      <sheetName val="단계별내역_(2)9"/>
      <sheetName val="4_일위대가9"/>
      <sheetName val="공내역_및_견적조건7"/>
      <sheetName val="2_17"/>
      <sheetName val="-15_07"/>
      <sheetName val="108_수선비8"/>
      <sheetName val="신평리_권리자명부5"/>
      <sheetName val="97_사업추정(WEKI)5"/>
      <sheetName val="일위대가_(PM)8"/>
      <sheetName val="사__업__비__수__지__예__산__서7"/>
      <sheetName val="7_전산해석결과6"/>
      <sheetName val="4_하중6"/>
      <sheetName val="STEEL_BOX_단면설계(SEC_8)8"/>
      <sheetName val="2_2_띠장의_설계9"/>
      <sheetName val="자__재9"/>
      <sheetName val="CM_19"/>
      <sheetName val="세골재__T2_변경_현황8"/>
      <sheetName val="6__안전관리비21"/>
      <sheetName val="기술부_VENDOR_LIST9"/>
      <sheetName val="4_2_1_마루높이_검토8"/>
      <sheetName val="내역서_(3)9"/>
      <sheetName val="산출양식_(2)9"/>
      <sheetName val="전체산출내역서갑(변경)_9"/>
      <sheetName val="A_터파기공9"/>
      <sheetName val="B_측·집9"/>
      <sheetName val="배(자·집)_(2)9"/>
      <sheetName val="2_01측·터·집9"/>
      <sheetName val="땅깍·수_(1-1)9"/>
      <sheetName val="0-52_9"/>
      <sheetName val="콘·다_(2)9"/>
      <sheetName val="기·집_(2)9"/>
      <sheetName val="콘·다_(3)9"/>
      <sheetName val="병원내역집계표_(2)9"/>
      <sheetName val="실행총괄_9"/>
      <sheetName val="[IL-3_XLSY갑지9"/>
      <sheetName val="4_일위대가목차9"/>
      <sheetName val="내역_ver1_09"/>
      <sheetName val="2000,9월_일위9"/>
      <sheetName val="1_노무비명세서(해동)9"/>
      <sheetName val="1_노무비명세서(토목)9"/>
      <sheetName val="2_노무비명세서(해동)9"/>
      <sheetName val="2_노무비명세서(수직보호망)9"/>
      <sheetName val="2_노무비명세서(난간대)9"/>
      <sheetName val="2_사진대지9"/>
      <sheetName val="3_사진대지9"/>
      <sheetName val="변압기_및_발전기_용량8"/>
      <sheetName val="조도계산서_(도서)8"/>
      <sheetName val="빌딩_안내8"/>
      <sheetName val="CABLE_(2)8"/>
      <sheetName val="G_R300경비8"/>
      <sheetName val="단가대비표_(3)8"/>
      <sheetName val="기성내역서(을)_(2)8"/>
      <sheetName val="1단계_(2)8"/>
      <sheetName val="2_1__노무비_평균단가산출8"/>
      <sheetName val="3_공사비(07년노임단가)8"/>
      <sheetName val="3_공사비(단가조사표)8"/>
      <sheetName val="3_공사비(물량산출표)8"/>
      <sheetName val="3_공사비(일위대가표목록)8"/>
      <sheetName val="3_공사비(일위대가표)8"/>
      <sheetName val="TRE_TABLE8"/>
      <sheetName val="Requirement(Work_Crew)8"/>
      <sheetName val="진입도로B_(2)8"/>
      <sheetName val="2_냉난방설비공사8"/>
      <sheetName val="7_자동제어공사8"/>
      <sheetName val="중강당_내역8"/>
      <sheetName val="기초자료입력및_K치_확인8"/>
      <sheetName val="실행내역_8"/>
      <sheetName val="자재_단가_비교표(견적)8"/>
      <sheetName val="자재_단가_비교표8"/>
      <sheetName val="Bid_Summary8"/>
      <sheetName val="이동시_예상비용8"/>
      <sheetName val="Seg_1DE비용8"/>
      <sheetName val="Transit_비용_감가상각미포함8"/>
      <sheetName val="전화공사_공량_및_집계표8"/>
      <sheetName val="참조_(2)8"/>
      <sheetName val="6__직접경비8"/>
      <sheetName val="대가_(보완)8"/>
      <sheetName val="3_자재비(총괄)8"/>
      <sheetName val="제조_경영8"/>
      <sheetName val="4_전기8"/>
      <sheetName val="노_무_비8"/>
      <sheetName val="미납품_현황8"/>
      <sheetName val="신설개소별_총집계표(동해-배전)8"/>
      <sheetName val="BOX_본체8"/>
      <sheetName val="MP_MOB8"/>
      <sheetName val="_ｹ-ﾌﾞﾙ5"/>
      <sheetName val="①idea_pipeline8"/>
      <sheetName val="IMP_통일양식8"/>
      <sheetName val="LYS_통일양식8"/>
      <sheetName val="Xunit_(단위환산)8"/>
      <sheetName val="유통기한_프로그램8"/>
      <sheetName val="1-1_현장정리8"/>
      <sheetName val="1-2_토공8"/>
      <sheetName val="1-3_WMM,GSB8"/>
      <sheetName val="1-4_BITUMINOUS_COURSE8"/>
      <sheetName val="1-5_BOX_CULVERTS8"/>
      <sheetName val="1-6_BRIDGE8"/>
      <sheetName val="1-7_DRAINAGE8"/>
      <sheetName val="1-8_TRAFFIC8"/>
      <sheetName val="1-9_MISCELLANEOUS8"/>
      <sheetName val="1-10_ELECTRICAL8"/>
      <sheetName val="1-12_도급외항목8"/>
      <sheetName val="명일작업계획_(3)8"/>
      <sheetName val="용선_C_L8"/>
      <sheetName val="전_체8"/>
      <sheetName val="흙막이B_(오산운암)8"/>
      <sheetName val="타이로드_흙막이8"/>
      <sheetName val="타이로드_흙막이(근입장2_5M)8"/>
      <sheetName val="타이로드(근입장2_5M)8"/>
      <sheetName val="pile_항타8"/>
      <sheetName val="pile_항타(디젤)8"/>
      <sheetName val="pile_항타_A8"/>
      <sheetName val="pile_항타_B8"/>
      <sheetName val="pile_항타_C8"/>
      <sheetName val="pile_인발8"/>
      <sheetName val="pile_인발_A8"/>
      <sheetName val="pile_인발_B8"/>
      <sheetName val="pile_인발_C8"/>
      <sheetName val="20TON_TRAILER8"/>
      <sheetName val="토류판_(2)8"/>
      <sheetName val="SHEET_PILE단가8"/>
      <sheetName val="6_이토처리시간8"/>
      <sheetName val="울진항공등화_내역서8"/>
      <sheetName val="일_위_대_가_표8"/>
      <sheetName val="영흥TL(UP,DOWN)_8"/>
      <sheetName val="3련_BOX8"/>
      <sheetName val="내역서_7"/>
      <sheetName val="2_1외주8"/>
      <sheetName val="2_3노무8"/>
      <sheetName val="2_4자재8"/>
      <sheetName val="2_2장비8"/>
      <sheetName val="2_5경비8"/>
      <sheetName val="2_6수목대8"/>
      <sheetName val="모선자재_집계표7"/>
      <sheetName val="재료의_할증7"/>
      <sheetName val="D1_2_COF모듈자재_입출재고_(B급)7"/>
      <sheetName val="기존단가_(2)6"/>
      <sheetName val="BEND_LOSS5"/>
      <sheetName val="1차_내역서8"/>
      <sheetName val="토공_total5"/>
      <sheetName val="TRAY_헹거산출5"/>
      <sheetName val="함열량_db7"/>
      <sheetName val="고객사_관리_코드8"/>
      <sheetName val="중기쥰종사_단위단가8"/>
      <sheetName val="PTVT_(MAU)8"/>
      <sheetName val="99_조정금액5"/>
      <sheetName val="표__지7"/>
      <sheetName val="Div26_-_Elect7"/>
      <sheetName val="Khoi_luong7"/>
      <sheetName val="Bảng_mã_VT7"/>
      <sheetName val="DonGia_chetao7"/>
      <sheetName val="DonGia_VatTuLK7"/>
      <sheetName val="Fr_Revit7"/>
      <sheetName val="NSA_Summary7"/>
      <sheetName val="chi_tiet6"/>
      <sheetName val="PPC_Summary6"/>
      <sheetName val="Tong_hop5"/>
      <sheetName val="Phan_lap_dat5"/>
      <sheetName val="Lắp_Ráp5"/>
      <sheetName val="cong_thuc_tinh_chi_tiet7"/>
      <sheetName val="Gia_VLNCMTC5"/>
      <sheetName val="_IL-3_XLSY갑지9"/>
      <sheetName val="KET_CAU-_MJV25"/>
      <sheetName val="Ví_dụ5"/>
      <sheetName val="Phieu_trinh_ky_cấu_tháp5"/>
      <sheetName val="Phieu_trinh_ky_VTP5"/>
      <sheetName val="KS-VL_rời5"/>
      <sheetName val="Tai_san5"/>
      <sheetName val="Check_dong_tien5"/>
      <sheetName val="Chi_phí_SDTS5"/>
      <sheetName val="Check_COST5"/>
      <sheetName val="DATA_HD5"/>
      <sheetName val="Tong_hop_1TM5"/>
      <sheetName val="NS_Lán_trại5"/>
      <sheetName val="Check_cong_no_NC5"/>
      <sheetName val="01__DATA5"/>
      <sheetName val="샌딩_에폭시_도장6"/>
      <sheetName val="Summary_VO_No_35"/>
      <sheetName val="VO_No_3_15"/>
      <sheetName val="VO_No_3_25"/>
      <sheetName val="VO_No_3_35"/>
      <sheetName val="VO_No_3_45"/>
      <sheetName val="VO_No_3_55"/>
      <sheetName val="VO_No_3_65"/>
      <sheetName val="VO_No_3_75"/>
      <sheetName val="VO_No_3_85"/>
      <sheetName val="SCOPE_OF_WORK5"/>
      <sheetName val="대3류_5"/>
      <sheetName val="외주대비_ᨀ晙ԯ6"/>
      <sheetName val="3_단가산출서5"/>
      <sheetName val="4_단가산출기초5"/>
      <sheetName val="H__MECHANICAL5"/>
      <sheetName val="J__FIRE_FIGHTING5"/>
      <sheetName val="Sàn_T15"/>
      <sheetName val="Lỗ_thông_gió5"/>
      <sheetName val="Thống_kê5"/>
      <sheetName val="Tai_khoan5"/>
      <sheetName val="Bang_gia_2011_10_124"/>
      <sheetName val="중기사용료_(2)5"/>
      <sheetName val="投标材料清单_4"/>
      <sheetName val="ጊ후다내역_XLS]0_0ControlSheet34"/>
      <sheetName val="Dầm_14"/>
      <sheetName val="Unit_Rate(non_print)4"/>
      <sheetName val="Cọc_nhồi4"/>
      <sheetName val="5_6_NTKL_ĐHKK_4"/>
      <sheetName val="5_12_NTKL_PCCC4"/>
      <sheetName val="5_NKTC4"/>
      <sheetName val="4_BBNT-LĐ4"/>
      <sheetName val="외주대비_-석축???_x4"/>
      <sheetName val="D_&amp;_W_sizes4"/>
      <sheetName val="Goc_CC4"/>
      <sheetName val="Sàn_tầng_01_(_old_)4"/>
      <sheetName val="Gia_thanh_chuoi_su4"/>
      <sheetName val="Tiep_dia4"/>
      <sheetName val="Don_gia_vung_III-Can_Tho4"/>
      <sheetName val="TH_MEP4"/>
      <sheetName val="_DATA4"/>
      <sheetName val="0_Bìa4"/>
      <sheetName val="1_Mục_lục4"/>
      <sheetName val="2_Phiếu_kiểm_tra4"/>
      <sheetName val="BM-06a_Mẫu_chứng_chỉ_thanh_toá4"/>
      <sheetName val="3_Bảng_TT_giá_trị_thực_hiện4"/>
      <sheetName val="4_Bảng_TT_KL_thực_hiện4"/>
      <sheetName val="6_KL_DD_chi_tiết4"/>
      <sheetName val="5_công_nhật4"/>
      <sheetName val="ROW_3a-chi_tiết4"/>
      <sheetName val="ROW_5-_chi_tiết4"/>
      <sheetName val="ROW_6-_chi_tiết4"/>
      <sheetName val="KL_khoán_đổ_bê_tông_T74"/>
      <sheetName val="6__Bảng_TT_giá_trị_giảm_trừ_HĐ4"/>
      <sheetName val="6__Hồ_sơ_đính_kèm4"/>
      <sheetName val="운동장_(2)4"/>
      <sheetName val="주공_갑지4"/>
      <sheetName val="외주대비_-석É4"/>
      <sheetName val="5_2_6~7공사요율4"/>
      <sheetName val="04_12월건강보험(일용직)4"/>
      <sheetName val="1_내역(청_하역장전등)4"/>
      <sheetName val="2_원가집계4"/>
      <sheetName val="05_유류비자금청구(완)4"/>
      <sheetName val="19_07월_세_계4"/>
      <sheetName val="19_07항목별(시트복사금지100번쓰기)4"/>
      <sheetName val="19_05월4"/>
      <sheetName val="grid_(1)4"/>
      <sheetName val="경율산정_XLS4"/>
      <sheetName val="PAD_TR보호대기초4"/>
      <sheetName val="IMF_Code4"/>
      <sheetName val="Elec_LG3"/>
      <sheetName val="ESTI_3"/>
      <sheetName val="1_Requisition(E)3"/>
      <sheetName val="dtct_cong3"/>
      <sheetName val="NHÀ_NHẬP_LIỆU3"/>
      <sheetName val="MÓNG_SILO3"/>
      <sheetName val="3_13"/>
      <sheetName val="3_103"/>
      <sheetName val="3_23"/>
      <sheetName val="3_33"/>
      <sheetName val="3_43"/>
      <sheetName val="3_53"/>
      <sheetName val="3_63"/>
      <sheetName val="3_73"/>
      <sheetName val="3_83"/>
      <sheetName val="3_93"/>
      <sheetName val="Doi_so3"/>
      <sheetName val="TL_rieng3"/>
      <sheetName val="Rect__103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물가변동_총괄서5"/>
      <sheetName val="7_1유효폭5"/>
      <sheetName val="허용전류-IEC_DATA5"/>
      <sheetName val="본선_토공_분배표5"/>
      <sheetName val="을_24"/>
      <sheetName val="을_14"/>
      <sheetName val="토공_갑지4"/>
      <sheetName val="각사별공사비분개_4"/>
      <sheetName val="해외_연수비용_계산-삭제4"/>
      <sheetName val="해외_기술훈련비_(합계)4"/>
      <sheetName val="Pier_34"/>
      <sheetName val="BOX(1_5X1_5)3"/>
      <sheetName val="TYPE_A3"/>
      <sheetName val="장비투입_(2)3"/>
      <sheetName val="C_&amp;_G_RHS3"/>
      <sheetName val="5_3_단면가정3"/>
      <sheetName val="ITB_COST3"/>
      <sheetName val="CATCH_BASIN3"/>
      <sheetName val="Man_Hole3"/>
      <sheetName val="WEIGHT_LIST2"/>
      <sheetName val="산#2-1_(2)2"/>
      <sheetName val="설산1_나2"/>
      <sheetName val="1_토공2"/>
      <sheetName val="Process_Piping3"/>
      <sheetName val="plan&amp;section_of_foundation2"/>
      <sheetName val="design_criteria2"/>
      <sheetName val="자재_집계표2"/>
      <sheetName val="Raw_Data2"/>
      <sheetName val="PHC파일_천공_및_항타2"/>
      <sheetName val="보도내_4"/>
      <sheetName val="Measure_13063"/>
      <sheetName val="DM_ChiPhi3"/>
      <sheetName val="Basic_Wage3"/>
      <sheetName val="Menber_List3"/>
      <sheetName val="외주대비_-석축_x005f_x0000__x005f_x0000__x005f_x0000__3"/>
      <sheetName val="PL_Vua3"/>
      <sheetName val="일위대가_1"/>
      <sheetName val="TỔNG_HỢP3"/>
      <sheetName val="C_MECHANICAL3"/>
      <sheetName val="Du_thau3"/>
      <sheetName val="1_관로3"/>
      <sheetName val="ጊ후다내역_XLS_0_0ControlSheet34"/>
      <sheetName val="외주대비_-석축____x4"/>
      <sheetName val="ጳ??Ⴔጳ??Lጴ??_ጵ??_ጶ??ఀጷ??_ጸ?4"/>
      <sheetName val="ጊ??Ⴔጱ??Lጲ??_ድ??nጳ??lጳ??eጴ3"/>
      <sheetName val="ጵ??Ⴔጶ??Lጷ??_ጸ??yጿ??uጿ??iጊ?3"/>
      <sheetName val="ጿ??Ⴔጿ??Lጊ??ېጱ??_ጲ??೵ድ??Ⴔጳ?3"/>
      <sheetName val="ጊ??Ⴔጊ??Lጱ??᳴ጲ??_ድ??ᰕጳ??װጳ3"/>
      <sheetName val="ጶ??Ⴔጷ??Lጸ??_ጿ??_ጿ??_ጊ??4"/>
      <sheetName val="ጿ??Ⴔጊ??Lጱ??Șጲ??ᩘድ??_ጳ??_ጳ?3"/>
      <sheetName val="ድ??Ⴔጳ??Lጳ??_ጴ??ഀጳ??nጳ??_3"/>
      <sheetName val="ጴ??Ⴔጵ??Lጶ??_ጷ??ഀጸ??nጿ??_3"/>
      <sheetName val="ጳ??Ⴔጴ??Lጵ??_ጶ??ᔼጷ??1ጸ??2ጿ?3"/>
      <sheetName val="ጸ??Ⴔጿ??Lጿ??_ጊ??_ጱ??ݴጲ??3"/>
      <sheetName val="ጴ??Ⴔጳ??Lጳ??iጴ??_ጵ??eጶ??e3"/>
      <sheetName val="ጵ??Ⴔጶ??Lጷ??ᝥጸ??Uጿ??Oጿ??_3"/>
      <sheetName val="ጳ??Ⴔጴ??Lጵ??֑ጶ??_ጷ??-ጸ??׭3"/>
      <sheetName val="ጲ??Ⴔድ??Lጳ??_ጳ??᪅ጴ??Șጳ??᧝ጳ3"/>
      <sheetName val="ጸ??Ⴔጿ??Lጿ??_ጊ??᪅ጊ??ႜጱ??3"/>
      <sheetName val="ጴ??Ⴔጵ??Lጶ??_ጷ??ᅸጸ??Ꮙጿ??°ጿ3"/>
      <sheetName val="ጶ??Ⴔጷ??Lጸ??_ጿ??(ጿ??ᅸጊ??)3"/>
      <sheetName val="ጳ??Ⴔጴ??Lጴ??_ፊ??(ጵ??ఀፋ??)3"/>
      <sheetName val="ጱ??Ⴔጲ??Lድ??ެጳ??_ጳ??(ጴ??3"/>
      <sheetName val="ጿ??Ⴔጿ??Lጊ??ᙔጱ??೵ጲ??_ድ??3"/>
      <sheetName val="ጱ??Ⴔጲ??Lድ??ಜጳ??(ጳ??_ጴ??3"/>
      <sheetName val="ጸ??Ⴔጿ??Lጿ??ݴጊ??෼ጱ??_ጲ??3"/>
      <sheetName val="ድ??Ⴔጳ??Lጳ??0ጴ??_ጳ??Iጳ??3"/>
      <sheetName val="ጸ??Ⴔጿ??Lጿ??iጊ??_ጱ??uጲ??r3"/>
      <sheetName val="3__CNT3"/>
      <sheetName val="unit_price_list(M)3"/>
      <sheetName val="Breakdown_(B)3"/>
      <sheetName val="thông_tin3"/>
      <sheetName val="PRECAST_lightconc-II3"/>
      <sheetName val="RAB_AR&amp;STR3"/>
      <sheetName val="Nhan_cong3"/>
      <sheetName val="Thiet_bi3"/>
      <sheetName val="Vat_tu3"/>
      <sheetName val="May_TC3"/>
      <sheetName val="Bang_KL3"/>
      <sheetName val="TH_Kinh_phi3"/>
      <sheetName val="cataloge_moi3"/>
      <sheetName val="_후다_x005f_x0001___x005f_x0010__x005f_x0000__x0004"/>
      <sheetName val="[후다내역_XLS]__H1775_c_ESTI96____1"/>
      <sheetName val="옥외_전력간선공사1"/>
      <sheetName val="ጳ__Ⴔጳ__Lጴ___ጵ___ጶ__ఀጷ___ጸ_2"/>
      <sheetName val="ጊ__Ⴔጱ__Lጲ___ድ__nጳ__lጳ__eጴ1"/>
      <sheetName val="ጵ__Ⴔጶ__Lጷ___ጸ__yጿ__uጿ__iጊ_1"/>
      <sheetName val="ጿ__Ⴔጿ__Lጊ__ېጱ___ጲ__೵ድ__Ⴔጳ_1"/>
      <sheetName val="ጊ__Ⴔጊ__Lጱ__᳴ጲ___ድ__ᰕጳ__װጳ1"/>
      <sheetName val="ጶ__Ⴔጷ__Lጸ___ጿ___ጿ___ጊ__2"/>
      <sheetName val="ጿ__Ⴔጊ__Lጱ__Șጲ__ᩘድ___ጳ___ጳ_1"/>
      <sheetName val="ድ__Ⴔጳ__Lጳ___ጴ__ഀጳ__nጳ___1"/>
      <sheetName val="ጴ__Ⴔጵ__Lጶ___ጷ__ഀጸ__nጿ___1"/>
      <sheetName val="ጳ__Ⴔጴ__Lጵ___ጶ__ᔼጷ__1ጸ__2ጿ_1"/>
      <sheetName val="ጸ__Ⴔጿ__Lጿ___ጊ___ጱ__ݴጲ__1"/>
      <sheetName val="ጴ__Ⴔጳ__Lጳ__iጴ___ጵ__eጶ__e1"/>
      <sheetName val="ጵ__Ⴔጶ__Lጷ__ᝥጸ__Uጿ__Oጿ___1"/>
      <sheetName val="ጳ__Ⴔጴ__Lጵ__֑ጶ___ጷ__-ጸ__׭1"/>
      <sheetName val="ጲ__Ⴔድ__Lጳ___ጳ__᪅ጴ__Șጳ__᧝ጳ1"/>
      <sheetName val="ጸ__Ⴔጿ__Lጿ___ጊ__᪅ጊ__ႜጱ__1"/>
      <sheetName val="ጴ__Ⴔጵ__Lጶ___ጷ__ᅸጸ__Ꮙጿ__°ጿ1"/>
      <sheetName val="ጶ__Ⴔጷ__Lጸ___ጿ__(ጿ__ᅸጊ__)1"/>
      <sheetName val="ጳ__Ⴔጴ__Lጴ___ፊ__(ጵ__ఀፋ__)1"/>
      <sheetName val="ጱ__Ⴔጲ__Lድ__ެጳ___ጳ__(ጴ__1"/>
      <sheetName val="ጿ__Ⴔጿ__Lጊ__ᙔጱ__೵ጲ___ድ__1"/>
      <sheetName val="ጱ__Ⴔጲ__Lድ__ಜጳ__(ጳ___ጴ__1"/>
      <sheetName val="ጸ__Ⴔጿ__Lጿ__ݴጊ__෼ጱ___ጲ__1"/>
      <sheetName val="ድ__Ⴔጳ__Lጳ__0ጴ___ጳ__Iጳ__1"/>
      <sheetName val="ጸ__Ⴔጿ__Lጿ__iጊ___ጱ__uጲ__r1"/>
      <sheetName val="MAIN_GATE_HOUSE1"/>
      <sheetName val="T_KE_CP11"/>
      <sheetName val="1_사유서1"/>
      <sheetName val="손익분기점_데이터1"/>
      <sheetName val="매각대상자산_청산가치1"/>
      <sheetName val="2000년_임금추정1"/>
      <sheetName val="2_교1"/>
      <sheetName val="[후다내역_XLS]__H1775_c_ESTI96____5"/>
      <sheetName val="[후다내역_XLS]__H1775_c_ESTI96____6"/>
      <sheetName val="일__위__대__가_1"/>
      <sheetName val="_견적Ⴗ1"/>
      <sheetName val="VS_P-Q1"/>
      <sheetName val="Earthwork"/>
      <sheetName val="Chiet tinh dz35"/>
      <sheetName val="插座"/>
      <sheetName val="변전실재분리"/>
      <sheetName val="EQT-ESTN"/>
      <sheetName val="Tiêu chuẩn cốt thép"/>
      <sheetName val="DG "/>
      <sheetName val="guard(_x0000__x0000_Ԁ_x0000_"/>
      <sheetName val="CTEMCÇ"/>
      <sheetName val="NHA XUONG"/>
      <sheetName val="Thoat nuoc"/>
      <sheetName val="CPK"/>
      <sheetName val="Cost factor"/>
      <sheetName val="Item list"/>
      <sheetName val="Sheet Template Empty"/>
      <sheetName val="POURING"/>
      <sheetName val="비주거용"/>
      <sheetName val="PHU LUC2"/>
      <sheetName val="G"/>
      <sheetName val="1.R18 BF"/>
      <sheetName val="F-B"/>
      <sheetName val="Bill 1.1 VP CĐT &amp; TVGS-KHONG IN"/>
      <sheetName val="THKP957"/>
      <sheetName val="Tính giá NC"/>
      <sheetName val="Đầu vào"/>
      <sheetName val="Tiên lượng"/>
      <sheetName val="SL cước"/>
      <sheetName val="D+W"/>
      <sheetName val="Bill 7-Elec"/>
      <sheetName val="FD"/>
      <sheetName val="GI"/>
      <sheetName val="EE (3)"/>
      <sheetName val="PAVEMENT"/>
      <sheetName val="TRAFFIC"/>
      <sheetName val="HRG BHN"/>
      <sheetName val="Book 1 Summary"/>
      <sheetName val="THKL"/>
      <sheetName val="CAUDIT"/>
      <sheetName val="List"/>
      <sheetName val="_후다_x0001___x0010_"/>
      <sheetName val="Form"/>
      <sheetName val="일  위  대  가 _x0000__x0000__x0005__x0000_"/>
      <sheetName val="도급예_x0000__x0000_Ԁ_x0000_䀀"/>
      <sheetName val="도급예_x0000__x0000_Ԁ_x0000_"/>
      <sheetName val="재료집계(분수관)"/>
      <sheetName val="말고개터널조명전압退틭"/>
      <sheetName val="VXXX"/>
      <sheetName val="산근1(인건비)"/>
      <sheetName val="견적(©_x0000__x0000_"/>
      <sheetName val="기둥(㷔஼态"/>
      <sheetName val="재료집계"/>
      <sheetName val="물량산출(철콘)"/>
      <sheetName val="아파트겐⒄귐"/>
      <sheetName val="아파트໨Ά톪"/>
      <sheetName val="B2"/>
      <sheetName val="원가&amp;하도급원가"/>
      <sheetName val="항목(데이타삭제금지)"/>
      <sheetName val="Links"/>
      <sheetName val="Lead"/>
      <sheetName val="한일시멘트(20100722정리)(원본)"/>
      <sheetName val="한일시멘트"/>
      <sheetName val="1-2.Sum_elemental"/>
      <sheetName val="단가산출서(기계)"/>
      <sheetName val="요약&amp;결과"/>
      <sheetName val="PAC"/>
      <sheetName val="전기BOX내역서"/>
      <sheetName val="삼성전기"/>
      <sheetName val="改加胶玻璃、室外栏杆"/>
      <sheetName val="1#量统计"/>
      <sheetName val="外気負荷"/>
      <sheetName val="he so"/>
      <sheetName val="철거수량(전송)"/>
      <sheetName val="토목공사일반"/>
      <sheetName val="도급표지樠⎷櫈⎷"/>
      <sheetName val="남양시작동010313_x0000__x0000__x0005__x0000_"/>
      <sheetName val="설계변_x0000__x0000__x0005__x0000_"/>
      <sheetName val="주민번호"/>
      <sheetName val="OD"/>
      <sheetName val="Sum"/>
      <sheetName val="ERECTION"/>
      <sheetName val="BOQ-Bill1-8"/>
      <sheetName val="1È"/>
      <sheetName val="1차3회-개소별명세서-빨"/>
      <sheetName val="시멘Ç"/>
      <sheetName val="0_0Control_x000c_"/>
      <sheetName val="공통가"/>
      <sheetName val="공통가_x0000_欥_x0000_"/>
      <sheetName val="공통가_x0000_ׂ_x0000_"/>
      <sheetName val="공통가_x0000_⟕_x0000_"/>
      <sheetName val="공통가_x0000_﷽_x0000_"/>
      <sheetName val="공통가_x0000_㌂_x0000_"/>
      <sheetName val="공통가_x0000_䠉_x0000_"/>
      <sheetName val="갑ૐȗ"/>
      <sheetName val="갑柖ç"/>
      <sheetName val="갑弌᪌"/>
      <sheetName val="갑弌Ị"/>
      <sheetName val="갑彬ᴈ"/>
      <sheetName val="수량산출1"/>
      <sheetName val="개별직종노임단가(2005.1)"/>
      <sheetName val="내역»_x0000__x0000_"/>
      <sheetName val="INPၒ_x0000_"/>
      <sheetName val="노무비메뉴"/>
      <sheetName val="근로자 기초입력"/>
      <sheetName val="CIP 공헾"/>
      <sheetName val="지하1층"/>
      <sheetName val="[후다내역.XLS]__H1775_c_ESTI96____6"/>
      <sheetName val="[후다내역.XLS]__H1775_c_ESTI96____5"/>
      <sheetName val="[후다내역.XLS]1공구산옘蔘:"/>
      <sheetName val="토적계산"/>
      <sheetName val="공통_x0002__x0000_鲠"/>
      <sheetName val="공통_x0003__x0000_廠"/>
      <sheetName val="LG제품"/>
      <sheetName val="4.경비 5.영업외수_x0000_"/>
      <sheetName val="12월11일(소장수당)"/>
      <sheetName val="12월11일(본사교통비)"/>
      <sheetName val="CIP 공_x0000_"/>
      <sheetName val="TG9504"/>
      <sheetName val="발안전력구"/>
      <sheetName val="4차원가계산서"/>
      <sheetName val="저촉건축물"/>
      <sheetName val="신설(나)(09.3.22)"/>
      <sheetName val="C-노"/>
      <sheetName val="이름정의"/>
      <sheetName val="표지제목"/>
      <sheetName val="3_2_집기비품교체주기"/>
      <sheetName val="시설장비"/>
      <sheetName val="그레이더"/>
      <sheetName val="보도내 ??䪾"/>
      <sheetName val="사업수지"/>
      <sheetName val="도로구조공사비"/>
      <sheetName val="도로토공공사비"/>
      <sheetName val="여수토공사비"/>
      <sheetName val="유니트입출고내역"/>
      <sheetName val="입력데이타(비"/>
      <sheetName val="4_수량산출서3"/>
      <sheetName val="안양동교_1안3"/>
      <sheetName val="보도내역_("/>
      <sheetName val="C_배수관공"/>
      <sheetName val="I_설계조건"/>
      <sheetName val="3_바닥판설계"/>
      <sheetName val="6_RJP이토처리시간"/>
      <sheetName val="7_RJP지층별제원"/>
      <sheetName val="드럼사이즈_내역"/>
      <sheetName val="_갑"/>
      <sheetName val="도급표지__(3"/>
      <sheetName val="Shጾ"/>
      <sheetName val="도급표지__(怀꿟"/>
      <sheetName val="1공구_건䘢䠂檱䠛檳"/>
      <sheetName val="4_L速뇥ᝠ"/>
      <sheetName val="소야공정계罈_"/>
      <sheetName val="외주대비_-석축_x2"/>
      <sheetName val="외주대비_-석축_x3"/>
      <sheetName val="외주대비_-석축_x4"/>
      <sheetName val="외주대비_-석축_x5"/>
      <sheetName val="외주대비_-석축_x6"/>
      <sheetName val="_____4"/>
      <sheetName val="시공여유"/>
      <sheetName val="교각토공_(배̆팘"/>
      <sheetName val="용수량(생활용수)"/>
      <sheetName val="대구은행"/>
      <sheetName val="실행_x0002_"/>
      <sheetName val="205동"/>
      <sheetName val="기계경비산출기준"/>
      <sheetName val="관람석제출"/>
      <sheetName val="집 "/>
      <sheetName val="__H4018_c_ESTI96____2"/>
      <sheetName val="__H4018_c_ESTI96____4"/>
      <sheetName val="__H4018_c_ESTI96____3"/>
      <sheetName val="__H4018_c_ESTI96___18"/>
      <sheetName val="__H4018_c_ESTI96____5"/>
      <sheetName val="__H4018_c_ESTI96____6"/>
      <sheetName val="__H4018_c_ESTI96____7"/>
      <sheetName val="__H4018_c_ESTI96____8"/>
      <sheetName val="__H4018_c_ESTI96____9"/>
      <sheetName val="__H4018_c_ESTI96___10"/>
      <sheetName val="__H4018_c_ESTI96___11"/>
      <sheetName val="__H4018_c_ESTI96___12"/>
      <sheetName val="__H4018_c_ESTI96___13"/>
      <sheetName val="__H4018_c_ESTI96___14"/>
      <sheetName val="__H4018_c_ESTI96___15"/>
      <sheetName val="__H4018_c_ESTI96___17"/>
      <sheetName val="__H4018_c_ESTI96___16"/>
      <sheetName val="규격별"/>
      <sheetName val="청구갑지"/>
      <sheetName val="M3A"/>
      <sheetName val="W3A"/>
      <sheetName val="M3B"/>
      <sheetName val="T4A"/>
      <sheetName val="T4B"/>
      <sheetName val="M3C"/>
      <sheetName val="T4C2"/>
      <sheetName val="T4D"/>
      <sheetName val="T4E"/>
      <sheetName val="MICE동"/>
      <sheetName val="지하층"/>
      <sheetName val="지하층(카페)"/>
      <sheetName val="그림모음"/>
      <sheetName val="관리,공감"/>
      <sheetName val="확산동"/>
      <sheetName val="본경"/>
      <sheetName val="1차상"/>
      <sheetName val="소방내역서"/>
      <sheetName val="골조타설일정표"/>
      <sheetName val="공업용수"/>
      <sheetName val="2004일위대가"/>
      <sheetName val="Price Sheet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50"/>
      <sheetName val="Allowances"/>
      <sheetName val="1공구 건정토건 철¬"/>
      <sheetName val="품郀傲"/>
      <sheetName val="원가계산서구조조정"/>
      <sheetName val="앉음벽 (2)"/>
      <sheetName val="OFFER "/>
      <sheetName val="Cong 6T"/>
      <sheetName val="sh1"/>
      <sheetName val="Sh´"/>
      <sheetName val="보도내 _x005f_x0000__x005f_x0000_䪾"/>
      <sheetName val="도급표지É_x005f_x0000__x005f_x0000__x005f_x0001_Ԁ"/>
      <sheetName val="내역(최종본浳き_x005f_x0000__x005f_x0000_"/>
      <sheetName val="내역(최종본浳⿢_x005f_x0000__x005f_x0000_"/>
      <sheetName val="내역(최종본浳ぁ_x005f_x0000__x005f_x0000_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재"/>
      <sheetName val="흥양2교토공집"/>
      <sheetName val="경비TABLE"/>
      <sheetName val="발주서"/>
      <sheetName val="단가(마감)"/>
      <sheetName val="일정"/>
      <sheetName val="건내역(중)"/>
      <sheetName val="도급표지É윀_xdc8d__x0002_"/>
      <sheetName val="諸経費"/>
      <sheetName val="清水計算営業税率関連"/>
      <sheetName val="__H4018_c_ESTI96___55"/>
      <sheetName val="__H4018_c_ESTI96___19"/>
      <sheetName val="__H4018_c_ESTI96___20"/>
      <sheetName val="__H4018_c_ESTI96___21"/>
      <sheetName val="__H4018_c_ESTI96___22"/>
      <sheetName val="__H4018_c_ESTI96___23"/>
      <sheetName val="__H4018_c_ESTI96___24"/>
      <sheetName val="__H4018_c_ESTI96___25"/>
      <sheetName val="__H4018_c_ESTI96___26"/>
      <sheetName val="__H4018_c_ESTI96___27"/>
      <sheetName val="__H4018_c_ESTI96___28"/>
      <sheetName val="__H4018_c_ESTI96___29"/>
      <sheetName val="__H4018_c_ESTI96___30"/>
      <sheetName val="__H4018_c_ESTI96___31"/>
      <sheetName val="__H4018_c_ESTI96___32"/>
      <sheetName val="__H4018_c_ESTI96___33"/>
      <sheetName val="__H4018_c_ESTI96___34"/>
      <sheetName val="__H4018_c_ESTI96___35"/>
      <sheetName val="__H4018_c_ESTI96___36"/>
      <sheetName val="__H4018_c_ESTI96___37"/>
      <sheetName val="__H4018_c_ESTI96___38"/>
      <sheetName val="__H4018_c_ESTI96___39"/>
      <sheetName val="__H4018_c_ESTI96___40"/>
      <sheetName val="__H4018_c_ESTI96___41"/>
      <sheetName val="__H4018_c_ESTI96___42"/>
      <sheetName val="__H4018_c_ESTI96___43"/>
      <sheetName val="__H4018_c_ESTI96___44"/>
      <sheetName val="__H4018_c_ESTI96___45"/>
      <sheetName val="__H4018_c_ESTI96___46"/>
      <sheetName val="__H4018_c_ESTI96___47"/>
      <sheetName val="__H4018_c_ESTI96___48"/>
      <sheetName val="__H4018_c_ESTI96___49"/>
      <sheetName val="__H4018_c_ESTI96___50"/>
      <sheetName val="__H4018_c_ESTI96___51"/>
      <sheetName val="__H4018_c_ESTI96___52"/>
      <sheetName val="__H4018_c_ESTI96___53"/>
      <sheetName val="__H4018_c_ESTI96___54"/>
      <sheetName val="손익차9월2"/>
      <sheetName val="외주대비_-석축[후다내역_XLS]_____4"/>
      <sheetName val="실행_x0002__x0000_駐"/>
      <sheetName val="집 _x0000__x0000_Ā"/>
      <sheetName val="[후다내역.XLS]__H4018_c_ESTI96____2"/>
      <sheetName val="[후다내역.XLS]__H4018_c_ESTI96____4"/>
      <sheetName val="[후다내역.XLS]__H4018_c_ESTI96____3"/>
      <sheetName val="[후다내역.XLS]__H4018_c_ESTI96___18"/>
      <sheetName val="[후다내역.XLS]__H4018_c_ESTI96____5"/>
      <sheetName val="[후다내역.XLS]__H4018_c_ESTI96____6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3"/>
      <sheetName val="[후다내역.XLS]__H4018_c_ESTI96___14"/>
      <sheetName val="[후다내역.XLS]__H4018_c_ESTI96___15"/>
      <sheetName val="[후다내역.XLS]__H4018_c_ESTI96___17"/>
      <sheetName val="[후다내역.XLS]__H4018_c_ESTI96___16"/>
      <sheetName val="[후다내역.XLS]__H4018_c_ESTI96___55"/>
      <sheetName val="[후다내역.XLS]__H4018_c_ESTI96___19"/>
      <sheetName val="[후다내역.XLS]__H4018_c_ESTI96___20"/>
      <sheetName val="[후다내역.XLS]__H4018_c_ESTI96___21"/>
      <sheetName val="[후다내역.XLS]__H4018_c_ESTI96___22"/>
      <sheetName val="[후다내역.XLS]__H4018_c_ESTI96___23"/>
      <sheetName val="[후다내역.XLS]__H4018_c_ESTI96___24"/>
      <sheetName val="[후다내역.XLS]__H4018_c_ESTI96___25"/>
      <sheetName val="[후다내역.XLS]__H4018_c_ESTI96___26"/>
      <sheetName val="[후다내역.XLS]__H4018_c_ESTI96___27"/>
      <sheetName val="[후다내역.XLS]__H4018_c_ESTI96___28"/>
      <sheetName val="[후다내역.XLS]__H4018_c_ESTI96___29"/>
      <sheetName val="[후다내역.XLS]__H4018_c_ESTI96___30"/>
      <sheetName val="[후다내역.XLS]__H4018_c_ESTI96___31"/>
      <sheetName val="[후다내역.XLS]__H4018_c_ESTI96___32"/>
      <sheetName val="[후다내역.XLS]__H4018_c_ESTI96___33"/>
      <sheetName val="[후다내역.XLS]__H4018_c_ESTI96___34"/>
      <sheetName val="[후다내역.XLS]__H4018_c_ESTI96___35"/>
      <sheetName val="[후다내역.XLS]__H4018_c_ESTI96___36"/>
      <sheetName val="[후다내역.XLS]__H4018_c_ESTI96___37"/>
      <sheetName val="[후다내역.XLS]__H4018_c_ESTI96___38"/>
      <sheetName val="[후다내역.XLS]__H4018_c_ESTI96___39"/>
      <sheetName val="[후다내역.XLS]__H4018_c_ESTI96___40"/>
      <sheetName val="[후다내역.XLS]__H4018_c_ESTI96___41"/>
      <sheetName val="[후다내역.XLS]__H4018_c_ESTI96___42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사유서"/>
      <sheetName val="차이내역"/>
      <sheetName val="1.설계설명서"/>
      <sheetName val="96.12"/>
      <sheetName val="TH_XL"/>
      <sheetName val="t-h_HA_THE"/>
      <sheetName val="SUBÀ_x0000_Ԁ_x0000_"/>
      <sheetName val="외주대비-구_x005f_x0005__x005f_x0000_"/>
      <sheetName val="_____x005f_x0000__x005f_x0000__x005f_x0005__x00_3"/>
      <sheetName val="_____x005f_x0000__x005f_x0000__x005f_x0005__x00_4"/>
      <sheetName val="_x005f_x0000__x005f_x0010__x005f_x0000_내"/>
      <sheetName val="외주대비-구_x005f_x0000__x005f_x0000_"/>
      <sheetName val="기초입력ԯ_x005f_x0000_缀_x005f_x0000__x005f_x0000_"/>
      <sheetName val="건_ê_x005f_x0000_Ԁ"/>
      <sheetName val="수량산출서_x005f_x0000__x005f_x0000__x005f_x0005_"/>
      <sheetName val="수량산출서_x005f_x0010__x005f_x0000_"/>
      <sheetName val="부대표지츀 _x005f_x0000__x005f_x0000_얈"/>
      <sheetName val="부대표지츀 _x005f_x0000__x005f_x0000_篐"/>
      <sheetName val="현장´_x005f_x0000_Ԁ_x005f_x0000_"/>
      <sheetName val="1-_x005f_x0005__x005f_x0000_"/>
      <sheetName val="총공사_x005f_x0000__x005f_x0000_Ԁ"/>
      <sheetName val="일위대가Ȓ_x005f_x0000_"/>
      <sheetName val="수량산출서_x005f_x0010_"/>
      <sheetName val="수정_x005f_x0000__x005f_x0000_"/>
      <sheetName val="BREAKDOW_x005f_x0000__x005f_x0000___x005f_x0000_2"/>
      <sheetName val="BREAKDOW_x005f_x0000__x005f_x0000___x005f_x0000_3"/>
      <sheetName val="BREAKDOW頀ᵛ瀞囏_x005f_x001c__x005f_x0000_攀"/>
      <sheetName val="BREAKDOW_x005f_x0000__x005f_x0000___x005f_x0000_4"/>
      <sheetName val="표지 (3_x005f_x0005_"/>
      <sheetName val="_x005f_x0000__x005f_x0008__x005f_x0000__x005f_x0005___2"/>
      <sheetName val="_x005f_x0000__x005f_x0004__x005f_x0000__x005f_x0004___2"/>
      <sheetName val="_x005f_x0000__x005f_x0003__x005f_x0000__x005f_x0004___2"/>
      <sheetName val="전_x005f_x0000_"/>
      <sheetName val="1공구_건정토건_토_x005f_x0000__x005f_x0000_"/>
      <sheetName val="외Å_x005f_x0000_怀"/>
      <sheetName val="3BL공동구__x005f_x0000__x005f_x0000_"/>
      <sheetName val="1_3_________________2187_x000_2"/>
      <sheetName val="시멘혷_x005f_xdf67__x005f_x0000__x005f_x0000_"/>
      <sheetName val="시멘혾_x005f_xdf67__x005f_x0000__x005f_x0000_"/>
      <sheetName val="표지 ¬_x005f_x0000__x005f_x0000_"/>
      <sheetName val="3BL____x005f_x005f_x005f_x0000__x005f_x005f_x00_2"/>
      <sheetName val="내역서변ꙭ _x005f_x0000_"/>
      <sheetName val="측구_x005f_x0000_"/>
      <sheetName val="교각¾_x005f_x0000_"/>
      <sheetName val="단가(강재운_x005f_x0000__x005f_x0000_"/>
      <sheetName val="1_3____x005f_x001a__x005f_x0003__x005f_x0004__x_2"/>
      <sheetName val="1_3____x005f_x001a__x005f_x0003__x005f_x0004__x_3"/>
      <sheetName val="외Å_x005f_x0000_"/>
      <sheetName val="외Å_x005f_x0000_退"/>
      <sheetName val="4_x005f_x0000__x005f_x0000_Ԁ"/>
      <sheetName val="1공구_건정토건_철_x005f_x0000__x005f_x0000_"/>
      <sheetName val="______x005f_x0000__x005f_x0000__x005f_x0000__x0_2"/>
      <sheetName val="부대표지__x005f_x0000__x005f_x0000__x005f_x0000__x000"/>
      <sheetName val="______x005f_x0000__x005f_x0000__x005f_x0000__x0_3"/>
      <sheetName val="______x005f_x0000__x005f_x0000__x005f_x0000__x0_4"/>
      <sheetName val="______x005f_x0000__x005f_x0000__x005f_x0000__x0_5"/>
      <sheetName val="______x005f_x0000__x005f_x0000__x005f_x0000__x0_6"/>
      <sheetName val="______x005f_x0000__x005f_x0000__x005f_x0000__x0_7"/>
      <sheetName val="1차설계변경瀀_x005f_xdf8f_"/>
      <sheetName val="1차설계변경_x005f_x0000_瞒"/>
      <sheetName val="1차설계변경჈_x005f_x0000_"/>
      <sheetName val="2.교_x005f_x0000__x005f_x0000__x005f_xdd08_̚벝"/>
      <sheetName val="벽체면적당일위Á_x005f_x0000_"/>
      <sheetName val="견적(._x005f_x0000__x005f_x0000_"/>
      <sheetName val="말고개터널조명전¬_x005f_x0000_Ԁ"/>
      <sheetName val="내역서_x005f_x0000__x005f_x0000_Ԁ_x005f_x0000_"/>
      <sheetName val="______________x005f_x0012_______XLS_3"/>
      <sheetName val="48_x005f_x0005__"/>
      <sheetName val="Sikje_in_x005f_x0005__"/>
      <sheetName val="____x005f_x0001___x005f_x0010___x005f_x0003___x_2"/>
      <sheetName val="_후다_x005f_x0001_ _x005f_x0010_?_x0003"/>
      <sheetName val="2_대외ɡ_x005f_x0000_က"/>
      <sheetName val="_x005f_x0015__x005f_x0000_"/>
      <sheetName val="BREAKDOW頀ᵛ瀞囏_x005f_x001c_"/>
      <sheetName val="간접경_x005f_x0000_薔"/>
      <sheetName val="0_0Control렌㟳䠓䒆_x005f_x0013__x005f_x0000_"/>
      <sheetName val="0_0Control뀌欨砓﹮_x005f_x0012__x005f_x0000_"/>
      <sheetName val="0_0Control㠌ᅝ逜㓿_x005f_x001c__x005f_x0000_"/>
      <sheetName val="0_0Control㠌ᅝ퀜㔋_x005f_x001c__x005f_x0000_"/>
      <sheetName val="_________x005f_x005f_x005f_x0000__x005f_x005f_x_3"/>
      <sheetName val="NOM³_x005f_x005f_x005f_x0000_Ԁ"/>
      <sheetName val="NOMֳ_x005f_x005f_x005f_x0000_缀"/>
      <sheetName val="배수喘_x005f_x005f_x005f_x001a_"/>
      <sheetName val="인부신상_x005f_x005f_x005f_x0000__x005f_x005f_x005f_x0000_"/>
      <sheetName val="견적颙⿬_x005f_x005f_x005f_x0005_"/>
      <sheetName val="견적颙⿶_x005f_x005f_x005f_x0005_"/>
      <sheetName val="견적_x005f_x005f_x005f_x0005__x005f_x005f_x005f_x0000_"/>
      <sheetName val="견적颙』_x005f_x005f_x005f_x0005_"/>
      <sheetName val="흄관기_x005f_x005f_x005f_x0000_"/>
      <sheetName val="_____x005f_x005f_x005f_x0000__x005f_x005f_x005f_x0000_2"/>
      <sheetName val="____x_x005f_x005f_x005f_x0000___x005f_x005f_x00_2"/>
      <sheetName val="구조ఀ덀_x005f_x005f_x005f_x0000_"/>
      <sheetName val="식재_x005f_x0002_"/>
      <sheetName val="概総括1"/>
      <sheetName val="Eng"/>
      <sheetName val="Bill No.1.7"/>
      <sheetName val="Bill No.1.3"/>
      <sheetName val="Bill No.1.4"/>
      <sheetName val="Savings"/>
      <sheetName val="Summary Bill No. 1"/>
      <sheetName val="BQ ARS"/>
      <sheetName val="Thuc_thanh"/>
      <sheetName val="공사비_내역_(가)"/>
      <sheetName val="Cost_factor"/>
      <sheetName val="Item_list"/>
      <sheetName val="Sheet_Template_Empty"/>
      <sheetName val="Thoat_nuoc"/>
      <sheetName val="Chiet_tinh_dz35"/>
      <sheetName val="he_so"/>
      <sheetName val="Define finishing"/>
      <sheetName val="Gia vat tu"/>
      <sheetName val="TONGKE1P"/>
      <sheetName val="01. BOQ"/>
      <sheetName val="00.INPUT"/>
      <sheetName val="03.NGAN SACH"/>
      <sheetName val="02.PHAN TICH"/>
      <sheetName val="2.Chiet tinh"/>
      <sheetName val="1공구 건�䘢䠂檱䠛檳"/>
      <sheetName val="vc+vl"/>
      <sheetName val="Detail"/>
      <sheetName val="_후다_x0001___x0010__x0000__x0003"/>
      <sheetName val="個案9411"/>
      <sheetName val="DGNC"/>
      <sheetName val="기초일위"/>
      <sheetName val="[후다내역.XLS][후다내역.XLS]______XLS_2"/>
      <sheetName val="[후다내역.XLS][후다내역.XLS]1공구산옘蔘:"/>
      <sheetName val="보도내역퐕腎_x0000__x0000_頀"/>
      <sheetName val="년도별시공"/>
      <sheetName val="교각철근_x0000__x0000__x0005__x0000_"/>
      <sheetName val="부대표지呸2닑⾜_x0005_"/>
      <sheetName val="동개요"/>
      <sheetName val="CABLE SIZE-1"/>
      <sheetName val="Sheet1__x0000__x0000__x0005_"/>
      <sheetName val="공통가설공헾"/>
      <sheetName val="공통가설공ᛅ"/>
      <sheetName val="일위CO_x0000__x0000_"/>
      <sheetName val="P(정일)-신동아1단지"/>
      <sheetName val="현장인원Ñ_x0000_"/>
      <sheetName val="MGA110_140"/>
      <sheetName val="T11,12-2001"/>
      <sheetName val="Analisa Upah &amp; Bahan Plum"/>
      <sheetName val="지하시설물작성"/>
      <sheetName val="1,2공구원㣸CﾈΛ"/>
      <sheetName val="토공사B동추가"/>
      <sheetName val="#2_일위대가Í_x0000_"/>
      <sheetName val="토목 (2)"/>
      <sheetName val="지중자재단Å"/>
      <sheetName val="4.산출(건축)"/>
      <sheetName val="BM "/>
      <sheetName val="DWG LIST"/>
      <sheetName val="KLHT"/>
      <sheetName val="CTE_x0000__x0000__x0000__x0000__x0000_"/>
      <sheetName val="수량산출내역1115"/>
      <sheetName val="설비제어 물량산출(제어)"/>
      <sheetName val="배수_x0000__x0000_"/>
      <sheetName val="주요動_x0010__x0000_"/>
      <sheetName val="매매"/>
      <sheetName val="cctv"/>
      <sheetName val="ML"/>
      <sheetName val="12호hee내역서(건축분)"/>
      <sheetName val="CABLE TRAY"/>
      <sheetName val="단가결정"/>
      <sheetName val="_회다내역,X켊楳켎攳嶪剃嶮布쵌섌)"/>
      <sheetName val="_후다내역.XLS___H1775_c_ESTI96____2"/>
      <sheetName val="외주대비 -석축_x0012__후다내역.XLS_견적표지 (3"/>
      <sheetName val="_후다_x0001_ _x0010__x0003_ _x0010__x0001__x0010__x0001_ _x0010__x0003_"/>
      <sheetName val="NOM³_Ԁ"/>
      <sheetName val="NOMֳ_缀"/>
      <sheetName val="견적_x0005__"/>
      <sheetName val="수량산출서___x0005_"/>
      <sheetName val="수량산출서_x0010__"/>
      <sheetName val="흄관기_"/>
      <sheetName val="부대표지___x0005__腰"/>
      <sheetName val="외주대비x_Ԁ_"/>
      <sheetName val="인부신상__"/>
      <sheetName val="부대표지___x0005__䥀"/>
      <sheetName val="부대표지___x0005__⽠"/>
      <sheetName val="1공구산옘蔘_"/>
      <sheetName val="_후다내역.XLS___H1775_c_ESTI96____3"/>
      <sheetName val="_후다내역.XLS___H1775_c_ESTI96____4"/>
      <sheetName val="원가산출서"/>
      <sheetName val="교각G_x0000_"/>
      <sheetName val="일위CO醘]"/>
      <sheetName val="도급표지郐Ỉ跸Ỉ"/>
      <sheetName val="Sum_ELE__CAP_S1-4__1"/>
      <sheetName val="Land_Dev't__Ph-11"/>
      <sheetName val="CHITIET_VL-NC-TT1p1"/>
      <sheetName val="Ton_Kho2"/>
      <sheetName val="Đầu_tư2"/>
      <sheetName val="Buy_vs__Lease_Car1"/>
      <sheetName val="5__MATERIAL_LIST1"/>
      <sheetName val="TH_XL1"/>
      <sheetName val="t-h_HA_THE1"/>
      <sheetName val="표지_¬1"/>
      <sheetName val="Boiler_Block1"/>
      <sheetName val="NH3_Block1"/>
      <sheetName val="Chiller_Block1"/>
      <sheetName val="C02_Block1"/>
      <sheetName val="Air_compressor1"/>
      <sheetName val="Wokers_canteen1"/>
      <sheetName val="Wokers_Kitchen1"/>
      <sheetName val="Wokers_Toilet1"/>
      <sheetName val="Spare_parts1"/>
      <sheetName val="Maintenance_office1"/>
      <sheetName val="Emty_RGB_Yard1"/>
      <sheetName val="External_works1"/>
      <sheetName val="Pipe_bridge1"/>
      <sheetName val="Cool_warehouse1"/>
      <sheetName val="Frozen_warehouse1"/>
      <sheetName val="Thuc_thanh1"/>
      <sheetName val="Danh_muc1"/>
      <sheetName val="SGC_RATE1"/>
      <sheetName val="THONG_KE_CAU_KIEN1"/>
      <sheetName val="7_공정표2"/>
      <sheetName val="Chiet_tinh_dz351"/>
      <sheetName val="내역서변ꙭ_1"/>
      <sheetName val="he_so1"/>
      <sheetName val="Joinery_works1"/>
      <sheetName val="Schedule_S-Curve_Revision#31"/>
      <sheetName val="Sh"/>
      <sheetName val="공사비_내역_(가)1"/>
      <sheetName val="Cost_factor1"/>
      <sheetName val="Item_list1"/>
      <sheetName val="Sheet_Template_Empty1"/>
      <sheetName val="Thoat_nuoc1"/>
      <sheetName val="소야공정계罈_1"/>
      <sheetName val="견적(_1"/>
      <sheetName val="1_16"/>
      <sheetName val="외주현황_wq16"/>
      <sheetName val="토__공6"/>
      <sheetName val="태화42_6"/>
      <sheetName val="220_(2)6"/>
      <sheetName val="3_관로전환기6"/>
      <sheetName val="F_월별기성수금현황_6"/>
      <sheetName val="내역서1999_8최종6"/>
      <sheetName val="3_전기산출기초6"/>
      <sheetName val="_6"/>
      <sheetName val="금회_청구사항(기계)6"/>
      <sheetName val="기성갑지_(소방)6"/>
      <sheetName val="금회_청구사항(소방)6"/>
      <sheetName val="K2_site_Total_내역서6"/>
      <sheetName val="D_B6"/>
      <sheetName val="06_일위대가목록6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총괄표_6"/>
      <sheetName val="동강_배관6"/>
      <sheetName val="WCR_외주6"/>
      <sheetName val="ANILINE_-_OPTION6"/>
      <sheetName val="MDI_-_OPTION6"/>
      <sheetName val="1_청구서6"/>
      <sheetName val="2_내역서6"/>
      <sheetName val="계약대비내역서_(부경)6"/>
      <sheetName val="집행대비내역서_(부경)6"/>
      <sheetName val="계약그라우팅_포장6"/>
      <sheetName val="계약사무실조경_6"/>
      <sheetName val="횡배수관_토공량_산출6"/>
      <sheetName val="도시정비_5"/>
      <sheetName val="3_1_6_전산처리결과5"/>
      <sheetName val="부대표지츀_3"/>
      <sheetName val="Budget_Code3"/>
      <sheetName val="Phu_cap3"/>
      <sheetName val="ጳ__Ⴔጳ__Lጴ___ጵ___ጶ__ఀጷ___ጸ_4"/>
      <sheetName val="ጊ__Ⴔጱ__Lጲ___ድ__nጳ__lጳ__eጴ3"/>
      <sheetName val="ጵ__Ⴔጶ__Lጷ___ጸ__yጿ__uጿ__iጊ_3"/>
      <sheetName val="ጿ__Ⴔጿ__Lጊ__ېጱ___ጲ__೵ድ__Ⴔጳ_3"/>
      <sheetName val="ጊ__Ⴔጊ__Lጱ__᳴ጲ___ድ__ᰕጳ__װጳ3"/>
      <sheetName val="ጶ__Ⴔጷ__Lጸ___ጿ___ጿ___ጊ__4"/>
      <sheetName val="ጿ__Ⴔጊ__Lጱ__Șጲ__ᩘድ___ጳ___ጳ_3"/>
      <sheetName val="ድ__Ⴔጳ__Lጳ___ጴ__ഀጳ__nጳ___3"/>
      <sheetName val="ጴ__Ⴔጵ__Lጶ___ጷ__ഀጸ__nጿ___3"/>
      <sheetName val="ጳ__Ⴔጴ__Lጵ___ጶ__ᔼጷ__1ጸ__2ጿ_3"/>
      <sheetName val="ጸ__Ⴔጿ__Lጿ___ጊ___ጱ__ݴጲ__3"/>
      <sheetName val="ጴ__Ⴔጳ__Lጳ__iጴ___ጵ__eጶ__e3"/>
      <sheetName val="ጵ__Ⴔጶ__Lጷ__ᝥጸ__Uጿ__Oጿ___3"/>
      <sheetName val="ጳ__Ⴔጴ__Lጵ__֑ጶ___ጷ__-ጸ__׭3"/>
      <sheetName val="ጲ__Ⴔድ__Lጳ___ጳ__᪅ጴ__Șጳ__᧝ጳ3"/>
      <sheetName val="ጸ__Ⴔጿ__Lጿ___ጊ__᪅ጊ__ႜጱ__3"/>
      <sheetName val="ጴ__Ⴔጵ__Lጶ___ጷ__ᅸጸ__Ꮙጿ__°ጿ3"/>
      <sheetName val="ጶ__Ⴔጷ__Lጸ___ጿ__(ጿ__ᅸጊ__)3"/>
      <sheetName val="ጳ__Ⴔጴ__Lጴ___ፊ__(ጵ__ఀፋ__)3"/>
      <sheetName val="ጱ__Ⴔጲ__Lድ__ެጳ___ጳ__(ጴ__3"/>
      <sheetName val="ጿ__Ⴔጿ__Lጊ__ᙔጱ__೵ጲ___ድ__3"/>
      <sheetName val="ጱ__Ⴔጲ__Lድ__ಜጳ__(ጳ___ጴ__3"/>
      <sheetName val="ጸ__Ⴔጿ__Lጿ__ݴጊ__෼ጱ___ጲ__3"/>
      <sheetName val="ድ__Ⴔጳ__Lጳ__0ጴ___ጳ__Iጳ__3"/>
      <sheetName val="ጸ__Ⴔጿ__Lጿ__iጊ___ጱ__uጲ__r3"/>
      <sheetName val="MAIN_GATE_HOUSE3"/>
      <sheetName val="T_KE_CP13"/>
      <sheetName val="일__위__대__가_3"/>
      <sheetName val="원가_(2)3"/>
      <sheetName val="Sum_ELE__CAP_S1-4__2"/>
      <sheetName val="2__주요공지（主要公告）3"/>
      <sheetName val="4_예산내역서3"/>
      <sheetName val="A_견적3"/>
      <sheetName val="Land_Dev't__Ph-12"/>
      <sheetName val="CHITIET_VL-NC-TT1p2"/>
      <sheetName val="Ton_Kho3"/>
      <sheetName val="Đầu_tư3"/>
      <sheetName val="Buy_vs__Lease_Car2"/>
      <sheetName val="5__MATERIAL_LIST2"/>
      <sheetName val="TH_XL2"/>
      <sheetName val="t-h_HA_THE2"/>
      <sheetName val="손익분기점_데이터3"/>
      <sheetName val="매각대상자산_청산가치3"/>
      <sheetName val="1_사유서3"/>
      <sheetName val="표지_¬2"/>
      <sheetName val="Boiler_Block2"/>
      <sheetName val="NH3_Block2"/>
      <sheetName val="Chiller_Block2"/>
      <sheetName val="C02_Block2"/>
      <sheetName val="Air_compressor2"/>
      <sheetName val="Wokers_canteen2"/>
      <sheetName val="Wokers_Kitchen2"/>
      <sheetName val="Wokers_Toilet2"/>
      <sheetName val="Spare_parts2"/>
      <sheetName val="Maintenance_office2"/>
      <sheetName val="Emty_RGB_Yard2"/>
      <sheetName val="External_works2"/>
      <sheetName val="Pipe_bridge2"/>
      <sheetName val="Cool_warehouse2"/>
      <sheetName val="Frozen_warehouse2"/>
      <sheetName val="Thuc_thanh2"/>
      <sheetName val="Danh_muc2"/>
      <sheetName val="SGC_RATE2"/>
      <sheetName val="THONG_KE_CAU_KIEN2"/>
      <sheetName val="7_공정표3"/>
      <sheetName val="Chiet_tinh_dz352"/>
      <sheetName val="내역서변ꙭ_2"/>
      <sheetName val="he_so2"/>
      <sheetName val="Joinery_works2"/>
      <sheetName val="Schedule_S-Curve_Revision#32"/>
      <sheetName val="공사비_내역_(가)2"/>
      <sheetName val="Cost_factor2"/>
      <sheetName val="Item_list2"/>
      <sheetName val="Sheet_Template_Empty2"/>
      <sheetName val="Thoat_nuoc2"/>
      <sheetName val="소야공정계罈_2"/>
      <sheetName val="견적(_2"/>
      <sheetName val="1-1_경비산출내역"/>
      <sheetName val="설계변경내역서 "/>
      <sheetName val="1.BO分析"/>
      <sheetName val="실적평가표"/>
      <sheetName val="집수정(600-700)"/>
      <sheetName val="견적지침"/>
      <sheetName val="WORKER"/>
      <sheetName val="보도경계블_x0000_"/>
      <sheetName val="[후다내역.XLS]__H1775_c_ESTI96____7"/>
      <sheetName val="4공철탑검토"/>
      <sheetName val="石炭性状"/>
      <sheetName val="내역(중앙)"/>
      <sheetName val="[후다내역.XLS]__H4018_c_ESTI96___66"/>
      <sheetName val="일위(이설)"/>
      <sheetName val="[후다내역.XLS]__H4018_c_ESTI96___57"/>
      <sheetName val="[후다내역.XLS]__H4018_c_ESTI96___56"/>
      <sheetName val="지시서"/>
      <sheetName val="임율요율"/>
      <sheetName val="[후다내역.XLS]__H4018_c_ESTI96___58"/>
      <sheetName val="[후다내역.XLS]__H4018_c_ESTI96___59"/>
      <sheetName val="[후다내역.XLS]__H4018_c_ESTI96___60"/>
      <sheetName val="T6-6(2)"/>
      <sheetName val="설계설명서"/>
      <sheetName val="제거(위험목굴)"/>
      <sheetName val="작업로개설산정표"/>
      <sheetName val="예방나무주사"/>
      <sheetName val="나무주사 ha당 단가"/>
      <sheetName val="소군락모두베기 등 면적조서"/>
      <sheetName val="조사야장"/>
      <sheetName val="적용요율"/>
      <sheetName val="원가계산서(자원)"/>
      <sheetName val="원가계산서(보호)"/>
      <sheetName val="관급자재내역서"/>
      <sheetName val="교각토공_(_x0000__x0000_Ā"/>
      <sheetName val="[후다내역.XLS]__H4018_c_ESTI96___62"/>
      <sheetName val="[후다내역.XLS]__H4018_c_ESTI96___61"/>
      <sheetName val="[후다내역.XLS]__H4018_c_ESTI96_강__2"/>
      <sheetName val="1.외주공사"/>
      <sheetName val="2.직영공사"/>
      <sheetName val="점_x0000__x0000_촀"/>
      <sheetName val="[후다내역.XLS]__H4018_c_ESTI96___65"/>
      <sheetName val="[후다내역.XLS]__H4018_c_ESTI96___63"/>
      <sheetName val="[후다내역.XLS]__H4018_c_ESTI96___64"/>
      <sheetName val="도급표지__(ꀀ႑"/>
      <sheetName val="1_수"/>
      <sheetName val="부대내"/>
      <sheetName val="견적刀"/>
      <sheetName val="외주대비_-ʶ"/>
      <sheetName val="지점비용"/>
      <sheetName val="[후다내역.XLS]__H4018_c_ESTI96___67"/>
      <sheetName val="[후다내역.XLS]__H4018_c_ESTI96___68"/>
      <sheetName val="1차설계逷≙"/>
      <sheetName val="6공구("/>
      <sheetName val="1공구 건"/>
      <sheetName val="GRD䋜¯"/>
      <sheetName val="실행_x0002__x0000_먐"/>
      <sheetName val="실행_x0002__x0000_笀"/>
      <sheetName val="실행_x0002__x0000_廸"/>
      <sheetName val="실행ʜᔖ"/>
      <sheetName val="수액원료4"/>
      <sheetName val="일위대가_집"/>
      <sheetName val="Tax_Ref"/>
      <sheetName val="3_일반사상"/>
      <sheetName val="실행駐"/>
      <sheetName val="도급표지__㧈冈"/>
      <sheetName val="부재예실1월"/>
      <sheetName val="[후다내역.XLS]__H4018_c_ESTI96___96"/>
      <sheetName val="[후다내역.XLS]__H4018_c_ESTI96___87"/>
      <sheetName val="[후다내역.XLS]__H4018_c_ESTI96___69"/>
      <sheetName val="[후다내역.XLS]__H4018_c_ESTI96___70"/>
      <sheetName val="[후다내역.XLS]__H4018_c_ESTI96___71"/>
      <sheetName val="[후다내역.XLS]__H4018_c_ESTI96___72"/>
      <sheetName val="[후다내역.XLS]__H4018_c_ESTI96___73"/>
      <sheetName val="[후다내역.XLS]__H4018_c_ESTI96___74"/>
      <sheetName val="[후다내역.XLS]__H4018_c_ESTI96___75"/>
      <sheetName val="[후다내역.XLS]__H4018_c_ESTI96___76"/>
      <sheetName val="[후다내역.XLS]__H4018_c_ESTI96___77"/>
      <sheetName val="[후다내역.XLS]__H4018_c_ESTI96___78"/>
      <sheetName val="[후다내역.XLS]__H4018_c_ESTI96___79"/>
      <sheetName val="[후다내역.XLS]__H4018_c_ESTI96___80"/>
      <sheetName val="[후다내역.XLS]__H4018_c_ESTI96___81"/>
      <sheetName val="[후다내역.XLS]__H4018_c_ESTI96___82"/>
      <sheetName val="[후다내역.XLS]__H4018_c_ESTI96___83"/>
      <sheetName val="[후다내역.XLS]__H4018_c_ESTI96___84"/>
      <sheetName val="[후다내역.XLS]__H4018_c_ESTI96___85"/>
      <sheetName val="[후다내역.XLS]__H4018_c_ESTI96___86"/>
      <sheetName val="[후다내역.XLS]__H4018_c_ESTI96___95"/>
      <sheetName val="[후다내역.XLS]__H4018_c_ESTI96___88"/>
      <sheetName val="[후다내역.XLS]__H4018_c_ESTI96___89"/>
      <sheetName val="[후다내역.XLS]__H4018_c_ESTI96___90"/>
      <sheetName val="[후다내역.XLS]__H4018_c_ESTI96___91"/>
      <sheetName val="[후다내역.XLS]__H4018_c_ESTI96___92"/>
      <sheetName val="[후다내역.XLS]__H4018_c_ESTI96___93"/>
      <sheetName val="[후다내역.XLS]__H4018_c_ESTI96___94"/>
      <sheetName val="볼트 중량표"/>
      <sheetName val="PIPE(UG)내역"/>
      <sheetName val="일일투입계획"/>
      <sheetName val="도급양식"/>
      <sheetName val="wtdb"/>
      <sheetName val="부대단위수량"/>
      <sheetName val="허담원가적용"/>
    </sheetNames>
    <sheetDataSet>
      <sheetData sheetId="0">
        <row r="1">
          <cell r="A1" t="str">
            <v>PHIẾU XỬ LÝ HỒ SƠ THANH TOÁN VƯỢT THẨM QUYỀN PD</v>
          </cell>
        </row>
      </sheetData>
      <sheetData sheetId="1">
        <row r="1">
          <cell r="A1" t="str">
            <v>PHIẾU XỬ LÝ HỒ SƠ THANH TOÁN VƯỢT THẨM QUYỀN PD</v>
          </cell>
        </row>
      </sheetData>
      <sheetData sheetId="2">
        <row r="1">
          <cell r="A1" t="str">
            <v>PHIẾU XỬ LÝ HỒ SƠ THANH TOÁN VƯỢT THẨM QUYỀN PD</v>
          </cell>
        </row>
      </sheetData>
      <sheetData sheetId="3">
        <row r="1">
          <cell r="A1" t="str">
            <v>PHIẾU XỬ LÝ HỒ SƠ THANH TOÁN VƯỢT THẨM QUYỀN PD</v>
          </cell>
        </row>
      </sheetData>
      <sheetData sheetId="4">
        <row r="1">
          <cell r="A1" t="str">
            <v>PHIẾU XỬ LÝ HỒ SƠ THANH TOÁN VƯỢT THẨM QUYỀN PD</v>
          </cell>
        </row>
      </sheetData>
      <sheetData sheetId="5">
        <row r="1">
          <cell r="A1" t="str">
            <v>PHIẾU XỬ LÝ HỒ SƠ THANH TOÁN VƯỢT THẨM QUYỀN PD</v>
          </cell>
        </row>
      </sheetData>
      <sheetData sheetId="6">
        <row r="1">
          <cell r="A1" t="str">
            <v>PHIẾU XỬ LÝ HỒ SƠ THANH TOÁN VƯỢT THẨM QUYỀN PD</v>
          </cell>
        </row>
      </sheetData>
      <sheetData sheetId="7">
        <row r="1">
          <cell r="A1" t="str">
            <v>PHIẾU XỬ LÝ HỒ SƠ THANH TOÁN VƯỢT THẨM QUYỀN PD</v>
          </cell>
        </row>
      </sheetData>
      <sheetData sheetId="8">
        <row r="1">
          <cell r="A1" t="str">
            <v>PHIẾU XỬ LÝ HỒ SƠ THANH TOÁN VƯỢT THẨM QUYỀN PD</v>
          </cell>
        </row>
      </sheetData>
      <sheetData sheetId="9">
        <row r="1">
          <cell r="A1" t="str">
            <v>PHIẾU XỬ LÝ HỒ SƠ THANH TOÁN VƯỢT THẨM QUYỀN PD</v>
          </cell>
        </row>
      </sheetData>
      <sheetData sheetId="10">
        <row r="1">
          <cell r="A1" t="str">
            <v>PHIẾU XỬ LÝ HỒ SƠ THANH TOÁN VƯỢT THẨM QUYỀN PD</v>
          </cell>
        </row>
      </sheetData>
      <sheetData sheetId="11"/>
      <sheetData sheetId="12">
        <row r="1">
          <cell r="A1" t="str">
            <v>PHIẾU XỬ LÝ HỒ SƠ THANH TOÁN VƯỢT THẨM QUYỀN PD</v>
          </cell>
        </row>
      </sheetData>
      <sheetData sheetId="13"/>
      <sheetData sheetId="14">
        <row r="1">
          <cell r="A1" t="str">
            <v>PHIẾU XỬ LÝ HỒ SƠ THANH TOÁN VƯỢT THẨM QUYỀN PD</v>
          </cell>
        </row>
      </sheetData>
      <sheetData sheetId="15"/>
      <sheetData sheetId="16"/>
      <sheetData sheetId="17"/>
      <sheetData sheetId="18"/>
      <sheetData sheetId="19">
        <row r="1">
          <cell r="A1" t="str">
            <v>PHIẾU XỬ LÝ HỒ SƠ THANH TOÁN VƯỢT THẨM QUYỀN PD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A1" t="str">
            <v>PHIẾU XỬ LÝ HỒ SƠ THANH TOÁN VƯỢT THẨM QUYỀN PD</v>
          </cell>
        </row>
      </sheetData>
      <sheetData sheetId="29"/>
      <sheetData sheetId="30">
        <row r="1">
          <cell r="A1" t="str">
            <v>PHIẾU XỬ LÝ HỒ SƠ THANH TOÁN VƯỢT THẨM QUYỀN PD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/>
      <sheetData sheetId="1363">
        <row r="1">
          <cell r="A1" t="str">
            <v>PHIẾU XỬ LÝ HỒ SƠ THANH TOÁN VƯỢT THẨM QUYỀN PD</v>
          </cell>
        </row>
      </sheetData>
      <sheetData sheetId="1364"/>
      <sheetData sheetId="1365"/>
      <sheetData sheetId="1366">
        <row r="1">
          <cell r="A1" t="str">
            <v>PHIẾU XỬ LÝ HỒ SƠ THANH TOÁN VƯỢT THẨM QUYỀN PD</v>
          </cell>
        </row>
      </sheetData>
      <sheetData sheetId="1367">
        <row r="1">
          <cell r="A1" t="str">
            <v>PHIẾU XỬ LÝ HỒ SƠ THANH TOÁN VƯỢT THẨM QUYỀN PD</v>
          </cell>
        </row>
      </sheetData>
      <sheetData sheetId="1368">
        <row r="1">
          <cell r="A1" t="str">
            <v>PHIẾU XỬ LÝ HỒ SƠ THANH TOÁN VƯỢT THẨM QUYỀN PD</v>
          </cell>
        </row>
      </sheetData>
      <sheetData sheetId="1369">
        <row r="1">
          <cell r="A1" t="str">
            <v>PHIẾU XỬ LÝ HỒ SƠ THANH TOÁN VƯỢT THẨM QUYỀN PD</v>
          </cell>
        </row>
      </sheetData>
      <sheetData sheetId="1370">
        <row r="1">
          <cell r="A1" t="str">
            <v>PHIẾU XỬ LÝ HỒ SƠ THANH TOÁN VƯỢT THẨM QUYỀN PD</v>
          </cell>
        </row>
      </sheetData>
      <sheetData sheetId="1371">
        <row r="1">
          <cell r="A1" t="str">
            <v>PHIẾU XỬ LÝ HỒ SƠ THANH TOÁN VƯỢT THẨM QUYỀN PD</v>
          </cell>
        </row>
      </sheetData>
      <sheetData sheetId="1372">
        <row r="1">
          <cell r="A1" t="str">
            <v>PHIẾU XỬ LÝ HỒ SƠ THANH TOÁN VƯỢT THẨM QUYỀN PD</v>
          </cell>
        </row>
      </sheetData>
      <sheetData sheetId="1373">
        <row r="1">
          <cell r="A1" t="str">
            <v>PHIẾU XỬ LÝ HỒ SƠ THANH TOÁN VƯỢT THẨM QUYỀN PD</v>
          </cell>
        </row>
      </sheetData>
      <sheetData sheetId="1374">
        <row r="1">
          <cell r="A1" t="str">
            <v>PHIẾU XỬ LÝ HỒ SƠ THANH TOÁN VƯỢT THẨM QUYỀN PD</v>
          </cell>
        </row>
      </sheetData>
      <sheetData sheetId="1375">
        <row r="1">
          <cell r="A1" t="str">
            <v>PHIẾU XỬ LÝ HỒ SƠ THANH TOÁN VƯỢT THẨM QUYỀN PD</v>
          </cell>
        </row>
      </sheetData>
      <sheetData sheetId="1376">
        <row r="1">
          <cell r="A1" t="str">
            <v>PHIẾU XỬ LÝ HỒ SƠ THANH TOÁN VƯỢT THẨM QUYỀN PD</v>
          </cell>
        </row>
      </sheetData>
      <sheetData sheetId="1377"/>
      <sheetData sheetId="1378"/>
      <sheetData sheetId="1379"/>
      <sheetData sheetId="1380">
        <row r="1">
          <cell r="A1" t="str">
            <v>PHIẾU XỬ LÝ HỒ SƠ THANH TOÁN VƯỢT THẨM QUYỀN PD</v>
          </cell>
        </row>
      </sheetData>
      <sheetData sheetId="1381">
        <row r="1">
          <cell r="A1" t="str">
            <v>PHIẾU XỬ LÝ HỒ SƠ THANH TOÁN VƯỢT THẨM QUYỀN PD</v>
          </cell>
        </row>
      </sheetData>
      <sheetData sheetId="1382">
        <row r="1">
          <cell r="A1" t="str">
            <v>PHIẾU XỬ LÝ HỒ SƠ THANH TOÁN VƯỢT THẨM QUYỀN PD</v>
          </cell>
        </row>
      </sheetData>
      <sheetData sheetId="1383">
        <row r="1">
          <cell r="A1" t="str">
            <v>PHIẾU XỬ LÝ HỒ SƠ THANH TOÁN VƯỢT THẨM QUYỀN PD</v>
          </cell>
        </row>
      </sheetData>
      <sheetData sheetId="1384">
        <row r="1">
          <cell r="A1" t="str">
            <v>PHIẾU XỬ LÝ HỒ SƠ THANH TOÁN VƯỢT THẨM QUYỀN PD</v>
          </cell>
        </row>
      </sheetData>
      <sheetData sheetId="1385">
        <row r="1">
          <cell r="A1" t="str">
            <v>PHIẾU XỬ LÝ HỒ SƠ THANH TOÁN VƯỢT THẨM QUYỀN PD</v>
          </cell>
        </row>
      </sheetData>
      <sheetData sheetId="1386">
        <row r="1">
          <cell r="A1" t="str">
            <v>PHIẾU XỬ LÝ HỒ SƠ THANH TOÁN VƯỢT THẨM QUYỀN PD</v>
          </cell>
        </row>
      </sheetData>
      <sheetData sheetId="1387">
        <row r="1">
          <cell r="A1" t="str">
            <v>PHIẾU XỬ LÝ HỒ SƠ THANH TOÁN VƯỢT THẨM QUYỀN PD</v>
          </cell>
        </row>
      </sheetData>
      <sheetData sheetId="1388"/>
      <sheetData sheetId="1389"/>
      <sheetData sheetId="1390"/>
      <sheetData sheetId="1391">
        <row r="1">
          <cell r="A1" t="str">
            <v>PHIẾU XỬ LÝ HỒ SƠ THANH TOÁN VƯỢT THẨM QUYỀN PD</v>
          </cell>
        </row>
      </sheetData>
      <sheetData sheetId="1392"/>
      <sheetData sheetId="1393"/>
      <sheetData sheetId="1394">
        <row r="1">
          <cell r="A1" t="str">
            <v>PHIẾU XỬ LÝ HỒ SƠ THANH TOÁN VƯỢT THẨM QUYỀN PD</v>
          </cell>
        </row>
      </sheetData>
      <sheetData sheetId="1395">
        <row r="1">
          <cell r="A1" t="str">
            <v>PHIẾU XỬ LÝ HỒ SƠ THANH TOÁN VƯỢT THẨM QUYỀN PD</v>
          </cell>
        </row>
      </sheetData>
      <sheetData sheetId="1396">
        <row r="1">
          <cell r="A1" t="str">
            <v>PHIẾU XỬ LÝ HỒ SƠ THANH TOÁN VƯỢT THẨM QUYỀN PD</v>
          </cell>
        </row>
      </sheetData>
      <sheetData sheetId="1397">
        <row r="1">
          <cell r="A1" t="str">
            <v>PHIẾU XỬ LÝ HỒ SƠ THANH TOÁN VƯỢT THẨM QUYỀN PD</v>
          </cell>
        </row>
      </sheetData>
      <sheetData sheetId="1398">
        <row r="1">
          <cell r="A1" t="str">
            <v>PHIẾU XỬ LÝ HỒ SƠ THANH TOÁN VƯỢT THẨM QUYỀN PD</v>
          </cell>
        </row>
      </sheetData>
      <sheetData sheetId="1399">
        <row r="1">
          <cell r="A1" t="str">
            <v>PHIẾU XỬ LÝ HỒ SƠ THANH TOÁN VƯỢT THẨM QUYỀN PD</v>
          </cell>
        </row>
      </sheetData>
      <sheetData sheetId="1400">
        <row r="1">
          <cell r="A1" t="str">
            <v>PHIẾU XỬ LÝ HỒ SƠ THANH TOÁN VƯỢT THẨM QUYỀN PD</v>
          </cell>
        </row>
      </sheetData>
      <sheetData sheetId="1401"/>
      <sheetData sheetId="1402"/>
      <sheetData sheetId="1403">
        <row r="1">
          <cell r="A1" t="str">
            <v>PHIẾU XỬ LÝ HỒ SƠ THANH TOÁN VƯỢT THẨM QUYỀN PD</v>
          </cell>
        </row>
      </sheetData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>
        <row r="1">
          <cell r="A1" t="str">
            <v>PHIẾU XỬ LÝ HỒ SƠ THANH TOÁN VƯỢT THẨM QUYỀN PD</v>
          </cell>
        </row>
      </sheetData>
      <sheetData sheetId="1416"/>
      <sheetData sheetId="1417">
        <row r="1">
          <cell r="A1" t="str">
            <v>PHIẾU XỬ LÝ HỒ SƠ THANH TOÁN VƯỢT THẨM QUYỀN PD</v>
          </cell>
        </row>
      </sheetData>
      <sheetData sheetId="1418"/>
      <sheetData sheetId="1419">
        <row r="1">
          <cell r="A1" t="str">
            <v>PHIẾU XỬ LÝ HỒ SƠ THANH TOÁN VƯỢT THẨM QUYỀN PD</v>
          </cell>
        </row>
      </sheetData>
      <sheetData sheetId="1420">
        <row r="1">
          <cell r="A1" t="str">
            <v>PHIẾU XỬ LÝ HỒ SƠ THANH TOÁN VƯỢT THẨM QUYỀN PD</v>
          </cell>
        </row>
      </sheetData>
      <sheetData sheetId="1421"/>
      <sheetData sheetId="1422">
        <row r="1">
          <cell r="A1" t="str">
            <v>PHIẾU XỬ LÝ HỒ SƠ THANH TOÁN VƯỢT THẨM QUYỀN PD</v>
          </cell>
        </row>
      </sheetData>
      <sheetData sheetId="1423">
        <row r="1">
          <cell r="A1" t="str">
            <v>PHIẾU XỬ LÝ HỒ SƠ THANH TOÁN VƯỢT THẨM QUYỀN PD</v>
          </cell>
        </row>
      </sheetData>
      <sheetData sheetId="1424">
        <row r="1">
          <cell r="A1" t="str">
            <v>PHIẾU XỬ LÝ HỒ SƠ THANH TOÁN VƯỢT THẨM QUYỀN PD</v>
          </cell>
        </row>
      </sheetData>
      <sheetData sheetId="1425">
        <row r="1">
          <cell r="A1" t="str">
            <v>PHIẾU XỬ LÝ HỒ SƠ THANH TOÁN VƯỢT THẨM QUYỀN PD</v>
          </cell>
        </row>
      </sheetData>
      <sheetData sheetId="1426">
        <row r="1">
          <cell r="A1" t="str">
            <v>PHIẾU XỬ LÝ HỒ SƠ THANH TOÁN VƯỢT THẨM QUYỀN PD</v>
          </cell>
        </row>
      </sheetData>
      <sheetData sheetId="1427">
        <row r="1">
          <cell r="A1" t="str">
            <v>PHIẾU XỬ LÝ HỒ SƠ THANH TOÁN VƯỢT THẨM QUYỀN PD</v>
          </cell>
        </row>
      </sheetData>
      <sheetData sheetId="1428"/>
      <sheetData sheetId="1429"/>
      <sheetData sheetId="1430"/>
      <sheetData sheetId="1431"/>
      <sheetData sheetId="1432"/>
      <sheetData sheetId="1433">
        <row r="1">
          <cell r="A1" t="str">
            <v>PHIẾU XỬ LÝ HỒ SƠ THANH TOÁN VƯỢT THẨM QUYỀN PD</v>
          </cell>
        </row>
      </sheetData>
      <sheetData sheetId="1434">
        <row r="1">
          <cell r="A1" t="str">
            <v>PHIẾU XỬ LÝ HỒ SƠ THANH TOÁN VƯỢT THẨM QUYỀN PD</v>
          </cell>
        </row>
      </sheetData>
      <sheetData sheetId="1435">
        <row r="1">
          <cell r="A1" t="str">
            <v>PHIẾU XỬ LÝ HỒ SƠ THANH TOÁN VƯỢT THẨM QUYỀN PD</v>
          </cell>
        </row>
      </sheetData>
      <sheetData sheetId="1436">
        <row r="1">
          <cell r="A1" t="str">
            <v>PHIẾU XỬ LÝ HỒ SƠ THANH TOÁN VƯỢT THẨM QUYỀN PD</v>
          </cell>
        </row>
      </sheetData>
      <sheetData sheetId="1437">
        <row r="1">
          <cell r="A1" t="str">
            <v>PHIẾU XỬ LÝ HỒ SƠ THANH TOÁN VƯỢT THẨM QUYỀN PD</v>
          </cell>
        </row>
      </sheetData>
      <sheetData sheetId="1438">
        <row r="1">
          <cell r="A1" t="str">
            <v>PHIẾU XỬ LÝ HỒ SƠ THANH TOÁN VƯỢT THẨM QUYỀN PD</v>
          </cell>
        </row>
      </sheetData>
      <sheetData sheetId="1439">
        <row r="1">
          <cell r="A1" t="str">
            <v>PHIẾU XỬ LÝ HỒ SƠ THANH TOÁN VƯỢT THẨM QUYỀN PD</v>
          </cell>
        </row>
      </sheetData>
      <sheetData sheetId="1440">
        <row r="1">
          <cell r="A1" t="str">
            <v>PHIẾU XỬ LÝ HỒ SƠ THANH TOÁN VƯỢT THẨM QUYỀN PD</v>
          </cell>
        </row>
      </sheetData>
      <sheetData sheetId="1441">
        <row r="1">
          <cell r="A1" t="str">
            <v>PHIẾU XỬ LÝ HỒ SƠ THANH TOÁN VƯỢT THẨM QUYỀN PD</v>
          </cell>
        </row>
      </sheetData>
      <sheetData sheetId="1442"/>
      <sheetData sheetId="1443">
        <row r="1">
          <cell r="A1" t="str">
            <v>PHIẾU XỬ LÝ HỒ SƠ THANH TOÁN VƯỢT THẨM QUYỀN PD</v>
          </cell>
        </row>
      </sheetData>
      <sheetData sheetId="1444">
        <row r="1">
          <cell r="A1" t="str">
            <v>PHIẾU XỬ LÝ HỒ SƠ THANH TOÁN VƯỢT THẨM QUYỀN PD</v>
          </cell>
        </row>
      </sheetData>
      <sheetData sheetId="1445">
        <row r="1">
          <cell r="A1" t="str">
            <v>PHIẾU XỬ LÝ HỒ SƠ THANH TOÁN VƯỢT THẨM QUYỀN PD</v>
          </cell>
        </row>
      </sheetData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>
        <row r="1">
          <cell r="A1" t="str">
            <v>PHIẾU XỬ LÝ HỒ SƠ THANH TOÁN VƯỢT THẨM QUYỀN PD</v>
          </cell>
        </row>
      </sheetData>
      <sheetData sheetId="1461"/>
      <sheetData sheetId="1462"/>
      <sheetData sheetId="1463"/>
      <sheetData sheetId="1464">
        <row r="1">
          <cell r="A1" t="str">
            <v>PHIẾU XỬ LÝ HỒ SƠ THANH TOÁN VƯỢT THẨM QUYỀN PD</v>
          </cell>
        </row>
      </sheetData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1">
          <cell r="A1" t="str">
            <v>PHIẾU XỬ LÝ HỒ SƠ THANH TOÁN VƯỢT THẨM QUYỀN PD</v>
          </cell>
        </row>
      </sheetData>
      <sheetData sheetId="2446">
        <row r="1">
          <cell r="A1" t="str">
            <v>PHIẾU XỬ LÝ HỒ SƠ THANH TOÁN VƯỢT THẨM QUYỀN PD</v>
          </cell>
        </row>
      </sheetData>
      <sheetData sheetId="2447">
        <row r="1">
          <cell r="A1" t="str">
            <v>PHIẾU XỬ LÝ HỒ SƠ THANH TOÁN VƯỢT THẨM QUYỀN PD</v>
          </cell>
        </row>
      </sheetData>
      <sheetData sheetId="2448">
        <row r="1">
          <cell r="A1" t="str">
            <v>PHIẾU XỬ LÝ HỒ SƠ THANH TOÁN VƯỢT THẨM QUYỀN PD</v>
          </cell>
        </row>
      </sheetData>
      <sheetData sheetId="2449">
        <row r="1">
          <cell r="A1" t="str">
            <v>PHIẾU XỬ LÝ HỒ SƠ THANH TOÁN VƯỢT THẨM QUYỀN PD</v>
          </cell>
        </row>
      </sheetData>
      <sheetData sheetId="2450">
        <row r="1">
          <cell r="A1" t="str">
            <v>PHIẾU XỬ LÝ HỒ SƠ THANH TOÁN VƯỢT THẨM QUYỀN PD</v>
          </cell>
        </row>
      </sheetData>
      <sheetData sheetId="2451">
        <row r="1">
          <cell r="A1" t="str">
            <v>PHIẾU XỬ LÝ HỒ SƠ THANH TOÁN VƯỢT THẨM QUYỀN PD</v>
          </cell>
        </row>
      </sheetData>
      <sheetData sheetId="2452">
        <row r="1">
          <cell r="A1" t="str">
            <v>PHIẾU XỬ LÝ HỒ SƠ THANH TOÁN VƯỢT THẨM QUYỀN PD</v>
          </cell>
        </row>
      </sheetData>
      <sheetData sheetId="2453">
        <row r="1">
          <cell r="A1" t="str">
            <v>PHIẾU XỬ LÝ HỒ SƠ THANH TOÁN VƯỢT THẨM QUYỀN PD</v>
          </cell>
        </row>
      </sheetData>
      <sheetData sheetId="2454">
        <row r="1">
          <cell r="A1" t="str">
            <v>PHIẾU XỬ LÝ HỒ SƠ THANH TOÁN VƯỢT THẨM QUYỀN PD</v>
          </cell>
        </row>
      </sheetData>
      <sheetData sheetId="2455">
        <row r="1">
          <cell r="A1" t="str">
            <v>PHIẾU XỬ LÝ HỒ SƠ THANH TOÁN VƯỢT THẨM QUYỀN PD</v>
          </cell>
        </row>
      </sheetData>
      <sheetData sheetId="2456">
        <row r="1">
          <cell r="A1" t="str">
            <v>PHIẾU XỬ LÝ HỒ SƠ THANH TOÁN VƯỢT THẨM QUYỀN PD</v>
          </cell>
        </row>
      </sheetData>
      <sheetData sheetId="2457">
        <row r="1">
          <cell r="A1" t="str">
            <v>PHIẾU XỬ LÝ HỒ SƠ THANH TOÁN VƯỢT THẨM QUYỀN PD</v>
          </cell>
        </row>
      </sheetData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>
        <row r="1">
          <cell r="A1" t="str">
            <v>PHIẾU XỬ LÝ HỒ SƠ THANH TOÁN VƯỢT THẨM QUYỀN PD</v>
          </cell>
        </row>
      </sheetData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>
        <row r="1">
          <cell r="A1" t="str">
            <v>PHIẾU XỬ LÝ HỒ SƠ THANH TOÁN VƯỢT THẨM QUYỀN PD</v>
          </cell>
        </row>
      </sheetData>
      <sheetData sheetId="2484">
        <row r="1">
          <cell r="A1" t="str">
            <v>PHIẾU XỬ LÝ HỒ SƠ THANH TOÁN VƯỢT THẨM QUYỀN PD</v>
          </cell>
        </row>
      </sheetData>
      <sheetData sheetId="2485">
        <row r="1">
          <cell r="A1" t="str">
            <v>PHIẾU XỬ LÝ HỒ SƠ THANH TOÁN VƯỢT THẨM QUYỀN PD</v>
          </cell>
        </row>
      </sheetData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>
        <row r="1">
          <cell r="A1" t="str">
            <v>PHIẾU XỬ LÝ HỒ SƠ THANH TOÁN VƯỢT THẨM QUYỀN PD</v>
          </cell>
        </row>
      </sheetData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>
        <row r="1">
          <cell r="A1" t="str">
            <v>PHIẾU XỬ LÝ HỒ SƠ THANH TOÁN VƯỢT THẨM QUYỀN PD</v>
          </cell>
        </row>
      </sheetData>
      <sheetData sheetId="2531" refreshError="1"/>
      <sheetData sheetId="2532" refreshError="1"/>
      <sheetData sheetId="2533" refreshError="1"/>
      <sheetData sheetId="2534">
        <row r="1">
          <cell r="A1" t="str">
            <v>PHIẾU XỬ LÝ HỒ SƠ THANH TOÁN VƯỢT THẨM QUYỀN PD</v>
          </cell>
        </row>
      </sheetData>
      <sheetData sheetId="2535">
        <row r="1">
          <cell r="A1" t="str">
            <v>PHIẾU XỬ LÝ HỒ SƠ THANH TOÁN VƯỢT THẨM QUYỀN PD</v>
          </cell>
        </row>
      </sheetData>
      <sheetData sheetId="2536">
        <row r="1">
          <cell r="A1" t="str">
            <v>PHIẾU XỬ LÝ HỒ SƠ THANH TOÁN VƯỢT THẨM QUYỀN PD</v>
          </cell>
        </row>
      </sheetData>
      <sheetData sheetId="2537">
        <row r="1">
          <cell r="A1" t="str">
            <v>PHIẾU XỬ LÝ HỒ SƠ THANH TOÁN VƯỢT THẨM QUYỀN PD</v>
          </cell>
        </row>
      </sheetData>
      <sheetData sheetId="2538">
        <row r="1">
          <cell r="A1" t="str">
            <v>PHIẾU XỬ LÝ HỒ SƠ THANH TOÁN VƯỢT THẨM QUYỀN PD</v>
          </cell>
        </row>
      </sheetData>
      <sheetData sheetId="2539">
        <row r="1">
          <cell r="A1" t="str">
            <v>PHIẾU XỬ LÝ HỒ SƠ THANH TOÁN VƯỢT THẨM QUYỀN PD</v>
          </cell>
        </row>
      </sheetData>
      <sheetData sheetId="2540">
        <row r="1">
          <cell r="A1" t="str">
            <v>PHIẾU XỬ LÝ HỒ SƠ THANH TOÁN VƯỢT THẨM QUYỀN PD</v>
          </cell>
        </row>
      </sheetData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>
        <row r="1">
          <cell r="A1" t="str">
            <v>PHIẾU XỬ LÝ HỒ SƠ THANH TOÁN VƯỢT THẨM QUYỀN PD</v>
          </cell>
        </row>
      </sheetData>
      <sheetData sheetId="2579">
        <row r="1">
          <cell r="A1" t="str">
            <v>PHIẾU XỬ LÝ HỒ SƠ THANH TOÁN VƯỢT THẨM QUYỀN PD</v>
          </cell>
        </row>
      </sheetData>
      <sheetData sheetId="2580">
        <row r="1">
          <cell r="A1" t="str">
            <v>PHIẾU XỬ LÝ HỒ SƠ THANH TOÁN VƯỢT THẨM QUYỀN PD</v>
          </cell>
        </row>
      </sheetData>
      <sheetData sheetId="2581">
        <row r="1">
          <cell r="A1" t="str">
            <v>PHIẾU XỬ LÝ HỒ SƠ THANH TOÁN VƯỢT THẨM QUYỀN PD</v>
          </cell>
        </row>
      </sheetData>
      <sheetData sheetId="2582">
        <row r="1">
          <cell r="A1" t="str">
            <v>PHIẾU XỬ LÝ HỒ SƠ THANH TOÁN VƯỢT THẨM QUYỀN PD</v>
          </cell>
        </row>
      </sheetData>
      <sheetData sheetId="2583">
        <row r="1">
          <cell r="A1" t="str">
            <v>PHIẾU XỬ LÝ HỒ SƠ THANH TOÁN VƯỢT THẨM QUYỀN PD</v>
          </cell>
        </row>
      </sheetData>
      <sheetData sheetId="2584">
        <row r="1">
          <cell r="A1" t="str">
            <v>PHIẾU XỬ LÝ HỒ SƠ THANH TOÁN VƯỢT THẨM QUYỀN PD</v>
          </cell>
        </row>
      </sheetData>
      <sheetData sheetId="2585">
        <row r="1">
          <cell r="A1" t="str">
            <v>PHIẾU XỬ LÝ HỒ SƠ THANH TOÁN VƯỢT THẨM QUYỀN PD</v>
          </cell>
        </row>
      </sheetData>
      <sheetData sheetId="2586">
        <row r="1">
          <cell r="A1" t="str">
            <v>PHIẾU XỬ LÝ HỒ SƠ THANH TOÁN VƯỢT THẨM QUYỀN PD</v>
          </cell>
        </row>
      </sheetData>
      <sheetData sheetId="2587">
        <row r="1">
          <cell r="A1" t="str">
            <v>PHIẾU XỬ LÝ HỒ SƠ THANH TOÁN VƯỢT THẨM QUYỀN PD</v>
          </cell>
        </row>
      </sheetData>
      <sheetData sheetId="2588">
        <row r="1">
          <cell r="A1" t="str">
            <v>PHIẾU XỬ LÝ HỒ SƠ THANH TOÁN VƯỢT THẨM QUYỀN PD</v>
          </cell>
        </row>
      </sheetData>
      <sheetData sheetId="2589">
        <row r="1">
          <cell r="A1" t="str">
            <v>PHIẾU XỬ LÝ HỒ SƠ THANH TOÁN VƯỢT THẨM QUYỀN PD</v>
          </cell>
        </row>
      </sheetData>
      <sheetData sheetId="2590">
        <row r="1">
          <cell r="A1" t="str">
            <v>PHIẾU XỬ LÝ HỒ SƠ THANH TOÁN VƯỢT THẨM QUYỀN PD</v>
          </cell>
        </row>
      </sheetData>
      <sheetData sheetId="2591">
        <row r="1">
          <cell r="A1" t="str">
            <v>PHIẾU XỬ LÝ HỒ SƠ THANH TOÁN VƯỢT THẨM QUYỀN PD</v>
          </cell>
        </row>
      </sheetData>
      <sheetData sheetId="2592">
        <row r="1">
          <cell r="A1" t="str">
            <v>PHIẾU XỬ LÝ HỒ SƠ THANH TOÁN VƯỢT THẨM QUYỀN PD</v>
          </cell>
        </row>
      </sheetData>
      <sheetData sheetId="2593">
        <row r="1">
          <cell r="A1" t="str">
            <v>PHIẾU XỬ LÝ HỒ SƠ THANH TOÁN VƯỢT THẨM QUYỀN PD</v>
          </cell>
        </row>
      </sheetData>
      <sheetData sheetId="2594">
        <row r="1">
          <cell r="A1" t="str">
            <v>PHIẾU XỬ LÝ HỒ SƠ THANH TOÁN VƯỢT THẨM QUYỀN PD</v>
          </cell>
        </row>
      </sheetData>
      <sheetData sheetId="2595">
        <row r="1">
          <cell r="A1" t="str">
            <v>PHIẾU XỬ LÝ HỒ SƠ THANH TOÁN VƯỢT THẨM QUYỀN PD</v>
          </cell>
        </row>
      </sheetData>
      <sheetData sheetId="2596">
        <row r="1">
          <cell r="A1" t="str">
            <v>PHIẾU XỬ LÝ HỒ SƠ THANH TOÁN VƯỢT THẨM QUYỀN PD</v>
          </cell>
        </row>
      </sheetData>
      <sheetData sheetId="2597">
        <row r="1">
          <cell r="A1" t="str">
            <v>PHIẾU XỬ LÝ HỒ SƠ THANH TOÁN VƯỢT THẨM QUYỀN PD</v>
          </cell>
        </row>
      </sheetData>
      <sheetData sheetId="2598">
        <row r="1">
          <cell r="A1" t="str">
            <v>PHIẾU XỬ LÝ HỒ SƠ THANH TOÁN VƯỢT THẨM QUYỀN PD</v>
          </cell>
        </row>
      </sheetData>
      <sheetData sheetId="2599">
        <row r="1">
          <cell r="A1" t="str">
            <v>PHIẾU XỬ LÝ HỒ SƠ THANH TOÁN VƯỢT THẨM QUYỀN PD</v>
          </cell>
        </row>
      </sheetData>
      <sheetData sheetId="2600">
        <row r="1">
          <cell r="A1" t="str">
            <v>PHIẾU XỬ LÝ HỒ SƠ THANH TOÁN VƯỢT THẨM QUYỀN PD</v>
          </cell>
        </row>
      </sheetData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>
        <row r="1">
          <cell r="A1" t="str">
            <v>PHIẾU XỬ LÝ HỒ SƠ THANH TOÁN VƯỢT THẨM QUYỀN PD</v>
          </cell>
        </row>
      </sheetData>
      <sheetData sheetId="2604">
        <row r="1">
          <cell r="A1" t="str">
            <v>PHIẾU XỬ LÝ HỒ SƠ THANH TOÁN VƯỢT THẨM QUYỀN PD</v>
          </cell>
        </row>
      </sheetData>
      <sheetData sheetId="2605">
        <row r="1">
          <cell r="A1" t="str">
            <v>PHIẾU XỬ LÝ HỒ SƠ THANH TOÁN VƯỢT THẨM QUYỀN PD</v>
          </cell>
        </row>
      </sheetData>
      <sheetData sheetId="2606">
        <row r="1">
          <cell r="A1" t="str">
            <v>PHIẾU XỬ LÝ HỒ SƠ THANH TOÁN VƯỢT THẨM QUYỀN PD</v>
          </cell>
        </row>
      </sheetData>
      <sheetData sheetId="2607">
        <row r="1">
          <cell r="A1" t="str">
            <v>PHIẾU XỬ LÝ HỒ SƠ THANH TOÁN VƯỢT THẨM QUYỀN PD</v>
          </cell>
        </row>
      </sheetData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>
        <row r="1">
          <cell r="A1" t="str">
            <v>PHIẾU XỬ LÝ HỒ SƠ THANH TOÁN VƯỢT THẨM QUYỀN PD</v>
          </cell>
        </row>
      </sheetData>
      <sheetData sheetId="2638">
        <row r="1">
          <cell r="A1" t="str">
            <v>PHIẾU XỬ LÝ HỒ SƠ THANH TOÁN VƯỢT THẨM QUYỀN PD</v>
          </cell>
        </row>
      </sheetData>
      <sheetData sheetId="2639">
        <row r="1">
          <cell r="A1" t="str">
            <v>PHIẾU XỬ LÝ HỒ SƠ THANH TOÁN VƯỢT THẨM QUYỀN PD</v>
          </cell>
        </row>
      </sheetData>
      <sheetData sheetId="2640">
        <row r="1">
          <cell r="A1" t="str">
            <v>PHIẾU XỬ LÝ HỒ SƠ THANH TOÁN VƯỢT THẨM QUYỀN PD</v>
          </cell>
        </row>
      </sheetData>
      <sheetData sheetId="2641">
        <row r="1">
          <cell r="A1" t="str">
            <v>PHIẾU XỬ LÝ HỒ SƠ THANH TOÁN VƯỢT THẨM QUYỀN PD</v>
          </cell>
        </row>
      </sheetData>
      <sheetData sheetId="2642">
        <row r="1">
          <cell r="A1" t="str">
            <v>PHIẾU XỬ LÝ HỒ SƠ THANH TOÁN VƯỢT THẨM QUYỀN PD</v>
          </cell>
        </row>
      </sheetData>
      <sheetData sheetId="2643">
        <row r="1">
          <cell r="A1" t="str">
            <v>PHIẾU XỬ LÝ HỒ SƠ THANH TOÁN VƯỢT THẨM QUYỀN PD</v>
          </cell>
        </row>
      </sheetData>
      <sheetData sheetId="2644">
        <row r="1">
          <cell r="A1" t="str">
            <v>PHIẾU XỬ LÝ HỒ SƠ THANH TOÁN VƯỢT THẨM QUYỀN PD</v>
          </cell>
        </row>
      </sheetData>
      <sheetData sheetId="2645">
        <row r="1">
          <cell r="A1" t="str">
            <v>PHIẾU XỬ LÝ HỒ SƠ THANH TOÁN VƯỢT THẨM QUYỀN PD</v>
          </cell>
        </row>
      </sheetData>
      <sheetData sheetId="2646">
        <row r="1">
          <cell r="A1" t="str">
            <v>PHIẾU XỬ LÝ HỒ SƠ THANH TOÁN VƯỢT THẨM QUYỀN PD</v>
          </cell>
        </row>
      </sheetData>
      <sheetData sheetId="2647">
        <row r="1">
          <cell r="A1" t="str">
            <v>PHIẾU XỬ LÝ HỒ SƠ THANH TOÁN VƯỢT THẨM QUYỀN PD</v>
          </cell>
        </row>
      </sheetData>
      <sheetData sheetId="2648">
        <row r="1">
          <cell r="A1" t="str">
            <v>PHIẾU XỬ LÝ HỒ SƠ THANH TOÁN VƯỢT THẨM QUYỀN PD</v>
          </cell>
        </row>
      </sheetData>
      <sheetData sheetId="2649">
        <row r="1">
          <cell r="A1" t="str">
            <v>PHIẾU XỬ LÝ HỒ SƠ THANH TOÁN VƯỢT THẨM QUYỀN PD</v>
          </cell>
        </row>
      </sheetData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 refreshError="1"/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>
        <row r="1">
          <cell r="A1" t="str">
            <v>PHIẾU XỬ LÝ HỒ SƠ THANH TOÁN VƯỢT THẨM QUYỀN PD</v>
          </cell>
        </row>
      </sheetData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>
        <row r="1">
          <cell r="A1" t="str">
            <v>PHIẾU XỬ LÝ HỒ SƠ THANH TOÁN VƯỢT THẨM QUYỀN PD</v>
          </cell>
        </row>
      </sheetData>
      <sheetData sheetId="2732">
        <row r="1">
          <cell r="A1" t="str">
            <v>PHIẾU XỬ LÝ HỒ SƠ THANH TOÁN VƯỢT THẨM QUYỀN PD</v>
          </cell>
        </row>
      </sheetData>
      <sheetData sheetId="2733">
        <row r="1">
          <cell r="A1" t="str">
            <v>PHIẾU XỬ LÝ HỒ SƠ THANH TOÁN VƯỢT THẨM QUYỀN PD</v>
          </cell>
        </row>
      </sheetData>
      <sheetData sheetId="2734">
        <row r="1">
          <cell r="A1" t="str">
            <v>PHIẾU XỬ LÝ HỒ SƠ THANH TOÁN VƯỢT THẨM QUYỀN PD</v>
          </cell>
        </row>
      </sheetData>
      <sheetData sheetId="2735">
        <row r="1">
          <cell r="A1" t="str">
            <v>PHIẾU XỬ LÝ HỒ SƠ THANH TOÁN VƯỢT THẨM QUYỀN PD</v>
          </cell>
        </row>
      </sheetData>
      <sheetData sheetId="2736">
        <row r="1">
          <cell r="A1" t="str">
            <v>PHIẾU XỬ LÝ HỒ SƠ THANH TOÁN VƯỢT THẨM QUYỀN PD</v>
          </cell>
        </row>
      </sheetData>
      <sheetData sheetId="2737">
        <row r="1">
          <cell r="A1" t="str">
            <v>PHIẾU XỬ LÝ HỒ SƠ THANH TOÁN VƯỢT THẨM QUYỀN PD</v>
          </cell>
        </row>
      </sheetData>
      <sheetData sheetId="2738">
        <row r="1">
          <cell r="A1" t="str">
            <v>PHIẾU XỬ LÝ HỒ SƠ THANH TOÁN VƯỢT THẨM QUYỀN PD</v>
          </cell>
        </row>
      </sheetData>
      <sheetData sheetId="2739">
        <row r="1">
          <cell r="A1" t="str">
            <v>PHIẾU XỬ LÝ HỒ SƠ THANH TOÁN VƯỢT THẨM QUYỀN PD</v>
          </cell>
        </row>
      </sheetData>
      <sheetData sheetId="2740">
        <row r="1">
          <cell r="A1" t="str">
            <v>PHIẾU XỬ LÝ HỒ SƠ THANH TOÁN VƯỢT THẨM QUYỀN PD</v>
          </cell>
        </row>
      </sheetData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>
        <row r="1">
          <cell r="A1" t="str">
            <v>PHIẾU XỬ LÝ HỒ SƠ THANH TOÁN VƯỢT THẨM QUYỀN PD</v>
          </cell>
        </row>
      </sheetData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>
        <row r="1">
          <cell r="A1" t="str">
            <v>PHIẾU XỬ LÝ HỒ SƠ THANH TOÁN VƯỢT THẨM QUYỀN PD</v>
          </cell>
        </row>
      </sheetData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>
        <row r="1">
          <cell r="A1" t="str">
            <v>PHIẾU XỬ LÝ HỒ SƠ THANH TOÁN VƯỢT THẨM QUYỀN PD</v>
          </cell>
        </row>
      </sheetData>
      <sheetData sheetId="2870">
        <row r="1">
          <cell r="A1" t="str">
            <v>PHIẾU XỬ LÝ HỒ SƠ THANH TOÁN VƯỢT THẨM QUYỀN PD</v>
          </cell>
        </row>
      </sheetData>
      <sheetData sheetId="2871">
        <row r="1">
          <cell r="A1" t="str">
            <v>PHIẾU XỬ LÝ HỒ SƠ THANH TOÁN VƯỢT THẨM QUYỀN PD</v>
          </cell>
        </row>
      </sheetData>
      <sheetData sheetId="2872">
        <row r="1">
          <cell r="A1" t="str">
            <v>PHIẾU XỬ LÝ HỒ SƠ THANH TOÁN VƯỢT THẨM QUYỀN PD</v>
          </cell>
        </row>
      </sheetData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>
        <row r="1">
          <cell r="A1" t="str">
            <v>PHIẾU XỬ LÝ HỒ SƠ THANH TOÁN VƯỢT THẨM QUYỀN PD</v>
          </cell>
        </row>
      </sheetData>
      <sheetData sheetId="2876">
        <row r="1">
          <cell r="A1" t="str">
            <v>PHIẾU XỬ LÝ HỒ SƠ THANH TOÁN VƯỢT THẨM QUYỀN PD</v>
          </cell>
        </row>
      </sheetData>
      <sheetData sheetId="2877">
        <row r="1">
          <cell r="A1" t="str">
            <v>PHIẾU XỬ LÝ HỒ SƠ THANH TOÁN VƯỢT THẨM QUYỀN PD</v>
          </cell>
        </row>
      </sheetData>
      <sheetData sheetId="2878">
        <row r="1">
          <cell r="A1" t="str">
            <v>PHIẾU XỬ LÝ HỒ SƠ THANH TOÁN VƯỢT THẨM QUYỀN PD</v>
          </cell>
        </row>
      </sheetData>
      <sheetData sheetId="2879">
        <row r="1">
          <cell r="A1" t="str">
            <v>PHIẾU XỬ LÝ HỒ SƠ THANH TOÁN VƯỢT THẨM QUYỀN PD</v>
          </cell>
        </row>
      </sheetData>
      <sheetData sheetId="2880">
        <row r="1">
          <cell r="A1" t="str">
            <v>PHIẾU XỬ LÝ HỒ SƠ THANH TOÁN VƯỢT THẨM QUYỀN PD</v>
          </cell>
        </row>
      </sheetData>
      <sheetData sheetId="2881">
        <row r="1">
          <cell r="A1" t="str">
            <v>PHIẾU XỬ LÝ HỒ SƠ THANH TOÁN VƯỢT THẨM QUYỀN PD</v>
          </cell>
        </row>
      </sheetData>
      <sheetData sheetId="2882">
        <row r="1">
          <cell r="A1" t="str">
            <v>PHIẾU XỬ LÝ HỒ SƠ THANH TOÁN VƯỢT THẨM QUYỀN PD</v>
          </cell>
        </row>
      </sheetData>
      <sheetData sheetId="2883">
        <row r="1">
          <cell r="A1" t="str">
            <v>PHIẾU XỬ LÝ HỒ SƠ THANH TOÁN VƯỢT THẨM QUYỀN PD</v>
          </cell>
        </row>
      </sheetData>
      <sheetData sheetId="2884">
        <row r="1">
          <cell r="A1" t="str">
            <v>PHIẾU XỬ LÝ HỒ SƠ THANH TOÁN VƯỢT THẨM QUYỀN PD</v>
          </cell>
        </row>
      </sheetData>
      <sheetData sheetId="2885">
        <row r="1">
          <cell r="A1" t="str">
            <v>PHIẾU XỬ LÝ HỒ SƠ THANH TOÁN VƯỢT THẨM QUYỀN PD</v>
          </cell>
        </row>
      </sheetData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 refreshError="1"/>
      <sheetData sheetId="3497" refreshError="1"/>
      <sheetData sheetId="3498" refreshError="1"/>
      <sheetData sheetId="3499" refreshError="1"/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 refreshError="1"/>
      <sheetData sheetId="3645" refreshError="1"/>
      <sheetData sheetId="3646" refreshError="1"/>
      <sheetData sheetId="3647">
        <row r="1">
          <cell r="A1" t="str">
            <v>PHIẾU XỬ LÝ HỒ SƠ THANH TOÁN VƯỢT THẨM QUYỀN PD</v>
          </cell>
        </row>
      </sheetData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>
        <row r="1">
          <cell r="A1" t="str">
            <v>PHIẾU XỬ LÝ HỒ SƠ THANH TOÁN VƯỢT THẨM QUYỀN PD</v>
          </cell>
        </row>
      </sheetData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 refreshError="1"/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>
        <row r="1">
          <cell r="A1" t="str">
            <v>PHIẾU XỬ LÝ HỒ SƠ THANH TOÁN VƯỢT THẨM QUYỀN PD</v>
          </cell>
        </row>
      </sheetData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 refreshError="1"/>
      <sheetData sheetId="3808" refreshError="1"/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>
        <row r="1">
          <cell r="A1" t="str">
            <v>PHIẾU XỬ LÝ HỒ SƠ THANH TOÁN VƯỢT THẨM QUYỀN PD</v>
          </cell>
        </row>
      </sheetData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>
        <row r="1">
          <cell r="A1" t="str">
            <v>PHIẾU XỬ LÝ HỒ SƠ THANH TOÁN VƯỢT THẨM QUYỀN PD</v>
          </cell>
        </row>
      </sheetData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>
        <row r="1">
          <cell r="A1" t="str">
            <v>PHIẾU XỬ LÝ HỒ SƠ THANH TOÁN VƯỢT THẨM QUYỀN PD</v>
          </cell>
        </row>
      </sheetData>
      <sheetData sheetId="3999">
        <row r="1">
          <cell r="A1" t="str">
            <v>PHIẾU XỬ LÝ HỒ SƠ THANH TOÁN VƯỢT THẨM QUYỀN PD</v>
          </cell>
        </row>
      </sheetData>
      <sheetData sheetId="4000">
        <row r="1">
          <cell r="A1" t="str">
            <v>PHIẾU XỬ LÝ HỒ SƠ THANH TOÁN VƯỢT THẨM QUYỀN PD</v>
          </cell>
        </row>
      </sheetData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>
        <row r="1">
          <cell r="A1" t="str">
            <v>PHIẾU XỬ LÝ HỒ SƠ THANH TOÁN VƯỢT THẨM QUYỀN PD</v>
          </cell>
        </row>
      </sheetData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>
        <row r="1">
          <cell r="A1" t="str">
            <v>PHIẾU XỬ LÝ HỒ SƠ THANH TOÁN VƯỢT THẨM QUYỀN PD</v>
          </cell>
        </row>
      </sheetData>
      <sheetData sheetId="4025">
        <row r="1">
          <cell r="A1" t="str">
            <v>PHIẾU XỬ LÝ HỒ SƠ THANH TOÁN VƯỢT THẨM QUYỀN PD</v>
          </cell>
        </row>
      </sheetData>
      <sheetData sheetId="4026">
        <row r="1">
          <cell r="A1" t="str">
            <v>PHIẾU XỬ LÝ HỒ SƠ THANH TOÁN VƯỢT THẨM QUYỀN PD</v>
          </cell>
        </row>
      </sheetData>
      <sheetData sheetId="4027">
        <row r="1">
          <cell r="A1" t="str">
            <v>PHIẾU XỬ LÝ HỒ SƠ THANH TOÁN VƯỢT THẨM QUYỀN PD</v>
          </cell>
        </row>
      </sheetData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>
        <row r="1">
          <cell r="A1" t="str">
            <v>PHIẾU XỬ LÝ HỒ SƠ THANH TOÁN VƯỢT THẨM QUYỀN PD</v>
          </cell>
        </row>
      </sheetData>
      <sheetData sheetId="4033">
        <row r="1">
          <cell r="A1" t="str">
            <v>PHIẾU XỬ LÝ HỒ SƠ THANH TOÁN VƯỢT THẨM QUYỀN PD</v>
          </cell>
        </row>
      </sheetData>
      <sheetData sheetId="4034">
        <row r="1">
          <cell r="A1" t="str">
            <v>PHIẾU XỬ LÝ HỒ SƠ THANH TOÁN VƯỢT THẨM QUYỀN PD</v>
          </cell>
        </row>
      </sheetData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>
        <row r="1">
          <cell r="A1" t="str">
            <v>PHIẾU XỬ LÝ HỒ SƠ THANH TOÁN VƯỢT THẨM QUYỀN PD</v>
          </cell>
        </row>
      </sheetData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>
        <row r="1">
          <cell r="A1" t="str">
            <v>PHIẾU XỬ LÝ HỒ SƠ THANH TOÁN VƯỢT THẨM QUYỀN PD</v>
          </cell>
        </row>
      </sheetData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>
        <row r="1">
          <cell r="A1" t="str">
            <v>PHIẾU XỬ LÝ HỒ SƠ THANH TOÁN VƯỢT THẨM QUYỀN PD</v>
          </cell>
        </row>
      </sheetData>
      <sheetData sheetId="4113">
        <row r="1">
          <cell r="A1" t="str">
            <v>PHIẾU XỬ LÝ HỒ SƠ THANH TOÁN VƯỢT THẨM QUYỀN PD</v>
          </cell>
        </row>
      </sheetData>
      <sheetData sheetId="4114">
        <row r="1">
          <cell r="A1" t="str">
            <v>PHIẾU XỬ LÝ HỒ SƠ THANH TOÁN VƯỢT THẨM QUYỀN PD</v>
          </cell>
        </row>
      </sheetData>
      <sheetData sheetId="4115">
        <row r="1">
          <cell r="A1" t="str">
            <v>PHIẾU XỬ LÝ HỒ SƠ THANH TOÁN VƯỢT THẨM QUYỀN PD</v>
          </cell>
        </row>
      </sheetData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>
        <row r="1">
          <cell r="A1" t="str">
            <v>PHIẾU XỬ LÝ HỒ SƠ THANH TOÁN VƯỢT THẨM QUYỀN PD</v>
          </cell>
        </row>
      </sheetData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>
        <row r="1">
          <cell r="A1" t="str">
            <v>PHIẾU XỬ LÝ HỒ SƠ THANH TOÁN VƯỢT THẨM QUYỀN PD</v>
          </cell>
        </row>
      </sheetData>
      <sheetData sheetId="4137">
        <row r="1">
          <cell r="A1" t="str">
            <v>PHIẾU XỬ LÝ HỒ SƠ THANH TOÁN VƯỢT THẨM QUYỀN PD</v>
          </cell>
        </row>
      </sheetData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>
        <row r="1">
          <cell r="A1" t="str">
            <v>PHIẾU XỬ LÝ HỒ SƠ THANH TOÁN VƯỢT THẨM QUYỀN PD</v>
          </cell>
        </row>
      </sheetData>
      <sheetData sheetId="4142">
        <row r="1">
          <cell r="A1" t="str">
            <v>PHIẾU XỬ LÝ HỒ SƠ THANH TOÁN VƯỢT THẨM QUYỀN PD</v>
          </cell>
        </row>
      </sheetData>
      <sheetData sheetId="4143">
        <row r="1">
          <cell r="A1" t="str">
            <v>PHIẾU XỬ LÝ HỒ SƠ THANH TOÁN VƯỢT THẨM QUYỀN PD</v>
          </cell>
        </row>
      </sheetData>
      <sheetData sheetId="4144">
        <row r="1">
          <cell r="A1" t="str">
            <v>PHIẾU XỬ LÝ HỒ SƠ THANH TOÁN VƯỢT THẨM QUYỀN PD</v>
          </cell>
        </row>
      </sheetData>
      <sheetData sheetId="4145" refreshError="1"/>
      <sheetData sheetId="4146" refreshError="1"/>
      <sheetData sheetId="4147">
        <row r="1">
          <cell r="A1" t="str">
            <v>PHIẾU XỬ LÝ HỒ SƠ THANH TOÁN VƯỢT THẨM QUYỀN PD</v>
          </cell>
        </row>
      </sheetData>
      <sheetData sheetId="4148">
        <row r="1">
          <cell r="A1" t="str">
            <v>PHIẾU XỬ LÝ HỒ SƠ THANH TOÁN VƯỢT THẨM QUYỀN PD</v>
          </cell>
        </row>
      </sheetData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>
        <row r="1">
          <cell r="A1" t="str">
            <v>PHIẾU XỬ LÝ HỒ SƠ THANH TOÁN VƯỢT THẨM QUYỀN PD</v>
          </cell>
        </row>
      </sheetData>
      <sheetData sheetId="4161">
        <row r="1">
          <cell r="A1" t="str">
            <v>PHIẾU XỬ LÝ HỒ SƠ THANH TOÁN VƯỢT THẨM QUYỀN PD</v>
          </cell>
        </row>
      </sheetData>
      <sheetData sheetId="4162">
        <row r="1">
          <cell r="A1" t="str">
            <v>PHIẾU XỬ LÝ HỒ SƠ THANH TOÁN VƯỢT THẨM QUYỀN PD</v>
          </cell>
        </row>
      </sheetData>
      <sheetData sheetId="4163">
        <row r="1">
          <cell r="A1" t="str">
            <v>PHIẾU XỬ LÝ HỒ SƠ THANH TOÁN VƯỢT THẨM QUYỀN PD</v>
          </cell>
        </row>
      </sheetData>
      <sheetData sheetId="4164">
        <row r="1">
          <cell r="A1" t="str">
            <v>PHIẾU XỬ LÝ HỒ SƠ THANH TOÁN VƯỢT THẨM QUYỀN PD</v>
          </cell>
        </row>
      </sheetData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>
        <row r="1">
          <cell r="A1" t="str">
            <v>PHIẾU XỬ LÝ HỒ SƠ THANH TOÁN VƯỢT THẨM QUYỀN PD</v>
          </cell>
        </row>
      </sheetData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>
        <row r="1">
          <cell r="A1" t="str">
            <v>PHIẾU XỬ LÝ HỒ SƠ THANH TOÁN VƯỢT THẨM QUYỀN PD</v>
          </cell>
        </row>
      </sheetData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>
        <row r="1">
          <cell r="A1" t="str">
            <v>PHIẾU XỬ LÝ HỒ SƠ THANH TOÁN VƯỢT THẨM QUYỀN PD</v>
          </cell>
        </row>
      </sheetData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 refreshError="1"/>
      <sheetData sheetId="4307" refreshError="1"/>
      <sheetData sheetId="4308" refreshError="1"/>
      <sheetData sheetId="4309">
        <row r="1">
          <cell r="A1" t="str">
            <v>PHIẾU XỬ LÝ HỒ SƠ THANH TOÁN VƯỢT THẨM QUYỀN PD</v>
          </cell>
        </row>
      </sheetData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 refreshError="1"/>
      <sheetData sheetId="4320" refreshError="1"/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 refreshError="1"/>
      <sheetData sheetId="4333">
        <row r="1">
          <cell r="A1" t="str">
            <v>PHIẾU XỬ LÝ HỒ SƠ THANH TOÁN VƯỢT THẨM QUYỀN PD</v>
          </cell>
        </row>
      </sheetData>
      <sheetData sheetId="4334" refreshError="1"/>
      <sheetData sheetId="4335">
        <row r="1">
          <cell r="A1" t="str">
            <v>PHIẾU XỬ LÝ HỒ SƠ THANH TOÁN VƯỢT THẨM QUYỀN PD</v>
          </cell>
        </row>
      </sheetData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>
        <row r="1">
          <cell r="A1" t="str">
            <v>PHIẾU XỬ LÝ HỒ SƠ THANH TOÁN VƯỢT THẨM QUYỀN PD</v>
          </cell>
        </row>
      </sheetData>
      <sheetData sheetId="4440"/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 refreshError="1"/>
      <sheetData sheetId="4467" refreshError="1"/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 refreshError="1"/>
      <sheetData sheetId="4922" refreshError="1"/>
      <sheetData sheetId="4923" refreshError="1"/>
      <sheetData sheetId="4924" refreshError="1"/>
      <sheetData sheetId="4925">
        <row r="1">
          <cell r="A1" t="str">
            <v>PHIẾU XỬ LÝ HỒ SƠ THANH TOÁN VƯỢT THẨM QUYỀN PD</v>
          </cell>
        </row>
      </sheetData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>
        <row r="1">
          <cell r="A1" t="str">
            <v>PHIẾU XỬ LÝ HỒ SƠ THANH TOÁN VƯỢT THẨM QUYỀN PD</v>
          </cell>
        </row>
      </sheetData>
      <sheetData sheetId="4938" refreshError="1"/>
      <sheetData sheetId="4939" refreshError="1"/>
      <sheetData sheetId="4940" refreshError="1"/>
      <sheetData sheetId="4941" refreshError="1"/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1">
          <cell r="A1" t="str">
            <v>PHIẾU XỬ LÝ HỒ SƠ THANH TOÁN VƯỢT THẨM QUYỀN PD</v>
          </cell>
        </row>
      </sheetData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>
        <row r="1">
          <cell r="A1" t="str">
            <v>PHIẾU XỬ LÝ HỒ SƠ THANH TOÁN VƯỢT THẨM QUYỀN PD</v>
          </cell>
        </row>
      </sheetData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>
        <row r="1">
          <cell r="A1" t="str">
            <v>PHIẾU XỬ LÝ HỒ SƠ THANH TOÁN VƯỢT THẨM QUYỀN PD</v>
          </cell>
        </row>
      </sheetData>
      <sheetData sheetId="5130">
        <row r="1">
          <cell r="A1" t="str">
            <v>PHIẾU XỬ LÝ HỒ SƠ THANH TOÁN VƯỢT THẨM QUYỀN PD</v>
          </cell>
        </row>
      </sheetData>
      <sheetData sheetId="5131">
        <row r="1">
          <cell r="A1" t="str">
            <v>PHIẾU XỬ LÝ HỒ SƠ THANH TOÁN VƯỢT THẨM QUYỀN PD</v>
          </cell>
        </row>
      </sheetData>
      <sheetData sheetId="5132">
        <row r="1">
          <cell r="A1" t="str">
            <v>PHIẾU XỬ LÝ HỒ SƠ THANH TOÁN VƯỢT THẨM QUYỀN PD</v>
          </cell>
        </row>
      </sheetData>
      <sheetData sheetId="5133">
        <row r="1">
          <cell r="A1" t="str">
            <v>PHIẾU XỬ LÝ HỒ SƠ THANH TOÁN VƯỢT THẨM QUYỀN PD</v>
          </cell>
        </row>
      </sheetData>
      <sheetData sheetId="5134">
        <row r="1">
          <cell r="A1" t="str">
            <v>PHIẾU XỬ LÝ HỒ SƠ THANH TOÁN VƯỢT THẨM QUYỀN PD</v>
          </cell>
        </row>
      </sheetData>
      <sheetData sheetId="5135">
        <row r="1">
          <cell r="A1" t="str">
            <v>PHIẾU XỬ LÝ HỒ SƠ THANH TOÁN VƯỢT THẨM QUYỀN PD</v>
          </cell>
        </row>
      </sheetData>
      <sheetData sheetId="5136">
        <row r="1">
          <cell r="A1" t="str">
            <v>PHIẾU XỬ LÝ HỒ SƠ THANH TOÁN VƯỢT THẨM QUYỀN PD</v>
          </cell>
        </row>
      </sheetData>
      <sheetData sheetId="5137">
        <row r="1">
          <cell r="A1" t="str">
            <v>PHIẾU XỬ LÝ HỒ SƠ THANH TOÁN VƯỢT THẨM QUYỀN PD</v>
          </cell>
        </row>
      </sheetData>
      <sheetData sheetId="5138">
        <row r="1">
          <cell r="A1" t="str">
            <v>PHIẾU XỬ LÝ HỒ SƠ THANH TOÁN VƯỢT THẨM QUYỀN PD</v>
          </cell>
        </row>
      </sheetData>
      <sheetData sheetId="5139">
        <row r="1">
          <cell r="A1" t="str">
            <v>PHIẾU XỬ LÝ HỒ SƠ THANH TOÁN VƯỢT THẨM QUYỀN PD</v>
          </cell>
        </row>
      </sheetData>
      <sheetData sheetId="5140">
        <row r="1">
          <cell r="A1" t="str">
            <v>PHIẾU XỬ LÝ HỒ SƠ THANH TOÁN VƯỢT THẨM QUYỀN PD</v>
          </cell>
        </row>
      </sheetData>
      <sheetData sheetId="5141">
        <row r="1">
          <cell r="A1" t="str">
            <v>PHIẾU XỬ LÝ HỒ SƠ THANH TOÁN VƯỢT THẨM QUYỀN PD</v>
          </cell>
        </row>
      </sheetData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>
        <row r="1">
          <cell r="A1" t="str">
            <v>PHIẾU XỬ LÝ HỒ SƠ THANH TOÁN VƯỢT THẨM QUYỀN PD</v>
          </cell>
        </row>
      </sheetData>
      <sheetData sheetId="5145">
        <row r="1">
          <cell r="A1" t="str">
            <v>PHIẾU XỬ LÝ HỒ SƠ THANH TOÁN VƯỢT THẨM QUYỀN PD</v>
          </cell>
        </row>
      </sheetData>
      <sheetData sheetId="5146">
        <row r="1">
          <cell r="A1" t="str">
            <v>PHIẾU XỬ LÝ HỒ SƠ THANH TOÁN VƯỢT THẨM QUYỀN PD</v>
          </cell>
        </row>
      </sheetData>
      <sheetData sheetId="5147">
        <row r="1">
          <cell r="A1" t="str">
            <v>PHIẾU XỬ LÝ HỒ SƠ THANH TOÁN VƯỢT THẨM QUYỀN PD</v>
          </cell>
        </row>
      </sheetData>
      <sheetData sheetId="5148">
        <row r="1">
          <cell r="A1" t="str">
            <v>PHIẾU XỬ LÝ HỒ SƠ THANH TOÁN VƯỢT THẨM QUYỀN PD</v>
          </cell>
        </row>
      </sheetData>
      <sheetData sheetId="5149">
        <row r="1">
          <cell r="A1" t="str">
            <v>PHIẾU XỬ LÝ HỒ SƠ THANH TOÁN VƯỢT THẨM QUYỀN PD</v>
          </cell>
        </row>
      </sheetData>
      <sheetData sheetId="5150">
        <row r="1">
          <cell r="A1" t="str">
            <v>PHIẾU XỬ LÝ HỒ SƠ THANH TOÁN VƯỢT THẨM QUYỀN PD</v>
          </cell>
        </row>
      </sheetData>
      <sheetData sheetId="5151">
        <row r="1">
          <cell r="A1" t="str">
            <v>PHIẾU XỬ LÝ HỒ SƠ THANH TOÁN VƯỢT THẨM QUYỀN PD</v>
          </cell>
        </row>
      </sheetData>
      <sheetData sheetId="5152">
        <row r="1">
          <cell r="A1" t="str">
            <v>PHIẾU XỬ LÝ HỒ SƠ THANH TOÁN VƯỢT THẨM QUYỀN PD</v>
          </cell>
        </row>
      </sheetData>
      <sheetData sheetId="5153">
        <row r="1">
          <cell r="A1" t="str">
            <v>PHIẾU XỬ LÝ HỒ SƠ THANH TOÁN VƯỢT THẨM QUYỀN PD</v>
          </cell>
        </row>
      </sheetData>
      <sheetData sheetId="5154">
        <row r="1">
          <cell r="A1" t="str">
            <v>PHIẾU XỬ LÝ HỒ SƠ THANH TOÁN VƯỢT THẨM QUYỀN PD</v>
          </cell>
        </row>
      </sheetData>
      <sheetData sheetId="5155">
        <row r="1">
          <cell r="A1" t="str">
            <v>PHIẾU XỬ LÝ HỒ SƠ THANH TOÁN VƯỢT THẨM QUYỀN PD</v>
          </cell>
        </row>
      </sheetData>
      <sheetData sheetId="5156">
        <row r="1">
          <cell r="A1" t="str">
            <v>PHIẾU XỬ LÝ HỒ SƠ THANH TOÁN VƯỢT THẨM QUYỀN PD</v>
          </cell>
        </row>
      </sheetData>
      <sheetData sheetId="5157">
        <row r="1">
          <cell r="A1" t="str">
            <v>PHIẾU XỬ LÝ HỒ SƠ THANH TOÁN VƯỢT THẨM QUYỀN PD</v>
          </cell>
        </row>
      </sheetData>
      <sheetData sheetId="5158">
        <row r="1">
          <cell r="A1" t="str">
            <v>PHIẾU XỬ LÝ HỒ SƠ THANH TOÁN VƯỢT THẨM QUYỀN PD</v>
          </cell>
        </row>
      </sheetData>
      <sheetData sheetId="5159">
        <row r="1">
          <cell r="A1" t="str">
            <v>PHIẾU XỬ LÝ HỒ SƠ THANH TOÁN VƯỢT THẨM QUYỀN PD</v>
          </cell>
        </row>
      </sheetData>
      <sheetData sheetId="5160">
        <row r="1">
          <cell r="A1" t="str">
            <v>PHIẾU XỬ LÝ HỒ SƠ THANH TOÁN VƯỢT THẨM QUYỀN PD</v>
          </cell>
        </row>
      </sheetData>
      <sheetData sheetId="5161">
        <row r="1">
          <cell r="A1" t="str">
            <v>PHIẾU XỬ LÝ HỒ SƠ THANH TOÁN VƯỢT THẨM QUYỀN PD</v>
          </cell>
        </row>
      </sheetData>
      <sheetData sheetId="5162">
        <row r="1">
          <cell r="A1" t="str">
            <v>PHIẾU XỬ LÝ HỒ SƠ THANH TOÁN VƯỢT THẨM QUYỀN PD</v>
          </cell>
        </row>
      </sheetData>
      <sheetData sheetId="5163">
        <row r="1">
          <cell r="A1" t="str">
            <v>PHIẾU XỬ LÝ HỒ SƠ THANH TOÁN VƯỢT THẨM QUYỀN PD</v>
          </cell>
        </row>
      </sheetData>
      <sheetData sheetId="5164">
        <row r="1">
          <cell r="A1" t="str">
            <v>PHIẾU XỬ LÝ HỒ SƠ THANH TOÁN VƯỢT THẨM QUYỀN PD</v>
          </cell>
        </row>
      </sheetData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>
        <row r="1">
          <cell r="A1" t="str">
            <v>PHIẾU XỬ LÝ HỒ SƠ THANH TOÁN VƯỢT THẨM QUYỀN PD</v>
          </cell>
        </row>
      </sheetData>
      <sheetData sheetId="5169">
        <row r="1">
          <cell r="A1" t="str">
            <v>PHIẾU XỬ LÝ HỒ SƠ THANH TOÁN VƯỢT THẨM QUYỀN PD</v>
          </cell>
        </row>
      </sheetData>
      <sheetData sheetId="5170">
        <row r="1">
          <cell r="A1" t="str">
            <v>PHIẾU XỬ LÝ HỒ SƠ THANH TOÁN VƯỢT THẨM QUYỀN PD</v>
          </cell>
        </row>
      </sheetData>
      <sheetData sheetId="5171">
        <row r="1">
          <cell r="A1" t="str">
            <v>PHIẾU XỬ LÝ HỒ SƠ THANH TOÁN VƯỢT THẨM QUYỀN PD</v>
          </cell>
        </row>
      </sheetData>
      <sheetData sheetId="5172">
        <row r="1">
          <cell r="A1" t="str">
            <v>PHIẾU XỬ LÝ HỒ SƠ THANH TOÁN VƯỢT THẨM QUYỀN PD</v>
          </cell>
        </row>
      </sheetData>
      <sheetData sheetId="5173">
        <row r="1">
          <cell r="A1" t="str">
            <v>PHIẾU XỬ LÝ HỒ SƠ THANH TOÁN VƯỢT THẨM QUYỀN PD</v>
          </cell>
        </row>
      </sheetData>
      <sheetData sheetId="5174">
        <row r="1">
          <cell r="A1" t="str">
            <v>PHIẾU XỬ LÝ HỒ SƠ THANH TOÁN VƯỢT THẨM QUYỀN PD</v>
          </cell>
        </row>
      </sheetData>
      <sheetData sheetId="5175">
        <row r="1">
          <cell r="A1" t="str">
            <v>PHIẾU XỬ LÝ HỒ SƠ THANH TOÁN VƯỢT THẨM QUYỀN PD</v>
          </cell>
        </row>
      </sheetData>
      <sheetData sheetId="5176">
        <row r="1">
          <cell r="A1" t="str">
            <v>PHIẾU XỬ LÝ HỒ SƠ THANH TOÁN VƯỢT THẨM QUYỀN PD</v>
          </cell>
        </row>
      </sheetData>
      <sheetData sheetId="5177">
        <row r="1">
          <cell r="A1" t="str">
            <v>PHIẾU XỬ LÝ HỒ SƠ THANH TOÁN VƯỢT THẨM QUYỀN PD</v>
          </cell>
        </row>
      </sheetData>
      <sheetData sheetId="5178">
        <row r="1">
          <cell r="A1" t="str">
            <v>PHIẾU XỬ LÝ HỒ SƠ THANH TOÁN VƯỢT THẨM QUYỀN PD</v>
          </cell>
        </row>
      </sheetData>
      <sheetData sheetId="5179">
        <row r="1">
          <cell r="A1" t="str">
            <v>PHIẾU XỬ LÝ HỒ SƠ THANH TOÁN VƯỢT THẨM QUYỀN PD</v>
          </cell>
        </row>
      </sheetData>
      <sheetData sheetId="5180">
        <row r="1">
          <cell r="A1" t="str">
            <v>PHIẾU XỬ LÝ HỒ SƠ THANH TOÁN VƯỢT THẨM QUYỀN PD</v>
          </cell>
        </row>
      </sheetData>
      <sheetData sheetId="5181">
        <row r="1">
          <cell r="A1" t="str">
            <v>PHIẾU XỬ LÝ HỒ SƠ THANH TOÁN VƯỢT THẨM QUYỀN PD</v>
          </cell>
        </row>
      </sheetData>
      <sheetData sheetId="5182">
        <row r="1">
          <cell r="A1" t="str">
            <v>PHIẾU XỬ LÝ HỒ SƠ THANH TOÁN VƯỢT THẨM QUYỀN PD</v>
          </cell>
        </row>
      </sheetData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>
        <row r="1">
          <cell r="A1" t="str">
            <v>PHIẾU XỬ LÝ HỒ SƠ THANH TOÁN VƯỢT THẨM QUYỀN PD</v>
          </cell>
        </row>
      </sheetData>
      <sheetData sheetId="5187">
        <row r="1">
          <cell r="A1" t="str">
            <v>PHIẾU XỬ LÝ HỒ SƠ THANH TOÁN VƯỢT THẨM QUYỀN PD</v>
          </cell>
        </row>
      </sheetData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>
        <row r="1">
          <cell r="A1" t="str">
            <v>PHIẾU XỬ LÝ HỒ SƠ THANH TOÁN VƯỢT THẨM QUYỀN PD</v>
          </cell>
        </row>
      </sheetData>
      <sheetData sheetId="5200">
        <row r="1">
          <cell r="A1" t="str">
            <v>PHIẾU XỬ LÝ HỒ SƠ THANH TOÁN VƯỢT THẨM QUYỀN PD</v>
          </cell>
        </row>
      </sheetData>
      <sheetData sheetId="5201">
        <row r="1">
          <cell r="A1" t="str">
            <v>PHIẾU XỬ LÝ HỒ SƠ THANH TOÁN VƯỢT THẨM QUYỀN PD</v>
          </cell>
        </row>
      </sheetData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>
        <row r="1">
          <cell r="A1" t="str">
            <v>PHIẾU XỬ LÝ HỒ SƠ THANH TOÁN VƯỢT THẨM QUYỀN PD</v>
          </cell>
        </row>
      </sheetData>
      <sheetData sheetId="5207">
        <row r="1">
          <cell r="A1" t="str">
            <v>PHIẾU XỬ LÝ HỒ SƠ THANH TOÁN VƯỢT THẨM QUYỀN PD</v>
          </cell>
        </row>
      </sheetData>
      <sheetData sheetId="5208">
        <row r="1">
          <cell r="A1" t="str">
            <v>PHIẾU XỬ LÝ HỒ SƠ THANH TOÁN VƯỢT THẨM QUYỀN PD</v>
          </cell>
        </row>
      </sheetData>
      <sheetData sheetId="5209">
        <row r="1">
          <cell r="A1" t="str">
            <v>PHIẾU XỬ LÝ HỒ SƠ THANH TOÁN VƯỢT THẨM QUYỀN PD</v>
          </cell>
        </row>
      </sheetData>
      <sheetData sheetId="5210">
        <row r="1">
          <cell r="A1" t="str">
            <v>PHIẾU XỬ LÝ HỒ SƠ THANH TOÁN VƯỢT THẨM QUYỀN PD</v>
          </cell>
        </row>
      </sheetData>
      <sheetData sheetId="5211">
        <row r="1">
          <cell r="A1" t="str">
            <v>PHIẾU XỬ LÝ HỒ SƠ THANH TOÁN VƯỢT THẨM QUYỀN PD</v>
          </cell>
        </row>
      </sheetData>
      <sheetData sheetId="5212">
        <row r="1">
          <cell r="A1" t="str">
            <v>PHIẾU XỬ LÝ HỒ SƠ THANH TOÁN VƯỢT THẨM QUYỀN PD</v>
          </cell>
        </row>
      </sheetData>
      <sheetData sheetId="5213">
        <row r="1">
          <cell r="A1" t="str">
            <v>PHIẾU XỬ LÝ HỒ SƠ THANH TOÁN VƯỢT THẨM QUYỀN PD</v>
          </cell>
        </row>
      </sheetData>
      <sheetData sheetId="5214">
        <row r="1">
          <cell r="A1" t="str">
            <v>PHIẾU XỬ LÝ HỒ SƠ THANH TOÁN VƯỢT THẨM QUYỀN PD</v>
          </cell>
        </row>
      </sheetData>
      <sheetData sheetId="5215">
        <row r="1">
          <cell r="A1" t="str">
            <v>PHIẾU XỬ LÝ HỒ SƠ THANH TOÁN VƯỢT THẨM QUYỀN PD</v>
          </cell>
        </row>
      </sheetData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>
        <row r="1">
          <cell r="A1" t="str">
            <v>PHIẾU XỬ LÝ HỒ SƠ THANH TOÁN VƯỢT THẨM QUYỀN PD</v>
          </cell>
        </row>
      </sheetData>
      <sheetData sheetId="5219">
        <row r="1">
          <cell r="A1" t="str">
            <v>PHIẾU XỬ LÝ HỒ SƠ THANH TOÁN VƯỢT THẨM QUYỀN PD</v>
          </cell>
        </row>
      </sheetData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>
        <row r="1">
          <cell r="A1" t="str">
            <v>PHIẾU XỬ LÝ HỒ SƠ THANH TOÁN VƯỢT THẨM QUYỀN PD</v>
          </cell>
        </row>
      </sheetData>
      <sheetData sheetId="5239">
        <row r="1">
          <cell r="A1" t="str">
            <v>PHIẾU XỬ LÝ HỒ SƠ THANH TOÁN VƯỢT THẨM QUYỀN PD</v>
          </cell>
        </row>
      </sheetData>
      <sheetData sheetId="5240">
        <row r="1">
          <cell r="A1" t="str">
            <v>PHIẾU XỬ LÝ HỒ SƠ THANH TOÁN VƯỢT THẨM QUYỀN PD</v>
          </cell>
        </row>
      </sheetData>
      <sheetData sheetId="5241">
        <row r="1">
          <cell r="A1" t="str">
            <v>PHIẾU XỬ LÝ HỒ SƠ THANH TOÁN VƯỢT THẨM QUYỀN PD</v>
          </cell>
        </row>
      </sheetData>
      <sheetData sheetId="5242">
        <row r="1">
          <cell r="A1" t="str">
            <v>PHIẾU XỬ LÝ HỒ SƠ THANH TOÁN VƯỢT THẨM QUYỀN PD</v>
          </cell>
        </row>
      </sheetData>
      <sheetData sheetId="5243">
        <row r="1">
          <cell r="A1" t="str">
            <v>PHIẾU XỬ LÝ HỒ SƠ THANH TOÁN VƯỢT THẨM QUYỀN PD</v>
          </cell>
        </row>
      </sheetData>
      <sheetData sheetId="5244">
        <row r="1">
          <cell r="A1" t="str">
            <v>PHIẾU XỬ LÝ HỒ SƠ THANH TOÁN VƯỢT THẨM QUYỀN PD</v>
          </cell>
        </row>
      </sheetData>
      <sheetData sheetId="5245">
        <row r="1">
          <cell r="A1" t="str">
            <v>PHIẾU XỬ LÝ HỒ SƠ THANH TOÁN VƯỢT THẨM QUYỀN PD</v>
          </cell>
        </row>
      </sheetData>
      <sheetData sheetId="5246">
        <row r="1">
          <cell r="A1" t="str">
            <v>PHIẾU XỬ LÝ HỒ SƠ THANH TOÁN VƯỢT THẨM QUYỀN PD</v>
          </cell>
        </row>
      </sheetData>
      <sheetData sheetId="5247">
        <row r="1">
          <cell r="A1" t="str">
            <v>PHIẾU XỬ LÝ HỒ SƠ THANH TOÁN VƯỢT THẨM QUYỀN PD</v>
          </cell>
        </row>
      </sheetData>
      <sheetData sheetId="5248">
        <row r="1">
          <cell r="A1" t="str">
            <v>PHIẾU XỬ LÝ HỒ SƠ THANH TOÁN VƯỢT THẨM QUYỀN PD</v>
          </cell>
        </row>
      </sheetData>
      <sheetData sheetId="5249">
        <row r="1">
          <cell r="A1" t="str">
            <v>PHIẾU XỬ LÝ HỒ SƠ THANH TOÁN VƯỢT THẨM QUYỀN PD</v>
          </cell>
        </row>
      </sheetData>
      <sheetData sheetId="5250">
        <row r="1">
          <cell r="A1" t="str">
            <v>PHIẾU XỬ LÝ HỒ SƠ THANH TOÁN VƯỢT THẨM QUYỀN PD</v>
          </cell>
        </row>
      </sheetData>
      <sheetData sheetId="5251">
        <row r="1">
          <cell r="A1" t="str">
            <v>PHIẾU XỬ LÝ HỒ SƠ THANH TOÁN VƯỢT THẨM QUYỀN PD</v>
          </cell>
        </row>
      </sheetData>
      <sheetData sheetId="5252">
        <row r="1">
          <cell r="A1" t="str">
            <v>PHIẾU XỬ LÝ HỒ SƠ THANH TOÁN VƯỢT THẨM QUYỀN PD</v>
          </cell>
        </row>
      </sheetData>
      <sheetData sheetId="5253">
        <row r="1">
          <cell r="A1" t="str">
            <v>PHIẾU XỬ LÝ HỒ SƠ THANH TOÁN VƯỢT THẨM QUYỀN PD</v>
          </cell>
        </row>
      </sheetData>
      <sheetData sheetId="5254">
        <row r="1">
          <cell r="A1" t="str">
            <v>PHIẾU XỬ LÝ HỒ SƠ THANH TOÁN VƯỢT THẨM QUYỀN PD</v>
          </cell>
        </row>
      </sheetData>
      <sheetData sheetId="5255">
        <row r="1">
          <cell r="A1" t="str">
            <v>PHIẾU XỬ LÝ HỒ SƠ THANH TOÁN VƯỢT THẨM QUYỀN PD</v>
          </cell>
        </row>
      </sheetData>
      <sheetData sheetId="5256">
        <row r="1">
          <cell r="A1" t="str">
            <v>PHIẾU XỬ LÝ HỒ SƠ THANH TOÁN VƯỢT THẨM QUYỀN PD</v>
          </cell>
        </row>
      </sheetData>
      <sheetData sheetId="5257">
        <row r="1">
          <cell r="A1" t="str">
            <v>PHIẾU XỬ LÝ HỒ SƠ THANH TOÁN VƯỢT THẨM QUYỀN PD</v>
          </cell>
        </row>
      </sheetData>
      <sheetData sheetId="5258">
        <row r="1">
          <cell r="A1" t="str">
            <v>PHIẾU XỬ LÝ HỒ SƠ THANH TOÁN VƯỢT THẨM QUYỀN PD</v>
          </cell>
        </row>
      </sheetData>
      <sheetData sheetId="5259">
        <row r="1">
          <cell r="A1" t="str">
            <v>PHIẾU XỬ LÝ HỒ SƠ THANH TOÁN VƯỢT THẨM QUYỀN PD</v>
          </cell>
        </row>
      </sheetData>
      <sheetData sheetId="5260">
        <row r="1">
          <cell r="A1" t="str">
            <v>PHIẾU XỬ LÝ HỒ SƠ THANH TOÁN VƯỢT THẨM QUYỀN PD</v>
          </cell>
        </row>
      </sheetData>
      <sheetData sheetId="5261">
        <row r="1">
          <cell r="A1" t="str">
            <v>PHIẾU XỬ LÝ HỒ SƠ THANH TOÁN VƯỢT THẨM QUYỀN PD</v>
          </cell>
        </row>
      </sheetData>
      <sheetData sheetId="5262">
        <row r="1">
          <cell r="A1" t="str">
            <v>PHIẾU XỬ LÝ HỒ SƠ THANH TOÁN VƯỢT THẨM QUYỀN PD</v>
          </cell>
        </row>
      </sheetData>
      <sheetData sheetId="5263">
        <row r="1">
          <cell r="A1" t="str">
            <v>PHIẾU XỬ LÝ HỒ SƠ THANH TOÁN VƯỢT THẨM QUYỀN PD</v>
          </cell>
        </row>
      </sheetData>
      <sheetData sheetId="5264">
        <row r="1">
          <cell r="A1" t="str">
            <v>PHIẾU XỬ LÝ HỒ SƠ THANH TOÁN VƯỢT THẨM QUYỀN PD</v>
          </cell>
        </row>
      </sheetData>
      <sheetData sheetId="5265">
        <row r="1">
          <cell r="A1" t="str">
            <v>PHIẾU XỬ LÝ HỒ SƠ THANH TOÁN VƯỢT THẨM QUYỀN PD</v>
          </cell>
        </row>
      </sheetData>
      <sheetData sheetId="5266">
        <row r="1">
          <cell r="A1" t="str">
            <v>PHIẾU XỬ LÝ HỒ SƠ THANH TOÁN VƯỢT THẨM QUYỀN PD</v>
          </cell>
        </row>
      </sheetData>
      <sheetData sheetId="5267">
        <row r="1">
          <cell r="A1" t="str">
            <v>PHIẾU XỬ LÝ HỒ SƠ THANH TOÁN VƯỢT THẨM QUYỀN PD</v>
          </cell>
        </row>
      </sheetData>
      <sheetData sheetId="5268">
        <row r="1">
          <cell r="A1" t="str">
            <v>PHIẾU XỬ LÝ HỒ SƠ THANH TOÁN VƯỢT THẨM QUYỀN PD</v>
          </cell>
        </row>
      </sheetData>
      <sheetData sheetId="5269">
        <row r="1">
          <cell r="A1" t="str">
            <v>PHIẾU XỬ LÝ HỒ SƠ THANH TOÁN VƯỢT THẨM QUYỀN PD</v>
          </cell>
        </row>
      </sheetData>
      <sheetData sheetId="5270">
        <row r="1">
          <cell r="A1" t="str">
            <v>PHIẾU XỬ LÝ HỒ SƠ THANH TOÁN VƯỢT THẨM QUYỀN PD</v>
          </cell>
        </row>
      </sheetData>
      <sheetData sheetId="5271">
        <row r="1">
          <cell r="A1" t="str">
            <v>PHIẾU XỬ LÝ HỒ SƠ THANH TOÁN VƯỢT THẨM QUYỀN PD</v>
          </cell>
        </row>
      </sheetData>
      <sheetData sheetId="5272">
        <row r="1">
          <cell r="A1" t="str">
            <v>PHIẾU XỬ LÝ HỒ SƠ THANH TOÁN VƯỢT THẨM QUYỀN PD</v>
          </cell>
        </row>
      </sheetData>
      <sheetData sheetId="5273">
        <row r="1">
          <cell r="A1" t="str">
            <v>PHIẾU XỬ LÝ HỒ SƠ THANH TOÁN VƯỢT THẨM QUYỀN PD</v>
          </cell>
        </row>
      </sheetData>
      <sheetData sheetId="5274">
        <row r="1">
          <cell r="A1" t="str">
            <v>PHIẾU XỬ LÝ HỒ SƠ THANH TOÁN VƯỢT THẨM QUYỀN PD</v>
          </cell>
        </row>
      </sheetData>
      <sheetData sheetId="5275">
        <row r="1">
          <cell r="A1" t="str">
            <v>PHIẾU XỬ LÝ HỒ SƠ THANH TOÁN VƯỢT THẨM QUYỀN PD</v>
          </cell>
        </row>
      </sheetData>
      <sheetData sheetId="5276">
        <row r="1">
          <cell r="A1" t="str">
            <v>PHIẾU XỬ LÝ HỒ SƠ THANH TOÁN VƯỢT THẨM QUYỀN PD</v>
          </cell>
        </row>
      </sheetData>
      <sheetData sheetId="5277">
        <row r="1">
          <cell r="A1" t="str">
            <v>PHIẾU XỬ LÝ HỒ SƠ THANH TOÁN VƯỢT THẨM QUYỀN PD</v>
          </cell>
        </row>
      </sheetData>
      <sheetData sheetId="5278">
        <row r="1">
          <cell r="A1" t="str">
            <v>PHIẾU XỬ LÝ HỒ SƠ THANH TOÁN VƯỢT THẨM QUYỀN PD</v>
          </cell>
        </row>
      </sheetData>
      <sheetData sheetId="5279">
        <row r="1">
          <cell r="A1" t="str">
            <v>PHIẾU XỬ LÝ HỒ SƠ THANH TOÁN VƯỢT THẨM QUYỀN PD</v>
          </cell>
        </row>
      </sheetData>
      <sheetData sheetId="5280">
        <row r="1">
          <cell r="A1" t="str">
            <v>PHIẾU XỬ LÝ HỒ SƠ THANH TOÁN VƯỢT THẨM QUYỀN PD</v>
          </cell>
        </row>
      </sheetData>
      <sheetData sheetId="5281">
        <row r="1">
          <cell r="A1" t="str">
            <v>PHIẾU XỬ LÝ HỒ SƠ THANH TOÁN VƯỢT THẨM QUYỀN PD</v>
          </cell>
        </row>
      </sheetData>
      <sheetData sheetId="5282">
        <row r="1">
          <cell r="A1" t="str">
            <v>PHIẾU XỬ LÝ HỒ SƠ THANH TOÁN VƯỢT THẨM QUYỀN PD</v>
          </cell>
        </row>
      </sheetData>
      <sheetData sheetId="5283">
        <row r="1">
          <cell r="A1" t="str">
            <v>PHIẾU XỬ LÝ HỒ SƠ THANH TOÁN VƯỢT THẨM QUYỀN PD</v>
          </cell>
        </row>
      </sheetData>
      <sheetData sheetId="5284">
        <row r="1">
          <cell r="A1" t="str">
            <v>PHIẾU XỬ LÝ HỒ SƠ THANH TOÁN VƯỢT THẨM QUYỀN PD</v>
          </cell>
        </row>
      </sheetData>
      <sheetData sheetId="5285">
        <row r="1">
          <cell r="A1" t="str">
            <v>PHIẾU XỬ LÝ HỒ SƠ THANH TOÁN VƯỢT THẨM QUYỀN PD</v>
          </cell>
        </row>
      </sheetData>
      <sheetData sheetId="5286">
        <row r="1">
          <cell r="A1" t="str">
            <v>PHIẾU XỬ LÝ HỒ SƠ THANH TOÁN VƯỢT THẨM QUYỀN PD</v>
          </cell>
        </row>
      </sheetData>
      <sheetData sheetId="5287">
        <row r="1">
          <cell r="A1" t="str">
            <v>PHIẾU XỬ LÝ HỒ SƠ THANH TOÁN VƯỢT THẨM QUYỀN PD</v>
          </cell>
        </row>
      </sheetData>
      <sheetData sheetId="5288">
        <row r="1">
          <cell r="A1" t="str">
            <v>PHIẾU XỬ LÝ HỒ SƠ THANH TOÁN VƯỢT THẨM QUYỀN PD</v>
          </cell>
        </row>
      </sheetData>
      <sheetData sheetId="5289">
        <row r="1">
          <cell r="A1" t="str">
            <v>PHIẾU XỬ LÝ HỒ SƠ THANH TOÁN VƯỢT THẨM QUYỀN PD</v>
          </cell>
        </row>
      </sheetData>
      <sheetData sheetId="5290">
        <row r="1">
          <cell r="A1" t="str">
            <v>PHIẾU XỬ LÝ HỒ SƠ THANH TOÁN VƯỢT THẨM QUYỀN PD</v>
          </cell>
        </row>
      </sheetData>
      <sheetData sheetId="5291">
        <row r="1">
          <cell r="A1" t="str">
            <v>PHIẾU XỬ LÝ HỒ SƠ THANH TOÁN VƯỢT THẨM QUYỀN PD</v>
          </cell>
        </row>
      </sheetData>
      <sheetData sheetId="5292">
        <row r="1">
          <cell r="A1" t="str">
            <v>PHIẾU XỬ LÝ HỒ SƠ THANH TOÁN VƯỢT THẨM QUYỀN PD</v>
          </cell>
        </row>
      </sheetData>
      <sheetData sheetId="5293">
        <row r="1">
          <cell r="A1" t="str">
            <v>PHIẾU XỬ LÝ HỒ SƠ THANH TOÁN VƯỢT THẨM QUYỀN PD</v>
          </cell>
        </row>
      </sheetData>
      <sheetData sheetId="5294">
        <row r="1">
          <cell r="A1" t="str">
            <v>PHIẾU XỬ LÝ HỒ SƠ THANH TOÁN VƯỢT THẨM QUYỀN PD</v>
          </cell>
        </row>
      </sheetData>
      <sheetData sheetId="5295">
        <row r="1">
          <cell r="A1" t="str">
            <v>PHIẾU XỬ LÝ HỒ SƠ THANH TOÁN VƯỢT THẨM QUYỀN PD</v>
          </cell>
        </row>
      </sheetData>
      <sheetData sheetId="5296">
        <row r="1">
          <cell r="A1" t="str">
            <v>PHIẾU XỬ LÝ HỒ SƠ THANH TOÁN VƯỢT THẨM QUYỀN PD</v>
          </cell>
        </row>
      </sheetData>
      <sheetData sheetId="5297">
        <row r="1">
          <cell r="A1" t="str">
            <v>PHIẾU XỬ LÝ HỒ SƠ THANH TOÁN VƯỢT THẨM QUYỀN PD</v>
          </cell>
        </row>
      </sheetData>
      <sheetData sheetId="5298">
        <row r="1">
          <cell r="A1" t="str">
            <v>PHIẾU XỬ LÝ HỒ SƠ THANH TOÁN VƯỢT THẨM QUYỀN PD</v>
          </cell>
        </row>
      </sheetData>
      <sheetData sheetId="5299">
        <row r="1">
          <cell r="A1" t="str">
            <v>PHIẾU XỬ LÝ HỒ SƠ THANH TOÁN VƯỢT THẨM QUYỀN PD</v>
          </cell>
        </row>
      </sheetData>
      <sheetData sheetId="5300">
        <row r="1">
          <cell r="A1" t="str">
            <v>PHIẾU XỬ LÝ HỒ SƠ THANH TOÁN VƯỢT THẨM QUYỀN PD</v>
          </cell>
        </row>
      </sheetData>
      <sheetData sheetId="5301">
        <row r="1">
          <cell r="A1" t="str">
            <v>PHIẾU XỬ LÝ HỒ SƠ THANH TOÁN VƯỢT THẨM QUYỀN PD</v>
          </cell>
        </row>
      </sheetData>
      <sheetData sheetId="5302">
        <row r="1">
          <cell r="A1" t="str">
            <v>PHIẾU XỬ LÝ HỒ SƠ THANH TOÁN VƯỢT THẨM QUYỀN PD</v>
          </cell>
        </row>
      </sheetData>
      <sheetData sheetId="5303">
        <row r="1">
          <cell r="A1" t="str">
            <v>PHIẾU XỬ LÝ HỒ SƠ THANH TOÁN VƯỢT THẨM QUYỀN PD</v>
          </cell>
        </row>
      </sheetData>
      <sheetData sheetId="5304">
        <row r="1">
          <cell r="A1" t="str">
            <v>PHIẾU XỬ LÝ HỒ SƠ THANH TOÁN VƯỢT THẨM QUYỀN PD</v>
          </cell>
        </row>
      </sheetData>
      <sheetData sheetId="5305">
        <row r="1">
          <cell r="A1" t="str">
            <v>PHIẾU XỬ LÝ HỒ SƠ THANH TOÁN VƯỢT THẨM QUYỀN PD</v>
          </cell>
        </row>
      </sheetData>
      <sheetData sheetId="5306">
        <row r="1">
          <cell r="A1" t="str">
            <v>PHIẾU XỬ LÝ HỒ SƠ THANH TOÁN VƯỢT THẨM QUYỀN PD</v>
          </cell>
        </row>
      </sheetData>
      <sheetData sheetId="5307">
        <row r="1">
          <cell r="A1" t="str">
            <v>PHIẾU XỬ LÝ HỒ SƠ THANH TOÁN VƯỢT THẨM QUYỀN PD</v>
          </cell>
        </row>
      </sheetData>
      <sheetData sheetId="5308">
        <row r="1">
          <cell r="A1" t="str">
            <v>PHIẾU XỬ LÝ HỒ SƠ THANH TOÁN VƯỢT THẨM QUYỀN PD</v>
          </cell>
        </row>
      </sheetData>
      <sheetData sheetId="5309">
        <row r="1">
          <cell r="A1" t="str">
            <v>PHIẾU XỬ LÝ HỒ SƠ THANH TOÁN VƯỢT THẨM QUYỀN PD</v>
          </cell>
        </row>
      </sheetData>
      <sheetData sheetId="5310">
        <row r="1">
          <cell r="A1" t="str">
            <v>PHIẾU XỬ LÝ HỒ SƠ THANH TOÁN VƯỢT THẨM QUYỀN PD</v>
          </cell>
        </row>
      </sheetData>
      <sheetData sheetId="5311">
        <row r="1">
          <cell r="A1" t="str">
            <v>PHIẾU XỬ LÝ HỒ SƠ THANH TOÁN VƯỢT THẨM QUYỀN PD</v>
          </cell>
        </row>
      </sheetData>
      <sheetData sheetId="5312">
        <row r="1">
          <cell r="A1" t="str">
            <v>PHIẾU XỬ LÝ HỒ SƠ THANH TOÁN VƯỢT THẨM QUYỀN PD</v>
          </cell>
        </row>
      </sheetData>
      <sheetData sheetId="5313">
        <row r="1">
          <cell r="A1" t="str">
            <v>PHIẾU XỬ LÝ HỒ SƠ THANH TOÁN VƯỢT THẨM QUYỀN PD</v>
          </cell>
        </row>
      </sheetData>
      <sheetData sheetId="5314">
        <row r="1">
          <cell r="A1" t="str">
            <v>PHIẾU XỬ LÝ HỒ SƠ THANH TOÁN VƯỢT THẨM QUYỀN PD</v>
          </cell>
        </row>
      </sheetData>
      <sheetData sheetId="5315">
        <row r="1">
          <cell r="A1" t="str">
            <v>PHIẾU XỬ LÝ HỒ SƠ THANH TOÁN VƯỢT THẨM QUYỀN PD</v>
          </cell>
        </row>
      </sheetData>
      <sheetData sheetId="5316">
        <row r="1">
          <cell r="A1" t="str">
            <v>PHIẾU XỬ LÝ HỒ SƠ THANH TOÁN VƯỢT THẨM QUYỀN PD</v>
          </cell>
        </row>
      </sheetData>
      <sheetData sheetId="5317">
        <row r="1">
          <cell r="A1" t="str">
            <v>PHIẾU XỬ LÝ HỒ SƠ THANH TOÁN VƯỢT THẨM QUYỀN PD</v>
          </cell>
        </row>
      </sheetData>
      <sheetData sheetId="5318">
        <row r="1">
          <cell r="A1" t="str">
            <v>PHIẾU XỬ LÝ HỒ SƠ THANH TOÁN VƯỢT THẨM QUYỀN PD</v>
          </cell>
        </row>
      </sheetData>
      <sheetData sheetId="5319">
        <row r="1">
          <cell r="A1" t="str">
            <v>PHIẾU XỬ LÝ HỒ SƠ THANH TOÁN VƯỢT THẨM QUYỀN PD</v>
          </cell>
        </row>
      </sheetData>
      <sheetData sheetId="5320">
        <row r="1">
          <cell r="A1" t="str">
            <v>PHIẾU XỬ LÝ HỒ SƠ THANH TOÁN VƯỢT THẨM QUYỀN PD</v>
          </cell>
        </row>
      </sheetData>
      <sheetData sheetId="5321">
        <row r="1">
          <cell r="A1" t="str">
            <v>PHIẾU XỬ LÝ HỒ SƠ THANH TOÁN VƯỢT THẨM QUYỀN PD</v>
          </cell>
        </row>
      </sheetData>
      <sheetData sheetId="5322">
        <row r="1">
          <cell r="A1" t="str">
            <v>PHIẾU XỬ LÝ HỒ SƠ THANH TOÁN VƯỢT THẨM QUYỀN PD</v>
          </cell>
        </row>
      </sheetData>
      <sheetData sheetId="5323">
        <row r="1">
          <cell r="A1" t="str">
            <v>PHIẾU XỬ LÝ HỒ SƠ THANH TOÁN VƯỢT THẨM QUYỀN PD</v>
          </cell>
        </row>
      </sheetData>
      <sheetData sheetId="5324">
        <row r="1">
          <cell r="A1" t="str">
            <v>PHIẾU XỬ LÝ HỒ SƠ THANH TOÁN VƯỢT THẨM QUYỀN PD</v>
          </cell>
        </row>
      </sheetData>
      <sheetData sheetId="5325">
        <row r="1">
          <cell r="A1" t="str">
            <v>PHIẾU XỬ LÝ HỒ SƠ THANH TOÁN VƯỢT THẨM QUYỀN PD</v>
          </cell>
        </row>
      </sheetData>
      <sheetData sheetId="5326">
        <row r="1">
          <cell r="A1" t="str">
            <v>PHIẾU XỬ LÝ HỒ SƠ THANH TOÁN VƯỢT THẨM QUYỀN PD</v>
          </cell>
        </row>
      </sheetData>
      <sheetData sheetId="5327">
        <row r="1">
          <cell r="A1" t="str">
            <v>PHIẾU XỬ LÝ HỒ SƠ THANH TOÁN VƯỢT THẨM QUYỀN PD</v>
          </cell>
        </row>
      </sheetData>
      <sheetData sheetId="5328">
        <row r="1">
          <cell r="A1" t="str">
            <v>PHIẾU XỬ LÝ HỒ SƠ THANH TOÁN VƯỢT THẨM QUYỀN PD</v>
          </cell>
        </row>
      </sheetData>
      <sheetData sheetId="5329">
        <row r="1">
          <cell r="A1" t="str">
            <v>PHIẾU XỬ LÝ HỒ SƠ THANH TOÁN VƯỢT THẨM QUYỀN PD</v>
          </cell>
        </row>
      </sheetData>
      <sheetData sheetId="5330">
        <row r="1">
          <cell r="A1" t="str">
            <v>PHIẾU XỬ LÝ HỒ SƠ THANH TOÁN VƯỢT THẨM QUYỀN PD</v>
          </cell>
        </row>
      </sheetData>
      <sheetData sheetId="5331">
        <row r="1">
          <cell r="A1" t="str">
            <v>PHIẾU XỬ LÝ HỒ SƠ THANH TOÁN VƯỢT THẨM QUYỀN PD</v>
          </cell>
        </row>
      </sheetData>
      <sheetData sheetId="5332">
        <row r="1">
          <cell r="A1" t="str">
            <v>PHIẾU XỬ LÝ HỒ SƠ THANH TOÁN VƯỢT THẨM QUYỀN PD</v>
          </cell>
        </row>
      </sheetData>
      <sheetData sheetId="5333">
        <row r="1">
          <cell r="A1" t="str">
            <v>PHIẾU XỬ LÝ HỒ SƠ THANH TOÁN VƯỢT THẨM QUYỀN PD</v>
          </cell>
        </row>
      </sheetData>
      <sheetData sheetId="5334">
        <row r="1">
          <cell r="A1" t="str">
            <v>PHIẾU XỬ LÝ HỒ SƠ THANH TOÁN VƯỢT THẨM QUYỀN PD</v>
          </cell>
        </row>
      </sheetData>
      <sheetData sheetId="5335">
        <row r="1">
          <cell r="A1" t="str">
            <v>PHIẾU XỬ LÝ HỒ SƠ THANH TOÁN VƯỢT THẨM QUYỀN PD</v>
          </cell>
        </row>
      </sheetData>
      <sheetData sheetId="5336">
        <row r="1">
          <cell r="A1" t="str">
            <v>PHIẾU XỬ LÝ HỒ SƠ THANH TOÁN VƯỢT THẨM QUYỀN PD</v>
          </cell>
        </row>
      </sheetData>
      <sheetData sheetId="5337">
        <row r="1">
          <cell r="A1" t="str">
            <v>PHIẾU XỬ LÝ HỒ SƠ THANH TOÁN VƯỢT THẨM QUYỀN PD</v>
          </cell>
        </row>
      </sheetData>
      <sheetData sheetId="5338">
        <row r="1">
          <cell r="A1" t="str">
            <v>PHIẾU XỬ LÝ HỒ SƠ THANH TOÁN VƯỢT THẨM QUYỀN PD</v>
          </cell>
        </row>
      </sheetData>
      <sheetData sheetId="5339">
        <row r="1">
          <cell r="A1" t="str">
            <v>PHIẾU XỬ LÝ HỒ SƠ THANH TOÁN VƯỢT THẨM QUYỀN PD</v>
          </cell>
        </row>
      </sheetData>
      <sheetData sheetId="5340">
        <row r="1">
          <cell r="A1" t="str">
            <v>PHIẾU XỬ LÝ HỒ SƠ THANH TOÁN VƯỢT THẨM QUYỀN PD</v>
          </cell>
        </row>
      </sheetData>
      <sheetData sheetId="5341">
        <row r="1">
          <cell r="A1" t="str">
            <v>PHIẾU XỬ LÝ HỒ SƠ THANH TOÁN VƯỢT THẨM QUYỀN PD</v>
          </cell>
        </row>
      </sheetData>
      <sheetData sheetId="5342">
        <row r="1">
          <cell r="A1" t="str">
            <v>PHIẾU XỬ LÝ HỒ SƠ THANH TOÁN VƯỢT THẨM QUYỀN PD</v>
          </cell>
        </row>
      </sheetData>
      <sheetData sheetId="5343">
        <row r="1">
          <cell r="A1" t="str">
            <v>PHIẾU XỬ LÝ HỒ SƠ THANH TOÁN VƯỢT THẨM QUYỀN PD</v>
          </cell>
        </row>
      </sheetData>
      <sheetData sheetId="5344">
        <row r="1">
          <cell r="A1" t="str">
            <v>PHIẾU XỬ LÝ HỒ SƠ THANH TOÁN VƯỢT THẨM QUYỀN PD</v>
          </cell>
        </row>
      </sheetData>
      <sheetData sheetId="5345">
        <row r="1">
          <cell r="A1" t="str">
            <v>PHIẾU XỬ LÝ HỒ SƠ THANH TOÁN VƯỢT THẨM QUYỀN PD</v>
          </cell>
        </row>
      </sheetData>
      <sheetData sheetId="5346">
        <row r="1">
          <cell r="A1" t="str">
            <v>PHIẾU XỬ LÝ HỒ SƠ THANH TOÁN VƯỢT THẨM QUYỀN PD</v>
          </cell>
        </row>
      </sheetData>
      <sheetData sheetId="5347">
        <row r="1">
          <cell r="A1" t="str">
            <v>PHIẾU XỬ LÝ HỒ SƠ THANH TOÁN VƯỢT THẨM QUYỀN PD</v>
          </cell>
        </row>
      </sheetData>
      <sheetData sheetId="5348">
        <row r="1">
          <cell r="A1" t="str">
            <v>PHIẾU XỬ LÝ HỒ SƠ THANH TOÁN VƯỢT THẨM QUYỀN PD</v>
          </cell>
        </row>
      </sheetData>
      <sheetData sheetId="5349">
        <row r="1">
          <cell r="A1" t="str">
            <v>PHIẾU XỬ LÝ HỒ SƠ THANH TOÁN VƯỢT THẨM QUYỀN PD</v>
          </cell>
        </row>
      </sheetData>
      <sheetData sheetId="5350">
        <row r="1">
          <cell r="A1" t="str">
            <v>PHIẾU XỬ LÝ HỒ SƠ THANH TOÁN VƯỢT THẨM QUYỀN PD</v>
          </cell>
        </row>
      </sheetData>
      <sheetData sheetId="5351">
        <row r="1">
          <cell r="A1" t="str">
            <v>PHIẾU XỬ LÝ HỒ SƠ THANH TOÁN VƯỢT THẨM QUYỀN PD</v>
          </cell>
        </row>
      </sheetData>
      <sheetData sheetId="5352">
        <row r="1">
          <cell r="A1" t="str">
            <v>PHIẾU XỬ LÝ HỒ SƠ THANH TOÁN VƯỢT THẨM QUYỀN PD</v>
          </cell>
        </row>
      </sheetData>
      <sheetData sheetId="5353">
        <row r="1">
          <cell r="A1" t="str">
            <v>PHIẾU XỬ LÝ HỒ SƠ THANH TOÁN VƯỢT THẨM QUYỀN PD</v>
          </cell>
        </row>
      </sheetData>
      <sheetData sheetId="5354">
        <row r="1">
          <cell r="A1" t="str">
            <v>PHIẾU XỬ LÝ HỒ SƠ THANH TOÁN VƯỢT THẨM QUYỀN PD</v>
          </cell>
        </row>
      </sheetData>
      <sheetData sheetId="5355">
        <row r="1">
          <cell r="A1" t="str">
            <v>PHIẾU XỬ LÝ HỒ SƠ THANH TOÁN VƯỢT THẨM QUYỀN PD</v>
          </cell>
        </row>
      </sheetData>
      <sheetData sheetId="5356">
        <row r="1">
          <cell r="A1" t="str">
            <v>PHIẾU XỬ LÝ HỒ SƠ THANH TOÁN VƯỢT THẨM QUYỀN PD</v>
          </cell>
        </row>
      </sheetData>
      <sheetData sheetId="5357">
        <row r="1">
          <cell r="A1" t="str">
            <v>PHIẾU XỬ LÝ HỒ SƠ THANH TOÁN VƯỢT THẨM QUYỀN PD</v>
          </cell>
        </row>
      </sheetData>
      <sheetData sheetId="5358">
        <row r="1">
          <cell r="A1" t="str">
            <v>PHIẾU XỬ LÝ HỒ SƠ THANH TOÁN VƯỢT THẨM QUYỀN PD</v>
          </cell>
        </row>
      </sheetData>
      <sheetData sheetId="5359">
        <row r="1">
          <cell r="A1" t="str">
            <v>PHIẾU XỬ LÝ HỒ SƠ THANH TOÁN VƯỢT THẨM QUYỀN PD</v>
          </cell>
        </row>
      </sheetData>
      <sheetData sheetId="5360">
        <row r="1">
          <cell r="A1" t="str">
            <v>PHIẾU XỬ LÝ HỒ SƠ THANH TOÁN VƯỢT THẨM QUYỀN PD</v>
          </cell>
        </row>
      </sheetData>
      <sheetData sheetId="5361">
        <row r="1">
          <cell r="A1" t="str">
            <v>PHIẾU XỬ LÝ HỒ SƠ THANH TOÁN VƯỢT THẨM QUYỀN PD</v>
          </cell>
        </row>
      </sheetData>
      <sheetData sheetId="5362">
        <row r="1">
          <cell r="A1" t="str">
            <v>PHIẾU XỬ LÝ HỒ SƠ THANH TOÁN VƯỢT THẨM QUYỀN PD</v>
          </cell>
        </row>
      </sheetData>
      <sheetData sheetId="5363">
        <row r="1">
          <cell r="A1" t="str">
            <v>PHIẾU XỬ LÝ HỒ SƠ THANH TOÁN VƯỢT THẨM QUYỀN PD</v>
          </cell>
        </row>
      </sheetData>
      <sheetData sheetId="5364">
        <row r="1">
          <cell r="A1" t="str">
            <v>PHIẾU XỬ LÝ HỒ SƠ THANH TOÁN VƯỢT THẨM QUYỀN PD</v>
          </cell>
        </row>
      </sheetData>
      <sheetData sheetId="5365">
        <row r="1">
          <cell r="A1" t="str">
            <v>PHIẾU XỬ LÝ HỒ SƠ THANH TOÁN VƯỢT THẨM QUYỀN PD</v>
          </cell>
        </row>
      </sheetData>
      <sheetData sheetId="5366">
        <row r="1">
          <cell r="A1" t="str">
            <v>PHIẾU XỬ LÝ HỒ SƠ THANH TOÁN VƯỢT THẨM QUYỀN PD</v>
          </cell>
        </row>
      </sheetData>
      <sheetData sheetId="5367">
        <row r="1">
          <cell r="A1" t="str">
            <v>PHIẾU XỬ LÝ HỒ SƠ THANH TOÁN VƯỢT THẨM QUYỀN PD</v>
          </cell>
        </row>
      </sheetData>
      <sheetData sheetId="5368">
        <row r="1">
          <cell r="A1" t="str">
            <v>PHIẾU XỬ LÝ HỒ SƠ THANH TOÁN VƯỢT THẨM QUYỀN PD</v>
          </cell>
        </row>
      </sheetData>
      <sheetData sheetId="5369">
        <row r="1">
          <cell r="A1" t="str">
            <v>PHIẾU XỬ LÝ HỒ SƠ THANH TOÁN VƯỢT THẨM QUYỀN PD</v>
          </cell>
        </row>
      </sheetData>
      <sheetData sheetId="5370">
        <row r="1">
          <cell r="A1" t="str">
            <v>PHIẾU XỬ LÝ HỒ SƠ THANH TOÁN VƯỢT THẨM QUYỀN PD</v>
          </cell>
        </row>
      </sheetData>
      <sheetData sheetId="5371">
        <row r="1">
          <cell r="A1" t="str">
            <v>PHIẾU XỬ LÝ HỒ SƠ THANH TOÁN VƯỢT THẨM QUYỀN PD</v>
          </cell>
        </row>
      </sheetData>
      <sheetData sheetId="5372">
        <row r="1">
          <cell r="A1" t="str">
            <v>PHIẾU XỬ LÝ HỒ SƠ THANH TOÁN VƯỢT THẨM QUYỀN PD</v>
          </cell>
        </row>
      </sheetData>
      <sheetData sheetId="5373">
        <row r="1">
          <cell r="A1" t="str">
            <v>PHIẾU XỬ LÝ HỒ SƠ THANH TOÁN VƯỢT THẨM QUYỀN PD</v>
          </cell>
        </row>
      </sheetData>
      <sheetData sheetId="5374">
        <row r="1">
          <cell r="A1" t="str">
            <v>PHIẾU XỬ LÝ HỒ SƠ THANH TOÁN VƯỢT THẨM QUYỀN PD</v>
          </cell>
        </row>
      </sheetData>
      <sheetData sheetId="5375">
        <row r="1">
          <cell r="A1" t="str">
            <v>PHIẾU XỬ LÝ HỒ SƠ THANH TOÁN VƯỢT THẨM QUYỀN PD</v>
          </cell>
        </row>
      </sheetData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>
        <row r="1">
          <cell r="A1" t="str">
            <v>PHIẾU XỬ LÝ HỒ SƠ THANH TOÁN VƯỢT THẨM QUYỀN PD</v>
          </cell>
        </row>
      </sheetData>
      <sheetData sheetId="5381">
        <row r="1">
          <cell r="A1" t="str">
            <v>PHIẾU XỬ LÝ HỒ SƠ THANH TOÁN VƯỢT THẨM QUYỀN PD</v>
          </cell>
        </row>
      </sheetData>
      <sheetData sheetId="5382">
        <row r="1">
          <cell r="A1" t="str">
            <v>PHIẾU XỬ LÝ HỒ SƠ THANH TOÁN VƯỢT THẨM QUYỀN PD</v>
          </cell>
        </row>
      </sheetData>
      <sheetData sheetId="5383">
        <row r="1">
          <cell r="A1" t="str">
            <v>PHIẾU XỬ LÝ HỒ SƠ THANH TOÁN VƯỢT THẨM QUYỀN PD</v>
          </cell>
        </row>
      </sheetData>
      <sheetData sheetId="5384">
        <row r="1">
          <cell r="A1" t="str">
            <v>PHIẾU XỬ LÝ HỒ SƠ THANH TOÁN VƯỢT THẨM QUYỀN PD</v>
          </cell>
        </row>
      </sheetData>
      <sheetData sheetId="5385">
        <row r="1">
          <cell r="A1" t="str">
            <v>PHIẾU XỬ LÝ HỒ SƠ THANH TOÁN VƯỢT THẨM QUYỀN PD</v>
          </cell>
        </row>
      </sheetData>
      <sheetData sheetId="5386">
        <row r="1">
          <cell r="A1" t="str">
            <v>PHIẾU XỬ LÝ HỒ SƠ THANH TOÁN VƯỢT THẨM QUYỀN PD</v>
          </cell>
        </row>
      </sheetData>
      <sheetData sheetId="5387">
        <row r="1">
          <cell r="A1" t="str">
            <v>PHIẾU XỬ LÝ HỒ SƠ THANH TOÁN VƯỢT THẨM QUYỀN PD</v>
          </cell>
        </row>
      </sheetData>
      <sheetData sheetId="5388">
        <row r="1">
          <cell r="A1" t="str">
            <v>PHIẾU XỬ LÝ HỒ SƠ THANH TOÁN VƯỢT THẨM QUYỀN PD</v>
          </cell>
        </row>
      </sheetData>
      <sheetData sheetId="5389">
        <row r="1">
          <cell r="A1" t="str">
            <v>PHIẾU XỬ LÝ HỒ SƠ THANH TOÁN VƯỢT THẨM QUYỀN PD</v>
          </cell>
        </row>
      </sheetData>
      <sheetData sheetId="5390">
        <row r="1">
          <cell r="A1" t="str">
            <v>PHIẾU XỬ LÝ HỒ SƠ THANH TOÁN VƯỢT THẨM QUYỀN PD</v>
          </cell>
        </row>
      </sheetData>
      <sheetData sheetId="5391">
        <row r="1">
          <cell r="A1" t="str">
            <v>PHIẾU XỬ LÝ HỒ SƠ THANH TOÁN VƯỢT THẨM QUYỀN PD</v>
          </cell>
        </row>
      </sheetData>
      <sheetData sheetId="5392">
        <row r="1">
          <cell r="A1" t="str">
            <v>PHIẾU XỬ LÝ HỒ SƠ THANH TOÁN VƯỢT THẨM QUYỀN PD</v>
          </cell>
        </row>
      </sheetData>
      <sheetData sheetId="5393">
        <row r="1">
          <cell r="A1" t="str">
            <v>PHIẾU XỬ LÝ HỒ SƠ THANH TOÁN VƯỢT THẨM QUYỀN PD</v>
          </cell>
        </row>
      </sheetData>
      <sheetData sheetId="5394">
        <row r="1">
          <cell r="A1" t="str">
            <v>PHIẾU XỬ LÝ HỒ SƠ THANH TOÁN VƯỢT THẨM QUYỀN PD</v>
          </cell>
        </row>
      </sheetData>
      <sheetData sheetId="5395">
        <row r="1">
          <cell r="A1" t="str">
            <v>PHIẾU XỬ LÝ HỒ SƠ THANH TOÁN VƯỢT THẨM QUYỀN PD</v>
          </cell>
        </row>
      </sheetData>
      <sheetData sheetId="5396">
        <row r="1">
          <cell r="A1" t="str">
            <v>PHIẾU XỬ LÝ HỒ SƠ THANH TOÁN VƯỢT THẨM QUYỀN PD</v>
          </cell>
        </row>
      </sheetData>
      <sheetData sheetId="5397">
        <row r="1">
          <cell r="A1" t="str">
            <v>PHIẾU XỬ LÝ HỒ SƠ THANH TOÁN VƯỢT THẨM QUYỀN PD</v>
          </cell>
        </row>
      </sheetData>
      <sheetData sheetId="5398">
        <row r="1">
          <cell r="A1" t="str">
            <v>PHIẾU XỬ LÝ HỒ SƠ THANH TOÁN VƯỢT THẨM QUYỀN PD</v>
          </cell>
        </row>
      </sheetData>
      <sheetData sheetId="5399">
        <row r="1">
          <cell r="A1" t="str">
            <v>PHIẾU XỬ LÝ HỒ SƠ THANH TOÁN VƯỢT THẨM QUYỀN PD</v>
          </cell>
        </row>
      </sheetData>
      <sheetData sheetId="5400">
        <row r="1">
          <cell r="A1" t="str">
            <v>PHIẾU XỬ LÝ HỒ SƠ THANH TOÁN VƯỢT THẨM QUYỀN PD</v>
          </cell>
        </row>
      </sheetData>
      <sheetData sheetId="5401">
        <row r="1">
          <cell r="A1" t="str">
            <v>PHIẾU XỬ LÝ HỒ SƠ THANH TOÁN VƯỢT THẨM QUYỀN PD</v>
          </cell>
        </row>
      </sheetData>
      <sheetData sheetId="5402">
        <row r="1">
          <cell r="A1" t="str">
            <v>PHIẾU XỬ LÝ HỒ SƠ THANH TOÁN VƯỢT THẨM QUYỀN PD</v>
          </cell>
        </row>
      </sheetData>
      <sheetData sheetId="5403">
        <row r="1">
          <cell r="A1" t="str">
            <v>PHIẾU XỬ LÝ HỒ SƠ THANH TOÁN VƯỢT THẨM QUYỀN PD</v>
          </cell>
        </row>
      </sheetData>
      <sheetData sheetId="5404">
        <row r="1">
          <cell r="A1" t="str">
            <v>PHIẾU XỬ LÝ HỒ SƠ THANH TOÁN VƯỢT THẨM QUYỀN PD</v>
          </cell>
        </row>
      </sheetData>
      <sheetData sheetId="5405">
        <row r="1">
          <cell r="A1" t="str">
            <v>PHIẾU XỬ LÝ HỒ SƠ THANH TOÁN VƯỢT THẨM QUYỀN PD</v>
          </cell>
        </row>
      </sheetData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>
        <row r="1">
          <cell r="A1" t="str">
            <v>PHIẾU XỬ LÝ HỒ SƠ THANH TOÁN VƯỢT THẨM QUYỀN PD</v>
          </cell>
        </row>
      </sheetData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>
        <row r="1">
          <cell r="A1" t="str">
            <v>PHIẾU XỬ LÝ HỒ SƠ THANH TOÁN VƯỢT THẨM QUYỀN PD</v>
          </cell>
        </row>
      </sheetData>
      <sheetData sheetId="5414">
        <row r="1">
          <cell r="A1" t="str">
            <v>PHIẾU XỬ LÝ HỒ SƠ THANH TOÁN VƯỢT THẨM QUYỀN PD</v>
          </cell>
        </row>
      </sheetData>
      <sheetData sheetId="5415">
        <row r="1">
          <cell r="A1" t="str">
            <v>PHIẾU XỬ LÝ HỒ SƠ THANH TOÁN VƯỢT THẨM QUYỀN PD</v>
          </cell>
        </row>
      </sheetData>
      <sheetData sheetId="5416">
        <row r="1">
          <cell r="A1" t="str">
            <v>PHIẾU XỬ LÝ HỒ SƠ THANH TOÁN VƯỢT THẨM QUYỀN PD</v>
          </cell>
        </row>
      </sheetData>
      <sheetData sheetId="5417">
        <row r="1">
          <cell r="A1" t="str">
            <v>PHIẾU XỬ LÝ HỒ SƠ THANH TOÁN VƯỢT THẨM QUYỀN PD</v>
          </cell>
        </row>
      </sheetData>
      <sheetData sheetId="5418">
        <row r="1">
          <cell r="A1" t="str">
            <v>PHIẾU XỬ LÝ HỒ SƠ THANH TOÁN VƯỢT THẨM QUYỀN PD</v>
          </cell>
        </row>
      </sheetData>
      <sheetData sheetId="5419">
        <row r="1">
          <cell r="A1" t="str">
            <v>PHIẾU XỬ LÝ HỒ SƠ THANH TOÁN VƯỢT THẨM QUYỀN PD</v>
          </cell>
        </row>
      </sheetData>
      <sheetData sheetId="5420">
        <row r="1">
          <cell r="A1" t="str">
            <v>PHIẾU XỬ LÝ HỒ SƠ THANH TOÁN VƯỢT THẨM QUYỀN PD</v>
          </cell>
        </row>
      </sheetData>
      <sheetData sheetId="5421">
        <row r="1">
          <cell r="A1" t="str">
            <v>PHIẾU XỬ LÝ HỒ SƠ THANH TOÁN VƯỢT THẨM QUYỀN PD</v>
          </cell>
        </row>
      </sheetData>
      <sheetData sheetId="5422">
        <row r="1">
          <cell r="A1" t="str">
            <v>PHIẾU XỬ LÝ HỒ SƠ THANH TOÁN VƯỢT THẨM QUYỀN PD</v>
          </cell>
        </row>
      </sheetData>
      <sheetData sheetId="5423">
        <row r="1">
          <cell r="A1" t="str">
            <v>PHIẾU XỬ LÝ HỒ SƠ THANH TOÁN VƯỢT THẨM QUYỀN PD</v>
          </cell>
        </row>
      </sheetData>
      <sheetData sheetId="5424">
        <row r="1">
          <cell r="A1" t="str">
            <v>PHIẾU XỬ LÝ HỒ SƠ THANH TOÁN VƯỢT THẨM QUYỀN PD</v>
          </cell>
        </row>
      </sheetData>
      <sheetData sheetId="5425">
        <row r="1">
          <cell r="A1" t="str">
            <v>PHIẾU XỬ LÝ HỒ SƠ THANH TOÁN VƯỢT THẨM QUYỀN PD</v>
          </cell>
        </row>
      </sheetData>
      <sheetData sheetId="5426">
        <row r="1">
          <cell r="A1" t="str">
            <v>PHIẾU XỬ LÝ HỒ SƠ THANH TOÁN VƯỢT THẨM QUYỀN PD</v>
          </cell>
        </row>
      </sheetData>
      <sheetData sheetId="5427">
        <row r="1">
          <cell r="A1" t="str">
            <v>PHIẾU XỬ LÝ HỒ SƠ THANH TOÁN VƯỢT THẨM QUYỀN PD</v>
          </cell>
        </row>
      </sheetData>
      <sheetData sheetId="5428">
        <row r="1">
          <cell r="A1" t="str">
            <v>PHIẾU XỬ LÝ HỒ SƠ THANH TOÁN VƯỢT THẨM QUYỀN PD</v>
          </cell>
        </row>
      </sheetData>
      <sheetData sheetId="5429">
        <row r="1">
          <cell r="A1" t="str">
            <v>PHIẾU XỬ LÝ HỒ SƠ THANH TOÁN VƯỢT THẨM QUYỀN PD</v>
          </cell>
        </row>
      </sheetData>
      <sheetData sheetId="5430">
        <row r="1">
          <cell r="A1" t="str">
            <v>PHIẾU XỬ LÝ HỒ SƠ THANH TOÁN VƯỢT THẨM QUYỀN PD</v>
          </cell>
        </row>
      </sheetData>
      <sheetData sheetId="5431">
        <row r="1">
          <cell r="A1" t="str">
            <v>PHIẾU XỬ LÝ HỒ SƠ THANH TOÁN VƯỢT THẨM QUYỀN PD</v>
          </cell>
        </row>
      </sheetData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>
        <row r="1">
          <cell r="A1" t="str">
            <v>PHIẾU XỬ LÝ HỒ SƠ THANH TOÁN VƯỢT THẨM QUYỀN PD</v>
          </cell>
        </row>
      </sheetData>
      <sheetData sheetId="5456">
        <row r="1">
          <cell r="A1" t="str">
            <v>PHIẾU XỬ LÝ HỒ SƠ THANH TOÁN VƯỢT THẨM QUYỀN PD</v>
          </cell>
        </row>
      </sheetData>
      <sheetData sheetId="5457">
        <row r="1">
          <cell r="A1" t="str">
            <v>PHIẾU XỬ LÝ HỒ SƠ THANH TOÁN VƯỢT THẨM QUYỀN PD</v>
          </cell>
        </row>
      </sheetData>
      <sheetData sheetId="5458">
        <row r="1">
          <cell r="A1" t="str">
            <v>PHIẾU XỬ LÝ HỒ SƠ THANH TOÁN VƯỢT THẨM QUYỀN PD</v>
          </cell>
        </row>
      </sheetData>
      <sheetData sheetId="5459">
        <row r="1">
          <cell r="A1" t="str">
            <v>PHIẾU XỬ LÝ HỒ SƠ THANH TOÁN VƯỢT THẨM QUYỀN PD</v>
          </cell>
        </row>
      </sheetData>
      <sheetData sheetId="5460">
        <row r="1">
          <cell r="A1" t="str">
            <v>PHIẾU XỬ LÝ HỒ SƠ THANH TOÁN VƯỢT THẨM QUYỀN PD</v>
          </cell>
        </row>
      </sheetData>
      <sheetData sheetId="5461">
        <row r="1">
          <cell r="A1" t="str">
            <v>PHIẾU XỬ LÝ HỒ SƠ THANH TOÁN VƯỢT THẨM QUYỀN PD</v>
          </cell>
        </row>
      </sheetData>
      <sheetData sheetId="5462">
        <row r="1">
          <cell r="A1" t="str">
            <v>PHIẾU XỬ LÝ HỒ SƠ THANH TOÁN VƯỢT THẨM QUYỀN PD</v>
          </cell>
        </row>
      </sheetData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>
        <row r="1">
          <cell r="A1" t="str">
            <v>PHIẾU XỬ LÝ HỒ SƠ THANH TOÁN VƯỢT THẨM QUYỀN PD</v>
          </cell>
        </row>
      </sheetData>
      <sheetData sheetId="5466">
        <row r="1">
          <cell r="A1" t="str">
            <v>PHIẾU XỬ LÝ HỒ SƠ THANH TOÁN VƯỢT THẨM QUYỀN PD</v>
          </cell>
        </row>
      </sheetData>
      <sheetData sheetId="5467">
        <row r="1">
          <cell r="A1" t="str">
            <v>PHIẾU XỬ LÝ HỒ SƠ THANH TOÁN VƯỢT THẨM QUYỀN PD</v>
          </cell>
        </row>
      </sheetData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>
        <row r="1">
          <cell r="A1" t="str">
            <v>PHIẾU XỬ LÝ HỒ SƠ THANH TOÁN VƯỢT THẨM QUYỀN PD</v>
          </cell>
        </row>
      </sheetData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>
        <row r="1">
          <cell r="A1" t="str">
            <v>PHIẾU XỬ LÝ HỒ SƠ THANH TOÁN VƯỢT THẨM QUYỀN PD</v>
          </cell>
        </row>
      </sheetData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>
        <row r="1">
          <cell r="A1" t="str">
            <v>PHIẾU XỬ LÝ HỒ SƠ THANH TOÁN VƯỢT THẨM QUYỀN PD</v>
          </cell>
        </row>
      </sheetData>
      <sheetData sheetId="5800">
        <row r="1">
          <cell r="A1" t="str">
            <v>PHIẾU XỬ LÝ HỒ SƠ THANH TOÁN VƯỢT THẨM QUYỀN PD</v>
          </cell>
        </row>
      </sheetData>
      <sheetData sheetId="5801">
        <row r="1">
          <cell r="A1" t="str">
            <v>PHIẾU XỬ LÝ HỒ SƠ THANH TOÁN VƯỢT THẨM QUYỀN PD</v>
          </cell>
        </row>
      </sheetData>
      <sheetData sheetId="5802">
        <row r="1">
          <cell r="A1" t="str">
            <v>PHIẾU XỬ LÝ HỒ SƠ THANH TOÁN VƯỢT THẨM QUYỀN PD</v>
          </cell>
        </row>
      </sheetData>
      <sheetData sheetId="5803">
        <row r="1">
          <cell r="A1" t="str">
            <v>PHIẾU XỬ LÝ HỒ SƠ THANH TOÁN VƯỢT THẨM QUYỀN PD</v>
          </cell>
        </row>
      </sheetData>
      <sheetData sheetId="5804">
        <row r="1">
          <cell r="A1" t="str">
            <v>PHIẾU XỬ LÝ HỒ SƠ THANH TOÁN VƯỢT THẨM QUYỀN PD</v>
          </cell>
        </row>
      </sheetData>
      <sheetData sheetId="5805">
        <row r="1">
          <cell r="A1" t="str">
            <v>PHIẾU XỬ LÝ HỒ SƠ THANH TOÁN VƯỢT THẨM QUYỀN PD</v>
          </cell>
        </row>
      </sheetData>
      <sheetData sheetId="5806">
        <row r="1">
          <cell r="A1" t="str">
            <v>PHIẾU XỬ LÝ HỒ SƠ THANH TOÁN VƯỢT THẨM QUYỀN PD</v>
          </cell>
        </row>
      </sheetData>
      <sheetData sheetId="5807">
        <row r="1">
          <cell r="A1" t="str">
            <v>PHIẾU XỬ LÝ HỒ SƠ THANH TOÁN VƯỢT THẨM QUYỀN PD</v>
          </cell>
        </row>
      </sheetData>
      <sheetData sheetId="5808">
        <row r="1">
          <cell r="A1" t="str">
            <v>PHIẾU XỬ LÝ HỒ SƠ THANH TOÁN VƯỢT THẨM QUYỀN PD</v>
          </cell>
        </row>
      </sheetData>
      <sheetData sheetId="5809">
        <row r="1">
          <cell r="A1" t="str">
            <v>PHIẾU XỬ LÝ HỒ SƠ THANH TOÁN VƯỢT THẨM QUYỀN PD</v>
          </cell>
        </row>
      </sheetData>
      <sheetData sheetId="5810">
        <row r="1">
          <cell r="A1" t="str">
            <v>PHIẾU XỬ LÝ HỒ SƠ THANH TOÁN VƯỢT THẨM QUYỀN PD</v>
          </cell>
        </row>
      </sheetData>
      <sheetData sheetId="5811">
        <row r="1">
          <cell r="A1" t="str">
            <v>PHIẾU XỬ LÝ HỒ SƠ THANH TOÁN VƯỢT THẨM QUYỀN PD</v>
          </cell>
        </row>
      </sheetData>
      <sheetData sheetId="5812">
        <row r="1">
          <cell r="A1" t="str">
            <v>PHIẾU XỬ LÝ HỒ SƠ THANH TOÁN VƯỢT THẨM QUYỀN PD</v>
          </cell>
        </row>
      </sheetData>
      <sheetData sheetId="5813">
        <row r="1">
          <cell r="A1" t="str">
            <v>PHIẾU XỬ LÝ HỒ SƠ THANH TOÁN VƯỢT THẨM QUYỀN PD</v>
          </cell>
        </row>
      </sheetData>
      <sheetData sheetId="5814">
        <row r="1">
          <cell r="A1" t="str">
            <v>PHIẾU XỬ LÝ HỒ SƠ THANH TOÁN VƯỢT THẨM QUYỀN PD</v>
          </cell>
        </row>
      </sheetData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>
        <row r="1">
          <cell r="A1" t="str">
            <v>PHIẾU XỬ LÝ HỒ SƠ THANH TOÁN VƯỢT THẨM QUYỀN PD</v>
          </cell>
        </row>
      </sheetData>
      <sheetData sheetId="5831">
        <row r="1">
          <cell r="A1" t="str">
            <v>PHIẾU XỬ LÝ HỒ SƠ THANH TOÁN VƯỢT THẨM QUYỀN PD</v>
          </cell>
        </row>
      </sheetData>
      <sheetData sheetId="5832">
        <row r="1">
          <cell r="A1" t="str">
            <v>PHIẾU XỬ LÝ HỒ SƠ THANH TOÁN VƯỢT THẨM QUYỀN PD</v>
          </cell>
        </row>
      </sheetData>
      <sheetData sheetId="5833">
        <row r="1">
          <cell r="A1" t="str">
            <v>PHIẾU XỬ LÝ HỒ SƠ THANH TOÁN VƯỢT THẨM QUYỀN PD</v>
          </cell>
        </row>
      </sheetData>
      <sheetData sheetId="5834">
        <row r="1">
          <cell r="A1" t="str">
            <v>PHIẾU XỬ LÝ HỒ SƠ THANH TOÁN VƯỢT THẨM QUYỀN PD</v>
          </cell>
        </row>
      </sheetData>
      <sheetData sheetId="5835">
        <row r="1">
          <cell r="A1" t="str">
            <v>PHIẾU XỬ LÝ HỒ SƠ THANH TOÁN VƯỢT THẨM QUYỀN PD</v>
          </cell>
        </row>
      </sheetData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>
        <row r="1">
          <cell r="A1" t="str">
            <v>PHIẾU XỬ LÝ HỒ SƠ THANH TOÁN VƯỢT THẨM QUYỀN PD</v>
          </cell>
        </row>
      </sheetData>
      <sheetData sheetId="5857">
        <row r="1">
          <cell r="A1" t="str">
            <v>PHIẾU XỬ LÝ HỒ SƠ THANH TOÁN VƯỢT THẨM QUYỀN PD</v>
          </cell>
        </row>
      </sheetData>
      <sheetData sheetId="5858" refreshError="1"/>
      <sheetData sheetId="5859" refreshError="1"/>
      <sheetData sheetId="5860" refreshError="1"/>
      <sheetData sheetId="5861">
        <row r="1">
          <cell r="A1" t="str">
            <v>PHIẾU XỬ LÝ HỒ SƠ THANH TOÁN VƯỢT THẨM QUYỀN PD</v>
          </cell>
        </row>
      </sheetData>
      <sheetData sheetId="5862" refreshError="1"/>
      <sheetData sheetId="5863">
        <row r="1">
          <cell r="A1" t="str">
            <v>PHIẾU XỬ LÝ HỒ SƠ THANH TOÁN VƯỢT THẨM QUYỀN PD</v>
          </cell>
        </row>
      </sheetData>
      <sheetData sheetId="5864">
        <row r="1">
          <cell r="A1" t="str">
            <v>PHIẾU XỬ LÝ HỒ SƠ THANH TOÁN VƯỢT THẨM QUYỀN PD</v>
          </cell>
        </row>
      </sheetData>
      <sheetData sheetId="5865">
        <row r="1">
          <cell r="A1" t="str">
            <v>PHIẾU XỬ LÝ HỒ SƠ THANH TOÁN VƯỢT THẨM QUYỀN PD</v>
          </cell>
        </row>
      </sheetData>
      <sheetData sheetId="5866">
        <row r="1">
          <cell r="A1" t="str">
            <v>PHIẾU XỬ LÝ HỒ SƠ THANH TOÁN VƯỢT THẨM QUYỀN PD</v>
          </cell>
        </row>
      </sheetData>
      <sheetData sheetId="5867">
        <row r="1">
          <cell r="A1" t="str">
            <v>PHIẾU XỬ LÝ HỒ SƠ THANH TOÁN VƯỢT THẨM QUYỀN PD</v>
          </cell>
        </row>
      </sheetData>
      <sheetData sheetId="5868">
        <row r="1">
          <cell r="A1" t="str">
            <v>PHIẾU XỬ LÝ HỒ SƠ THANH TOÁN VƯỢT THẨM QUYỀN PD</v>
          </cell>
        </row>
      </sheetData>
      <sheetData sheetId="5869">
        <row r="1">
          <cell r="A1" t="str">
            <v>PHIẾU XỬ LÝ HỒ SƠ THANH TOÁN VƯỢT THẨM QUYỀN PD</v>
          </cell>
        </row>
      </sheetData>
      <sheetData sheetId="5870">
        <row r="1">
          <cell r="A1" t="str">
            <v>PHIẾU XỬ LÝ HỒ SƠ THANH TOÁN VƯỢT THẨM QUYỀN PD</v>
          </cell>
        </row>
      </sheetData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>
        <row r="1">
          <cell r="A1" t="str">
            <v>PHIẾU XỬ LÝ HỒ SƠ THANH TOÁN VƯỢT THẨM QUYỀN PD</v>
          </cell>
        </row>
      </sheetData>
      <sheetData sheetId="6009">
        <row r="1">
          <cell r="A1" t="str">
            <v>PHIẾU XỬ LÝ HỒ SƠ THANH TOÁN VƯỢT THẨM QUYỀN PD</v>
          </cell>
        </row>
      </sheetData>
      <sheetData sheetId="6010">
        <row r="1">
          <cell r="A1" t="str">
            <v>PHIẾU XỬ LÝ HỒ SƠ THANH TOÁN VƯỢT THẨM QUYỀN PD</v>
          </cell>
        </row>
      </sheetData>
      <sheetData sheetId="6011">
        <row r="1">
          <cell r="A1" t="str">
            <v>PHIẾU XỬ LÝ HỒ SƠ THANH TOÁN VƯỢT THẨM QUYỀN PD</v>
          </cell>
        </row>
      </sheetData>
      <sheetData sheetId="6012">
        <row r="1">
          <cell r="A1" t="str">
            <v>PHIẾU XỬ LÝ HỒ SƠ THANH TOÁN VƯỢT THẨM QUYỀN PD</v>
          </cell>
        </row>
      </sheetData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>
        <row r="1">
          <cell r="A1" t="str">
            <v>PHIẾU XỬ LÝ HỒ SƠ THANH TOÁN VƯỢT THẨM QUYỀN PD</v>
          </cell>
        </row>
      </sheetData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>
        <row r="1">
          <cell r="A1" t="str">
            <v>PHIẾU XỬ LÝ HỒ SƠ THANH TOÁN VƯỢT THẨM QUYỀN PD</v>
          </cell>
        </row>
      </sheetData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>
        <row r="1">
          <cell r="A1" t="str">
            <v>PHIẾU XỬ LÝ HỒ SƠ THANH TOÁN VƯỢT THẨM QUYỀN PD</v>
          </cell>
        </row>
      </sheetData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>
        <row r="1">
          <cell r="A1" t="str">
            <v>PHIẾU XỬ LÝ HỒ SƠ THANH TOÁN VƯỢT THẨM QUYỀN PD</v>
          </cell>
        </row>
      </sheetData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>
        <row r="1">
          <cell r="A1" t="str">
            <v>PHIẾU XỬ LÝ HỒ SƠ THANH TOÁN VƯỢT THẨM QUYỀN PD</v>
          </cell>
        </row>
      </sheetData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>
        <row r="1">
          <cell r="A1" t="str">
            <v>PHIẾU XỬ LÝ HỒ SƠ THANH TOÁN VƯỢT THẨM QUYỀN PD</v>
          </cell>
        </row>
      </sheetData>
      <sheetData sheetId="6196">
        <row r="1">
          <cell r="A1" t="str">
            <v>PHIẾU XỬ LÝ HỒ SƠ THANH TOÁN VƯỢT THẨM QUYỀN PD</v>
          </cell>
        </row>
      </sheetData>
      <sheetData sheetId="6197">
        <row r="1">
          <cell r="A1" t="str">
            <v>PHIẾU XỬ LÝ HỒ SƠ THANH TOÁN VƯỢT THẨM QUYỀN PD</v>
          </cell>
        </row>
      </sheetData>
      <sheetData sheetId="6198">
        <row r="1">
          <cell r="A1" t="str">
            <v>PHIẾU XỬ LÝ HỒ SƠ THANH TOÁN VƯỢT THẨM QUYỀN PD</v>
          </cell>
        </row>
      </sheetData>
      <sheetData sheetId="6199">
        <row r="1">
          <cell r="A1" t="str">
            <v>PHIẾU XỬ LÝ HỒ SƠ THANH TOÁN VƯỢT THẨM QUYỀN PD</v>
          </cell>
        </row>
      </sheetData>
      <sheetData sheetId="6200">
        <row r="1">
          <cell r="A1" t="str">
            <v>PHIẾU XỬ LÝ HỒ SƠ THANH TOÁN VƯỢT THẨM QUYỀN PD</v>
          </cell>
        </row>
      </sheetData>
      <sheetData sheetId="6201">
        <row r="1">
          <cell r="A1" t="str">
            <v>PHIẾU XỬ LÝ HỒ SƠ THANH TOÁN VƯỢT THẨM QUYỀN PD</v>
          </cell>
        </row>
      </sheetData>
      <sheetData sheetId="6202">
        <row r="1">
          <cell r="A1" t="str">
            <v>PHIẾU XỬ LÝ HỒ SƠ THANH TOÁN VƯỢT THẨM QUYỀN PD</v>
          </cell>
        </row>
      </sheetData>
      <sheetData sheetId="6203">
        <row r="1">
          <cell r="A1" t="str">
            <v>PHIẾU XỬ LÝ HỒ SƠ THANH TOÁN VƯỢT THẨM QUYỀN PD</v>
          </cell>
        </row>
      </sheetData>
      <sheetData sheetId="6204">
        <row r="1">
          <cell r="A1" t="str">
            <v>PHIẾU XỬ LÝ HỒ SƠ THANH TOÁN VƯỢT THẨM QUYỀN PD</v>
          </cell>
        </row>
      </sheetData>
      <sheetData sheetId="6205">
        <row r="1">
          <cell r="A1" t="str">
            <v>PHIẾU XỬ LÝ HỒ SƠ THANH TOÁN VƯỢT THẨM QUYỀN PD</v>
          </cell>
        </row>
      </sheetData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>
        <row r="1">
          <cell r="A1" t="str">
            <v>PHIẾU XỬ LÝ HỒ SƠ THANH TOÁN VƯỢT THẨM QUYỀN PD</v>
          </cell>
        </row>
      </sheetData>
      <sheetData sheetId="6227">
        <row r="1">
          <cell r="A1" t="str">
            <v>PHIẾU XỬ LÝ HỒ SƠ THANH TOÁN VƯỢT THẨM QUYỀN PD</v>
          </cell>
        </row>
      </sheetData>
      <sheetData sheetId="6228">
        <row r="1">
          <cell r="A1" t="str">
            <v>PHIẾU XỬ LÝ HỒ SƠ THANH TOÁN VƯỢT THẨM QUYỀN PD</v>
          </cell>
        </row>
      </sheetData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>
        <row r="1">
          <cell r="A1" t="str">
            <v>PHIẾU XỬ LÝ HỒ SƠ THANH TOÁN VƯỢT THẨM QUYỀN PD</v>
          </cell>
        </row>
      </sheetData>
      <sheetData sheetId="6338" refreshError="1"/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>
        <row r="1">
          <cell r="A1" t="str">
            <v>PHIẾU XỬ LÝ HỒ SƠ THANH TOÁN VƯỢT THẨM QUYỀN PD</v>
          </cell>
        </row>
      </sheetData>
      <sheetData sheetId="6343">
        <row r="1">
          <cell r="A1" t="str">
            <v>PHIẾU XỬ LÝ HỒ SƠ THANH TOÁN VƯỢT THẨM QUYỀN PD</v>
          </cell>
        </row>
      </sheetData>
      <sheetData sheetId="6344">
        <row r="1">
          <cell r="A1" t="str">
            <v>PHIẾU XỬ LÝ HỒ SƠ THANH TOÁN VƯỢT THẨM QUYỀN PD</v>
          </cell>
        </row>
      </sheetData>
      <sheetData sheetId="6345">
        <row r="1">
          <cell r="A1" t="str">
            <v>PHIẾU XỬ LÝ HỒ SƠ THANH TOÁN VƯỢT THẨM QUYỀN PD</v>
          </cell>
        </row>
      </sheetData>
      <sheetData sheetId="6346">
        <row r="1">
          <cell r="A1" t="str">
            <v>PHIẾU XỬ LÝ HỒ SƠ THANH TOÁN VƯỢT THẨM QUYỀN PD</v>
          </cell>
        </row>
      </sheetData>
      <sheetData sheetId="6347">
        <row r="1">
          <cell r="A1" t="str">
            <v>PHIẾU XỬ LÝ HỒ SƠ THANH TOÁN VƯỢT THẨM QUYỀN PD</v>
          </cell>
        </row>
      </sheetData>
      <sheetData sheetId="6348">
        <row r="1">
          <cell r="A1" t="str">
            <v>PHIẾU XỬ LÝ HỒ SƠ THANH TOÁN VƯỢT THẨM QUYỀN PD</v>
          </cell>
        </row>
      </sheetData>
      <sheetData sheetId="6349">
        <row r="1">
          <cell r="A1" t="str">
            <v>PHIẾU XỬ LÝ HỒ SƠ THANH TOÁN VƯỢT THẨM QUYỀN PD</v>
          </cell>
        </row>
      </sheetData>
      <sheetData sheetId="6350">
        <row r="1">
          <cell r="A1" t="str">
            <v>PHIẾU XỬ LÝ HỒ SƠ THANH TOÁN VƯỢT THẨM QUYỀN PD</v>
          </cell>
        </row>
      </sheetData>
      <sheetData sheetId="6351">
        <row r="1">
          <cell r="A1" t="str">
            <v>PHIẾU XỬ LÝ HỒ SƠ THANH TOÁN VƯỢT THẨM QUYỀN PD</v>
          </cell>
        </row>
      </sheetData>
      <sheetData sheetId="6352">
        <row r="1">
          <cell r="A1" t="str">
            <v>PHIẾU XỬ LÝ HỒ SƠ THANH TOÁN VƯỢT THẨM QUYỀN PD</v>
          </cell>
        </row>
      </sheetData>
      <sheetData sheetId="6353">
        <row r="1">
          <cell r="A1" t="str">
            <v>PHIẾU XỬ LÝ HỒ SƠ THANH TOÁN VƯỢT THẨM QUYỀN PD</v>
          </cell>
        </row>
      </sheetData>
      <sheetData sheetId="6354">
        <row r="1">
          <cell r="A1" t="str">
            <v>PHIẾU XỬ LÝ HỒ SƠ THANH TOÁN VƯỢT THẨM QUYỀN PD</v>
          </cell>
        </row>
      </sheetData>
      <sheetData sheetId="6355">
        <row r="1">
          <cell r="A1" t="str">
            <v>PHIẾU XỬ LÝ HỒ SƠ THANH TOÁN VƯỢT THẨM QUYỀN PD</v>
          </cell>
        </row>
      </sheetData>
      <sheetData sheetId="6356">
        <row r="1">
          <cell r="A1" t="str">
            <v>PHIẾU XỬ LÝ HỒ SƠ THANH TOÁN VƯỢT THẨM QUYỀN PD</v>
          </cell>
        </row>
      </sheetData>
      <sheetData sheetId="6357">
        <row r="1">
          <cell r="A1" t="str">
            <v>PHIẾU XỬ LÝ HỒ SƠ THANH TOÁN VƯỢT THẨM QUYỀN PD</v>
          </cell>
        </row>
      </sheetData>
      <sheetData sheetId="6358">
        <row r="1">
          <cell r="A1" t="str">
            <v>PHIẾU XỬ LÝ HỒ SƠ THANH TOÁN VƯỢT THẨM QUYỀN PD</v>
          </cell>
        </row>
      </sheetData>
      <sheetData sheetId="6359">
        <row r="1">
          <cell r="A1" t="str">
            <v>PHIẾU XỬ LÝ HỒ SƠ THANH TOÁN VƯỢT THẨM QUYỀN PD</v>
          </cell>
        </row>
      </sheetData>
      <sheetData sheetId="6360">
        <row r="1">
          <cell r="A1" t="str">
            <v>PHIẾU XỬ LÝ HỒ SƠ THANH TOÁN VƯỢT THẨM QUYỀN PD</v>
          </cell>
        </row>
      </sheetData>
      <sheetData sheetId="6361">
        <row r="1">
          <cell r="A1" t="str">
            <v>PHIẾU XỬ LÝ HỒ SƠ THANH TOÁN VƯỢT THẨM QUYỀN PD</v>
          </cell>
        </row>
      </sheetData>
      <sheetData sheetId="6362">
        <row r="1">
          <cell r="A1" t="str">
            <v>PHIẾU XỬ LÝ HỒ SƠ THANH TOÁN VƯỢT THẨM QUYỀN PD</v>
          </cell>
        </row>
      </sheetData>
      <sheetData sheetId="6363">
        <row r="1">
          <cell r="A1" t="str">
            <v>PHIẾU XỬ LÝ HỒ SƠ THANH TOÁN VƯỢT THẨM QUYỀN PD</v>
          </cell>
        </row>
      </sheetData>
      <sheetData sheetId="6364">
        <row r="1">
          <cell r="A1" t="str">
            <v>PHIẾU XỬ LÝ HỒ SƠ THANH TOÁN VƯỢT THẨM QUYỀN PD</v>
          </cell>
        </row>
      </sheetData>
      <sheetData sheetId="6365">
        <row r="1">
          <cell r="A1" t="str">
            <v>PHIẾU XỬ LÝ HỒ SƠ THANH TOÁN VƯỢT THẨM QUYỀN PD</v>
          </cell>
        </row>
      </sheetData>
      <sheetData sheetId="6366">
        <row r="1">
          <cell r="A1" t="str">
            <v>PHIẾU XỬ LÝ HỒ SƠ THANH TOÁN VƯỢT THẨM QUYỀN PD</v>
          </cell>
        </row>
      </sheetData>
      <sheetData sheetId="6367">
        <row r="1">
          <cell r="A1" t="str">
            <v>PHIẾU XỬ LÝ HỒ SƠ THANH TOÁN VƯỢT THẨM QUYỀN PD</v>
          </cell>
        </row>
      </sheetData>
      <sheetData sheetId="6368">
        <row r="1">
          <cell r="A1" t="str">
            <v>PHIẾU XỬ LÝ HỒ SƠ THANH TOÁN VƯỢT THẨM QUYỀN PD</v>
          </cell>
        </row>
      </sheetData>
      <sheetData sheetId="6369">
        <row r="1">
          <cell r="A1" t="str">
            <v>PHIẾU XỬ LÝ HỒ SƠ THANH TOÁN VƯỢT THẨM QUYỀN PD</v>
          </cell>
        </row>
      </sheetData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>
        <row r="1">
          <cell r="A1" t="str">
            <v>PHIẾU XỬ LÝ HỒ SƠ THANH TOÁN VƯỢT THẨM QUYỀN PD</v>
          </cell>
        </row>
      </sheetData>
      <sheetData sheetId="6381">
        <row r="1">
          <cell r="A1" t="str">
            <v>PHIẾU XỬ LÝ HỒ SƠ THANH TOÁN VƯỢT THẨM QUYỀN PD</v>
          </cell>
        </row>
      </sheetData>
      <sheetData sheetId="6382">
        <row r="1">
          <cell r="A1" t="str">
            <v>PHIẾU XỬ LÝ HỒ SƠ THANH TOÁN VƯỢT THẨM QUYỀN PD</v>
          </cell>
        </row>
      </sheetData>
      <sheetData sheetId="6383">
        <row r="1">
          <cell r="A1" t="str">
            <v>PHIẾU XỬ LÝ HỒ SƠ THANH TOÁN VƯỢT THẨM QUYỀN PD</v>
          </cell>
        </row>
      </sheetData>
      <sheetData sheetId="6384">
        <row r="1">
          <cell r="A1" t="str">
            <v>PHIẾU XỬ LÝ HỒ SƠ THANH TOÁN VƯỢT THẨM QUYỀN PD</v>
          </cell>
        </row>
      </sheetData>
      <sheetData sheetId="6385">
        <row r="1">
          <cell r="A1" t="str">
            <v>PHIẾU XỬ LÝ HỒ SƠ THANH TOÁN VƯỢT THẨM QUYỀN PD</v>
          </cell>
        </row>
      </sheetData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>
        <row r="1">
          <cell r="A1" t="str">
            <v>PHIẾU XỬ LÝ HỒ SƠ THANH TOÁN VƯỢT THẨM QUYỀN PD</v>
          </cell>
        </row>
      </sheetData>
      <sheetData sheetId="6398">
        <row r="1">
          <cell r="A1" t="str">
            <v>PHIẾU XỬ LÝ HỒ SƠ THANH TOÁN VƯỢT THẨM QUYỀN PD</v>
          </cell>
        </row>
      </sheetData>
      <sheetData sheetId="6399">
        <row r="1">
          <cell r="A1" t="str">
            <v>PHIẾU XỬ LÝ HỒ SƠ THANH TOÁN VƯỢT THẨM QUYỀN PD</v>
          </cell>
        </row>
      </sheetData>
      <sheetData sheetId="6400">
        <row r="1">
          <cell r="A1" t="str">
            <v>PHIẾU XỬ LÝ HỒ SƠ THANH TOÁN VƯỢT THẨM QUYỀN PD</v>
          </cell>
        </row>
      </sheetData>
      <sheetData sheetId="6401">
        <row r="1">
          <cell r="A1" t="str">
            <v>PHIẾU XỬ LÝ HỒ SƠ THANH TOÁN VƯỢT THẨM QUYỀN PD</v>
          </cell>
        </row>
      </sheetData>
      <sheetData sheetId="6402">
        <row r="1">
          <cell r="A1" t="str">
            <v>PHIẾU XỬ LÝ HỒ SƠ THANH TOÁN VƯỢT THẨM QUYỀN PD</v>
          </cell>
        </row>
      </sheetData>
      <sheetData sheetId="6403">
        <row r="1">
          <cell r="A1" t="str">
            <v>PHIẾU XỬ LÝ HỒ SƠ THANH TOÁN VƯỢT THẨM QUYỀN PD</v>
          </cell>
        </row>
      </sheetData>
      <sheetData sheetId="6404">
        <row r="1">
          <cell r="A1" t="str">
            <v>PHIẾU XỬ LÝ HỒ SƠ THANH TOÁN VƯỢT THẨM QUYỀN PD</v>
          </cell>
        </row>
      </sheetData>
      <sheetData sheetId="6405">
        <row r="1">
          <cell r="A1" t="str">
            <v>PHIẾU XỬ LÝ HỒ SƠ THANH TOÁN VƯỢT THẨM QUYỀN PD</v>
          </cell>
        </row>
      </sheetData>
      <sheetData sheetId="6406">
        <row r="1">
          <cell r="A1" t="str">
            <v>PHIẾU XỬ LÝ HỒ SƠ THANH TOÁN VƯỢT THẨM QUYỀN PD</v>
          </cell>
        </row>
      </sheetData>
      <sheetData sheetId="6407">
        <row r="1">
          <cell r="A1" t="str">
            <v>PHIẾU XỬ LÝ HỒ SƠ THANH TOÁN VƯỢT THẨM QUYỀN PD</v>
          </cell>
        </row>
      </sheetData>
      <sheetData sheetId="6408">
        <row r="1">
          <cell r="A1" t="str">
            <v>PHIẾU XỬ LÝ HỒ SƠ THANH TOÁN VƯỢT THẨM QUYỀN PD</v>
          </cell>
        </row>
      </sheetData>
      <sheetData sheetId="6409">
        <row r="1">
          <cell r="A1" t="str">
            <v>PHIẾU XỬ LÝ HỒ SƠ THANH TOÁN VƯỢT THẨM QUYỀN PD</v>
          </cell>
        </row>
      </sheetData>
      <sheetData sheetId="6410">
        <row r="1">
          <cell r="A1" t="str">
            <v>PHIẾU XỬ LÝ HỒ SƠ THANH TOÁN VƯỢT THẨM QUYỀN PD</v>
          </cell>
        </row>
      </sheetData>
      <sheetData sheetId="6411">
        <row r="1">
          <cell r="A1" t="str">
            <v>PHIẾU XỬ LÝ HỒ SƠ THANH TOÁN VƯỢT THẨM QUYỀN PD</v>
          </cell>
        </row>
      </sheetData>
      <sheetData sheetId="6412">
        <row r="1">
          <cell r="A1" t="str">
            <v>PHIẾU XỬ LÝ HỒ SƠ THANH TOÁN VƯỢT THẨM QUYỀN PD</v>
          </cell>
        </row>
      </sheetData>
      <sheetData sheetId="6413">
        <row r="1">
          <cell r="A1" t="str">
            <v>PHIẾU XỬ LÝ HỒ SƠ THANH TOÁN VƯỢT THẨM QUYỀN PD</v>
          </cell>
        </row>
      </sheetData>
      <sheetData sheetId="6414">
        <row r="1">
          <cell r="A1" t="str">
            <v>PHIẾU XỬ LÝ HỒ SƠ THANH TOÁN VƯỢT THẨM QUYỀN PD</v>
          </cell>
        </row>
      </sheetData>
      <sheetData sheetId="6415">
        <row r="1">
          <cell r="A1" t="str">
            <v>PHIẾU XỬ LÝ HỒ SƠ THANH TOÁN VƯỢT THẨM QUYỀN PD</v>
          </cell>
        </row>
      </sheetData>
      <sheetData sheetId="6416">
        <row r="1">
          <cell r="A1" t="str">
            <v>PHIẾU XỬ LÝ HỒ SƠ THANH TOÁN VƯỢT THẨM QUYỀN PD</v>
          </cell>
        </row>
      </sheetData>
      <sheetData sheetId="6417">
        <row r="1">
          <cell r="A1" t="str">
            <v>PHIẾU XỬ LÝ HỒ SƠ THANH TOÁN VƯỢT THẨM QUYỀN PD</v>
          </cell>
        </row>
      </sheetData>
      <sheetData sheetId="6418">
        <row r="1">
          <cell r="A1" t="str">
            <v>PHIẾU XỬ LÝ HỒ SƠ THANH TOÁN VƯỢT THẨM QUYỀN PD</v>
          </cell>
        </row>
      </sheetData>
      <sheetData sheetId="6419">
        <row r="1">
          <cell r="A1" t="str">
            <v>PHIẾU XỬ LÝ HỒ SƠ THANH TOÁN VƯỢT THẨM QUYỀN PD</v>
          </cell>
        </row>
      </sheetData>
      <sheetData sheetId="6420">
        <row r="1">
          <cell r="A1" t="str">
            <v>PHIẾU XỬ LÝ HỒ SƠ THANH TOÁN VƯỢT THẨM QUYỀN PD</v>
          </cell>
        </row>
      </sheetData>
      <sheetData sheetId="6421">
        <row r="1">
          <cell r="A1" t="str">
            <v>PHIẾU XỬ LÝ HỒ SƠ THANH TOÁN VƯỢT THẨM QUYỀN PD</v>
          </cell>
        </row>
      </sheetData>
      <sheetData sheetId="6422">
        <row r="1">
          <cell r="A1" t="str">
            <v>PHIẾU XỬ LÝ HỒ SƠ THANH TOÁN VƯỢT THẨM QUYỀN PD</v>
          </cell>
        </row>
      </sheetData>
      <sheetData sheetId="6423">
        <row r="1">
          <cell r="A1" t="str">
            <v>PHIẾU XỬ LÝ HỒ SƠ THANH TOÁN VƯỢT THẨM QUYỀN PD</v>
          </cell>
        </row>
      </sheetData>
      <sheetData sheetId="6424">
        <row r="1">
          <cell r="A1" t="str">
            <v>PHIẾU XỬ LÝ HỒ SƠ THANH TOÁN VƯỢT THẨM QUYỀN PD</v>
          </cell>
        </row>
      </sheetData>
      <sheetData sheetId="6425">
        <row r="1">
          <cell r="A1" t="str">
            <v>PHIẾU XỬ LÝ HỒ SƠ THANH TOÁN VƯỢT THẨM QUYỀN PD</v>
          </cell>
        </row>
      </sheetData>
      <sheetData sheetId="6426">
        <row r="1">
          <cell r="A1" t="str">
            <v>PHIẾU XỬ LÝ HỒ SƠ THANH TOÁN VƯỢT THẨM QUYỀN PD</v>
          </cell>
        </row>
      </sheetData>
      <sheetData sheetId="6427">
        <row r="1">
          <cell r="A1" t="str">
            <v>PHIẾU XỬ LÝ HỒ SƠ THANH TOÁN VƯỢT THẨM QUYỀN PD</v>
          </cell>
        </row>
      </sheetData>
      <sheetData sheetId="6428">
        <row r="1">
          <cell r="A1" t="str">
            <v>PHIẾU XỬ LÝ HỒ SƠ THANH TOÁN VƯỢT THẨM QUYỀN PD</v>
          </cell>
        </row>
      </sheetData>
      <sheetData sheetId="6429">
        <row r="1">
          <cell r="A1" t="str">
            <v>PHIẾU XỬ LÝ HỒ SƠ THANH TOÁN VƯỢT THẨM QUYỀN PD</v>
          </cell>
        </row>
      </sheetData>
      <sheetData sheetId="6430">
        <row r="1">
          <cell r="A1" t="str">
            <v>PHIẾU XỬ LÝ HỒ SƠ THANH TOÁN VƯỢT THẨM QUYỀN PD</v>
          </cell>
        </row>
      </sheetData>
      <sheetData sheetId="6431">
        <row r="1">
          <cell r="A1" t="str">
            <v>PHIẾU XỬ LÝ HỒ SƠ THANH TOÁN VƯỢT THẨM QUYỀN PD</v>
          </cell>
        </row>
      </sheetData>
      <sheetData sheetId="6432">
        <row r="1">
          <cell r="A1" t="str">
            <v>PHIẾU XỬ LÝ HỒ SƠ THANH TOÁN VƯỢT THẨM QUYỀN PD</v>
          </cell>
        </row>
      </sheetData>
      <sheetData sheetId="6433">
        <row r="1">
          <cell r="A1" t="str">
            <v>PHIẾU XỬ LÝ HỒ SƠ THANH TOÁN VƯỢT THẨM QUYỀN PD</v>
          </cell>
        </row>
      </sheetData>
      <sheetData sheetId="6434">
        <row r="1">
          <cell r="A1" t="str">
            <v>PHIẾU XỬ LÝ HỒ SƠ THANH TOÁN VƯỢT THẨM QUYỀN PD</v>
          </cell>
        </row>
      </sheetData>
      <sheetData sheetId="6435">
        <row r="1">
          <cell r="A1" t="str">
            <v>PHIẾU XỬ LÝ HỒ SƠ THANH TOÁN VƯỢT THẨM QUYỀN PD</v>
          </cell>
        </row>
      </sheetData>
      <sheetData sheetId="6436">
        <row r="1">
          <cell r="A1" t="str">
            <v>PHIẾU XỬ LÝ HỒ SƠ THANH TOÁN VƯỢT THẨM QUYỀN PD</v>
          </cell>
        </row>
      </sheetData>
      <sheetData sheetId="6437">
        <row r="1">
          <cell r="A1" t="str">
            <v>PHIẾU XỬ LÝ HỒ SƠ THANH TOÁN VƯỢT THẨM QUYỀN PD</v>
          </cell>
        </row>
      </sheetData>
      <sheetData sheetId="6438">
        <row r="1">
          <cell r="A1" t="str">
            <v>PHIẾU XỬ LÝ HỒ SƠ THANH TOÁN VƯỢT THẨM QUYỀN PD</v>
          </cell>
        </row>
      </sheetData>
      <sheetData sheetId="6439">
        <row r="1">
          <cell r="A1" t="str">
            <v>PHIẾU XỬ LÝ HỒ SƠ THANH TOÁN VƯỢT THẨM QUYỀN PD</v>
          </cell>
        </row>
      </sheetData>
      <sheetData sheetId="6440">
        <row r="1">
          <cell r="A1" t="str">
            <v>PHIẾU XỬ LÝ HỒ SƠ THANH TOÁN VƯỢT THẨM QUYỀN PD</v>
          </cell>
        </row>
      </sheetData>
      <sheetData sheetId="6441">
        <row r="1">
          <cell r="A1" t="str">
            <v>PHIẾU XỬ LÝ HỒ SƠ THANH TOÁN VƯỢT THẨM QUYỀN PD</v>
          </cell>
        </row>
      </sheetData>
      <sheetData sheetId="6442">
        <row r="1">
          <cell r="A1" t="str">
            <v>PHIẾU XỬ LÝ HỒ SƠ THANH TOÁN VƯỢT THẨM QUYỀN PD</v>
          </cell>
        </row>
      </sheetData>
      <sheetData sheetId="6443">
        <row r="1">
          <cell r="A1" t="str">
            <v>PHIẾU XỬ LÝ HỒ SƠ THANH TOÁN VƯỢT THẨM QUYỀN PD</v>
          </cell>
        </row>
      </sheetData>
      <sheetData sheetId="6444">
        <row r="1">
          <cell r="A1" t="str">
            <v>PHIẾU XỬ LÝ HỒ SƠ THANH TOÁN VƯỢT THẨM QUYỀN PD</v>
          </cell>
        </row>
      </sheetData>
      <sheetData sheetId="6445">
        <row r="1">
          <cell r="A1" t="str">
            <v>PHIẾU XỬ LÝ HỒ SƠ THANH TOÁN VƯỢT THẨM QUYỀN PD</v>
          </cell>
        </row>
      </sheetData>
      <sheetData sheetId="6446">
        <row r="1">
          <cell r="A1" t="str">
            <v>PHIẾU XỬ LÝ HỒ SƠ THANH TOÁN VƯỢT THẨM QUYỀN PD</v>
          </cell>
        </row>
      </sheetData>
      <sheetData sheetId="6447">
        <row r="1">
          <cell r="A1" t="str">
            <v>PHIẾU XỬ LÝ HỒ SƠ THANH TOÁN VƯỢT THẨM QUYỀN PD</v>
          </cell>
        </row>
      </sheetData>
      <sheetData sheetId="6448">
        <row r="1">
          <cell r="A1" t="str">
            <v>PHIẾU XỬ LÝ HỒ SƠ THANH TOÁN VƯỢT THẨM QUYỀN PD</v>
          </cell>
        </row>
      </sheetData>
      <sheetData sheetId="6449">
        <row r="1">
          <cell r="A1" t="str">
            <v>PHIẾU XỬ LÝ HỒ SƠ THANH TOÁN VƯỢT THẨM QUYỀN PD</v>
          </cell>
        </row>
      </sheetData>
      <sheetData sheetId="6450">
        <row r="1">
          <cell r="A1" t="str">
            <v>PHIẾU XỬ LÝ HỒ SƠ THANH TOÁN VƯỢT THẨM QUYỀN PD</v>
          </cell>
        </row>
      </sheetData>
      <sheetData sheetId="6451">
        <row r="1">
          <cell r="A1" t="str">
            <v>PHIẾU XỬ LÝ HỒ SƠ THANH TOÁN VƯỢT THẨM QUYỀN PD</v>
          </cell>
        </row>
      </sheetData>
      <sheetData sheetId="6452">
        <row r="1">
          <cell r="A1" t="str">
            <v>PHIẾU XỬ LÝ HỒ SƠ THANH TOÁN VƯỢT THẨM QUYỀN PD</v>
          </cell>
        </row>
      </sheetData>
      <sheetData sheetId="6453">
        <row r="1">
          <cell r="A1" t="str">
            <v>PHIẾU XỬ LÝ HỒ SƠ THANH TOÁN VƯỢT THẨM QUYỀN PD</v>
          </cell>
        </row>
      </sheetData>
      <sheetData sheetId="6454">
        <row r="1">
          <cell r="A1" t="str">
            <v>PHIẾU XỬ LÝ HỒ SƠ THANH TOÁN VƯỢT THẨM QUYỀN PD</v>
          </cell>
        </row>
      </sheetData>
      <sheetData sheetId="6455">
        <row r="1">
          <cell r="A1" t="str">
            <v>PHIẾU XỬ LÝ HỒ SƠ THANH TOÁN VƯỢT THẨM QUYỀN PD</v>
          </cell>
        </row>
      </sheetData>
      <sheetData sheetId="6456">
        <row r="1">
          <cell r="A1" t="str">
            <v>PHIẾU XỬ LÝ HỒ SƠ THANH TOÁN VƯỢT THẨM QUYỀN PD</v>
          </cell>
        </row>
      </sheetData>
      <sheetData sheetId="6457">
        <row r="1">
          <cell r="A1" t="str">
            <v>PHIẾU XỬ LÝ HỒ SƠ THANH TOÁN VƯỢT THẨM QUYỀN PD</v>
          </cell>
        </row>
      </sheetData>
      <sheetData sheetId="6458">
        <row r="1">
          <cell r="A1" t="str">
            <v>PHIẾU XỬ LÝ HỒ SƠ THANH TOÁN VƯỢT THẨM QUYỀN PD</v>
          </cell>
        </row>
      </sheetData>
      <sheetData sheetId="6459">
        <row r="1">
          <cell r="A1" t="str">
            <v>PHIẾU XỬ LÝ HỒ SƠ THANH TOÁN VƯỢT THẨM QUYỀN PD</v>
          </cell>
        </row>
      </sheetData>
      <sheetData sheetId="6460">
        <row r="1">
          <cell r="A1" t="str">
            <v>PHIẾU XỬ LÝ HỒ SƠ THANH TOÁN VƯỢT THẨM QUYỀN PD</v>
          </cell>
        </row>
      </sheetData>
      <sheetData sheetId="6461">
        <row r="1">
          <cell r="A1" t="str">
            <v>PHIẾU XỬ LÝ HỒ SƠ THANH TOÁN VƯỢT THẨM QUYỀN PD</v>
          </cell>
        </row>
      </sheetData>
      <sheetData sheetId="6462">
        <row r="1">
          <cell r="A1" t="str">
            <v>PHIẾU XỬ LÝ HỒ SƠ THANH TOÁN VƯỢT THẨM QUYỀN PD</v>
          </cell>
        </row>
      </sheetData>
      <sheetData sheetId="6463">
        <row r="1">
          <cell r="A1" t="str">
            <v>PHIẾU XỬ LÝ HỒ SƠ THANH TOÁN VƯỢT THẨM QUYỀN PD</v>
          </cell>
        </row>
      </sheetData>
      <sheetData sheetId="6464">
        <row r="1">
          <cell r="A1" t="str">
            <v>PHIẾU XỬ LÝ HỒ SƠ THANH TOÁN VƯỢT THẨM QUYỀN PD</v>
          </cell>
        </row>
      </sheetData>
      <sheetData sheetId="6465">
        <row r="1">
          <cell r="A1" t="str">
            <v>PHIẾU XỬ LÝ HỒ SƠ THANH TOÁN VƯỢT THẨM QUYỀN PD</v>
          </cell>
        </row>
      </sheetData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>
        <row r="1">
          <cell r="A1" t="str">
            <v>PHIẾU XỬ LÝ HỒ SƠ THANH TOÁN VƯỢT THẨM QUYỀN PD</v>
          </cell>
        </row>
      </sheetData>
      <sheetData sheetId="6473">
        <row r="1">
          <cell r="A1" t="str">
            <v>PHIẾU XỬ LÝ HỒ SƠ THANH TOÁN VƯỢT THẨM QUYỀN PD</v>
          </cell>
        </row>
      </sheetData>
      <sheetData sheetId="6474">
        <row r="1">
          <cell r="A1" t="str">
            <v>PHIẾU XỬ LÝ HỒ SƠ THANH TOÁN VƯỢT THẨM QUYỀN PD</v>
          </cell>
        </row>
      </sheetData>
      <sheetData sheetId="6475">
        <row r="1">
          <cell r="A1" t="str">
            <v>PHIẾU XỬ LÝ HỒ SƠ THANH TOÁN VƯỢT THẨM QUYỀN PD</v>
          </cell>
        </row>
      </sheetData>
      <sheetData sheetId="6476">
        <row r="1">
          <cell r="A1" t="str">
            <v>PHIẾU XỬ LÝ HỒ SƠ THANH TOÁN VƯỢT THẨM QUYỀN PD</v>
          </cell>
        </row>
      </sheetData>
      <sheetData sheetId="6477">
        <row r="1">
          <cell r="A1" t="str">
            <v>PHIẾU XỬ LÝ HỒ SƠ THANH TOÁN VƯỢT THẨM QUYỀN PD</v>
          </cell>
        </row>
      </sheetData>
      <sheetData sheetId="6478">
        <row r="1">
          <cell r="A1" t="str">
            <v>PHIẾU XỬ LÝ HỒ SƠ THANH TOÁN VƯỢT THẨM QUYỀN PD</v>
          </cell>
        </row>
      </sheetData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>
        <row r="1">
          <cell r="A1" t="str">
            <v>PHIẾU XỬ LÝ HỒ SƠ THANH TOÁN VƯỢT THẨM QUYỀN PD</v>
          </cell>
        </row>
      </sheetData>
      <sheetData sheetId="6492">
        <row r="1">
          <cell r="A1" t="str">
            <v>PHIẾU XỬ LÝ HỒ SƠ THANH TOÁN VƯỢT THẨM QUYỀN PD</v>
          </cell>
        </row>
      </sheetData>
      <sheetData sheetId="6493">
        <row r="1">
          <cell r="A1" t="str">
            <v>PHIẾU XỬ LÝ HỒ SƠ THANH TOÁN VƯỢT THẨM QUYỀN PD</v>
          </cell>
        </row>
      </sheetData>
      <sheetData sheetId="6494">
        <row r="1">
          <cell r="A1" t="str">
            <v>PHIẾU XỬ LÝ HỒ SƠ THANH TOÁN VƯỢT THẨM QUYỀN PD</v>
          </cell>
        </row>
      </sheetData>
      <sheetData sheetId="6495">
        <row r="1">
          <cell r="A1" t="str">
            <v>PHIẾU XỬ LÝ HỒ SƠ THANH TOÁN VƯỢT THẨM QUYỀN PD</v>
          </cell>
        </row>
      </sheetData>
      <sheetData sheetId="6496">
        <row r="1">
          <cell r="A1" t="str">
            <v>PHIẾU XỬ LÝ HỒ SƠ THANH TOÁN VƯỢT THẨM QUYỀN PD</v>
          </cell>
        </row>
      </sheetData>
      <sheetData sheetId="6497">
        <row r="1">
          <cell r="A1" t="str">
            <v>PHIẾU XỬ LÝ HỒ SƠ THANH TOÁN VƯỢT THẨM QUYỀN PD</v>
          </cell>
        </row>
      </sheetData>
      <sheetData sheetId="6498">
        <row r="1">
          <cell r="A1" t="str">
            <v>PHIẾU XỬ LÝ HỒ SƠ THANH TOÁN VƯỢT THẨM QUYỀN PD</v>
          </cell>
        </row>
      </sheetData>
      <sheetData sheetId="6499">
        <row r="1">
          <cell r="A1" t="str">
            <v>PHIẾU XỬ LÝ HỒ SƠ THANH TOÁN VƯỢT THẨM QUYỀN PD</v>
          </cell>
        </row>
      </sheetData>
      <sheetData sheetId="6500">
        <row r="1">
          <cell r="A1" t="str">
            <v>PHIẾU XỬ LÝ HỒ SƠ THANH TOÁN VƯỢT THẨM QUYỀN PD</v>
          </cell>
        </row>
      </sheetData>
      <sheetData sheetId="6501">
        <row r="1">
          <cell r="A1" t="str">
            <v>PHIẾU XỬ LÝ HỒ SƠ THANH TOÁN VƯỢT THẨM QUYỀN PD</v>
          </cell>
        </row>
      </sheetData>
      <sheetData sheetId="6502">
        <row r="1">
          <cell r="A1" t="str">
            <v>PHIẾU XỬ LÝ HỒ SƠ THANH TOÁN VƯỢT THẨM QUYỀN PD</v>
          </cell>
        </row>
      </sheetData>
      <sheetData sheetId="6503">
        <row r="1">
          <cell r="A1" t="str">
            <v>PHIẾU XỬ LÝ HỒ SƠ THANH TOÁN VƯỢT THẨM QUYỀN PD</v>
          </cell>
        </row>
      </sheetData>
      <sheetData sheetId="6504">
        <row r="1">
          <cell r="A1" t="str">
            <v>PHIẾU XỬ LÝ HỒ SƠ THANH TOÁN VƯỢT THẨM QUYỀN PD</v>
          </cell>
        </row>
      </sheetData>
      <sheetData sheetId="6505">
        <row r="1">
          <cell r="A1" t="str">
            <v>PHIẾU XỬ LÝ HỒ SƠ THANH TOÁN VƯỢT THẨM QUYỀN PD</v>
          </cell>
        </row>
      </sheetData>
      <sheetData sheetId="6506">
        <row r="1">
          <cell r="A1" t="str">
            <v>PHIẾU XỬ LÝ HỒ SƠ THANH TOÁN VƯỢT THẨM QUYỀN PD</v>
          </cell>
        </row>
      </sheetData>
      <sheetData sheetId="6507">
        <row r="1">
          <cell r="A1" t="str">
            <v>PHIẾU XỬ LÝ HỒ SƠ THANH TOÁN VƯỢT THẨM QUYỀN PD</v>
          </cell>
        </row>
      </sheetData>
      <sheetData sheetId="6508">
        <row r="1">
          <cell r="A1" t="str">
            <v>PHIẾU XỬ LÝ HỒ SƠ THANH TOÁN VƯỢT THẨM QUYỀN PD</v>
          </cell>
        </row>
      </sheetData>
      <sheetData sheetId="6509">
        <row r="1">
          <cell r="A1" t="str">
            <v>PHIẾU XỬ LÝ HỒ SƠ THANH TOÁN VƯỢT THẨM QUYỀN PD</v>
          </cell>
        </row>
      </sheetData>
      <sheetData sheetId="6510">
        <row r="1">
          <cell r="A1" t="str">
            <v>PHIẾU XỬ LÝ HỒ SƠ THANH TOÁN VƯỢT THẨM QUYỀN PD</v>
          </cell>
        </row>
      </sheetData>
      <sheetData sheetId="6511">
        <row r="1">
          <cell r="A1" t="str">
            <v>PHIẾU XỬ LÝ HỒ SƠ THANH TOÁN VƯỢT THẨM QUYỀN PD</v>
          </cell>
        </row>
      </sheetData>
      <sheetData sheetId="6512">
        <row r="1">
          <cell r="A1" t="str">
            <v>PHIẾU XỬ LÝ HỒ SƠ THANH TOÁN VƯỢT THẨM QUYỀN PD</v>
          </cell>
        </row>
      </sheetData>
      <sheetData sheetId="6513"/>
      <sheetData sheetId="6514"/>
      <sheetData sheetId="6515"/>
      <sheetData sheetId="6516"/>
      <sheetData sheetId="6517">
        <row r="1">
          <cell r="A1" t="str">
            <v>PHIẾU XỬ LÝ HỒ SƠ THANH TOÁN VƯỢT THẨM QUYỀN PD</v>
          </cell>
        </row>
      </sheetData>
      <sheetData sheetId="6518">
        <row r="1">
          <cell r="A1" t="str">
            <v>PHIẾU XỬ LÝ HỒ SƠ THANH TOÁN VƯỢT THẨM QUYỀN PD</v>
          </cell>
        </row>
      </sheetData>
      <sheetData sheetId="6519"/>
      <sheetData sheetId="6520"/>
      <sheetData sheetId="6521">
        <row r="1">
          <cell r="A1" t="str">
            <v>PHIẾU XỬ LÝ HỒ SƠ THANH TOÁN VƯỢT THẨM QUYỀN PD</v>
          </cell>
        </row>
      </sheetData>
      <sheetData sheetId="6522">
        <row r="1">
          <cell r="A1" t="str">
            <v>PHIẾU XỬ LÝ HỒ SƠ THANH TOÁN VƯỢT THẨM QUYỀN PD</v>
          </cell>
        </row>
      </sheetData>
      <sheetData sheetId="6523">
        <row r="1">
          <cell r="A1" t="str">
            <v>PHIẾU XỬ LÝ HỒ SƠ THANH TOÁN VƯỢT THẨM QUYỀN PD</v>
          </cell>
        </row>
      </sheetData>
      <sheetData sheetId="6524"/>
      <sheetData sheetId="6525"/>
      <sheetData sheetId="6526"/>
      <sheetData sheetId="6527"/>
      <sheetData sheetId="6528">
        <row r="1">
          <cell r="A1" t="str">
            <v>PHIẾU XỬ LÝ HỒ SƠ THANH TOÁN VƯỢT THẨM QUYỀN PD</v>
          </cell>
        </row>
      </sheetData>
      <sheetData sheetId="6529"/>
      <sheetData sheetId="6530"/>
      <sheetData sheetId="6531"/>
      <sheetData sheetId="6532">
        <row r="1">
          <cell r="A1" t="str">
            <v>PHIẾU XỬ LÝ HỒ SƠ THANH TOÁN VƯỢT THẨM QUYỀN PD</v>
          </cell>
        </row>
      </sheetData>
      <sheetData sheetId="6533"/>
      <sheetData sheetId="6534"/>
      <sheetData sheetId="6535"/>
      <sheetData sheetId="6536"/>
      <sheetData sheetId="6537"/>
      <sheetData sheetId="6538"/>
      <sheetData sheetId="6539">
        <row r="1">
          <cell r="A1" t="str">
            <v>PHIẾU XỬ LÝ HỒ SƠ THANH TOÁN VƯỢT THẨM QUYỀN PD</v>
          </cell>
        </row>
      </sheetData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>
        <row r="1">
          <cell r="A1" t="str">
            <v>PHIẾU XỬ LÝ HỒ SƠ THANH TOÁN VƯỢT THẨM QUYỀN PD</v>
          </cell>
        </row>
      </sheetData>
      <sheetData sheetId="6555">
        <row r="1">
          <cell r="A1" t="str">
            <v>PHIẾU XỬ LÝ HỒ SƠ THANH TOÁN VƯỢT THẨM QUYỀN PD</v>
          </cell>
        </row>
      </sheetData>
      <sheetData sheetId="6556">
        <row r="1">
          <cell r="A1" t="str">
            <v>PHIẾU XỬ LÝ HỒ SƠ THANH TOÁN VƯỢT THẨM QUYỀN PD</v>
          </cell>
        </row>
      </sheetData>
      <sheetData sheetId="6557"/>
      <sheetData sheetId="6558"/>
      <sheetData sheetId="6559"/>
      <sheetData sheetId="6560"/>
      <sheetData sheetId="6561">
        <row r="1">
          <cell r="A1" t="str">
            <v>PHIẾU XỬ LÝ HỒ SƠ THANH TOÁN VƯỢT THẨM QUYỀN PD</v>
          </cell>
        </row>
      </sheetData>
      <sheetData sheetId="6562"/>
      <sheetData sheetId="6563"/>
      <sheetData sheetId="6564"/>
      <sheetData sheetId="6565">
        <row r="1">
          <cell r="A1" t="str">
            <v>PHIẾU XỬ LÝ HỒ SƠ THANH TOÁN VƯỢT THẨM QUYỀN PD</v>
          </cell>
        </row>
      </sheetData>
      <sheetData sheetId="6566"/>
      <sheetData sheetId="6567">
        <row r="1">
          <cell r="A1" t="str">
            <v>PHIẾU XỬ LÝ HỒ SƠ THANH TOÁN VƯỢT THẨM QUYỀN PD</v>
          </cell>
        </row>
      </sheetData>
      <sheetData sheetId="6568">
        <row r="1">
          <cell r="A1" t="str">
            <v>PHIẾU XỬ LÝ HỒ SƠ THANH TOÁN VƯỢT THẨM QUYỀN PD</v>
          </cell>
        </row>
      </sheetData>
      <sheetData sheetId="6569">
        <row r="1">
          <cell r="A1" t="str">
            <v>PHIẾU XỬ LÝ HỒ SƠ THANH TOÁN VƯỢT THẨM QUYỀN PD</v>
          </cell>
        </row>
      </sheetData>
      <sheetData sheetId="6570"/>
      <sheetData sheetId="6571"/>
      <sheetData sheetId="6572"/>
      <sheetData sheetId="6573"/>
      <sheetData sheetId="6574">
        <row r="1">
          <cell r="A1" t="str">
            <v>PHIẾU XỬ LÝ HỒ SƠ THANH TOÁN VƯỢT THẨM QUYỀN PD</v>
          </cell>
        </row>
      </sheetData>
      <sheetData sheetId="6575"/>
      <sheetData sheetId="6576"/>
      <sheetData sheetId="6577"/>
      <sheetData sheetId="6578">
        <row r="1">
          <cell r="A1" t="str">
            <v>PHIẾU XỬ LÝ HỒ SƠ THANH TOÁN VƯỢT THẨM QUYỀN PD</v>
          </cell>
        </row>
      </sheetData>
      <sheetData sheetId="6579"/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>
        <row r="1">
          <cell r="A1" t="str">
            <v>PHIẾU XỬ LÝ HỒ SƠ THANH TOÁN VƯỢT THẨM QUYỀN PD</v>
          </cell>
        </row>
      </sheetData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>
        <row r="1">
          <cell r="A1" t="str">
            <v>PHIẾU XỬ LÝ HỒ SƠ THANH TOÁN VƯỢT THẨM QUYỀN PD</v>
          </cell>
        </row>
      </sheetData>
      <sheetData sheetId="6588">
        <row r="1">
          <cell r="A1" t="str">
            <v>PHIẾU XỬ LÝ HỒ SƠ THANH TOÁN VƯỢT THẨM QUYỀN PD</v>
          </cell>
        </row>
      </sheetData>
      <sheetData sheetId="6589">
        <row r="1">
          <cell r="A1" t="str">
            <v>PHIẾU XỬ LÝ HỒ SƠ THANH TOÁN VƯỢT THẨM QUYỀN PD</v>
          </cell>
        </row>
      </sheetData>
      <sheetData sheetId="6590">
        <row r="1">
          <cell r="A1" t="str">
            <v>PHIẾU XỬ LÝ HỒ SƠ THANH TOÁN VƯỢT THẨM QUYỀN PD</v>
          </cell>
        </row>
      </sheetData>
      <sheetData sheetId="6591">
        <row r="1">
          <cell r="A1" t="str">
            <v>PHIẾU XỬ LÝ HỒ SƠ THANH TOÁN VƯỢT THẨM QUYỀN PD</v>
          </cell>
        </row>
      </sheetData>
      <sheetData sheetId="6592">
        <row r="1">
          <cell r="A1" t="str">
            <v>PHIẾU XỬ LÝ HỒ SƠ THANH TOÁN VƯỢT THẨM QUYỀN PD</v>
          </cell>
        </row>
      </sheetData>
      <sheetData sheetId="6593">
        <row r="1">
          <cell r="A1" t="str">
            <v>PHIẾU XỬ LÝ HỒ SƠ THANH TOÁN VƯỢT THẨM QUYỀN PD</v>
          </cell>
        </row>
      </sheetData>
      <sheetData sheetId="6594"/>
      <sheetData sheetId="6595"/>
      <sheetData sheetId="6596">
        <row r="1">
          <cell r="A1" t="str">
            <v>PHIẾU XỬ LÝ HỒ SƠ THANH TOÁN VƯỢT THẨM QUYỀN PD</v>
          </cell>
        </row>
      </sheetData>
      <sheetData sheetId="6597"/>
      <sheetData sheetId="6598">
        <row r="1">
          <cell r="A1" t="str">
            <v>PHIẾU XỬ LÝ HỒ SƠ THANH TOÁN VƯỢT THẨM QUYỀN PD</v>
          </cell>
        </row>
      </sheetData>
      <sheetData sheetId="6599"/>
      <sheetData sheetId="6600">
        <row r="1">
          <cell r="A1" t="str">
            <v>PHIẾU XỬ LÝ HỒ SƠ THANH TOÁN VƯỢT THẨM QUYỀN PD</v>
          </cell>
        </row>
      </sheetData>
      <sheetData sheetId="6601"/>
      <sheetData sheetId="6602">
        <row r="1">
          <cell r="A1" t="str">
            <v>PHIẾU XỬ LÝ HỒ SƠ THANH TOÁN VƯỢT THẨM QUYỀN PD</v>
          </cell>
        </row>
      </sheetData>
      <sheetData sheetId="6603">
        <row r="1">
          <cell r="A1" t="str">
            <v>PHIẾU XỬ LÝ HỒ SƠ THANH TOÁN VƯỢT THẨM QUYỀN PD</v>
          </cell>
        </row>
      </sheetData>
      <sheetData sheetId="6604">
        <row r="1">
          <cell r="A1" t="str">
            <v>PHIẾU XỬ LÝ HỒ SƠ THANH TOÁN VƯỢT THẨM QUYỀN PD</v>
          </cell>
        </row>
      </sheetData>
      <sheetData sheetId="6605">
        <row r="1">
          <cell r="A1" t="str">
            <v>PHIẾU XỬ LÝ HỒ SƠ THANH TOÁN VƯỢT THẨM QUYỀN PD</v>
          </cell>
        </row>
      </sheetData>
      <sheetData sheetId="6606">
        <row r="1">
          <cell r="A1" t="str">
            <v>PHIẾU XỬ LÝ HỒ SƠ THANH TOÁN VƯỢT THẨM QUYỀN PD</v>
          </cell>
        </row>
      </sheetData>
      <sheetData sheetId="6607">
        <row r="1">
          <cell r="A1" t="str">
            <v>PHIẾU XỬ LÝ HỒ SƠ THANH TOÁN VƯỢT THẨM QUYỀN PD</v>
          </cell>
        </row>
      </sheetData>
      <sheetData sheetId="6608"/>
      <sheetData sheetId="6609"/>
      <sheetData sheetId="6610"/>
      <sheetData sheetId="6611">
        <row r="1">
          <cell r="A1" t="str">
            <v>PHIẾU XỬ LÝ HỒ SƠ THANH TOÁN VƯỢT THẨM QUYỀN PD</v>
          </cell>
        </row>
      </sheetData>
      <sheetData sheetId="6612">
        <row r="1">
          <cell r="A1" t="str">
            <v>PHIẾU XỬ LÝ HỒ SƠ THANH TOÁN VƯỢT THẨM QUYỀN PD</v>
          </cell>
        </row>
      </sheetData>
      <sheetData sheetId="6613"/>
      <sheetData sheetId="6614">
        <row r="1">
          <cell r="A1" t="str">
            <v>PHIẾU XỬ LÝ HỒ SƠ THANH TOÁN VƯỢT THẨM QUYỀN PD</v>
          </cell>
        </row>
      </sheetData>
      <sheetData sheetId="6615">
        <row r="1">
          <cell r="A1" t="str">
            <v>PHIẾU XỬ LÝ HỒ SƠ THANH TOÁN VƯỢT THẨM QUYỀN PD</v>
          </cell>
        </row>
      </sheetData>
      <sheetData sheetId="6616">
        <row r="1">
          <cell r="A1" t="str">
            <v>PHIẾU XỬ LÝ HỒ SƠ THANH TOÁN VƯỢT THẨM QUYỀN PD</v>
          </cell>
        </row>
      </sheetData>
      <sheetData sheetId="6617">
        <row r="1">
          <cell r="A1" t="str">
            <v>PHIẾU XỬ LÝ HỒ SƠ THANH TOÁN VƯỢT THẨM QUYỀN PD</v>
          </cell>
        </row>
      </sheetData>
      <sheetData sheetId="6618">
        <row r="1">
          <cell r="A1" t="str">
            <v>PHIẾU XỬ LÝ HỒ SƠ THANH TOÁN VƯỢT THẨM QUYỀN PD</v>
          </cell>
        </row>
      </sheetData>
      <sheetData sheetId="6619">
        <row r="1">
          <cell r="A1" t="str">
            <v>PHIẾU XỬ LÝ HỒ SƠ THANH TOÁN VƯỢT THẨM QUYỀN PD</v>
          </cell>
        </row>
      </sheetData>
      <sheetData sheetId="6620">
        <row r="1">
          <cell r="A1" t="str">
            <v>PHIẾU XỬ LÝ HỒ SƠ THANH TOÁN VƯỢT THẨM QUYỀN PD</v>
          </cell>
        </row>
      </sheetData>
      <sheetData sheetId="6621">
        <row r="1">
          <cell r="A1" t="str">
            <v>PHIẾU XỬ LÝ HỒ SƠ THANH TOÁN VƯỢT THẨM QUYỀN PD</v>
          </cell>
        </row>
      </sheetData>
      <sheetData sheetId="6622">
        <row r="1">
          <cell r="A1" t="str">
            <v>PHIẾU XỬ LÝ HỒ SƠ THANH TOÁN VƯỢT THẨM QUYỀN PD</v>
          </cell>
        </row>
      </sheetData>
      <sheetData sheetId="6623">
        <row r="1">
          <cell r="A1" t="str">
            <v>PHIẾU XỬ LÝ HỒ SƠ THANH TOÁN VƯỢT THẨM QUYỀN PD</v>
          </cell>
        </row>
      </sheetData>
      <sheetData sheetId="6624">
        <row r="1">
          <cell r="A1" t="str">
            <v>PHIẾU XỬ LÝ HỒ SƠ THANH TOÁN VƯỢT THẨM QUYỀN PD</v>
          </cell>
        </row>
      </sheetData>
      <sheetData sheetId="6625">
        <row r="1">
          <cell r="A1" t="str">
            <v>PHIẾU XỬ LÝ HỒ SƠ THANH TOÁN VƯỢT THẨM QUYỀN PD</v>
          </cell>
        </row>
      </sheetData>
      <sheetData sheetId="6626">
        <row r="1">
          <cell r="A1" t="str">
            <v>PHIẾU XỬ LÝ HỒ SƠ THANH TOÁN VƯỢT THẨM QUYỀN PD</v>
          </cell>
        </row>
      </sheetData>
      <sheetData sheetId="6627"/>
      <sheetData sheetId="6628"/>
      <sheetData sheetId="6629">
        <row r="1">
          <cell r="A1" t="str">
            <v>PHIẾU XỬ LÝ HỒ SƠ THANH TOÁN VƯỢT THẨM QUYỀN PD</v>
          </cell>
        </row>
      </sheetData>
      <sheetData sheetId="6630">
        <row r="1">
          <cell r="A1" t="str">
            <v>PHIẾU XỬ LÝ HỒ SƠ THANH TOÁN VƯỢT THẨM QUYỀN PD</v>
          </cell>
        </row>
      </sheetData>
      <sheetData sheetId="6631">
        <row r="1">
          <cell r="A1" t="str">
            <v>PHIẾU XỬ LÝ HỒ SƠ THANH TOÁN VƯỢT THẨM QUYỀN PD</v>
          </cell>
        </row>
      </sheetData>
      <sheetData sheetId="6632">
        <row r="1">
          <cell r="A1" t="str">
            <v>PHIẾU XỬ LÝ HỒ SƠ THANH TOÁN VƯỢT THẨM QUYỀN PD</v>
          </cell>
        </row>
      </sheetData>
      <sheetData sheetId="6633">
        <row r="1">
          <cell r="A1" t="str">
            <v>PHIẾU XỬ LÝ HỒ SƠ THANH TOÁN VƯỢT THẨM QUYỀN PD</v>
          </cell>
        </row>
      </sheetData>
      <sheetData sheetId="6634">
        <row r="1">
          <cell r="A1" t="str">
            <v>PHIẾU XỬ LÝ HỒ SƠ THANH TOÁN VƯỢT THẨM QUYỀN PD</v>
          </cell>
        </row>
      </sheetData>
      <sheetData sheetId="6635">
        <row r="1">
          <cell r="A1" t="str">
            <v>PHIẾU XỬ LÝ HỒ SƠ THANH TOÁN VƯỢT THẨM QUYỀN PD</v>
          </cell>
        </row>
      </sheetData>
      <sheetData sheetId="6636">
        <row r="1">
          <cell r="A1" t="str">
            <v>PHIẾU XỬ LÝ HỒ SƠ THANH TOÁN VƯỢT THẨM QUYỀN PD</v>
          </cell>
        </row>
      </sheetData>
      <sheetData sheetId="6637">
        <row r="1">
          <cell r="A1" t="str">
            <v>PHIẾU XỬ LÝ HỒ SƠ THANH TOÁN VƯỢT THẨM QUYỀN PD</v>
          </cell>
        </row>
      </sheetData>
      <sheetData sheetId="6638">
        <row r="1">
          <cell r="A1" t="str">
            <v>PHIẾU XỬ LÝ HỒ SƠ THANH TOÁN VƯỢT THẨM QUYỀN PD</v>
          </cell>
        </row>
      </sheetData>
      <sheetData sheetId="6639">
        <row r="1">
          <cell r="A1" t="str">
            <v>PHIẾU XỬ LÝ HỒ SƠ THANH TOÁN VƯỢT THẨM QUYỀN PD</v>
          </cell>
        </row>
      </sheetData>
      <sheetData sheetId="6640">
        <row r="1">
          <cell r="A1" t="str">
            <v>PHIẾU XỬ LÝ HỒ SƠ THANH TOÁN VƯỢT THẨM QUYỀN PD</v>
          </cell>
        </row>
      </sheetData>
      <sheetData sheetId="6641"/>
      <sheetData sheetId="6642">
        <row r="1">
          <cell r="A1" t="str">
            <v>PHIẾU XỬ LÝ HỒ SƠ THANH TOÁN VƯỢT THẨM QUYỀN PD</v>
          </cell>
        </row>
      </sheetData>
      <sheetData sheetId="6643"/>
      <sheetData sheetId="6644">
        <row r="1">
          <cell r="A1" t="str">
            <v>PHIẾU XỬ LÝ HỒ SƠ THANH TOÁN VƯỢT THẨM QUYỀN PD</v>
          </cell>
        </row>
      </sheetData>
      <sheetData sheetId="6645">
        <row r="1">
          <cell r="A1" t="str">
            <v>PHIẾU XỬ LÝ HỒ SƠ THANH TOÁN VƯỢT THẨM QUYỀN PD</v>
          </cell>
        </row>
      </sheetData>
      <sheetData sheetId="6646"/>
      <sheetData sheetId="6647">
        <row r="1">
          <cell r="A1" t="str">
            <v>PHIẾU XỬ LÝ HỒ SƠ THANH TOÁN VƯỢT THẨM QUYỀN PD</v>
          </cell>
        </row>
      </sheetData>
      <sheetData sheetId="6648">
        <row r="1">
          <cell r="A1" t="str">
            <v>PHIẾU XỬ LÝ HỒ SƠ THANH TOÁN VƯỢT THẨM QUYỀN PD</v>
          </cell>
        </row>
      </sheetData>
      <sheetData sheetId="6649">
        <row r="1">
          <cell r="A1" t="str">
            <v>PHIẾU XỬ LÝ HỒ SƠ THANH TOÁN VƯỢT THẨM QUYỀN PD</v>
          </cell>
        </row>
      </sheetData>
      <sheetData sheetId="6650">
        <row r="1">
          <cell r="A1" t="str">
            <v>PHIẾU XỬ LÝ HỒ SƠ THANH TOÁN VƯỢT THẨM QUYỀN PD</v>
          </cell>
        </row>
      </sheetData>
      <sheetData sheetId="6651">
        <row r="1">
          <cell r="A1" t="str">
            <v>PHIẾU XỬ LÝ HỒ SƠ THANH TOÁN VƯỢT THẨM QUYỀN PD</v>
          </cell>
        </row>
      </sheetData>
      <sheetData sheetId="6652">
        <row r="1">
          <cell r="A1" t="str">
            <v>PHIẾU XỬ LÝ HỒ SƠ THANH TOÁN VƯỢT THẨM QUYỀN PD</v>
          </cell>
        </row>
      </sheetData>
      <sheetData sheetId="6653">
        <row r="1">
          <cell r="A1" t="str">
            <v>PHIẾU XỬ LÝ HỒ SƠ THANH TOÁN VƯỢT THẨM QUYỀN PD</v>
          </cell>
        </row>
      </sheetData>
      <sheetData sheetId="6654">
        <row r="1">
          <cell r="A1" t="str">
            <v>PHIẾU XỬ LÝ HỒ SƠ THANH TOÁN VƯỢT THẨM QUYỀN PD</v>
          </cell>
        </row>
      </sheetData>
      <sheetData sheetId="6655">
        <row r="1">
          <cell r="A1" t="str">
            <v>PHIẾU XỬ LÝ HỒ SƠ THANH TOÁN VƯỢT THẨM QUYỀN PD</v>
          </cell>
        </row>
      </sheetData>
      <sheetData sheetId="6656">
        <row r="1">
          <cell r="A1" t="str">
            <v>PHIẾU XỬ LÝ HỒ SƠ THANH TOÁN VƯỢT THẨM QUYỀN PD</v>
          </cell>
        </row>
      </sheetData>
      <sheetData sheetId="6657">
        <row r="1">
          <cell r="A1" t="str">
            <v>PHIẾU XỬ LÝ HỒ SƠ THANH TOÁN VƯỢT THẨM QUYỀN PD</v>
          </cell>
        </row>
      </sheetData>
      <sheetData sheetId="6658">
        <row r="1">
          <cell r="A1" t="str">
            <v>PHIẾU XỬ LÝ HỒ SƠ THANH TOÁN VƯỢT THẨM QUYỀN PD</v>
          </cell>
        </row>
      </sheetData>
      <sheetData sheetId="6659">
        <row r="1">
          <cell r="A1" t="str">
            <v>PHIẾU XỬ LÝ HỒ SƠ THANH TOÁN VƯỢT THẨM QUYỀN PD</v>
          </cell>
        </row>
      </sheetData>
      <sheetData sheetId="6660">
        <row r="1">
          <cell r="A1" t="str">
            <v>PHIẾU XỬ LÝ HỒ SƠ THANH TOÁN VƯỢT THẨM QUYỀN PD</v>
          </cell>
        </row>
      </sheetData>
      <sheetData sheetId="6661">
        <row r="1">
          <cell r="A1" t="str">
            <v>PHIẾU XỬ LÝ HỒ SƠ THANH TOÁN VƯỢT THẨM QUYỀN PD</v>
          </cell>
        </row>
      </sheetData>
      <sheetData sheetId="6662">
        <row r="1">
          <cell r="A1" t="str">
            <v>PHIẾU XỬ LÝ HỒ SƠ THANH TOÁN VƯỢT THẨM QUYỀN PD</v>
          </cell>
        </row>
      </sheetData>
      <sheetData sheetId="6663">
        <row r="1">
          <cell r="A1" t="str">
            <v>PHIẾU XỬ LÝ HỒ SƠ THANH TOÁN VƯỢT THẨM QUYỀN PD</v>
          </cell>
        </row>
      </sheetData>
      <sheetData sheetId="6664">
        <row r="1">
          <cell r="A1" t="str">
            <v>PHIẾU XỬ LÝ HỒ SƠ THANH TOÁN VƯỢT THẨM QUYỀN PD</v>
          </cell>
        </row>
      </sheetData>
      <sheetData sheetId="6665">
        <row r="1">
          <cell r="A1" t="str">
            <v>PHIẾU XỬ LÝ HỒ SƠ THANH TOÁN VƯỢT THẨM QUYỀN PD</v>
          </cell>
        </row>
      </sheetData>
      <sheetData sheetId="6666">
        <row r="1">
          <cell r="A1" t="str">
            <v>PHIẾU XỬ LÝ HỒ SƠ THANH TOÁN VƯỢT THẨM QUYỀN PD</v>
          </cell>
        </row>
      </sheetData>
      <sheetData sheetId="6667">
        <row r="1">
          <cell r="A1" t="str">
            <v>PHIẾU XỬ LÝ HỒ SƠ THANH TOÁN VƯỢT THẨM QUYỀN PD</v>
          </cell>
        </row>
      </sheetData>
      <sheetData sheetId="6668">
        <row r="1">
          <cell r="A1" t="str">
            <v>PHIẾU XỬ LÝ HỒ SƠ THANH TOÁN VƯỢT THẨM QUYỀN PD</v>
          </cell>
        </row>
      </sheetData>
      <sheetData sheetId="6669">
        <row r="1">
          <cell r="A1" t="str">
            <v>PHIẾU XỬ LÝ HỒ SƠ THANH TOÁN VƯỢT THẨM QUYỀN PD</v>
          </cell>
        </row>
      </sheetData>
      <sheetData sheetId="6670">
        <row r="1">
          <cell r="A1" t="str">
            <v>PHIẾU XỬ LÝ HỒ SƠ THANH TOÁN VƯỢT THẨM QUYỀN PD</v>
          </cell>
        </row>
      </sheetData>
      <sheetData sheetId="6671"/>
      <sheetData sheetId="6672">
        <row r="1">
          <cell r="A1" t="str">
            <v>PHIẾU XỬ LÝ HỒ SƠ THANH TOÁN VƯỢT THẨM QUYỀN PD</v>
          </cell>
        </row>
      </sheetData>
      <sheetData sheetId="6673">
        <row r="1">
          <cell r="A1" t="str">
            <v>PHIẾU XỬ LÝ HỒ SƠ THANH TOÁN VƯỢT THẨM QUYỀN PD</v>
          </cell>
        </row>
      </sheetData>
      <sheetData sheetId="6674"/>
      <sheetData sheetId="6675"/>
      <sheetData sheetId="6676">
        <row r="1">
          <cell r="A1" t="str">
            <v>PHIẾU XỬ LÝ HỒ SƠ THANH TOÁN VƯỢT THẨM QUYỀN PD</v>
          </cell>
        </row>
      </sheetData>
      <sheetData sheetId="6677">
        <row r="1">
          <cell r="A1" t="str">
            <v>PHIẾU XỬ LÝ HỒ SƠ THANH TOÁN VƯỢT THẨM QUYỀN PD</v>
          </cell>
        </row>
      </sheetData>
      <sheetData sheetId="6678">
        <row r="1">
          <cell r="A1" t="str">
            <v>PHIẾU XỬ LÝ HỒ SƠ THANH TOÁN VƯỢT THẨM QUYỀN PD</v>
          </cell>
        </row>
      </sheetData>
      <sheetData sheetId="6679">
        <row r="1">
          <cell r="A1" t="str">
            <v>PHIẾU XỬ LÝ HỒ SƠ THANH TOÁN VƯỢT THẨM QUYỀN PD</v>
          </cell>
        </row>
      </sheetData>
      <sheetData sheetId="6680">
        <row r="1">
          <cell r="A1" t="str">
            <v>PHIẾU XỬ LÝ HỒ SƠ THANH TOÁN VƯỢT THẨM QUYỀN PD</v>
          </cell>
        </row>
      </sheetData>
      <sheetData sheetId="6681">
        <row r="1">
          <cell r="A1" t="str">
            <v>PHIẾU XỬ LÝ HỒ SƠ THANH TOÁN VƯỢT THẨM QUYỀN PD</v>
          </cell>
        </row>
      </sheetData>
      <sheetData sheetId="6682">
        <row r="1">
          <cell r="A1" t="str">
            <v>PHIẾU XỬ LÝ HỒ SƠ THANH TOÁN VƯỢT THẨM QUYỀN PD</v>
          </cell>
        </row>
      </sheetData>
      <sheetData sheetId="6683">
        <row r="1">
          <cell r="A1" t="str">
            <v>PHIẾU XỬ LÝ HỒ SƠ THANH TOÁN VƯỢT THẨM QUYỀN PD</v>
          </cell>
        </row>
      </sheetData>
      <sheetData sheetId="6684">
        <row r="1">
          <cell r="A1" t="str">
            <v>PHIẾU XỬ LÝ HỒ SƠ THANH TOÁN VƯỢT THẨM QUYỀN PD</v>
          </cell>
        </row>
      </sheetData>
      <sheetData sheetId="6685">
        <row r="1">
          <cell r="A1" t="str">
            <v>PHIẾU XỬ LÝ HỒ SƠ THANH TOÁN VƯỢT THẨM QUYỀN PD</v>
          </cell>
        </row>
      </sheetData>
      <sheetData sheetId="6686">
        <row r="1">
          <cell r="A1" t="str">
            <v>PHIẾU XỬ LÝ HỒ SƠ THANH TOÁN VƯỢT THẨM QUYỀN PD</v>
          </cell>
        </row>
      </sheetData>
      <sheetData sheetId="6687">
        <row r="1">
          <cell r="A1" t="str">
            <v>PHIẾU XỬ LÝ HỒ SƠ THANH TOÁN VƯỢT THẨM QUYỀN PD</v>
          </cell>
        </row>
      </sheetData>
      <sheetData sheetId="6688">
        <row r="1">
          <cell r="A1" t="str">
            <v>PHIẾU XỬ LÝ HỒ SƠ THANH TOÁN VƯỢT THẨM QUYỀN PD</v>
          </cell>
        </row>
      </sheetData>
      <sheetData sheetId="6689"/>
      <sheetData sheetId="6690">
        <row r="1">
          <cell r="A1" t="str">
            <v>PHIẾU XỬ LÝ HỒ SƠ THANH TOÁN VƯỢT THẨM QUYỀN PD</v>
          </cell>
        </row>
      </sheetData>
      <sheetData sheetId="6691">
        <row r="1">
          <cell r="A1" t="str">
            <v>PHIẾU XỬ LÝ HỒ SƠ THANH TOÁN VƯỢT THẨM QUYỀN PD</v>
          </cell>
        </row>
      </sheetData>
      <sheetData sheetId="6692"/>
      <sheetData sheetId="6693">
        <row r="1">
          <cell r="A1" t="str">
            <v>PHIẾU XỬ LÝ HỒ SƠ THANH TOÁN VƯỢT THẨM QUYỀN PD</v>
          </cell>
        </row>
      </sheetData>
      <sheetData sheetId="6694">
        <row r="1">
          <cell r="A1" t="str">
            <v>PHIẾU XỬ LÝ HỒ SƠ THANH TOÁN VƯỢT THẨM QUYỀN PD</v>
          </cell>
        </row>
      </sheetData>
      <sheetData sheetId="6695">
        <row r="1">
          <cell r="A1" t="str">
            <v>PHIẾU XỬ LÝ HỒ SƠ THANH TOÁN VƯỢT THẨM QUYỀN PD</v>
          </cell>
        </row>
      </sheetData>
      <sheetData sheetId="6696">
        <row r="1">
          <cell r="A1" t="str">
            <v>PHIẾU XỬ LÝ HỒ SƠ THANH TOÁN VƯỢT THẨM QUYỀN PD</v>
          </cell>
        </row>
      </sheetData>
      <sheetData sheetId="6697">
        <row r="1">
          <cell r="A1" t="str">
            <v>PHIẾU XỬ LÝ HỒ SƠ THANH TOÁN VƯỢT THẨM QUYỀN PD</v>
          </cell>
        </row>
      </sheetData>
      <sheetData sheetId="6698">
        <row r="1">
          <cell r="A1" t="str">
            <v>PHIẾU XỬ LÝ HỒ SƠ THANH TOÁN VƯỢT THẨM QUYỀN PD</v>
          </cell>
        </row>
      </sheetData>
      <sheetData sheetId="6699">
        <row r="1">
          <cell r="A1" t="str">
            <v>PHIẾU XỬ LÝ HỒ SƠ THANH TOÁN VƯỢT THẨM QUYỀN PD</v>
          </cell>
        </row>
      </sheetData>
      <sheetData sheetId="6700">
        <row r="1">
          <cell r="A1" t="str">
            <v>PHIẾU XỬ LÝ HỒ SƠ THANH TOÁN VƯỢT THẨM QUYỀN PD</v>
          </cell>
        </row>
      </sheetData>
      <sheetData sheetId="6701">
        <row r="1">
          <cell r="A1" t="str">
            <v>PHIẾU XỬ LÝ HỒ SƠ THANH TOÁN VƯỢT THẨM QUYỀN PD</v>
          </cell>
        </row>
      </sheetData>
      <sheetData sheetId="6702">
        <row r="1">
          <cell r="A1" t="str">
            <v>PHIẾU XỬ LÝ HỒ SƠ THANH TOÁN VƯỢT THẨM QUYỀN PD</v>
          </cell>
        </row>
      </sheetData>
      <sheetData sheetId="6703">
        <row r="1">
          <cell r="A1" t="str">
            <v>PHIẾU XỬ LÝ HỒ SƠ THANH TOÁN VƯỢT THẨM QUYỀN PD</v>
          </cell>
        </row>
      </sheetData>
      <sheetData sheetId="6704">
        <row r="1">
          <cell r="A1" t="str">
            <v>PHIẾU XỬ LÝ HỒ SƠ THANH TOÁN VƯỢT THẨM QUYỀN PD</v>
          </cell>
        </row>
      </sheetData>
      <sheetData sheetId="6705">
        <row r="1">
          <cell r="A1" t="str">
            <v>PHIẾU XỬ LÝ HỒ SƠ THANH TOÁN VƯỢT THẨM QUYỀN PD</v>
          </cell>
        </row>
      </sheetData>
      <sheetData sheetId="6706">
        <row r="1">
          <cell r="A1" t="str">
            <v>PHIẾU XỬ LÝ HỒ SƠ THANH TOÁN VƯỢT THẨM QUYỀN PD</v>
          </cell>
        </row>
      </sheetData>
      <sheetData sheetId="6707">
        <row r="1">
          <cell r="A1" t="str">
            <v>PHIẾU XỬ LÝ HỒ SƠ THANH TOÁN VƯỢT THẨM QUYỀN PD</v>
          </cell>
        </row>
      </sheetData>
      <sheetData sheetId="6708">
        <row r="1">
          <cell r="A1" t="str">
            <v>PHIẾU XỬ LÝ HỒ SƠ THANH TOÁN VƯỢT THẨM QUYỀN PD</v>
          </cell>
        </row>
      </sheetData>
      <sheetData sheetId="6709">
        <row r="1">
          <cell r="A1" t="str">
            <v>PHIẾU XỬ LÝ HỒ SƠ THANH TOÁN VƯỢT THẨM QUYỀN PD</v>
          </cell>
        </row>
      </sheetData>
      <sheetData sheetId="6710">
        <row r="1">
          <cell r="A1" t="str">
            <v>PHIẾU XỬ LÝ HỒ SƠ THANH TOÁN VƯỢT THẨM QUYỀN PD</v>
          </cell>
        </row>
      </sheetData>
      <sheetData sheetId="6711">
        <row r="1">
          <cell r="A1" t="str">
            <v>PHIẾU XỬ LÝ HỒ SƠ THANH TOÁN VƯỢT THẨM QUYỀN PD</v>
          </cell>
        </row>
      </sheetData>
      <sheetData sheetId="6712">
        <row r="1">
          <cell r="A1" t="str">
            <v>PHIẾU XỬ LÝ HỒ SƠ THANH TOÁN VƯỢT THẨM QUYỀN PD</v>
          </cell>
        </row>
      </sheetData>
      <sheetData sheetId="6713">
        <row r="1">
          <cell r="A1" t="str">
            <v>PHIẾU XỬ LÝ HỒ SƠ THANH TOÁN VƯỢT THẨM QUYỀN PD</v>
          </cell>
        </row>
      </sheetData>
      <sheetData sheetId="6714">
        <row r="1">
          <cell r="A1" t="str">
            <v>PHIẾU XỬ LÝ HỒ SƠ THANH TOÁN VƯỢT THẨM QUYỀN PD</v>
          </cell>
        </row>
      </sheetData>
      <sheetData sheetId="6715">
        <row r="1">
          <cell r="A1" t="str">
            <v>PHIẾU XỬ LÝ HỒ SƠ THANH TOÁN VƯỢT THẨM QUYỀN PD</v>
          </cell>
        </row>
      </sheetData>
      <sheetData sheetId="6716">
        <row r="1">
          <cell r="A1" t="str">
            <v>PHIẾU XỬ LÝ HỒ SƠ THANH TOÁN VƯỢT THẨM QUYỀN PD</v>
          </cell>
        </row>
      </sheetData>
      <sheetData sheetId="6717">
        <row r="1">
          <cell r="A1" t="str">
            <v>PHIẾU XỬ LÝ HỒ SƠ THANH TOÁN VƯỢT THẨM QUYỀN PD</v>
          </cell>
        </row>
      </sheetData>
      <sheetData sheetId="6718">
        <row r="1">
          <cell r="A1" t="str">
            <v>PHIẾU XỬ LÝ HỒ SƠ THANH TOÁN VƯỢT THẨM QUYỀN PD</v>
          </cell>
        </row>
      </sheetData>
      <sheetData sheetId="6719">
        <row r="1">
          <cell r="A1" t="str">
            <v>PHIẾU XỬ LÝ HỒ SƠ THANH TOÁN VƯỢT THẨM QUYỀN PD</v>
          </cell>
        </row>
      </sheetData>
      <sheetData sheetId="6720">
        <row r="1">
          <cell r="A1" t="str">
            <v>PHIẾU XỬ LÝ HỒ SƠ THANH TOÁN VƯỢT THẨM QUYỀN PD</v>
          </cell>
        </row>
      </sheetData>
      <sheetData sheetId="6721">
        <row r="1">
          <cell r="A1" t="str">
            <v>PHIẾU XỬ LÝ HỒ SƠ THANH TOÁN VƯỢT THẨM QUYỀN PD</v>
          </cell>
        </row>
      </sheetData>
      <sheetData sheetId="6722">
        <row r="1">
          <cell r="A1" t="str">
            <v>PHIẾU XỬ LÝ HỒ SƠ THANH TOÁN VƯỢT THẨM QUYỀN PD</v>
          </cell>
        </row>
      </sheetData>
      <sheetData sheetId="6723">
        <row r="1">
          <cell r="A1" t="str">
            <v>PHIẾU XỬ LÝ HỒ SƠ THANH TOÁN VƯỢT THẨM QUYỀN PD</v>
          </cell>
        </row>
      </sheetData>
      <sheetData sheetId="6724">
        <row r="1">
          <cell r="A1" t="str">
            <v>PHIẾU XỬ LÝ HỒ SƠ THANH TOÁN VƯỢT THẨM QUYỀN PD</v>
          </cell>
        </row>
      </sheetData>
      <sheetData sheetId="6725">
        <row r="1">
          <cell r="A1" t="str">
            <v>PHIẾU XỬ LÝ HỒ SƠ THANH TOÁN VƯỢT THẨM QUYỀN PD</v>
          </cell>
        </row>
      </sheetData>
      <sheetData sheetId="6726">
        <row r="1">
          <cell r="A1" t="str">
            <v>PHIẾU XỬ LÝ HỒ SƠ THANH TOÁN VƯỢT THẨM QUYỀN PD</v>
          </cell>
        </row>
      </sheetData>
      <sheetData sheetId="6727">
        <row r="1">
          <cell r="A1" t="str">
            <v>PHIẾU XỬ LÝ HỒ SƠ THANH TOÁN VƯỢT THẨM QUYỀN PD</v>
          </cell>
        </row>
      </sheetData>
      <sheetData sheetId="6728">
        <row r="1">
          <cell r="A1" t="str">
            <v>PHIẾU XỬ LÝ HỒ SƠ THANH TOÁN VƯỢT THẨM QUYỀN PD</v>
          </cell>
        </row>
      </sheetData>
      <sheetData sheetId="6729">
        <row r="1">
          <cell r="A1" t="str">
            <v>PHIẾU XỬ LÝ HỒ SƠ THANH TOÁN VƯỢT THẨM QUYỀN PD</v>
          </cell>
        </row>
      </sheetData>
      <sheetData sheetId="6730">
        <row r="1">
          <cell r="A1" t="str">
            <v>PHIẾU XỬ LÝ HỒ SƠ THANH TOÁN VƯỢT THẨM QUYỀN PD</v>
          </cell>
        </row>
      </sheetData>
      <sheetData sheetId="6731">
        <row r="1">
          <cell r="A1" t="str">
            <v>PHIẾU XỬ LÝ HỒ SƠ THANH TOÁN VƯỢT THẨM QUYỀN PD</v>
          </cell>
        </row>
      </sheetData>
      <sheetData sheetId="6732">
        <row r="1">
          <cell r="A1" t="str">
            <v>PHIẾU XỬ LÝ HỒ SƠ THANH TOÁN VƯỢT THẨM QUYỀN PD</v>
          </cell>
        </row>
      </sheetData>
      <sheetData sheetId="6733">
        <row r="1">
          <cell r="A1" t="str">
            <v>PHIẾU XỬ LÝ HỒ SƠ THANH TOÁN VƯỢT THẨM QUYỀN PD</v>
          </cell>
        </row>
      </sheetData>
      <sheetData sheetId="6734">
        <row r="1">
          <cell r="A1" t="str">
            <v>PHIẾU XỬ LÝ HỒ SƠ THANH TOÁN VƯỢT THẨM QUYỀN PD</v>
          </cell>
        </row>
      </sheetData>
      <sheetData sheetId="6735">
        <row r="1">
          <cell r="A1" t="str">
            <v>PHIẾU XỬ LÝ HỒ SƠ THANH TOÁN VƯỢT THẨM QUYỀN PD</v>
          </cell>
        </row>
      </sheetData>
      <sheetData sheetId="6736">
        <row r="1">
          <cell r="A1" t="str">
            <v>PHIẾU XỬ LÝ HỒ SƠ THANH TOÁN VƯỢT THẨM QUYỀN PD</v>
          </cell>
        </row>
      </sheetData>
      <sheetData sheetId="6737">
        <row r="1">
          <cell r="A1" t="str">
            <v>PHIẾU XỬ LÝ HỒ SƠ THANH TOÁN VƯỢT THẨM QUYỀN PD</v>
          </cell>
        </row>
      </sheetData>
      <sheetData sheetId="6738">
        <row r="1">
          <cell r="A1" t="str">
            <v>PHIẾU XỬ LÝ HỒ SƠ THANH TOÁN VƯỢT THẨM QUYỀN PD</v>
          </cell>
        </row>
      </sheetData>
      <sheetData sheetId="6739">
        <row r="1">
          <cell r="A1" t="str">
            <v>PHIẾU XỬ LÝ HỒ SƠ THANH TOÁN VƯỢT THẨM QUYỀN PD</v>
          </cell>
        </row>
      </sheetData>
      <sheetData sheetId="6740">
        <row r="1">
          <cell r="A1" t="str">
            <v>PHIẾU XỬ LÝ HỒ SƠ THANH TOÁN VƯỢT THẨM QUYỀN PD</v>
          </cell>
        </row>
      </sheetData>
      <sheetData sheetId="6741">
        <row r="1">
          <cell r="A1" t="str">
            <v>PHIẾU XỬ LÝ HỒ SƠ THANH TOÁN VƯỢT THẨM QUYỀN PD</v>
          </cell>
        </row>
      </sheetData>
      <sheetData sheetId="6742">
        <row r="1">
          <cell r="A1" t="str">
            <v>PHIẾU XỬ LÝ HỒ SƠ THANH TOÁN VƯỢT THẨM QUYỀN PD</v>
          </cell>
        </row>
      </sheetData>
      <sheetData sheetId="6743">
        <row r="1">
          <cell r="A1" t="str">
            <v>PHIẾU XỬ LÝ HỒ SƠ THANH TOÁN VƯỢT THẨM QUYỀN PD</v>
          </cell>
        </row>
      </sheetData>
      <sheetData sheetId="6744">
        <row r="1">
          <cell r="A1" t="str">
            <v>PHIẾU XỬ LÝ HỒ SƠ THANH TOÁN VƯỢT THẨM QUYỀN PD</v>
          </cell>
        </row>
      </sheetData>
      <sheetData sheetId="6745">
        <row r="1">
          <cell r="A1" t="str">
            <v>PHIẾU XỬ LÝ HỒ SƠ THANH TOÁN VƯỢT THẨM QUYỀN PD</v>
          </cell>
        </row>
      </sheetData>
      <sheetData sheetId="6746">
        <row r="1">
          <cell r="A1" t="str">
            <v>PHIẾU XỬ LÝ HỒ SƠ THANH TOÁN VƯỢT THẨM QUYỀN PD</v>
          </cell>
        </row>
      </sheetData>
      <sheetData sheetId="6747">
        <row r="1">
          <cell r="A1" t="str">
            <v>PHIẾU XỬ LÝ HỒ SƠ THANH TOÁN VƯỢT THẨM QUYỀN PD</v>
          </cell>
        </row>
      </sheetData>
      <sheetData sheetId="6748">
        <row r="1">
          <cell r="A1" t="str">
            <v>PHIẾU XỬ LÝ HỒ SƠ THANH TOÁN VƯỢT THẨM QUYỀN PD</v>
          </cell>
        </row>
      </sheetData>
      <sheetData sheetId="6749">
        <row r="1">
          <cell r="A1" t="str">
            <v>PHIẾU XỬ LÝ HỒ SƠ THANH TOÁN VƯỢT THẨM QUYỀN PD</v>
          </cell>
        </row>
      </sheetData>
      <sheetData sheetId="6750">
        <row r="1">
          <cell r="A1" t="str">
            <v>PHIẾU XỬ LÝ HỒ SƠ THANH TOÁN VƯỢT THẨM QUYỀN PD</v>
          </cell>
        </row>
      </sheetData>
      <sheetData sheetId="6751">
        <row r="1">
          <cell r="A1" t="str">
            <v>PHIẾU XỬ LÝ HỒ SƠ THANH TOÁN VƯỢT THẨM QUYỀN PD</v>
          </cell>
        </row>
      </sheetData>
      <sheetData sheetId="6752">
        <row r="1">
          <cell r="A1" t="str">
            <v>PHIẾU XỬ LÝ HỒ SƠ THANH TOÁN VƯỢT THẨM QUYỀN PD</v>
          </cell>
        </row>
      </sheetData>
      <sheetData sheetId="6753">
        <row r="1">
          <cell r="A1" t="str">
            <v>PHIẾU XỬ LÝ HỒ SƠ THANH TOÁN VƯỢT THẨM QUYỀN PD</v>
          </cell>
        </row>
      </sheetData>
      <sheetData sheetId="6754">
        <row r="1">
          <cell r="A1" t="str">
            <v>PHIẾU XỬ LÝ HỒ SƠ THANH TOÁN VƯỢT THẨM QUYỀN PD</v>
          </cell>
        </row>
      </sheetData>
      <sheetData sheetId="6755">
        <row r="1">
          <cell r="A1" t="str">
            <v>PHIẾU XỬ LÝ HỒ SƠ THANH TOÁN VƯỢT THẨM QUYỀN PD</v>
          </cell>
        </row>
      </sheetData>
      <sheetData sheetId="6756">
        <row r="1">
          <cell r="A1" t="str">
            <v>PHIẾU XỬ LÝ HỒ SƠ THANH TOÁN VƯỢT THẨM QUYỀN PD</v>
          </cell>
        </row>
      </sheetData>
      <sheetData sheetId="6757">
        <row r="1">
          <cell r="A1" t="str">
            <v>PHIẾU XỬ LÝ HỒ SƠ THANH TOÁN VƯỢT THẨM QUYỀN PD</v>
          </cell>
        </row>
      </sheetData>
      <sheetData sheetId="6758">
        <row r="1">
          <cell r="A1" t="str">
            <v>PHIẾU XỬ LÝ HỒ SƠ THANH TOÁN VƯỢT THẨM QUYỀN PD</v>
          </cell>
        </row>
      </sheetData>
      <sheetData sheetId="6759">
        <row r="1">
          <cell r="A1" t="str">
            <v>PHIẾU XỬ LÝ HỒ SƠ THANH TOÁN VƯỢT THẨM QUYỀN PD</v>
          </cell>
        </row>
      </sheetData>
      <sheetData sheetId="6760">
        <row r="1">
          <cell r="A1" t="str">
            <v>PHIẾU XỬ LÝ HỒ SƠ THANH TOÁN VƯỢT THẨM QUYỀN PD</v>
          </cell>
        </row>
      </sheetData>
      <sheetData sheetId="6761">
        <row r="1">
          <cell r="A1" t="str">
            <v>PHIẾU XỬ LÝ HỒ SƠ THANH TOÁN VƯỢT THẨM QUYỀN PD</v>
          </cell>
        </row>
      </sheetData>
      <sheetData sheetId="6762">
        <row r="1">
          <cell r="A1" t="str">
            <v>PHIẾU XỬ LÝ HỒ SƠ THANH TOÁN VƯỢT THẨM QUYỀN PD</v>
          </cell>
        </row>
      </sheetData>
      <sheetData sheetId="6763">
        <row r="1">
          <cell r="A1" t="str">
            <v>PHIẾU XỬ LÝ HỒ SƠ THANH TOÁN VƯỢT THẨM QUYỀN PD</v>
          </cell>
        </row>
      </sheetData>
      <sheetData sheetId="6764">
        <row r="1">
          <cell r="A1" t="str">
            <v>PHIẾU XỬ LÝ HỒ SƠ THANH TOÁN VƯỢT THẨM QUYỀN PD</v>
          </cell>
        </row>
      </sheetData>
      <sheetData sheetId="6765">
        <row r="1">
          <cell r="A1" t="str">
            <v>PHIẾU XỬ LÝ HỒ SƠ THANH TOÁN VƯỢT THẨM QUYỀN PD</v>
          </cell>
        </row>
      </sheetData>
      <sheetData sheetId="6766">
        <row r="1">
          <cell r="A1" t="str">
            <v>PHIẾU XỬ LÝ HỒ SƠ THANH TOÁN VƯỢT THẨM QUYỀN PD</v>
          </cell>
        </row>
      </sheetData>
      <sheetData sheetId="6767">
        <row r="1">
          <cell r="A1" t="str">
            <v>PHIẾU XỬ LÝ HỒ SƠ THANH TOÁN VƯỢT THẨM QUYỀN PD</v>
          </cell>
        </row>
      </sheetData>
      <sheetData sheetId="6768">
        <row r="1">
          <cell r="A1" t="str">
            <v>PHIẾU XỬ LÝ HỒ SƠ THANH TOÁN VƯỢT THẨM QUYỀN PD</v>
          </cell>
        </row>
      </sheetData>
      <sheetData sheetId="6769">
        <row r="1">
          <cell r="A1" t="str">
            <v>PHIẾU XỬ LÝ HỒ SƠ THANH TOÁN VƯỢT THẨM QUYỀN PD</v>
          </cell>
        </row>
      </sheetData>
      <sheetData sheetId="6770">
        <row r="1">
          <cell r="A1" t="str">
            <v>PHIẾU XỬ LÝ HỒ SƠ THANH TOÁN VƯỢT THẨM QUYỀN PD</v>
          </cell>
        </row>
      </sheetData>
      <sheetData sheetId="6771">
        <row r="1">
          <cell r="A1" t="str">
            <v>PHIẾU XỬ LÝ HỒ SƠ THANH TOÁN VƯỢT THẨM QUYỀN PD</v>
          </cell>
        </row>
      </sheetData>
      <sheetData sheetId="6772">
        <row r="1">
          <cell r="A1" t="str">
            <v>PHIẾU XỬ LÝ HỒ SƠ THANH TOÁN VƯỢT THẨM QUYỀN PD</v>
          </cell>
        </row>
      </sheetData>
      <sheetData sheetId="6773">
        <row r="1">
          <cell r="A1" t="str">
            <v>PHIẾU XỬ LÝ HỒ SƠ THANH TOÁN VƯỢT THẨM QUYỀN PD</v>
          </cell>
        </row>
      </sheetData>
      <sheetData sheetId="6774">
        <row r="1">
          <cell r="A1" t="str">
            <v>PHIẾU XỬ LÝ HỒ SƠ THANH TOÁN VƯỢT THẨM QUYỀN PD</v>
          </cell>
        </row>
      </sheetData>
      <sheetData sheetId="6775">
        <row r="1">
          <cell r="A1" t="str">
            <v>PHIẾU XỬ LÝ HỒ SƠ THANH TOÁN VƯỢT THẨM QUYỀN PD</v>
          </cell>
        </row>
      </sheetData>
      <sheetData sheetId="6776">
        <row r="1">
          <cell r="A1" t="str">
            <v>PHIẾU XỬ LÝ HỒ SƠ THANH TOÁN VƯỢT THẨM QUYỀN PD</v>
          </cell>
        </row>
      </sheetData>
      <sheetData sheetId="6777">
        <row r="1">
          <cell r="A1" t="str">
            <v>PHIẾU XỬ LÝ HỒ SƠ THANH TOÁN VƯỢT THẨM QUYỀN PD</v>
          </cell>
        </row>
      </sheetData>
      <sheetData sheetId="6778">
        <row r="1">
          <cell r="A1" t="str">
            <v>PHIẾU XỬ LÝ HỒ SƠ THANH TOÁN VƯỢT THẨM QUYỀN PD</v>
          </cell>
        </row>
      </sheetData>
      <sheetData sheetId="6779">
        <row r="1">
          <cell r="A1" t="str">
            <v>PHIẾU XỬ LÝ HỒ SƠ THANH TOÁN VƯỢT THẨM QUYỀN PD</v>
          </cell>
        </row>
      </sheetData>
      <sheetData sheetId="6780">
        <row r="1">
          <cell r="A1" t="str">
            <v>PHIẾU XỬ LÝ HỒ SƠ THANH TOÁN VƯỢT THẨM QUYỀN PD</v>
          </cell>
        </row>
      </sheetData>
      <sheetData sheetId="6781">
        <row r="1">
          <cell r="A1" t="str">
            <v>PHIẾU XỬ LÝ HỒ SƠ THANH TOÁN VƯỢT THẨM QUYỀN PD</v>
          </cell>
        </row>
      </sheetData>
      <sheetData sheetId="6782">
        <row r="1">
          <cell r="A1" t="str">
            <v>PHIẾU XỬ LÝ HỒ SƠ THANH TOÁN VƯỢT THẨM QUYỀN PD</v>
          </cell>
        </row>
      </sheetData>
      <sheetData sheetId="6783">
        <row r="1">
          <cell r="A1" t="str">
            <v>PHIẾU XỬ LÝ HỒ SƠ THANH TOÁN VƯỢT THẨM QUYỀN PD</v>
          </cell>
        </row>
      </sheetData>
      <sheetData sheetId="6784">
        <row r="1">
          <cell r="A1" t="str">
            <v>PHIẾU XỬ LÝ HỒ SƠ THANH TOÁN VƯỢT THẨM QUYỀN PD</v>
          </cell>
        </row>
      </sheetData>
      <sheetData sheetId="6785">
        <row r="1">
          <cell r="A1" t="str">
            <v>PHIẾU XỬ LÝ HỒ SƠ THANH TOÁN VƯỢT THẨM QUYỀN PD</v>
          </cell>
        </row>
      </sheetData>
      <sheetData sheetId="6786">
        <row r="1">
          <cell r="A1" t="str">
            <v>PHIẾU XỬ LÝ HỒ SƠ THANH TOÁN VƯỢT THẨM QUYỀN PD</v>
          </cell>
        </row>
      </sheetData>
      <sheetData sheetId="6787">
        <row r="1">
          <cell r="A1" t="str">
            <v>PHIẾU XỬ LÝ HỒ SƠ THANH TOÁN VƯỢT THẨM QUYỀN PD</v>
          </cell>
        </row>
      </sheetData>
      <sheetData sheetId="6788">
        <row r="1">
          <cell r="A1" t="str">
            <v>PHIẾU XỬ LÝ HỒ SƠ THANH TOÁN VƯỢT THẨM QUYỀN PD</v>
          </cell>
        </row>
      </sheetData>
      <sheetData sheetId="6789">
        <row r="1">
          <cell r="A1" t="str">
            <v>PHIẾU XỬ LÝ HỒ SƠ THANH TOÁN VƯỢT THẨM QUYỀN PD</v>
          </cell>
        </row>
      </sheetData>
      <sheetData sheetId="6790">
        <row r="1">
          <cell r="A1" t="str">
            <v>PHIẾU XỬ LÝ HỒ SƠ THANH TOÁN VƯỢT THẨM QUYỀN PD</v>
          </cell>
        </row>
      </sheetData>
      <sheetData sheetId="6791">
        <row r="1">
          <cell r="A1" t="str">
            <v>PHIẾU XỬ LÝ HỒ SƠ THANH TOÁN VƯỢT THẨM QUYỀN PD</v>
          </cell>
        </row>
      </sheetData>
      <sheetData sheetId="6792">
        <row r="1">
          <cell r="A1" t="str">
            <v>PHIẾU XỬ LÝ HỒ SƠ THANH TOÁN VƯỢT THẨM QUYỀN PD</v>
          </cell>
        </row>
      </sheetData>
      <sheetData sheetId="6793">
        <row r="1">
          <cell r="A1" t="str">
            <v>PHIẾU XỬ LÝ HỒ SƠ THANH TOÁN VƯỢT THẨM QUYỀN PD</v>
          </cell>
        </row>
      </sheetData>
      <sheetData sheetId="6794">
        <row r="1">
          <cell r="A1" t="str">
            <v>PHIẾU XỬ LÝ HỒ SƠ THANH TOÁN VƯỢT THẨM QUYỀN PD</v>
          </cell>
        </row>
      </sheetData>
      <sheetData sheetId="6795">
        <row r="1">
          <cell r="A1" t="str">
            <v>PHIẾU XỬ LÝ HỒ SƠ THANH TOÁN VƯỢT THẨM QUYỀN PD</v>
          </cell>
        </row>
      </sheetData>
      <sheetData sheetId="6796">
        <row r="1">
          <cell r="A1" t="str">
            <v>PHIẾU XỬ LÝ HỒ SƠ THANH TOÁN VƯỢT THẨM QUYỀN PD</v>
          </cell>
        </row>
      </sheetData>
      <sheetData sheetId="6797">
        <row r="1">
          <cell r="A1" t="str">
            <v>PHIẾU XỬ LÝ HỒ SƠ THANH TOÁN VƯỢT THẨM QUYỀN PD</v>
          </cell>
        </row>
      </sheetData>
      <sheetData sheetId="6798">
        <row r="1">
          <cell r="A1" t="str">
            <v>PHIẾU XỬ LÝ HỒ SƠ THANH TOÁN VƯỢT THẨM QUYỀN PD</v>
          </cell>
        </row>
      </sheetData>
      <sheetData sheetId="6799">
        <row r="1">
          <cell r="A1" t="str">
            <v>PHIẾU XỬ LÝ HỒ SƠ THANH TOÁN VƯỢT THẨM QUYỀN PD</v>
          </cell>
        </row>
      </sheetData>
      <sheetData sheetId="6800">
        <row r="1">
          <cell r="A1" t="str">
            <v>PHIẾU XỬ LÝ HỒ SƠ THANH TOÁN VƯỢT THẨM QUYỀN PD</v>
          </cell>
        </row>
      </sheetData>
      <sheetData sheetId="6801">
        <row r="1">
          <cell r="A1" t="str">
            <v>PHIẾU XỬ LÝ HỒ SƠ THANH TOÁN VƯỢT THẨM QUYỀN PD</v>
          </cell>
        </row>
      </sheetData>
      <sheetData sheetId="6802">
        <row r="1">
          <cell r="A1" t="str">
            <v>PHIẾU XỬ LÝ HỒ SƠ THANH TOÁN VƯỢT THẨM QUYỀN PD</v>
          </cell>
        </row>
      </sheetData>
      <sheetData sheetId="6803">
        <row r="1">
          <cell r="A1" t="str">
            <v>PHIẾU XỬ LÝ HỒ SƠ THANH TOÁN VƯỢT THẨM QUYỀN PD</v>
          </cell>
        </row>
      </sheetData>
      <sheetData sheetId="6804">
        <row r="1">
          <cell r="A1" t="str">
            <v>PHIẾU XỬ LÝ HỒ SƠ THANH TOÁN VƯỢT THẨM QUYỀN PD</v>
          </cell>
        </row>
      </sheetData>
      <sheetData sheetId="6805">
        <row r="1">
          <cell r="A1" t="str">
            <v>PHIẾU XỬ LÝ HỒ SƠ THANH TOÁN VƯỢT THẨM QUYỀN PD</v>
          </cell>
        </row>
      </sheetData>
      <sheetData sheetId="6806">
        <row r="1">
          <cell r="A1" t="str">
            <v>PHIẾU XỬ LÝ HỒ SƠ THANH TOÁN VƯỢT THẨM QUYỀN PD</v>
          </cell>
        </row>
      </sheetData>
      <sheetData sheetId="6807">
        <row r="1">
          <cell r="A1" t="str">
            <v>PHIẾU XỬ LÝ HỒ SƠ THANH TOÁN VƯỢT THẨM QUYỀN PD</v>
          </cell>
        </row>
      </sheetData>
      <sheetData sheetId="6808">
        <row r="1">
          <cell r="A1" t="str">
            <v>PHIẾU XỬ LÝ HỒ SƠ THANH TOÁN VƯỢT THẨM QUYỀN PD</v>
          </cell>
        </row>
      </sheetData>
      <sheetData sheetId="6809">
        <row r="1">
          <cell r="A1" t="str">
            <v>PHIẾU XỬ LÝ HỒ SƠ THANH TOÁN VƯỢT THẨM QUYỀN PD</v>
          </cell>
        </row>
      </sheetData>
      <sheetData sheetId="6810">
        <row r="1">
          <cell r="A1" t="str">
            <v>PHIẾU XỬ LÝ HỒ SƠ THANH TOÁN VƯỢT THẨM QUYỀN PD</v>
          </cell>
        </row>
      </sheetData>
      <sheetData sheetId="6811">
        <row r="1">
          <cell r="A1" t="str">
            <v>PHIẾU XỬ LÝ HỒ SƠ THANH TOÁN VƯỢT THẨM QUYỀN PD</v>
          </cell>
        </row>
      </sheetData>
      <sheetData sheetId="6812">
        <row r="1">
          <cell r="A1" t="str">
            <v>PHIẾU XỬ LÝ HỒ SƠ THANH TOÁN VƯỢT THẨM QUYỀN PD</v>
          </cell>
        </row>
      </sheetData>
      <sheetData sheetId="6813">
        <row r="1">
          <cell r="A1" t="str">
            <v>PHIẾU XỬ LÝ HỒ SƠ THANH TOÁN VƯỢT THẨM QUYỀN PD</v>
          </cell>
        </row>
      </sheetData>
      <sheetData sheetId="6814">
        <row r="1">
          <cell r="A1" t="str">
            <v>PHIẾU XỬ LÝ HỒ SƠ THANH TOÁN VƯỢT THẨM QUYỀN PD</v>
          </cell>
        </row>
      </sheetData>
      <sheetData sheetId="6815">
        <row r="1">
          <cell r="A1" t="str">
            <v>PHIẾU XỬ LÝ HỒ SƠ THANH TOÁN VƯỢT THẨM QUYỀN PD</v>
          </cell>
        </row>
      </sheetData>
      <sheetData sheetId="6816">
        <row r="1">
          <cell r="A1" t="str">
            <v>PHIẾU XỬ LÝ HỒ SƠ THANH TOÁN VƯỢT THẨM QUYỀN PD</v>
          </cell>
        </row>
      </sheetData>
      <sheetData sheetId="6817">
        <row r="1">
          <cell r="A1" t="str">
            <v>PHIẾU XỬ LÝ HỒ SƠ THANH TOÁN VƯỢT THẨM QUYỀN PD</v>
          </cell>
        </row>
      </sheetData>
      <sheetData sheetId="6818">
        <row r="1">
          <cell r="A1" t="str">
            <v>PHIẾU XỬ LÝ HỒ SƠ THANH TOÁN VƯỢT THẨM QUYỀN PD</v>
          </cell>
        </row>
      </sheetData>
      <sheetData sheetId="6819">
        <row r="1">
          <cell r="A1" t="str">
            <v>PHIẾU XỬ LÝ HỒ SƠ THANH TOÁN VƯỢT THẨM QUYỀN PD</v>
          </cell>
        </row>
      </sheetData>
      <sheetData sheetId="6820">
        <row r="1">
          <cell r="A1" t="str">
            <v>PHIẾU XỬ LÝ HỒ SƠ THANH TOÁN VƯỢT THẨM QUYỀN PD</v>
          </cell>
        </row>
      </sheetData>
      <sheetData sheetId="6821">
        <row r="1">
          <cell r="A1" t="str">
            <v>PHIẾU XỬ LÝ HỒ SƠ THANH TOÁN VƯỢT THẨM QUYỀN PD</v>
          </cell>
        </row>
      </sheetData>
      <sheetData sheetId="6822">
        <row r="1">
          <cell r="A1" t="str">
            <v>PHIẾU XỬ LÝ HỒ SƠ THANH TOÁN VƯỢT THẨM QUYỀN PD</v>
          </cell>
        </row>
      </sheetData>
      <sheetData sheetId="6823">
        <row r="1">
          <cell r="A1" t="str">
            <v>PHIẾU XỬ LÝ HỒ SƠ THANH TOÁN VƯỢT THẨM QUYỀN PD</v>
          </cell>
        </row>
      </sheetData>
      <sheetData sheetId="6824">
        <row r="1">
          <cell r="A1" t="str">
            <v>PHIẾU XỬ LÝ HỒ SƠ THANH TOÁN VƯỢT THẨM QUYỀN PD</v>
          </cell>
        </row>
      </sheetData>
      <sheetData sheetId="6825">
        <row r="1">
          <cell r="A1" t="str">
            <v>PHIẾU XỬ LÝ HỒ SƠ THANH TOÁN VƯỢT THẨM QUYỀN PD</v>
          </cell>
        </row>
      </sheetData>
      <sheetData sheetId="6826">
        <row r="1">
          <cell r="A1" t="str">
            <v>PHIẾU XỬ LÝ HỒ SƠ THANH TOÁN VƯỢT THẨM QUYỀN PD</v>
          </cell>
        </row>
      </sheetData>
      <sheetData sheetId="6827">
        <row r="1">
          <cell r="A1" t="str">
            <v>PHIẾU XỬ LÝ HỒ SƠ THANH TOÁN VƯỢT THẨM QUYỀN PD</v>
          </cell>
        </row>
      </sheetData>
      <sheetData sheetId="6828">
        <row r="1">
          <cell r="A1" t="str">
            <v>PHIẾU XỬ LÝ HỒ SƠ THANH TOÁN VƯỢT THẨM QUYỀN PD</v>
          </cell>
        </row>
      </sheetData>
      <sheetData sheetId="6829">
        <row r="1">
          <cell r="A1" t="str">
            <v>PHIẾU XỬ LÝ HỒ SƠ THANH TOÁN VƯỢT THẨM QUYỀN PD</v>
          </cell>
        </row>
      </sheetData>
      <sheetData sheetId="6830">
        <row r="1">
          <cell r="A1" t="str">
            <v>PHIẾU XỬ LÝ HỒ SƠ THANH TOÁN VƯỢT THẨM QUYỀN PD</v>
          </cell>
        </row>
      </sheetData>
      <sheetData sheetId="6831">
        <row r="1">
          <cell r="A1" t="str">
            <v>PHIẾU XỬ LÝ HỒ SƠ THANH TOÁN VƯỢT THẨM QUYỀN PD</v>
          </cell>
        </row>
      </sheetData>
      <sheetData sheetId="6832">
        <row r="1">
          <cell r="A1" t="str">
            <v>PHIẾU XỬ LÝ HỒ SƠ THANH TOÁN VƯỢT THẨM QUYỀN PD</v>
          </cell>
        </row>
      </sheetData>
      <sheetData sheetId="6833">
        <row r="1">
          <cell r="A1" t="str">
            <v>PHIẾU XỬ LÝ HỒ SƠ THANH TOÁN VƯỢT THẨM QUYỀN PD</v>
          </cell>
        </row>
      </sheetData>
      <sheetData sheetId="6834">
        <row r="1">
          <cell r="A1" t="str">
            <v>PHIẾU XỬ LÝ HỒ SƠ THANH TOÁN VƯỢT THẨM QUYỀN PD</v>
          </cell>
        </row>
      </sheetData>
      <sheetData sheetId="6835">
        <row r="1">
          <cell r="A1" t="str">
            <v>PHIẾU XỬ LÝ HỒ SƠ THANH TOÁN VƯỢT THẨM QUYỀN PD</v>
          </cell>
        </row>
      </sheetData>
      <sheetData sheetId="6836">
        <row r="1">
          <cell r="A1" t="str">
            <v>PHIẾU XỬ LÝ HỒ SƠ THANH TOÁN VƯỢT THẨM QUYỀN PD</v>
          </cell>
        </row>
      </sheetData>
      <sheetData sheetId="6837">
        <row r="1">
          <cell r="A1" t="str">
            <v>PHIẾU XỬ LÝ HỒ SƠ THANH TOÁN VƯỢT THẨM QUYỀN PD</v>
          </cell>
        </row>
      </sheetData>
      <sheetData sheetId="6838">
        <row r="1">
          <cell r="A1" t="str">
            <v>PHIẾU XỬ LÝ HỒ SƠ THANH TOÁN VƯỢT THẨM QUYỀN PD</v>
          </cell>
        </row>
      </sheetData>
      <sheetData sheetId="6839">
        <row r="1">
          <cell r="A1" t="str">
            <v>PHIẾU XỬ LÝ HỒ SƠ THANH TOÁN VƯỢT THẨM QUYỀN PD</v>
          </cell>
        </row>
      </sheetData>
      <sheetData sheetId="6840">
        <row r="1">
          <cell r="A1" t="str">
            <v>PHIẾU XỬ LÝ HỒ SƠ THANH TOÁN VƯỢT THẨM QUYỀN PD</v>
          </cell>
        </row>
      </sheetData>
      <sheetData sheetId="6841">
        <row r="1">
          <cell r="A1" t="str">
            <v>PHIẾU XỬ LÝ HỒ SƠ THANH TOÁN VƯỢT THẨM QUYỀN PD</v>
          </cell>
        </row>
      </sheetData>
      <sheetData sheetId="6842">
        <row r="1">
          <cell r="A1" t="str">
            <v>PHIẾU XỬ LÝ HỒ SƠ THANH TOÁN VƯỢT THẨM QUYỀN PD</v>
          </cell>
        </row>
      </sheetData>
      <sheetData sheetId="6843">
        <row r="1">
          <cell r="A1" t="str">
            <v>PHIẾU XỬ LÝ HỒ SƠ THANH TOÁN VƯỢT THẨM QUYỀN PD</v>
          </cell>
        </row>
      </sheetData>
      <sheetData sheetId="6844">
        <row r="1">
          <cell r="A1" t="str">
            <v>PHIẾU XỬ LÝ HỒ SƠ THANH TOÁN VƯỢT THẨM QUYỀN PD</v>
          </cell>
        </row>
      </sheetData>
      <sheetData sheetId="6845">
        <row r="1">
          <cell r="A1" t="str">
            <v>PHIẾU XỬ LÝ HỒ SƠ THANH TOÁN VƯỢT THẨM QUYỀN PD</v>
          </cell>
        </row>
      </sheetData>
      <sheetData sheetId="6846">
        <row r="1">
          <cell r="A1" t="str">
            <v>PHIẾU XỬ LÝ HỒ SƠ THANH TOÁN VƯỢT THẨM QUYỀN PD</v>
          </cell>
        </row>
      </sheetData>
      <sheetData sheetId="6847">
        <row r="1">
          <cell r="A1" t="str">
            <v>PHIẾU XỬ LÝ HỒ SƠ THANH TOÁN VƯỢT THẨM QUYỀN PD</v>
          </cell>
        </row>
      </sheetData>
      <sheetData sheetId="6848">
        <row r="1">
          <cell r="A1" t="str">
            <v>PHIẾU XỬ LÝ HỒ SƠ THANH TOÁN VƯỢT THẨM QUYỀN PD</v>
          </cell>
        </row>
      </sheetData>
      <sheetData sheetId="6849">
        <row r="1">
          <cell r="A1" t="str">
            <v>PHIẾU XỬ LÝ HỒ SƠ THANH TOÁN VƯỢT THẨM QUYỀN PD</v>
          </cell>
        </row>
      </sheetData>
      <sheetData sheetId="6850">
        <row r="1">
          <cell r="A1" t="str">
            <v>PHIẾU XỬ LÝ HỒ SƠ THANH TOÁN VƯỢT THẨM QUYỀN PD</v>
          </cell>
        </row>
      </sheetData>
      <sheetData sheetId="6851">
        <row r="1">
          <cell r="A1" t="str">
            <v>PHIẾU XỬ LÝ HỒ SƠ THANH TOÁN VƯỢT THẨM QUYỀN PD</v>
          </cell>
        </row>
      </sheetData>
      <sheetData sheetId="6852">
        <row r="1">
          <cell r="A1" t="str">
            <v>PHIẾU XỬ LÝ HỒ SƠ THANH TOÁN VƯỢT THẨM QUYỀN PD</v>
          </cell>
        </row>
      </sheetData>
      <sheetData sheetId="6853">
        <row r="1">
          <cell r="A1" t="str">
            <v>PHIẾU XỬ LÝ HỒ SƠ THANH TOÁN VƯỢT THẨM QUYỀN PD</v>
          </cell>
        </row>
      </sheetData>
      <sheetData sheetId="6854">
        <row r="1">
          <cell r="A1" t="str">
            <v>PHIẾU XỬ LÝ HỒ SƠ THANH TOÁN VƯỢT THẨM QUYỀN PD</v>
          </cell>
        </row>
      </sheetData>
      <sheetData sheetId="6855">
        <row r="1">
          <cell r="A1" t="str">
            <v>PHIẾU XỬ LÝ HỒ SƠ THANH TOÁN VƯỢT THẨM QUYỀN PD</v>
          </cell>
        </row>
      </sheetData>
      <sheetData sheetId="6856">
        <row r="1">
          <cell r="A1" t="str">
            <v>PHIẾU XỬ LÝ HỒ SƠ THANH TOÁN VƯỢT THẨM QUYỀN PD</v>
          </cell>
        </row>
      </sheetData>
      <sheetData sheetId="6857">
        <row r="1">
          <cell r="A1" t="str">
            <v>PHIẾU XỬ LÝ HỒ SƠ THANH TOÁN VƯỢT THẨM QUYỀN PD</v>
          </cell>
        </row>
      </sheetData>
      <sheetData sheetId="6858">
        <row r="1">
          <cell r="A1" t="str">
            <v>PHIẾU XỬ LÝ HỒ SƠ THANH TOÁN VƯỢT THẨM QUYỀN PD</v>
          </cell>
        </row>
      </sheetData>
      <sheetData sheetId="6859">
        <row r="1">
          <cell r="A1" t="str">
            <v>PHIẾU XỬ LÝ HỒ SƠ THANH TOÁN VƯỢT THẨM QUYỀN PD</v>
          </cell>
        </row>
      </sheetData>
      <sheetData sheetId="6860">
        <row r="1">
          <cell r="A1" t="str">
            <v>PHIẾU XỬ LÝ HỒ SƠ THANH TOÁN VƯỢT THẨM QUYỀN PD</v>
          </cell>
        </row>
      </sheetData>
      <sheetData sheetId="6861">
        <row r="1">
          <cell r="A1" t="str">
            <v>PHIẾU XỬ LÝ HỒ SƠ THANH TOÁN VƯỢT THẨM QUYỀN PD</v>
          </cell>
        </row>
      </sheetData>
      <sheetData sheetId="6862">
        <row r="1">
          <cell r="A1" t="str">
            <v>PHIẾU XỬ LÝ HỒ SƠ THANH TOÁN VƯỢT THẨM QUYỀN PD</v>
          </cell>
        </row>
      </sheetData>
      <sheetData sheetId="6863">
        <row r="1">
          <cell r="A1" t="str">
            <v>PHIẾU XỬ LÝ HỒ SƠ THANH TOÁN VƯỢT THẨM QUYỀN PD</v>
          </cell>
        </row>
      </sheetData>
      <sheetData sheetId="6864">
        <row r="1">
          <cell r="A1" t="str">
            <v>PHIẾU XỬ LÝ HỒ SƠ THANH TOÁN VƯỢT THẨM QUYỀN PD</v>
          </cell>
        </row>
      </sheetData>
      <sheetData sheetId="6865">
        <row r="1">
          <cell r="A1" t="str">
            <v>PHIẾU XỬ LÝ HỒ SƠ THANH TOÁN VƯỢT THẨM QUYỀN PD</v>
          </cell>
        </row>
      </sheetData>
      <sheetData sheetId="6866">
        <row r="1">
          <cell r="A1" t="str">
            <v>PHIẾU XỬ LÝ HỒ SƠ THANH TOÁN VƯỢT THẨM QUYỀN PD</v>
          </cell>
        </row>
      </sheetData>
      <sheetData sheetId="6867">
        <row r="1">
          <cell r="A1" t="str">
            <v>PHIẾU XỬ LÝ HỒ SƠ THANH TOÁN VƯỢT THẨM QUYỀN PD</v>
          </cell>
        </row>
      </sheetData>
      <sheetData sheetId="6868">
        <row r="1">
          <cell r="A1" t="str">
            <v>PHIẾU XỬ LÝ HỒ SƠ THANH TOÁN VƯỢT THẨM QUYỀN PD</v>
          </cell>
        </row>
      </sheetData>
      <sheetData sheetId="6869">
        <row r="1">
          <cell r="A1" t="str">
            <v>PHIẾU XỬ LÝ HỒ SƠ THANH TOÁN VƯỢT THẨM QUYỀN PD</v>
          </cell>
        </row>
      </sheetData>
      <sheetData sheetId="6870">
        <row r="1">
          <cell r="A1" t="str">
            <v>PHIẾU XỬ LÝ HỒ SƠ THANH TOÁN VƯỢT THẨM QUYỀN PD</v>
          </cell>
        </row>
      </sheetData>
      <sheetData sheetId="6871">
        <row r="1">
          <cell r="A1" t="str">
            <v>PHIẾU XỬ LÝ HỒ SƠ THANH TOÁN VƯỢT THẨM QUYỀN PD</v>
          </cell>
        </row>
      </sheetData>
      <sheetData sheetId="6872">
        <row r="1">
          <cell r="A1" t="str">
            <v>PHIẾU XỬ LÝ HỒ SƠ THANH TOÁN VƯỢT THẨM QUYỀN PD</v>
          </cell>
        </row>
      </sheetData>
      <sheetData sheetId="6873">
        <row r="1">
          <cell r="A1" t="str">
            <v>PHIẾU XỬ LÝ HỒ SƠ THANH TOÁN VƯỢT THẨM QUYỀN PD</v>
          </cell>
        </row>
      </sheetData>
      <sheetData sheetId="6874">
        <row r="1">
          <cell r="A1" t="str">
            <v>PHIẾU XỬ LÝ HỒ SƠ THANH TOÁN VƯỢT THẨM QUYỀN PD</v>
          </cell>
        </row>
      </sheetData>
      <sheetData sheetId="6875">
        <row r="1">
          <cell r="A1" t="str">
            <v>PHIẾU XỬ LÝ HỒ SƠ THANH TOÁN VƯỢT THẨM QUYỀN PD</v>
          </cell>
        </row>
      </sheetData>
      <sheetData sheetId="6876">
        <row r="1">
          <cell r="A1" t="str">
            <v>PHIẾU XỬ LÝ HỒ SƠ THANH TOÁN VƯỢT THẨM QUYỀN PD</v>
          </cell>
        </row>
      </sheetData>
      <sheetData sheetId="6877">
        <row r="1">
          <cell r="A1" t="str">
            <v>PHIẾU XỬ LÝ HỒ SƠ THANH TOÁN VƯỢT THẨM QUYỀN PD</v>
          </cell>
        </row>
      </sheetData>
      <sheetData sheetId="6878">
        <row r="1">
          <cell r="A1" t="str">
            <v>PHIẾU XỬ LÝ HỒ SƠ THANH TOÁN VƯỢT THẨM QUYỀN PD</v>
          </cell>
        </row>
      </sheetData>
      <sheetData sheetId="6879">
        <row r="1">
          <cell r="A1" t="str">
            <v>PHIẾU XỬ LÝ HỒ SƠ THANH TOÁN VƯỢT THẨM QUYỀN PD</v>
          </cell>
        </row>
      </sheetData>
      <sheetData sheetId="6880">
        <row r="1">
          <cell r="A1" t="str">
            <v>PHIẾU XỬ LÝ HỒ SƠ THANH TOÁN VƯỢT THẨM QUYỀN PD</v>
          </cell>
        </row>
      </sheetData>
      <sheetData sheetId="6881">
        <row r="1">
          <cell r="A1" t="str">
            <v>PHIẾU XỬ LÝ HỒ SƠ THANH TOÁN VƯỢT THẨM QUYỀN PD</v>
          </cell>
        </row>
      </sheetData>
      <sheetData sheetId="6882">
        <row r="1">
          <cell r="A1" t="str">
            <v>PHIẾU XỬ LÝ HỒ SƠ THANH TOÁN VƯỢT THẨM QUYỀN PD</v>
          </cell>
        </row>
      </sheetData>
      <sheetData sheetId="6883">
        <row r="1">
          <cell r="A1" t="str">
            <v>PHIẾU XỬ LÝ HỒ SƠ THANH TOÁN VƯỢT THẨM QUYỀN PD</v>
          </cell>
        </row>
      </sheetData>
      <sheetData sheetId="6884">
        <row r="1">
          <cell r="A1" t="str">
            <v>PHIẾU XỬ LÝ HỒ SƠ THANH TOÁN VƯỢT THẨM QUYỀN PD</v>
          </cell>
        </row>
      </sheetData>
      <sheetData sheetId="6885">
        <row r="1">
          <cell r="A1" t="str">
            <v>PHIẾU XỬ LÝ HỒ SƠ THANH TOÁN VƯỢT THẨM QUYỀN PD</v>
          </cell>
        </row>
      </sheetData>
      <sheetData sheetId="6886">
        <row r="1">
          <cell r="A1" t="str">
            <v>PHIẾU XỬ LÝ HỒ SƠ THANH TOÁN VƯỢT THẨM QUYỀN PD</v>
          </cell>
        </row>
      </sheetData>
      <sheetData sheetId="6887">
        <row r="1">
          <cell r="A1" t="str">
            <v>PHIẾU XỬ LÝ HỒ SƠ THANH TOÁN VƯỢT THẨM QUYỀN PD</v>
          </cell>
        </row>
      </sheetData>
      <sheetData sheetId="6888">
        <row r="1">
          <cell r="A1" t="str">
            <v>PHIẾU XỬ LÝ HỒ SƠ THANH TOÁN VƯỢT THẨM QUYỀN PD</v>
          </cell>
        </row>
      </sheetData>
      <sheetData sheetId="6889">
        <row r="1">
          <cell r="A1" t="str">
            <v>PHIẾU XỬ LÝ HỒ SƠ THANH TOÁN VƯỢT THẨM QUYỀN PD</v>
          </cell>
        </row>
      </sheetData>
      <sheetData sheetId="6890">
        <row r="1">
          <cell r="A1" t="str">
            <v>PHIẾU XỬ LÝ HỒ SƠ THANH TOÁN VƯỢT THẨM QUYỀN PD</v>
          </cell>
        </row>
      </sheetData>
      <sheetData sheetId="6891">
        <row r="1">
          <cell r="A1" t="str">
            <v>PHIẾU XỬ LÝ HỒ SƠ THANH TOÁN VƯỢT THẨM QUYỀN PD</v>
          </cell>
        </row>
      </sheetData>
      <sheetData sheetId="6892">
        <row r="1">
          <cell r="A1" t="str">
            <v>PHIẾU XỬ LÝ HỒ SƠ THANH TOÁN VƯỢT THẨM QUYỀN PD</v>
          </cell>
        </row>
      </sheetData>
      <sheetData sheetId="6893">
        <row r="1">
          <cell r="A1" t="str">
            <v>PHIẾU XỬ LÝ HỒ SƠ THANH TOÁN VƯỢT THẨM QUYỀN PD</v>
          </cell>
        </row>
      </sheetData>
      <sheetData sheetId="6894">
        <row r="1">
          <cell r="A1" t="str">
            <v>PHIẾU XỬ LÝ HỒ SƠ THANH TOÁN VƯỢT THẨM QUYỀN PD</v>
          </cell>
        </row>
      </sheetData>
      <sheetData sheetId="6895">
        <row r="1">
          <cell r="A1" t="str">
            <v>PHIẾU XỬ LÝ HỒ SƠ THANH TOÁN VƯỢT THẨM QUYỀN PD</v>
          </cell>
        </row>
      </sheetData>
      <sheetData sheetId="6896">
        <row r="1">
          <cell r="A1" t="str">
            <v>PHIẾU XỬ LÝ HỒ SƠ THANH TOÁN VƯỢT THẨM QUYỀN PD</v>
          </cell>
        </row>
      </sheetData>
      <sheetData sheetId="6897">
        <row r="1">
          <cell r="A1" t="str">
            <v>PHIẾU XỬ LÝ HỒ SƠ THANH TOÁN VƯỢT THẨM QUYỀN PD</v>
          </cell>
        </row>
      </sheetData>
      <sheetData sheetId="6898">
        <row r="1">
          <cell r="A1" t="str">
            <v>PHIẾU XỬ LÝ HỒ SƠ THANH TOÁN VƯỢT THẨM QUYỀN PD</v>
          </cell>
        </row>
      </sheetData>
      <sheetData sheetId="6899">
        <row r="1">
          <cell r="A1" t="str">
            <v>PHIẾU XỬ LÝ HỒ SƠ THANH TOÁN VƯỢT THẨM QUYỀN PD</v>
          </cell>
        </row>
      </sheetData>
      <sheetData sheetId="6900">
        <row r="1">
          <cell r="A1" t="str">
            <v>PHIẾU XỬ LÝ HỒ SƠ THANH TOÁN VƯỢT THẨM QUYỀN PD</v>
          </cell>
        </row>
      </sheetData>
      <sheetData sheetId="6901">
        <row r="1">
          <cell r="A1" t="str">
            <v>PHIẾU XỬ LÝ HỒ SƠ THANH TOÁN VƯỢT THẨM QUYỀN PD</v>
          </cell>
        </row>
      </sheetData>
      <sheetData sheetId="6902">
        <row r="1">
          <cell r="A1" t="str">
            <v>PHIẾU XỬ LÝ HỒ SƠ THANH TOÁN VƯỢT THẨM QUYỀN PD</v>
          </cell>
        </row>
      </sheetData>
      <sheetData sheetId="6903">
        <row r="1">
          <cell r="A1" t="str">
            <v>PHIẾU XỬ LÝ HỒ SƠ THANH TOÁN VƯỢT THẨM QUYỀN PD</v>
          </cell>
        </row>
      </sheetData>
      <sheetData sheetId="6904">
        <row r="1">
          <cell r="A1" t="str">
            <v>PHIẾU XỬ LÝ HỒ SƠ THANH TOÁN VƯỢT THẨM QUYỀN PD</v>
          </cell>
        </row>
      </sheetData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>
        <row r="1">
          <cell r="A1" t="str">
            <v>PHIẾU XỬ LÝ HỒ SƠ THANH TOÁN VƯỢT THẨM QUYỀN PD</v>
          </cell>
        </row>
      </sheetData>
      <sheetData sheetId="6908">
        <row r="1">
          <cell r="A1" t="str">
            <v>PHIẾU XỬ LÝ HỒ SƠ THANH TOÁN VƯỢT THẨM QUYỀN PD</v>
          </cell>
        </row>
      </sheetData>
      <sheetData sheetId="6909">
        <row r="1">
          <cell r="A1" t="str">
            <v>PHIẾU XỬ LÝ HỒ SƠ THANH TOÁN VƯỢT THẨM QUYỀN PD</v>
          </cell>
        </row>
      </sheetData>
      <sheetData sheetId="6910">
        <row r="1">
          <cell r="A1" t="str">
            <v>PHIẾU XỬ LÝ HỒ SƠ THANH TOÁN VƯỢT THẨM QUYỀN PD</v>
          </cell>
        </row>
      </sheetData>
      <sheetData sheetId="6911">
        <row r="1">
          <cell r="A1" t="str">
            <v>PHIẾU XỬ LÝ HỒ SƠ THANH TOÁN VƯỢT THẨM QUYỀN PD</v>
          </cell>
        </row>
      </sheetData>
      <sheetData sheetId="6912">
        <row r="1">
          <cell r="A1" t="str">
            <v>PHIẾU XỬ LÝ HỒ SƠ THANH TOÁN VƯỢT THẨM QUYỀN PD</v>
          </cell>
        </row>
      </sheetData>
      <sheetData sheetId="6913">
        <row r="1">
          <cell r="A1" t="str">
            <v>PHIẾU XỬ LÝ HỒ SƠ THANH TOÁN VƯỢT THẨM QUYỀN PD</v>
          </cell>
        </row>
      </sheetData>
      <sheetData sheetId="6914">
        <row r="1">
          <cell r="A1" t="str">
            <v>PHIẾU XỬ LÝ HỒ SƠ THANH TOÁN VƯỢT THẨM QUYỀN PD</v>
          </cell>
        </row>
      </sheetData>
      <sheetData sheetId="6915">
        <row r="1">
          <cell r="A1" t="str">
            <v>PHIẾU XỬ LÝ HỒ SƠ THANH TOÁN VƯỢT THẨM QUYỀN PD</v>
          </cell>
        </row>
      </sheetData>
      <sheetData sheetId="6916">
        <row r="1">
          <cell r="A1" t="str">
            <v>PHIẾU XỬ LÝ HỒ SƠ THANH TOÁN VƯỢT THẨM QUYỀN PD</v>
          </cell>
        </row>
      </sheetData>
      <sheetData sheetId="6917">
        <row r="1">
          <cell r="A1" t="str">
            <v>PHIẾU XỬ LÝ HỒ SƠ THANH TOÁN VƯỢT THẨM QUYỀN PD</v>
          </cell>
        </row>
      </sheetData>
      <sheetData sheetId="6918">
        <row r="1">
          <cell r="A1" t="str">
            <v>PHIẾU XỬ LÝ HỒ SƠ THANH TOÁN VƯỢT THẨM QUYỀN PD</v>
          </cell>
        </row>
      </sheetData>
      <sheetData sheetId="6919">
        <row r="1">
          <cell r="A1" t="str">
            <v>PHIẾU XỬ LÝ HỒ SƠ THANH TOÁN VƯỢT THẨM QUYỀN PD</v>
          </cell>
        </row>
      </sheetData>
      <sheetData sheetId="6920">
        <row r="1">
          <cell r="A1" t="str">
            <v>PHIẾU XỬ LÝ HỒ SƠ THANH TOÁN VƯỢT THẨM QUYỀN PD</v>
          </cell>
        </row>
      </sheetData>
      <sheetData sheetId="6921">
        <row r="1">
          <cell r="A1" t="str">
            <v>PHIẾU XỬ LÝ HỒ SƠ THANH TOÁN VƯỢT THẨM QUYỀN PD</v>
          </cell>
        </row>
      </sheetData>
      <sheetData sheetId="6922">
        <row r="1">
          <cell r="A1" t="str">
            <v>PHIẾU XỬ LÝ HỒ SƠ THANH TOÁN VƯỢT THẨM QUYỀN PD</v>
          </cell>
        </row>
      </sheetData>
      <sheetData sheetId="6923">
        <row r="1">
          <cell r="A1" t="str">
            <v>PHIẾU XỬ LÝ HỒ SƠ THANH TOÁN VƯỢT THẨM QUYỀN PD</v>
          </cell>
        </row>
      </sheetData>
      <sheetData sheetId="6924">
        <row r="1">
          <cell r="A1" t="str">
            <v>PHIẾU XỬ LÝ HỒ SƠ THANH TOÁN VƯỢT THẨM QUYỀN PD</v>
          </cell>
        </row>
      </sheetData>
      <sheetData sheetId="6925">
        <row r="1">
          <cell r="A1" t="str">
            <v>PHIẾU XỬ LÝ HỒ SƠ THANH TOÁN VƯỢT THẨM QUYỀN PD</v>
          </cell>
        </row>
      </sheetData>
      <sheetData sheetId="6926">
        <row r="1">
          <cell r="A1" t="str">
            <v>PHIẾU XỬ LÝ HỒ SƠ THANH TOÁN VƯỢT THẨM QUYỀN PD</v>
          </cell>
        </row>
      </sheetData>
      <sheetData sheetId="6927">
        <row r="1">
          <cell r="A1" t="str">
            <v>PHIẾU XỬ LÝ HỒ SƠ THANH TOÁN VƯỢT THẨM QUYỀN PD</v>
          </cell>
        </row>
      </sheetData>
      <sheetData sheetId="6928">
        <row r="1">
          <cell r="A1" t="str">
            <v>PHIẾU XỬ LÝ HỒ SƠ THANH TOÁN VƯỢT THẨM QUYỀN PD</v>
          </cell>
        </row>
      </sheetData>
      <sheetData sheetId="6929">
        <row r="1">
          <cell r="A1" t="str">
            <v>PHIẾU XỬ LÝ HỒ SƠ THANH TOÁN VƯỢT THẨM QUYỀN PD</v>
          </cell>
        </row>
      </sheetData>
      <sheetData sheetId="6930">
        <row r="1">
          <cell r="A1" t="str">
            <v>PHIẾU XỬ LÝ HỒ SƠ THANH TOÁN VƯỢT THẨM QUYỀN PD</v>
          </cell>
        </row>
      </sheetData>
      <sheetData sheetId="6931">
        <row r="1">
          <cell r="A1" t="str">
            <v>PHIẾU XỬ LÝ HỒ SƠ THANH TOÁN VƯỢT THẨM QUYỀN PD</v>
          </cell>
        </row>
      </sheetData>
      <sheetData sheetId="6932">
        <row r="1">
          <cell r="A1" t="str">
            <v>PHIẾU XỬ LÝ HỒ SƠ THANH TOÁN VƯỢT THẨM QUYỀN PD</v>
          </cell>
        </row>
      </sheetData>
      <sheetData sheetId="6933">
        <row r="1">
          <cell r="A1" t="str">
            <v>PHIẾU XỬ LÝ HỒ SƠ THANH TOÁN VƯỢT THẨM QUYỀN PD</v>
          </cell>
        </row>
      </sheetData>
      <sheetData sheetId="6934">
        <row r="1">
          <cell r="A1" t="str">
            <v>PHIẾU XỬ LÝ HỒ SƠ THANH TOÁN VƯỢT THẨM QUYỀN PD</v>
          </cell>
        </row>
      </sheetData>
      <sheetData sheetId="6935">
        <row r="1">
          <cell r="A1" t="str">
            <v>PHIẾU XỬ LÝ HỒ SƠ THANH TOÁN VƯỢT THẨM QUYỀN PD</v>
          </cell>
        </row>
      </sheetData>
      <sheetData sheetId="6936">
        <row r="1">
          <cell r="A1" t="str">
            <v>PHIẾU XỬ LÝ HỒ SƠ THANH TOÁN VƯỢT THẨM QUYỀN PD</v>
          </cell>
        </row>
      </sheetData>
      <sheetData sheetId="6937">
        <row r="1">
          <cell r="A1" t="str">
            <v>PHIẾU XỬ LÝ HỒ SƠ THANH TOÁN VƯỢT THẨM QUYỀN PD</v>
          </cell>
        </row>
      </sheetData>
      <sheetData sheetId="6938">
        <row r="1">
          <cell r="A1" t="str">
            <v>PHIẾU XỬ LÝ HỒ SƠ THANH TOÁN VƯỢT THẨM QUYỀN PD</v>
          </cell>
        </row>
      </sheetData>
      <sheetData sheetId="6939">
        <row r="1">
          <cell r="A1" t="str">
            <v>PHIẾU XỬ LÝ HỒ SƠ THANH TOÁN VƯỢT THẨM QUYỀN PD</v>
          </cell>
        </row>
      </sheetData>
      <sheetData sheetId="6940">
        <row r="1">
          <cell r="A1" t="str">
            <v>PHIẾU XỬ LÝ HỒ SƠ THANH TOÁN VƯỢT THẨM QUYỀN PD</v>
          </cell>
        </row>
      </sheetData>
      <sheetData sheetId="6941">
        <row r="1">
          <cell r="A1" t="str">
            <v>PHIẾU XỬ LÝ HỒ SƠ THANH TOÁN VƯỢT THẨM QUYỀN PD</v>
          </cell>
        </row>
      </sheetData>
      <sheetData sheetId="6942">
        <row r="1">
          <cell r="A1" t="str">
            <v>PHIẾU XỬ LÝ HỒ SƠ THANH TOÁN VƯỢT THẨM QUYỀN PD</v>
          </cell>
        </row>
      </sheetData>
      <sheetData sheetId="6943">
        <row r="1">
          <cell r="A1" t="str">
            <v>PHIẾU XỬ LÝ HỒ SƠ THANH TOÁN VƯỢT THẨM QUYỀN PD</v>
          </cell>
        </row>
      </sheetData>
      <sheetData sheetId="6944">
        <row r="1">
          <cell r="A1" t="str">
            <v>PHIẾU XỬ LÝ HỒ SƠ THANH TOÁN VƯỢT THẨM QUYỀN PD</v>
          </cell>
        </row>
      </sheetData>
      <sheetData sheetId="6945">
        <row r="1">
          <cell r="A1" t="str">
            <v>PHIẾU XỬ LÝ HỒ SƠ THANH TOÁN VƯỢT THẨM QUYỀN PD</v>
          </cell>
        </row>
      </sheetData>
      <sheetData sheetId="6946">
        <row r="1">
          <cell r="A1" t="str">
            <v>PHIẾU XỬ LÝ HỒ SƠ THANH TOÁN VƯỢT THẨM QUYỀN PD</v>
          </cell>
        </row>
      </sheetData>
      <sheetData sheetId="6947">
        <row r="1">
          <cell r="A1" t="str">
            <v>PHIẾU XỬ LÝ HỒ SƠ THANH TOÁN VƯỢT THẨM QUYỀN PD</v>
          </cell>
        </row>
      </sheetData>
      <sheetData sheetId="6948">
        <row r="1">
          <cell r="A1" t="str">
            <v>PHIẾU XỬ LÝ HỒ SƠ THANH TOÁN VƯỢT THẨM QUYỀN PD</v>
          </cell>
        </row>
      </sheetData>
      <sheetData sheetId="6949">
        <row r="1">
          <cell r="A1" t="str">
            <v>PHIẾU XỬ LÝ HỒ SƠ THANH TOÁN VƯỢT THẨM QUYỀN PD</v>
          </cell>
        </row>
      </sheetData>
      <sheetData sheetId="6950">
        <row r="1">
          <cell r="A1" t="str">
            <v>PHIẾU XỬ LÝ HỒ SƠ THANH TOÁN VƯỢT THẨM QUYỀN PD</v>
          </cell>
        </row>
      </sheetData>
      <sheetData sheetId="6951">
        <row r="1">
          <cell r="A1" t="str">
            <v>PHIẾU XỬ LÝ HỒ SƠ THANH TOÁN VƯỢT THẨM QUYỀN PD</v>
          </cell>
        </row>
      </sheetData>
      <sheetData sheetId="6952">
        <row r="1">
          <cell r="A1" t="str">
            <v>PHIẾU XỬ LÝ HỒ SƠ THANH TOÁN VƯỢT THẨM QUYỀN PD</v>
          </cell>
        </row>
      </sheetData>
      <sheetData sheetId="6953">
        <row r="1">
          <cell r="A1" t="str">
            <v>PHIẾU XỬ LÝ HỒ SƠ THANH TOÁN VƯỢT THẨM QUYỀN PD</v>
          </cell>
        </row>
      </sheetData>
      <sheetData sheetId="6954">
        <row r="1">
          <cell r="A1" t="str">
            <v>PHIẾU XỬ LÝ HỒ SƠ THANH TOÁN VƯỢT THẨM QUYỀN PD</v>
          </cell>
        </row>
      </sheetData>
      <sheetData sheetId="6955">
        <row r="1">
          <cell r="A1" t="str">
            <v>PHIẾU XỬ LÝ HỒ SƠ THANH TOÁN VƯỢT THẨM QUYỀN PD</v>
          </cell>
        </row>
      </sheetData>
      <sheetData sheetId="6956">
        <row r="1">
          <cell r="A1" t="str">
            <v>PHIẾU XỬ LÝ HỒ SƠ THANH TOÁN VƯỢT THẨM QUYỀN PD</v>
          </cell>
        </row>
      </sheetData>
      <sheetData sheetId="6957">
        <row r="1">
          <cell r="A1" t="str">
            <v>PHIẾU XỬ LÝ HỒ SƠ THANH TOÁN VƯỢT THẨM QUYỀN PD</v>
          </cell>
        </row>
      </sheetData>
      <sheetData sheetId="6958">
        <row r="1">
          <cell r="A1" t="str">
            <v>PHIẾU XỬ LÝ HỒ SƠ THANH TOÁN VƯỢT THẨM QUYỀN PD</v>
          </cell>
        </row>
      </sheetData>
      <sheetData sheetId="6959">
        <row r="1">
          <cell r="A1" t="str">
            <v>PHIẾU XỬ LÝ HỒ SƠ THANH TOÁN VƯỢT THẨM QUYỀN PD</v>
          </cell>
        </row>
      </sheetData>
      <sheetData sheetId="6960">
        <row r="1">
          <cell r="A1" t="str">
            <v>PHIẾU XỬ LÝ HỒ SƠ THANH TOÁN VƯỢT THẨM QUYỀN PD</v>
          </cell>
        </row>
      </sheetData>
      <sheetData sheetId="6961">
        <row r="1">
          <cell r="A1" t="str">
            <v>PHIẾU XỬ LÝ HỒ SƠ THANH TOÁN VƯỢT THẨM QUYỀN PD</v>
          </cell>
        </row>
      </sheetData>
      <sheetData sheetId="6962">
        <row r="1">
          <cell r="A1" t="str">
            <v>PHIẾU XỬ LÝ HỒ SƠ THANH TOÁN VƯỢT THẨM QUYỀN PD</v>
          </cell>
        </row>
      </sheetData>
      <sheetData sheetId="6963">
        <row r="1">
          <cell r="A1" t="str">
            <v>PHIẾU XỬ LÝ HỒ SƠ THANH TOÁN VƯỢT THẨM QUYỀN PD</v>
          </cell>
        </row>
      </sheetData>
      <sheetData sheetId="6964">
        <row r="1">
          <cell r="A1" t="str">
            <v>PHIẾU XỬ LÝ HỒ SƠ THANH TOÁN VƯỢT THẨM QUYỀN PD</v>
          </cell>
        </row>
      </sheetData>
      <sheetData sheetId="6965">
        <row r="1">
          <cell r="A1" t="str">
            <v>PHIẾU XỬ LÝ HỒ SƠ THANH TOÁN VƯỢT THẨM QUYỀN PD</v>
          </cell>
        </row>
      </sheetData>
      <sheetData sheetId="6966">
        <row r="1">
          <cell r="A1" t="str">
            <v>PHIẾU XỬ LÝ HỒ SƠ THANH TOÁN VƯỢT THẨM QUYỀN PD</v>
          </cell>
        </row>
      </sheetData>
      <sheetData sheetId="6967">
        <row r="1">
          <cell r="A1" t="str">
            <v>PHIẾU XỬ LÝ HỒ SƠ THANH TOÁN VƯỢT THẨM QUYỀN PD</v>
          </cell>
        </row>
      </sheetData>
      <sheetData sheetId="6968">
        <row r="1">
          <cell r="A1" t="str">
            <v>PHIẾU XỬ LÝ HỒ SƠ THANH TOÁN VƯỢT THẨM QUYỀN PD</v>
          </cell>
        </row>
      </sheetData>
      <sheetData sheetId="6969">
        <row r="1">
          <cell r="A1" t="str">
            <v>PHIẾU XỬ LÝ HỒ SƠ THANH TOÁN VƯỢT THẨM QUYỀN PD</v>
          </cell>
        </row>
      </sheetData>
      <sheetData sheetId="6970">
        <row r="1">
          <cell r="A1" t="str">
            <v>PHIẾU XỬ LÝ HỒ SƠ THANH TOÁN VƯỢT THẨM QUYỀN PD</v>
          </cell>
        </row>
      </sheetData>
      <sheetData sheetId="6971">
        <row r="1">
          <cell r="A1" t="str">
            <v>PHIẾU XỬ LÝ HỒ SƠ THANH TOÁN VƯỢT THẨM QUYỀN PD</v>
          </cell>
        </row>
      </sheetData>
      <sheetData sheetId="6972">
        <row r="1">
          <cell r="A1" t="str">
            <v>PHIẾU XỬ LÝ HỒ SƠ THANH TOÁN VƯỢT THẨM QUYỀN PD</v>
          </cell>
        </row>
      </sheetData>
      <sheetData sheetId="6973">
        <row r="1">
          <cell r="A1" t="str">
            <v>PHIẾU XỬ LÝ HỒ SƠ THANH TOÁN VƯỢT THẨM QUYỀN PD</v>
          </cell>
        </row>
      </sheetData>
      <sheetData sheetId="6974">
        <row r="1">
          <cell r="A1" t="str">
            <v>PHIẾU XỬ LÝ HỒ SƠ THANH TOÁN VƯỢT THẨM QUYỀN PD</v>
          </cell>
        </row>
      </sheetData>
      <sheetData sheetId="6975">
        <row r="1">
          <cell r="A1" t="str">
            <v>PHIẾU XỬ LÝ HỒ SƠ THANH TOÁN VƯỢT THẨM QUYỀN PD</v>
          </cell>
        </row>
      </sheetData>
      <sheetData sheetId="6976">
        <row r="1">
          <cell r="A1" t="str">
            <v>PHIẾU XỬ LÝ HỒ SƠ THANH TOÁN VƯỢT THẨM QUYỀN PD</v>
          </cell>
        </row>
      </sheetData>
      <sheetData sheetId="6977">
        <row r="1">
          <cell r="A1" t="str">
            <v>PHIẾU XỬ LÝ HỒ SƠ THANH TOÁN VƯỢT THẨM QUYỀN PD</v>
          </cell>
        </row>
      </sheetData>
      <sheetData sheetId="6978">
        <row r="1">
          <cell r="A1" t="str">
            <v>PHIẾU XỬ LÝ HỒ SƠ THANH TOÁN VƯỢT THẨM QUYỀN PD</v>
          </cell>
        </row>
      </sheetData>
      <sheetData sheetId="6979">
        <row r="1">
          <cell r="A1" t="str">
            <v>PHIẾU XỬ LÝ HỒ SƠ THANH TOÁN VƯỢT THẨM QUYỀN PD</v>
          </cell>
        </row>
      </sheetData>
      <sheetData sheetId="6980">
        <row r="1">
          <cell r="A1" t="str">
            <v>PHIẾU XỬ LÝ HỒ SƠ THANH TOÁN VƯỢT THẨM QUYỀN PD</v>
          </cell>
        </row>
      </sheetData>
      <sheetData sheetId="6981">
        <row r="1">
          <cell r="A1" t="str">
            <v>PHIẾU XỬ LÝ HỒ SƠ THANH TOÁN VƯỢT THẨM QUYỀN PD</v>
          </cell>
        </row>
      </sheetData>
      <sheetData sheetId="6982">
        <row r="1">
          <cell r="A1" t="str">
            <v>PHIẾU XỬ LÝ HỒ SƠ THANH TOÁN VƯỢT THẨM QUYỀN PD</v>
          </cell>
        </row>
      </sheetData>
      <sheetData sheetId="6983">
        <row r="1">
          <cell r="A1" t="str">
            <v>PHIẾU XỬ LÝ HỒ SƠ THANH TOÁN VƯỢT THẨM QUYỀN PD</v>
          </cell>
        </row>
      </sheetData>
      <sheetData sheetId="6984">
        <row r="1">
          <cell r="A1" t="str">
            <v>PHIẾU XỬ LÝ HỒ SƠ THANH TOÁN VƯỢT THẨM QUYỀN PD</v>
          </cell>
        </row>
      </sheetData>
      <sheetData sheetId="6985">
        <row r="1">
          <cell r="A1" t="str">
            <v>PHIẾU XỬ LÝ HỒ SƠ THANH TOÁN VƯỢT THẨM QUYỀN PD</v>
          </cell>
        </row>
      </sheetData>
      <sheetData sheetId="6986"/>
      <sheetData sheetId="6987"/>
      <sheetData sheetId="6988"/>
      <sheetData sheetId="6989">
        <row r="1">
          <cell r="A1" t="str">
            <v>PHIẾU XỬ LÝ HỒ SƠ THANH TOÁN VƯỢT THẨM QUYỀN PD</v>
          </cell>
        </row>
      </sheetData>
      <sheetData sheetId="6990"/>
      <sheetData sheetId="6991">
        <row r="1">
          <cell r="A1" t="str">
            <v>PHIẾU XỬ LÝ HỒ SƠ THANH TOÁN VƯỢT THẨM QUYỀN PD</v>
          </cell>
        </row>
      </sheetData>
      <sheetData sheetId="6992">
        <row r="1">
          <cell r="A1" t="str">
            <v>PHIẾU XỬ LÝ HỒ SƠ THANH TOÁN VƯỢT THẨM QUYỀN PD</v>
          </cell>
        </row>
      </sheetData>
      <sheetData sheetId="6993">
        <row r="1">
          <cell r="A1" t="str">
            <v>PHIẾU XỬ LÝ HỒ SƠ THANH TOÁN VƯỢT THẨM QUYỀN PD</v>
          </cell>
        </row>
      </sheetData>
      <sheetData sheetId="6994">
        <row r="1">
          <cell r="A1" t="str">
            <v>PHIẾU XỬ LÝ HỒ SƠ THANH TOÁN VƯỢT THẨM QUYỀN PD</v>
          </cell>
        </row>
      </sheetData>
      <sheetData sheetId="6995">
        <row r="1">
          <cell r="A1" t="str">
            <v>PHIẾU XỬ LÝ HỒ SƠ THANH TOÁN VƯỢT THẨM QUYỀN PD</v>
          </cell>
        </row>
      </sheetData>
      <sheetData sheetId="6996">
        <row r="1">
          <cell r="A1" t="str">
            <v>PHIẾU XỬ LÝ HỒ SƠ THANH TOÁN VƯỢT THẨM QUYỀN PD</v>
          </cell>
        </row>
      </sheetData>
      <sheetData sheetId="6997">
        <row r="1">
          <cell r="A1" t="str">
            <v>PHIẾU XỬ LÝ HỒ SƠ THANH TOÁN VƯỢT THẨM QUYỀN PD</v>
          </cell>
        </row>
      </sheetData>
      <sheetData sheetId="6998">
        <row r="1">
          <cell r="A1" t="str">
            <v>PHIẾU XỬ LÝ HỒ SƠ THANH TOÁN VƯỢT THẨM QUYỀN PD</v>
          </cell>
        </row>
      </sheetData>
      <sheetData sheetId="6999">
        <row r="1">
          <cell r="A1" t="str">
            <v>PHIẾU XỬ LÝ HỒ SƠ THANH TOÁN VƯỢT THẨM QUYỀN PD</v>
          </cell>
        </row>
      </sheetData>
      <sheetData sheetId="7000">
        <row r="1">
          <cell r="A1" t="str">
            <v>PHIẾU XỬ LÝ HỒ SƠ THANH TOÁN VƯỢT THẨM QUYỀN PD</v>
          </cell>
        </row>
      </sheetData>
      <sheetData sheetId="7001">
        <row r="1">
          <cell r="A1" t="str">
            <v>PHIẾU XỬ LÝ HỒ SƠ THANH TOÁN VƯỢT THẨM QUYỀN PD</v>
          </cell>
        </row>
      </sheetData>
      <sheetData sheetId="7002">
        <row r="1">
          <cell r="A1" t="str">
            <v>PHIẾU XỬ LÝ HỒ SƠ THANH TOÁN VƯỢT THẨM QUYỀN PD</v>
          </cell>
        </row>
      </sheetData>
      <sheetData sheetId="7003">
        <row r="1">
          <cell r="A1" t="str">
            <v>PHIẾU XỬ LÝ HỒ SƠ THANH TOÁN VƯỢT THẨM QUYỀN PD</v>
          </cell>
        </row>
      </sheetData>
      <sheetData sheetId="7004">
        <row r="1">
          <cell r="A1" t="str">
            <v>PHIẾU XỬ LÝ HỒ SƠ THANH TOÁN VƯỢT THẨM QUYỀN PD</v>
          </cell>
        </row>
      </sheetData>
      <sheetData sheetId="7005">
        <row r="1">
          <cell r="A1" t="str">
            <v>PHIẾU XỬ LÝ HỒ SƠ THANH TOÁN VƯỢT THẨM QUYỀN PD</v>
          </cell>
        </row>
      </sheetData>
      <sheetData sheetId="7006">
        <row r="1">
          <cell r="A1" t="str">
            <v>PHIẾU XỬ LÝ HỒ SƠ THANH TOÁN VƯỢT THẨM QUYỀN PD</v>
          </cell>
        </row>
      </sheetData>
      <sheetData sheetId="7007"/>
      <sheetData sheetId="7008">
        <row r="1">
          <cell r="A1" t="str">
            <v>PHIẾU XỬ LÝ HỒ SƠ THANH TOÁN VƯỢT THẨM QUYỀN PD</v>
          </cell>
        </row>
      </sheetData>
      <sheetData sheetId="7009">
        <row r="1">
          <cell r="A1" t="str">
            <v>PHIẾU XỬ LÝ HỒ SƠ THANH TOÁN VƯỢT THẨM QUYỀN PD</v>
          </cell>
        </row>
      </sheetData>
      <sheetData sheetId="7010">
        <row r="1">
          <cell r="A1" t="str">
            <v>PHIẾU XỬ LÝ HỒ SƠ THANH TOÁN VƯỢT THẨM QUYỀN PD</v>
          </cell>
        </row>
      </sheetData>
      <sheetData sheetId="7011">
        <row r="1">
          <cell r="A1" t="str">
            <v>PHIẾU XỬ LÝ HỒ SƠ THANH TOÁN VƯỢT THẨM QUYỀN PD</v>
          </cell>
        </row>
      </sheetData>
      <sheetData sheetId="7012">
        <row r="1">
          <cell r="A1" t="str">
            <v>PHIẾU XỬ LÝ HỒ SƠ THANH TOÁN VƯỢT THẨM QUYỀN PD</v>
          </cell>
        </row>
      </sheetData>
      <sheetData sheetId="7013"/>
      <sheetData sheetId="7014"/>
      <sheetData sheetId="7015">
        <row r="1">
          <cell r="A1" t="str">
            <v>PHIẾU XỬ LÝ HỒ SƠ THANH TOÁN VƯỢT THẨM QUYỀN PD</v>
          </cell>
        </row>
      </sheetData>
      <sheetData sheetId="7016"/>
      <sheetData sheetId="7017"/>
      <sheetData sheetId="7018">
        <row r="1">
          <cell r="A1" t="str">
            <v>PHIẾU XỬ LÝ HỒ SƠ THANH TOÁN VƯỢT THẨM QUYỀN PD</v>
          </cell>
        </row>
      </sheetData>
      <sheetData sheetId="7019"/>
      <sheetData sheetId="7020"/>
      <sheetData sheetId="7021">
        <row r="1">
          <cell r="A1" t="str">
            <v>PHIẾU XỬ LÝ HỒ SƠ THANH TOÁN VƯỢT THẨM QUYỀN PD</v>
          </cell>
        </row>
      </sheetData>
      <sheetData sheetId="7022">
        <row r="1">
          <cell r="A1" t="str">
            <v>PHIẾU XỬ LÝ HỒ SƠ THANH TOÁN VƯỢT THẨM QUYỀN PD</v>
          </cell>
        </row>
      </sheetData>
      <sheetData sheetId="7023"/>
      <sheetData sheetId="7024"/>
      <sheetData sheetId="7025">
        <row r="1">
          <cell r="A1" t="str">
            <v>PHIẾU XỬ LÝ HỒ SƠ THANH TOÁN VƯỢT THẨM QUYỀN PD</v>
          </cell>
        </row>
      </sheetData>
      <sheetData sheetId="7026">
        <row r="1">
          <cell r="A1" t="str">
            <v>PHIẾU XỬ LÝ HỒ SƠ THANH TOÁN VƯỢT THẨM QUYỀN PD</v>
          </cell>
        </row>
      </sheetData>
      <sheetData sheetId="7027">
        <row r="1">
          <cell r="A1" t="str">
            <v>PHIẾU XỬ LÝ HỒ SƠ THANH TOÁN VƯỢT THẨM QUYỀN PD</v>
          </cell>
        </row>
      </sheetData>
      <sheetData sheetId="7028">
        <row r="1">
          <cell r="A1" t="str">
            <v>PHIẾU XỬ LÝ HỒ SƠ THANH TOÁN VƯỢT THẨM QUYỀN PD</v>
          </cell>
        </row>
      </sheetData>
      <sheetData sheetId="7029">
        <row r="1">
          <cell r="A1" t="str">
            <v>PHIẾU XỬ LÝ HỒ SƠ THANH TOÁN VƯỢT THẨM QUYỀN PD</v>
          </cell>
        </row>
      </sheetData>
      <sheetData sheetId="7030">
        <row r="1">
          <cell r="A1" t="str">
            <v>PHIẾU XỬ LÝ HỒ SƠ THANH TOÁN VƯỢT THẨM QUYỀN PD</v>
          </cell>
        </row>
      </sheetData>
      <sheetData sheetId="7031">
        <row r="1">
          <cell r="A1" t="str">
            <v>PHIẾU XỬ LÝ HỒ SƠ THANH TOÁN VƯỢT THẨM QUYỀN PD</v>
          </cell>
        </row>
      </sheetData>
      <sheetData sheetId="7032">
        <row r="1">
          <cell r="A1" t="str">
            <v>PHIẾU XỬ LÝ HỒ SƠ THANH TOÁN VƯỢT THẨM QUYỀN PD</v>
          </cell>
        </row>
      </sheetData>
      <sheetData sheetId="7033">
        <row r="1">
          <cell r="A1" t="str">
            <v>PHIẾU XỬ LÝ HỒ SƠ THANH TOÁN VƯỢT THẨM QUYỀN PD</v>
          </cell>
        </row>
      </sheetData>
      <sheetData sheetId="7034">
        <row r="1">
          <cell r="A1" t="str">
            <v>PHIẾU XỬ LÝ HỒ SƠ THANH TOÁN VƯỢT THẨM QUYỀN PD</v>
          </cell>
        </row>
      </sheetData>
      <sheetData sheetId="7035">
        <row r="1">
          <cell r="A1" t="str">
            <v>PHIẾU XỬ LÝ HỒ SƠ THANH TOÁN VƯỢT THẨM QUYỀN PD</v>
          </cell>
        </row>
      </sheetData>
      <sheetData sheetId="7036">
        <row r="1">
          <cell r="A1" t="str">
            <v>PHIẾU XỬ LÝ HỒ SƠ THANH TOÁN VƯỢT THẨM QUYỀN PD</v>
          </cell>
        </row>
      </sheetData>
      <sheetData sheetId="7037">
        <row r="1">
          <cell r="A1" t="str">
            <v>PHIẾU XỬ LÝ HỒ SƠ THANH TOÁN VƯỢT THẨM QUYỀN PD</v>
          </cell>
        </row>
      </sheetData>
      <sheetData sheetId="7038">
        <row r="1">
          <cell r="A1" t="str">
            <v>PHIẾU XỬ LÝ HỒ SƠ THANH TOÁN VƯỢT THẨM QUYỀN PD</v>
          </cell>
        </row>
      </sheetData>
      <sheetData sheetId="7039">
        <row r="1">
          <cell r="A1" t="str">
            <v>PHIẾU XỬ LÝ HỒ SƠ THANH TOÁN VƯỢT THẨM QUYỀN PD</v>
          </cell>
        </row>
      </sheetData>
      <sheetData sheetId="7040">
        <row r="1">
          <cell r="A1" t="str">
            <v>PHIẾU XỬ LÝ HỒ SƠ THANH TOÁN VƯỢT THẨM QUYỀN PD</v>
          </cell>
        </row>
      </sheetData>
      <sheetData sheetId="7041">
        <row r="1">
          <cell r="A1" t="str">
            <v>PHIẾU XỬ LÝ HỒ SƠ THANH TOÁN VƯỢT THẨM QUYỀN PD</v>
          </cell>
        </row>
      </sheetData>
      <sheetData sheetId="7042">
        <row r="1">
          <cell r="A1" t="str">
            <v>PHIẾU XỬ LÝ HỒ SƠ THANH TOÁN VƯỢT THẨM QUYỀN PD</v>
          </cell>
        </row>
      </sheetData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>
        <row r="1">
          <cell r="A1" t="str">
            <v>PHIẾU XỬ LÝ HỒ SƠ THANH TOÁN VƯỢT THẨM QUYỀN PD</v>
          </cell>
        </row>
      </sheetData>
      <sheetData sheetId="7046">
        <row r="1">
          <cell r="A1" t="str">
            <v>PHIẾU XỬ LÝ HỒ SƠ THANH TOÁN VƯỢT THẨM QUYỀN PD</v>
          </cell>
        </row>
      </sheetData>
      <sheetData sheetId="7047" refreshError="1"/>
      <sheetData sheetId="7048" refreshError="1"/>
      <sheetData sheetId="7049" refreshError="1"/>
      <sheetData sheetId="7050">
        <row r="1">
          <cell r="A1" t="str">
            <v>PHIẾU XỬ LÝ HỒ SƠ THANH TOÁN VƯỢT THẨM QUYỀN PD</v>
          </cell>
        </row>
      </sheetData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>
        <row r="1">
          <cell r="A1" t="str">
            <v>PHIẾU XỬ LÝ HỒ SƠ THANH TOÁN VƯỢT THẨM QUYỀN PD</v>
          </cell>
        </row>
      </sheetData>
      <sheetData sheetId="7089">
        <row r="1">
          <cell r="A1" t="str">
            <v>PHIẾU XỬ LÝ HỒ SƠ THANH TOÁN VƯỢT THẨM QUYỀN PD</v>
          </cell>
        </row>
      </sheetData>
      <sheetData sheetId="7090">
        <row r="1">
          <cell r="A1" t="str">
            <v>PHIẾU XỬ LÝ HỒ SƠ THANH TOÁN VƯỢT THẨM QUYỀN PD</v>
          </cell>
        </row>
      </sheetData>
      <sheetData sheetId="7091">
        <row r="1">
          <cell r="A1" t="str">
            <v>PHIẾU XỬ LÝ HỒ SƠ THANH TOÁN VƯỢT THẨM QUYỀN PD</v>
          </cell>
        </row>
      </sheetData>
      <sheetData sheetId="7092">
        <row r="1">
          <cell r="A1" t="str">
            <v>PHIẾU XỬ LÝ HỒ SƠ THANH TOÁN VƯỢT THẨM QUYỀN PD</v>
          </cell>
        </row>
      </sheetData>
      <sheetData sheetId="7093">
        <row r="1">
          <cell r="A1" t="str">
            <v>PHIẾU XỬ LÝ HỒ SƠ THANH TOÁN VƯỢT THẨM QUYỀN PD</v>
          </cell>
        </row>
      </sheetData>
      <sheetData sheetId="7094">
        <row r="1">
          <cell r="A1" t="str">
            <v>PHIẾU XỬ LÝ HỒ SƠ THANH TOÁN VƯỢT THẨM QUYỀN PD</v>
          </cell>
        </row>
      </sheetData>
      <sheetData sheetId="7095">
        <row r="1">
          <cell r="A1" t="str">
            <v>PHIẾU XỬ LÝ HỒ SƠ THANH TOÁN VƯỢT THẨM QUYỀN PD</v>
          </cell>
        </row>
      </sheetData>
      <sheetData sheetId="7096">
        <row r="1">
          <cell r="A1" t="str">
            <v>PHIẾU XỬ LÝ HỒ SƠ THANH TOÁN VƯỢT THẨM QUYỀN PD</v>
          </cell>
        </row>
      </sheetData>
      <sheetData sheetId="7097">
        <row r="1">
          <cell r="A1" t="str">
            <v>PHIẾU XỬ LÝ HỒ SƠ THANH TOÁN VƯỢT THẨM QUYỀN PD</v>
          </cell>
        </row>
      </sheetData>
      <sheetData sheetId="7098">
        <row r="1">
          <cell r="A1" t="str">
            <v>PHIẾU XỬ LÝ HỒ SƠ THANH TOÁN VƯỢT THẨM QUYỀN PD</v>
          </cell>
        </row>
      </sheetData>
      <sheetData sheetId="7099">
        <row r="1">
          <cell r="A1" t="str">
            <v>PHIẾU XỬ LÝ HỒ SƠ THANH TOÁN VƯỢT THẨM QUYỀN PD</v>
          </cell>
        </row>
      </sheetData>
      <sheetData sheetId="7100">
        <row r="1">
          <cell r="A1" t="str">
            <v>PHIẾU XỬ LÝ HỒ SƠ THANH TOÁN VƯỢT THẨM QUYỀN PD</v>
          </cell>
        </row>
      </sheetData>
      <sheetData sheetId="7101">
        <row r="1">
          <cell r="A1" t="str">
            <v>PHIẾU XỬ LÝ HỒ SƠ THANH TOÁN VƯỢT THẨM QUYỀN PD</v>
          </cell>
        </row>
      </sheetData>
      <sheetData sheetId="7102">
        <row r="1">
          <cell r="A1" t="str">
            <v>PHIẾU XỬ LÝ HỒ SƠ THANH TOÁN VƯỢT THẨM QUYỀN PD</v>
          </cell>
        </row>
      </sheetData>
      <sheetData sheetId="7103">
        <row r="1">
          <cell r="A1" t="str">
            <v>PHIẾU XỬ LÝ HỒ SƠ THANH TOÁN VƯỢT THẨM QUYỀN PD</v>
          </cell>
        </row>
      </sheetData>
      <sheetData sheetId="7104">
        <row r="1">
          <cell r="A1" t="str">
            <v>PHIẾU XỬ LÝ HỒ SƠ THANH TOÁN VƯỢT THẨM QUYỀN PD</v>
          </cell>
        </row>
      </sheetData>
      <sheetData sheetId="7105">
        <row r="1">
          <cell r="A1" t="str">
            <v>PHIẾU XỬ LÝ HỒ SƠ THANH TOÁN VƯỢT THẨM QUYỀN PD</v>
          </cell>
        </row>
      </sheetData>
      <sheetData sheetId="7106">
        <row r="1">
          <cell r="A1" t="str">
            <v>PHIẾU XỬ LÝ HỒ SƠ THANH TOÁN VƯỢT THẨM QUYỀN PD</v>
          </cell>
        </row>
      </sheetData>
      <sheetData sheetId="7107">
        <row r="1">
          <cell r="A1" t="str">
            <v>PHIẾU XỬ LÝ HỒ SƠ THANH TOÁN VƯỢT THẨM QUYỀN PD</v>
          </cell>
        </row>
      </sheetData>
      <sheetData sheetId="7108">
        <row r="1">
          <cell r="A1" t="str">
            <v>PHIẾU XỬ LÝ HỒ SƠ THANH TOÁN VƯỢT THẨM QUYỀN PD</v>
          </cell>
        </row>
      </sheetData>
      <sheetData sheetId="7109">
        <row r="1">
          <cell r="A1" t="str">
            <v>PHIẾU XỬ LÝ HỒ SƠ THANH TOÁN VƯỢT THẨM QUYỀN PD</v>
          </cell>
        </row>
      </sheetData>
      <sheetData sheetId="7110">
        <row r="1">
          <cell r="A1" t="str">
            <v>PHIẾU XỬ LÝ HỒ SƠ THANH TOÁN VƯỢT THẨM QUYỀN PD</v>
          </cell>
        </row>
      </sheetData>
      <sheetData sheetId="7111">
        <row r="1">
          <cell r="A1" t="str">
            <v>PHIẾU XỬ LÝ HỒ SƠ THANH TOÁN VƯỢT THẨM QUYỀN PD</v>
          </cell>
        </row>
      </sheetData>
      <sheetData sheetId="7112">
        <row r="1">
          <cell r="A1" t="str">
            <v>PHIẾU XỬ LÝ HỒ SƠ THANH TOÁN VƯỢT THẨM QUYỀN PD</v>
          </cell>
        </row>
      </sheetData>
      <sheetData sheetId="7113">
        <row r="1">
          <cell r="A1" t="str">
            <v>PHIẾU XỬ LÝ HỒ SƠ THANH TOÁN VƯỢT THẨM QUYỀN PD</v>
          </cell>
        </row>
      </sheetData>
      <sheetData sheetId="7114">
        <row r="1">
          <cell r="A1" t="str">
            <v>PHIẾU XỬ LÝ HỒ SƠ THANH TOÁN VƯỢT THẨM QUYỀN PD</v>
          </cell>
        </row>
      </sheetData>
      <sheetData sheetId="7115">
        <row r="1">
          <cell r="A1" t="str">
            <v>PHIẾU XỬ LÝ HỒ SƠ THANH TOÁN VƯỢT THẨM QUYỀN PD</v>
          </cell>
        </row>
      </sheetData>
      <sheetData sheetId="7116">
        <row r="1">
          <cell r="A1" t="str">
            <v>PHIẾU XỬ LÝ HỒ SƠ THANH TOÁN VƯỢT THẨM QUYỀN PD</v>
          </cell>
        </row>
      </sheetData>
      <sheetData sheetId="7117">
        <row r="1">
          <cell r="A1" t="str">
            <v>PHIẾU XỬ LÝ HỒ SƠ THANH TOÁN VƯỢT THẨM QUYỀN PD</v>
          </cell>
        </row>
      </sheetData>
      <sheetData sheetId="7118">
        <row r="1">
          <cell r="A1" t="str">
            <v>PHIẾU XỬ LÝ HỒ SƠ THANH TOÁN VƯỢT THẨM QUYỀN PD</v>
          </cell>
        </row>
      </sheetData>
      <sheetData sheetId="7119">
        <row r="1">
          <cell r="A1" t="str">
            <v>PHIẾU XỬ LÝ HỒ SƠ THANH TOÁN VƯỢT THẨM QUYỀN PD</v>
          </cell>
        </row>
      </sheetData>
      <sheetData sheetId="7120">
        <row r="1">
          <cell r="A1" t="str">
            <v>PHIẾU XỬ LÝ HỒ SƠ THANH TOÁN VƯỢT THẨM QUYỀN PD</v>
          </cell>
        </row>
      </sheetData>
      <sheetData sheetId="7121">
        <row r="1">
          <cell r="A1" t="str">
            <v>PHIẾU XỬ LÝ HỒ SƠ THANH TOÁN VƯỢT THẨM QUYỀN PD</v>
          </cell>
        </row>
      </sheetData>
      <sheetData sheetId="7122">
        <row r="1">
          <cell r="A1" t="str">
            <v>PHIẾU XỬ LÝ HỒ SƠ THANH TOÁN VƯỢT THẨM QUYỀN PD</v>
          </cell>
        </row>
      </sheetData>
      <sheetData sheetId="7123">
        <row r="1">
          <cell r="A1" t="str">
            <v>PHIẾU XỬ LÝ HỒ SƠ THANH TOÁN VƯỢT THẨM QUYỀN PD</v>
          </cell>
        </row>
      </sheetData>
      <sheetData sheetId="7124">
        <row r="1">
          <cell r="A1" t="str">
            <v>PHIẾU XỬ LÝ HỒ SƠ THANH TOÁN VƯỢT THẨM QUYỀN PD</v>
          </cell>
        </row>
      </sheetData>
      <sheetData sheetId="7125">
        <row r="1">
          <cell r="A1" t="str">
            <v>PHIẾU XỬ LÝ HỒ SƠ THANH TOÁN VƯỢT THẨM QUYỀN PD</v>
          </cell>
        </row>
      </sheetData>
      <sheetData sheetId="7126">
        <row r="1">
          <cell r="A1" t="str">
            <v>PHIẾU XỬ LÝ HỒ SƠ THANH TOÁN VƯỢT THẨM QUYỀN PD</v>
          </cell>
        </row>
      </sheetData>
      <sheetData sheetId="7127">
        <row r="1">
          <cell r="A1" t="str">
            <v>PHIẾU XỬ LÝ HỒ SƠ THANH TOÁN VƯỢT THẨM QUYỀN PD</v>
          </cell>
        </row>
      </sheetData>
      <sheetData sheetId="7128">
        <row r="1">
          <cell r="A1" t="str">
            <v>PHIẾU XỬ LÝ HỒ SƠ THANH TOÁN VƯỢT THẨM QUYỀN PD</v>
          </cell>
        </row>
      </sheetData>
      <sheetData sheetId="7129">
        <row r="1">
          <cell r="A1" t="str">
            <v>PHIẾU XỬ LÝ HỒ SƠ THANH TOÁN VƯỢT THẨM QUYỀN PD</v>
          </cell>
        </row>
      </sheetData>
      <sheetData sheetId="7130">
        <row r="1">
          <cell r="A1" t="str">
            <v>PHIẾU XỬ LÝ HỒ SƠ THANH TOÁN VƯỢT THẨM QUYỀN PD</v>
          </cell>
        </row>
      </sheetData>
      <sheetData sheetId="7131">
        <row r="1">
          <cell r="A1" t="str">
            <v>PHIẾU XỬ LÝ HỒ SƠ THANH TOÁN VƯỢT THẨM QUYỀN PD</v>
          </cell>
        </row>
      </sheetData>
      <sheetData sheetId="7132">
        <row r="1">
          <cell r="A1" t="str">
            <v>PHIẾU XỬ LÝ HỒ SƠ THANH TOÁN VƯỢT THẨM QUYỀN PD</v>
          </cell>
        </row>
      </sheetData>
      <sheetData sheetId="7133">
        <row r="1">
          <cell r="A1" t="str">
            <v>PHIẾU XỬ LÝ HỒ SƠ THANH TOÁN VƯỢT THẨM QUYỀN PD</v>
          </cell>
        </row>
      </sheetData>
      <sheetData sheetId="7134">
        <row r="1">
          <cell r="A1" t="str">
            <v>PHIẾU XỬ LÝ HỒ SƠ THANH TOÁN VƯỢT THẨM QUYỀN PD</v>
          </cell>
        </row>
      </sheetData>
      <sheetData sheetId="7135"/>
      <sheetData sheetId="7136"/>
      <sheetData sheetId="7137" refreshError="1"/>
      <sheetData sheetId="7138">
        <row r="1">
          <cell r="A1" t="str">
            <v>PHIẾU XỬ LÝ HỒ SƠ THANH TOÁN VƯỢT THẨM QUYỀN PD</v>
          </cell>
        </row>
      </sheetData>
      <sheetData sheetId="7139" refreshError="1"/>
      <sheetData sheetId="7140" refreshError="1"/>
      <sheetData sheetId="7141" refreshError="1"/>
      <sheetData sheetId="7142">
        <row r="1">
          <cell r="A1" t="str">
            <v>PHIẾU XỬ LÝ HỒ SƠ THANH TOÁN VƯỢT THẨM QUYỀN PD</v>
          </cell>
        </row>
      </sheetData>
      <sheetData sheetId="7143">
        <row r="1">
          <cell r="A1" t="str">
            <v>PHIẾU XỬ LÝ HỒ SƠ THANH TOÁN VƯỢT THẨM QUYỀN PD</v>
          </cell>
        </row>
      </sheetData>
      <sheetData sheetId="7144">
        <row r="1">
          <cell r="A1" t="str">
            <v>PHIẾU XỬ LÝ HỒ SƠ THANH TOÁN VƯỢT THẨM QUYỀN PD</v>
          </cell>
        </row>
      </sheetData>
      <sheetData sheetId="7145">
        <row r="1">
          <cell r="A1" t="str">
            <v>PHIẾU XỬ LÝ HỒ SƠ THANH TOÁN VƯỢT THẨM QUYỀN PD</v>
          </cell>
        </row>
      </sheetData>
      <sheetData sheetId="7146"/>
      <sheetData sheetId="7147"/>
      <sheetData sheetId="7148"/>
      <sheetData sheetId="7149">
        <row r="1">
          <cell r="A1" t="str">
            <v>PHIẾU XỬ LÝ HỒ SƠ THANH TOÁN VƯỢT THẨM QUYỀN PD</v>
          </cell>
        </row>
      </sheetData>
      <sheetData sheetId="7150" refreshError="1"/>
      <sheetData sheetId="7151">
        <row r="1">
          <cell r="A1" t="str">
            <v>PHIẾU XỬ LÝ HỒ SƠ THANH TOÁN VƯỢT THẨM QUYỀN PD</v>
          </cell>
        </row>
      </sheetData>
      <sheetData sheetId="7152">
        <row r="1">
          <cell r="A1" t="str">
            <v>PHIẾU XỬ LÝ HỒ SƠ THANH TOÁN VƯỢT THẨM QUYỀN PD</v>
          </cell>
        </row>
      </sheetData>
      <sheetData sheetId="7153">
        <row r="1">
          <cell r="A1" t="str">
            <v>PHIẾU XỬ LÝ HỒ SƠ THANH TOÁN VƯỢT THẨM QUYỀN PD</v>
          </cell>
        </row>
      </sheetData>
      <sheetData sheetId="7154">
        <row r="1">
          <cell r="A1" t="str">
            <v>PHIẾU XỬ LÝ HỒ SƠ THANH TOÁN VƯỢT THẨM QUYỀN PD</v>
          </cell>
        </row>
      </sheetData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/>
      <sheetData sheetId="7178">
        <row r="1">
          <cell r="A1" t="str">
            <v>PHIẾU XỬ LÝ HỒ SƠ THANH TOÁN VƯỢT THẨM QUYỀN PD</v>
          </cell>
        </row>
      </sheetData>
      <sheetData sheetId="7179" refreshError="1"/>
      <sheetData sheetId="7180" refreshError="1"/>
      <sheetData sheetId="7181">
        <row r="1">
          <cell r="A1" t="str">
            <v>PHIẾU XỬ LÝ HỒ SƠ THANH TOÁN VƯỢT THẨM QUYỀN PD</v>
          </cell>
        </row>
      </sheetData>
      <sheetData sheetId="7182">
        <row r="1">
          <cell r="A1" t="str">
            <v>PHIẾU XỬ LÝ HỒ SƠ THANH TOÁN VƯỢT THẨM QUYỀN PD</v>
          </cell>
        </row>
      </sheetData>
      <sheetData sheetId="7183">
        <row r="1">
          <cell r="A1" t="str">
            <v>PHIẾU XỬ LÝ HỒ SƠ THANH TOÁN VƯỢT THẨM QUYỀN PD</v>
          </cell>
        </row>
      </sheetData>
      <sheetData sheetId="7184">
        <row r="1">
          <cell r="A1" t="str">
            <v>PHIẾU XỬ LÝ HỒ SƠ THANH TOÁN VƯỢT THẨM QUYỀN PD</v>
          </cell>
        </row>
      </sheetData>
      <sheetData sheetId="7185">
        <row r="1">
          <cell r="A1" t="str">
            <v>PHIẾU XỬ LÝ HỒ SƠ THANH TOÁN VƯỢT THẨM QUYỀN PD</v>
          </cell>
        </row>
      </sheetData>
      <sheetData sheetId="7186">
        <row r="1">
          <cell r="A1" t="str">
            <v>PHIẾU XỬ LÝ HỒ SƠ THANH TOÁN VƯỢT THẨM QUYỀN PD</v>
          </cell>
        </row>
      </sheetData>
      <sheetData sheetId="7187">
        <row r="1">
          <cell r="A1" t="str">
            <v>PHIẾU XỬ LÝ HỒ SƠ THANH TOÁN VƯỢT THẨM QUYỀN PD</v>
          </cell>
        </row>
      </sheetData>
      <sheetData sheetId="7188">
        <row r="1">
          <cell r="A1" t="str">
            <v>PHIẾU XỬ LÝ HỒ SƠ THANH TOÁN VƯỢT THẨM QUYỀN PD</v>
          </cell>
        </row>
      </sheetData>
      <sheetData sheetId="7189">
        <row r="1">
          <cell r="A1" t="str">
            <v>PHIẾU XỬ LÝ HỒ SƠ THANH TOÁN VƯỢT THẨM QUYỀN PD</v>
          </cell>
        </row>
      </sheetData>
      <sheetData sheetId="7190">
        <row r="1">
          <cell r="A1" t="str">
            <v>PHIẾU XỬ LÝ HỒ SƠ THANH TOÁN VƯỢT THẨM QUYỀN PD</v>
          </cell>
        </row>
      </sheetData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>
        <row r="1">
          <cell r="A1" t="str">
            <v>PHIẾU XỬ LÝ HỒ SƠ THANH TOÁN VƯỢT THẨM QUYỀN PD</v>
          </cell>
        </row>
      </sheetData>
      <sheetData sheetId="7199">
        <row r="1">
          <cell r="A1" t="str">
            <v>PHIẾU XỬ LÝ HỒ SƠ THANH TOÁN VƯỢT THẨM QUYỀN PD</v>
          </cell>
        </row>
      </sheetData>
      <sheetData sheetId="7200">
        <row r="1">
          <cell r="A1" t="str">
            <v>PHIẾU XỬ LÝ HỒ SƠ THANH TOÁN VƯỢT THẨM QUYỀN PD</v>
          </cell>
        </row>
      </sheetData>
      <sheetData sheetId="7201" refreshError="1"/>
      <sheetData sheetId="7202">
        <row r="1">
          <cell r="A1" t="str">
            <v>PHIẾU XỬ LÝ HỒ SƠ THANH TOÁN VƯỢT THẨM QUYỀN PD</v>
          </cell>
        </row>
      </sheetData>
      <sheetData sheetId="7203">
        <row r="1">
          <cell r="A1" t="str">
            <v>PHIẾU XỬ LÝ HỒ SƠ THANH TOÁN VƯỢT THẨM QUYỀN PD</v>
          </cell>
        </row>
      </sheetData>
      <sheetData sheetId="7204">
        <row r="1">
          <cell r="A1" t="str">
            <v>PHIẾU XỬ LÝ HỒ SƠ THANH TOÁN VƯỢT THẨM QUYỀN PD</v>
          </cell>
        </row>
      </sheetData>
      <sheetData sheetId="7205"/>
      <sheetData sheetId="7206"/>
      <sheetData sheetId="7207">
        <row r="1">
          <cell r="A1" t="str">
            <v>PHIẾU XỬ LÝ HỒ SƠ THANH TOÁN VƯỢT THẨM QUYỀN PD</v>
          </cell>
        </row>
      </sheetData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>
        <row r="1">
          <cell r="A1" t="str">
            <v>PHIẾU XỬ LÝ HỒ SƠ THANH TOÁN VƯỢT THẨM QUYỀN PD</v>
          </cell>
        </row>
      </sheetData>
      <sheetData sheetId="7214" refreshError="1"/>
      <sheetData sheetId="7215">
        <row r="1">
          <cell r="A1" t="str">
            <v>PHIẾU XỬ LÝ HỒ SƠ THANH TOÁN VƯỢT THẨM QUYỀN PD</v>
          </cell>
        </row>
      </sheetData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>
        <row r="1">
          <cell r="A1" t="str">
            <v>PHIẾU XỬ LÝ HỒ SƠ THANH TOÁN VƯỢT THẨM QUYỀN PD</v>
          </cell>
        </row>
      </sheetData>
      <sheetData sheetId="7224" refreshError="1"/>
      <sheetData sheetId="7225"/>
      <sheetData sheetId="7226">
        <row r="1">
          <cell r="A1" t="str">
            <v>PHIẾU XỬ LÝ HỒ SƠ THANH TOÁN VƯỢT THẨM QUYỀN PD</v>
          </cell>
        </row>
      </sheetData>
      <sheetData sheetId="7227">
        <row r="1">
          <cell r="A1" t="str">
            <v>PHIẾU XỬ LÝ HỒ SƠ THANH TOÁN VƯỢT THẨM QUYỀN PD</v>
          </cell>
        </row>
      </sheetData>
      <sheetData sheetId="7228">
        <row r="1">
          <cell r="A1" t="str">
            <v>PHIẾU XỬ LÝ HỒ SƠ THANH TOÁN VƯỢT THẨM QUYỀN PD</v>
          </cell>
        </row>
      </sheetData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>
        <row r="1">
          <cell r="A1" t="str">
            <v>PHIẾU XỬ LÝ HỒ SƠ THANH TOÁN VƯỢT THẨM QUYỀN PD</v>
          </cell>
        </row>
      </sheetData>
      <sheetData sheetId="7254">
        <row r="1">
          <cell r="A1" t="str">
            <v>PHIẾU XỬ LÝ HỒ SƠ THANH TOÁN VƯỢT THẨM QUYỀN PD</v>
          </cell>
        </row>
      </sheetData>
      <sheetData sheetId="7255">
        <row r="1">
          <cell r="A1" t="str">
            <v>PHIẾU XỬ LÝ HỒ SƠ THANH TOÁN VƯỢT THẨM QUYỀN PD</v>
          </cell>
        </row>
      </sheetData>
      <sheetData sheetId="7256">
        <row r="1">
          <cell r="A1" t="str">
            <v>PHIẾU XỬ LÝ HỒ SƠ THANH TOÁN VƯỢT THẨM QUYỀN PD</v>
          </cell>
        </row>
      </sheetData>
      <sheetData sheetId="7257">
        <row r="1">
          <cell r="A1" t="str">
            <v>PHIẾU XỬ LÝ HỒ SƠ THANH TOÁN VƯỢT THẨM QUYỀN PD</v>
          </cell>
        </row>
      </sheetData>
      <sheetData sheetId="7258">
        <row r="1">
          <cell r="A1" t="str">
            <v>PHIẾU XỬ LÝ HỒ SƠ THANH TOÁN VƯỢT THẨM QUYỀN PD</v>
          </cell>
        </row>
      </sheetData>
      <sheetData sheetId="7259">
        <row r="1">
          <cell r="A1" t="str">
            <v>PHIẾU XỬ LÝ HỒ SƠ THANH TOÁN VƯỢT THẨM QUYỀN PD</v>
          </cell>
        </row>
      </sheetData>
      <sheetData sheetId="7260">
        <row r="1">
          <cell r="A1" t="str">
            <v>PHIẾU XỬ LÝ HỒ SƠ THANH TOÁN VƯỢT THẨM QUYỀN PD</v>
          </cell>
        </row>
      </sheetData>
      <sheetData sheetId="7261">
        <row r="1">
          <cell r="A1" t="str">
            <v>PHIẾU XỬ LÝ HỒ SƠ THANH TOÁN VƯỢT THẨM QUYỀN PD</v>
          </cell>
        </row>
      </sheetData>
      <sheetData sheetId="7262">
        <row r="1">
          <cell r="A1" t="str">
            <v>PHIẾU XỬ LÝ HỒ SƠ THANH TOÁN VƯỢT THẨM QUYỀN PD</v>
          </cell>
        </row>
      </sheetData>
      <sheetData sheetId="7263">
        <row r="1">
          <cell r="A1" t="str">
            <v>PHIẾU XỬ LÝ HỒ SƠ THANH TOÁN VƯỢT THẨM QUYỀN PD</v>
          </cell>
        </row>
      </sheetData>
      <sheetData sheetId="7264">
        <row r="1">
          <cell r="A1" t="str">
            <v>PHIẾU XỬ LÝ HỒ SƠ THANH TOÁN VƯỢT THẨM QUYỀN PD</v>
          </cell>
        </row>
      </sheetData>
      <sheetData sheetId="7265">
        <row r="1">
          <cell r="A1" t="str">
            <v>PHIẾU XỬ LÝ HỒ SƠ THANH TOÁN VƯỢT THẨM QUYỀN PD</v>
          </cell>
        </row>
      </sheetData>
      <sheetData sheetId="7266">
        <row r="1">
          <cell r="A1" t="str">
            <v>PHIẾU XỬ LÝ HỒ SƠ THANH TOÁN VƯỢT THẨM QUYỀN PD</v>
          </cell>
        </row>
      </sheetData>
      <sheetData sheetId="7267">
        <row r="1">
          <cell r="A1" t="str">
            <v>PHIẾU XỬ LÝ HỒ SƠ THANH TOÁN VƯỢT THẨM QUYỀN PD</v>
          </cell>
        </row>
      </sheetData>
      <sheetData sheetId="7268">
        <row r="1">
          <cell r="A1" t="str">
            <v>PHIẾU XỬ LÝ HỒ SƠ THANH TOÁN VƯỢT THẨM QUYỀN PD</v>
          </cell>
        </row>
      </sheetData>
      <sheetData sheetId="7269">
        <row r="1">
          <cell r="A1" t="str">
            <v>PHIẾU XỬ LÝ HỒ SƠ THANH TOÁN VƯỢT THẨM QUYỀN PD</v>
          </cell>
        </row>
      </sheetData>
      <sheetData sheetId="7270">
        <row r="1">
          <cell r="A1" t="str">
            <v>PHIẾU XỬ LÝ HỒ SƠ THANH TOÁN VƯỢT THẨM QUYỀN PD</v>
          </cell>
        </row>
      </sheetData>
      <sheetData sheetId="7271">
        <row r="1">
          <cell r="A1" t="str">
            <v>PHIẾU XỬ LÝ HỒ SƠ THANH TOÁN VƯỢT THẨM QUYỀN PD</v>
          </cell>
        </row>
      </sheetData>
      <sheetData sheetId="7272">
        <row r="1">
          <cell r="A1" t="str">
            <v>PHIẾU XỬ LÝ HỒ SƠ THANH TOÁN VƯỢT THẨM QUYỀN PD</v>
          </cell>
        </row>
      </sheetData>
      <sheetData sheetId="7273">
        <row r="1">
          <cell r="A1" t="str">
            <v>PHIẾU XỬ LÝ HỒ SƠ THANH TOÁN VƯỢT THẨM QUYỀN PD</v>
          </cell>
        </row>
      </sheetData>
      <sheetData sheetId="7274">
        <row r="1">
          <cell r="A1" t="str">
            <v>PHIẾU XỬ LÝ HỒ SƠ THANH TOÁN VƯỢT THẨM QUYỀN PD</v>
          </cell>
        </row>
      </sheetData>
      <sheetData sheetId="7275">
        <row r="1">
          <cell r="A1" t="str">
            <v>PHIẾU XỬ LÝ HỒ SƠ THANH TOÁN VƯỢT THẨM QUYỀN PD</v>
          </cell>
        </row>
      </sheetData>
      <sheetData sheetId="7276">
        <row r="1">
          <cell r="A1" t="str">
            <v>PHIẾU XỬ LÝ HỒ SƠ THANH TOÁN VƯỢT THẨM QUYỀN PD</v>
          </cell>
        </row>
      </sheetData>
      <sheetData sheetId="7277">
        <row r="1">
          <cell r="A1" t="str">
            <v>PHIẾU XỬ LÝ HỒ SƠ THANH TOÁN VƯỢT THẨM QUYỀN PD</v>
          </cell>
        </row>
      </sheetData>
      <sheetData sheetId="7278">
        <row r="1">
          <cell r="A1" t="str">
            <v>PHIẾU XỬ LÝ HỒ SƠ THANH TOÁN VƯỢT THẨM QUYỀN PD</v>
          </cell>
        </row>
      </sheetData>
      <sheetData sheetId="7279">
        <row r="1">
          <cell r="A1" t="str">
            <v>PHIẾU XỬ LÝ HỒ SƠ THANH TOÁN VƯỢT THẨM QUYỀN PD</v>
          </cell>
        </row>
      </sheetData>
      <sheetData sheetId="7280">
        <row r="1">
          <cell r="A1" t="str">
            <v>PHIẾU XỬ LÝ HỒ SƠ THANH TOÁN VƯỢT THẨM QUYỀN PD</v>
          </cell>
        </row>
      </sheetData>
      <sheetData sheetId="7281">
        <row r="1">
          <cell r="A1" t="str">
            <v>PHIẾU XỬ LÝ HỒ SƠ THANH TOÁN VƯỢT THẨM QUYỀN PD</v>
          </cell>
        </row>
      </sheetData>
      <sheetData sheetId="7282">
        <row r="1">
          <cell r="A1" t="str">
            <v>PHIẾU XỬ LÝ HỒ SƠ THANH TOÁN VƯỢT THẨM QUYỀN PD</v>
          </cell>
        </row>
      </sheetData>
      <sheetData sheetId="7283">
        <row r="1">
          <cell r="A1" t="str">
            <v>PHIẾU XỬ LÝ HỒ SƠ THANH TOÁN VƯỢT THẨM QUYỀN PD</v>
          </cell>
        </row>
      </sheetData>
      <sheetData sheetId="7284">
        <row r="1">
          <cell r="A1" t="str">
            <v>PHIẾU XỬ LÝ HỒ SƠ THANH TOÁN VƯỢT THẨM QUYỀN PD</v>
          </cell>
        </row>
      </sheetData>
      <sheetData sheetId="7285">
        <row r="1">
          <cell r="A1" t="str">
            <v>PHIẾU XỬ LÝ HỒ SƠ THANH TOÁN VƯỢT THẨM QUYỀN PD</v>
          </cell>
        </row>
      </sheetData>
      <sheetData sheetId="7286">
        <row r="1">
          <cell r="A1" t="str">
            <v>PHIẾU XỬ LÝ HỒ SƠ THANH TOÁN VƯỢT THẨM QUYỀN PD</v>
          </cell>
        </row>
      </sheetData>
      <sheetData sheetId="7287">
        <row r="1">
          <cell r="A1" t="str">
            <v>PHIẾU XỬ LÝ HỒ SƠ THANH TOÁN VƯỢT THẨM QUYỀN PD</v>
          </cell>
        </row>
      </sheetData>
      <sheetData sheetId="7288">
        <row r="1">
          <cell r="A1" t="str">
            <v>PHIẾU XỬ LÝ HỒ SƠ THANH TOÁN VƯỢT THẨM QUYỀN PD</v>
          </cell>
        </row>
      </sheetData>
      <sheetData sheetId="7289">
        <row r="1">
          <cell r="A1" t="str">
            <v>PHIẾU XỬ LÝ HỒ SƠ THANH TOÁN VƯỢT THẨM QUYỀN PD</v>
          </cell>
        </row>
      </sheetData>
      <sheetData sheetId="7290">
        <row r="1">
          <cell r="A1" t="str">
            <v>PHIẾU XỬ LÝ HỒ SƠ THANH TOÁN VƯỢT THẨM QUYỀN PD</v>
          </cell>
        </row>
      </sheetData>
      <sheetData sheetId="7291">
        <row r="1">
          <cell r="A1" t="str">
            <v>PHIẾU XỬ LÝ HỒ SƠ THANH TOÁN VƯỢT THẨM QUYỀN PD</v>
          </cell>
        </row>
      </sheetData>
      <sheetData sheetId="7292">
        <row r="1">
          <cell r="A1" t="str">
            <v>PHIẾU XỬ LÝ HỒ SƠ THANH TOÁN VƯỢT THẨM QUYỀN PD</v>
          </cell>
        </row>
      </sheetData>
      <sheetData sheetId="7293">
        <row r="1">
          <cell r="A1" t="str">
            <v>PHIẾU XỬ LÝ HỒ SƠ THANH TOÁN VƯỢT THẨM QUYỀN PD</v>
          </cell>
        </row>
      </sheetData>
      <sheetData sheetId="7294">
        <row r="1">
          <cell r="A1" t="str">
            <v>PHIẾU XỬ LÝ HỒ SƠ THANH TOÁN VƯỢT THẨM QUYỀN PD</v>
          </cell>
        </row>
      </sheetData>
      <sheetData sheetId="7295">
        <row r="1">
          <cell r="A1" t="str">
            <v>PHIẾU XỬ LÝ HỒ SƠ THANH TOÁN VƯỢT THẨM QUYỀN PD</v>
          </cell>
        </row>
      </sheetData>
      <sheetData sheetId="7296">
        <row r="1">
          <cell r="A1" t="str">
            <v>PHIẾU XỬ LÝ HỒ SƠ THANH TOÁN VƯỢT THẨM QUYỀN PD</v>
          </cell>
        </row>
      </sheetData>
      <sheetData sheetId="7297">
        <row r="1">
          <cell r="A1" t="str">
            <v>PHIẾU XỬ LÝ HỒ SƠ THANH TOÁN VƯỢT THẨM QUYỀN PD</v>
          </cell>
        </row>
      </sheetData>
      <sheetData sheetId="7298">
        <row r="1">
          <cell r="A1" t="str">
            <v>PHIẾU XỬ LÝ HỒ SƠ THANH TOÁN VƯỢT THẨM QUYỀN PD</v>
          </cell>
        </row>
      </sheetData>
      <sheetData sheetId="7299">
        <row r="1">
          <cell r="A1" t="str">
            <v>PHIẾU XỬ LÝ HỒ SƠ THANH TOÁN VƯỢT THẨM QUYỀN PD</v>
          </cell>
        </row>
      </sheetData>
      <sheetData sheetId="7300">
        <row r="1">
          <cell r="A1" t="str">
            <v>PHIẾU XỬ LÝ HỒ SƠ THANH TOÁN VƯỢT THẨM QUYỀN PD</v>
          </cell>
        </row>
      </sheetData>
      <sheetData sheetId="7301">
        <row r="1">
          <cell r="A1" t="str">
            <v>PHIẾU XỬ LÝ HỒ SƠ THANH TOÁN VƯỢT THẨM QUYỀN PD</v>
          </cell>
        </row>
      </sheetData>
      <sheetData sheetId="7302">
        <row r="1">
          <cell r="A1" t="str">
            <v>PHIẾU XỬ LÝ HỒ SƠ THANH TOÁN VƯỢT THẨM QUYỀN PD</v>
          </cell>
        </row>
      </sheetData>
      <sheetData sheetId="7303">
        <row r="1">
          <cell r="A1" t="str">
            <v>PHIẾU XỬ LÝ HỒ SƠ THANH TOÁN VƯỢT THẨM QUYỀN PD</v>
          </cell>
        </row>
      </sheetData>
      <sheetData sheetId="7304">
        <row r="1">
          <cell r="A1" t="str">
            <v>PHIẾU XỬ LÝ HỒ SƠ THANH TOÁN VƯỢT THẨM QUYỀN PD</v>
          </cell>
        </row>
      </sheetData>
      <sheetData sheetId="7305">
        <row r="1">
          <cell r="A1" t="str">
            <v>PHIẾU XỬ LÝ HỒ SƠ THANH TOÁN VƯỢT THẨM QUYỀN PD</v>
          </cell>
        </row>
      </sheetData>
      <sheetData sheetId="7306">
        <row r="1">
          <cell r="A1" t="str">
            <v>PHIẾU XỬ LÝ HỒ SƠ THANH TOÁN VƯỢT THẨM QUYỀN PD</v>
          </cell>
        </row>
      </sheetData>
      <sheetData sheetId="7307">
        <row r="1">
          <cell r="A1" t="str">
            <v>PHIẾU XỬ LÝ HỒ SƠ THANH TOÁN VƯỢT THẨM QUYỀN PD</v>
          </cell>
        </row>
      </sheetData>
      <sheetData sheetId="7308">
        <row r="1">
          <cell r="A1" t="str">
            <v>PHIẾU XỬ LÝ HỒ SƠ THANH TOÁN VƯỢT THẨM QUYỀN PD</v>
          </cell>
        </row>
      </sheetData>
      <sheetData sheetId="7309">
        <row r="1">
          <cell r="A1" t="str">
            <v>PHIẾU XỬ LÝ HỒ SƠ THANH TOÁN VƯỢT THẨM QUYỀN PD</v>
          </cell>
        </row>
      </sheetData>
      <sheetData sheetId="7310">
        <row r="1">
          <cell r="A1" t="str">
            <v>PHIẾU XỬ LÝ HỒ SƠ THANH TOÁN VƯỢT THẨM QUYỀN PD</v>
          </cell>
        </row>
      </sheetData>
      <sheetData sheetId="7311">
        <row r="1">
          <cell r="A1" t="str">
            <v>PHIẾU XỬ LÝ HỒ SƠ THANH TOÁN VƯỢT THẨM QUYỀN PD</v>
          </cell>
        </row>
      </sheetData>
      <sheetData sheetId="7312">
        <row r="1">
          <cell r="A1" t="str">
            <v>PHIẾU XỬ LÝ HỒ SƠ THANH TOÁN VƯỢT THẨM QUYỀN PD</v>
          </cell>
        </row>
      </sheetData>
      <sheetData sheetId="7313">
        <row r="1">
          <cell r="A1" t="str">
            <v>PHIẾU XỬ LÝ HỒ SƠ THANH TOÁN VƯỢT THẨM QUYỀN PD</v>
          </cell>
        </row>
      </sheetData>
      <sheetData sheetId="7314">
        <row r="1">
          <cell r="A1" t="str">
            <v>PHIẾU XỬ LÝ HỒ SƠ THANH TOÁN VƯỢT THẨM QUYỀN PD</v>
          </cell>
        </row>
      </sheetData>
      <sheetData sheetId="7315">
        <row r="1">
          <cell r="A1" t="str">
            <v>PHIẾU XỬ LÝ HỒ SƠ THANH TOÁN VƯỢT THẨM QUYỀN PD</v>
          </cell>
        </row>
      </sheetData>
      <sheetData sheetId="7316">
        <row r="1">
          <cell r="A1" t="str">
            <v>PHIẾU XỬ LÝ HỒ SƠ THANH TOÁN VƯỢT THẨM QUYỀN PD</v>
          </cell>
        </row>
      </sheetData>
      <sheetData sheetId="7317">
        <row r="1">
          <cell r="A1" t="str">
            <v>PHIẾU XỬ LÝ HỒ SƠ THANH TOÁN VƯỢT THẨM QUYỀN PD</v>
          </cell>
        </row>
      </sheetData>
      <sheetData sheetId="7318">
        <row r="1">
          <cell r="A1" t="str">
            <v>PHIẾU XỬ LÝ HỒ SƠ THANH TOÁN VƯỢT THẨM QUYỀN PD</v>
          </cell>
        </row>
      </sheetData>
      <sheetData sheetId="7319">
        <row r="1">
          <cell r="A1" t="str">
            <v>PHIẾU XỬ LÝ HỒ SƠ THANH TOÁN VƯỢT THẨM QUYỀN PD</v>
          </cell>
        </row>
      </sheetData>
      <sheetData sheetId="7320">
        <row r="1">
          <cell r="A1" t="str">
            <v>PHIẾU XỬ LÝ HỒ SƠ THANH TOÁN VƯỢT THẨM QUYỀN PD</v>
          </cell>
        </row>
      </sheetData>
      <sheetData sheetId="7321">
        <row r="1">
          <cell r="A1" t="str">
            <v>PHIẾU XỬ LÝ HỒ SƠ THANH TOÁN VƯỢT THẨM QUYỀN PD</v>
          </cell>
        </row>
      </sheetData>
      <sheetData sheetId="7322">
        <row r="1">
          <cell r="A1" t="str">
            <v>PHIẾU XỬ LÝ HỒ SƠ THANH TOÁN VƯỢT THẨM QUYỀN PD</v>
          </cell>
        </row>
      </sheetData>
      <sheetData sheetId="7323">
        <row r="1">
          <cell r="A1" t="str">
            <v>PHIẾU XỬ LÝ HỒ SƠ THANH TOÁN VƯỢT THẨM QUYỀN PD</v>
          </cell>
        </row>
      </sheetData>
      <sheetData sheetId="7324">
        <row r="1">
          <cell r="A1" t="str">
            <v>PHIẾU XỬ LÝ HỒ SƠ THANH TOÁN VƯỢT THẨM QUYỀN PD</v>
          </cell>
        </row>
      </sheetData>
      <sheetData sheetId="7325">
        <row r="1">
          <cell r="A1" t="str">
            <v>PHIẾU XỬ LÝ HỒ SƠ THANH TOÁN VƯỢT THẨM QUYỀN PD</v>
          </cell>
        </row>
      </sheetData>
      <sheetData sheetId="7326">
        <row r="1">
          <cell r="A1" t="str">
            <v>PHIẾU XỬ LÝ HỒ SƠ THANH TOÁN VƯỢT THẨM QUYỀN PD</v>
          </cell>
        </row>
      </sheetData>
      <sheetData sheetId="7327">
        <row r="1">
          <cell r="A1" t="str">
            <v>PHIẾU XỬ LÝ HỒ SƠ THANH TOÁN VƯỢT THẨM QUYỀN PD</v>
          </cell>
        </row>
      </sheetData>
      <sheetData sheetId="7328">
        <row r="1">
          <cell r="A1" t="str">
            <v>PHIẾU XỬ LÝ HỒ SƠ THANH TOÁN VƯỢT THẨM QUYỀN PD</v>
          </cell>
        </row>
      </sheetData>
      <sheetData sheetId="7329">
        <row r="1">
          <cell r="A1" t="str">
            <v>PHIẾU XỬ LÝ HỒ SƠ THANH TOÁN VƯỢT THẨM QUYỀN PD</v>
          </cell>
        </row>
      </sheetData>
      <sheetData sheetId="7330">
        <row r="1">
          <cell r="A1" t="str">
            <v>PHIẾU XỬ LÝ HỒ SƠ THANH TOÁN VƯỢT THẨM QUYỀN PD</v>
          </cell>
        </row>
      </sheetData>
      <sheetData sheetId="7331">
        <row r="1">
          <cell r="A1" t="str">
            <v>PHIẾU XỬ LÝ HỒ SƠ THANH TOÁN VƯỢT THẨM QUYỀN PD</v>
          </cell>
        </row>
      </sheetData>
      <sheetData sheetId="7332">
        <row r="1">
          <cell r="A1" t="str">
            <v>PHIẾU XỬ LÝ HỒ SƠ THANH TOÁN VƯỢT THẨM QUYỀN PD</v>
          </cell>
        </row>
      </sheetData>
      <sheetData sheetId="7333">
        <row r="1">
          <cell r="A1" t="str">
            <v>PHIẾU XỬ LÝ HỒ SƠ THANH TOÁN VƯỢT THẨM QUYỀN PD</v>
          </cell>
        </row>
      </sheetData>
      <sheetData sheetId="7334">
        <row r="1">
          <cell r="A1" t="str">
            <v>PHIẾU XỬ LÝ HỒ SƠ THANH TOÁN VƯỢT THẨM QUYỀN PD</v>
          </cell>
        </row>
      </sheetData>
      <sheetData sheetId="7335">
        <row r="1">
          <cell r="A1" t="str">
            <v>PHIẾU XỬ LÝ HỒ SƠ THANH TOÁN VƯỢT THẨM QUYỀN PD</v>
          </cell>
        </row>
      </sheetData>
      <sheetData sheetId="7336">
        <row r="1">
          <cell r="A1" t="str">
            <v>PHIẾU XỬ LÝ HỒ SƠ THANH TOÁN VƯỢT THẨM QUYỀN PD</v>
          </cell>
        </row>
      </sheetData>
      <sheetData sheetId="7337">
        <row r="1">
          <cell r="A1" t="str">
            <v>PHIẾU XỬ LÝ HỒ SƠ THANH TOÁN VƯỢT THẨM QUYỀN PD</v>
          </cell>
        </row>
      </sheetData>
      <sheetData sheetId="7338">
        <row r="1">
          <cell r="A1" t="str">
            <v>PHIẾU XỬ LÝ HỒ SƠ THANH TOÁN VƯỢT THẨM QUYỀN PD</v>
          </cell>
        </row>
      </sheetData>
      <sheetData sheetId="7339">
        <row r="1">
          <cell r="A1" t="str">
            <v>PHIẾU XỬ LÝ HỒ SƠ THANH TOÁN VƯỢT THẨM QUYỀN PD</v>
          </cell>
        </row>
      </sheetData>
      <sheetData sheetId="7340">
        <row r="1">
          <cell r="A1" t="str">
            <v>PHIẾU XỬ LÝ HỒ SƠ THANH TOÁN VƯỢT THẨM QUYỀN PD</v>
          </cell>
        </row>
      </sheetData>
      <sheetData sheetId="7341">
        <row r="1">
          <cell r="A1" t="str">
            <v>PHIẾU XỬ LÝ HỒ SƠ THANH TOÁN VƯỢT THẨM QUYỀN PD</v>
          </cell>
        </row>
      </sheetData>
      <sheetData sheetId="7342">
        <row r="1">
          <cell r="A1" t="str">
            <v>PHIẾU XỬ LÝ HỒ SƠ THANH TOÁN VƯỢT THẨM QUYỀN PD</v>
          </cell>
        </row>
      </sheetData>
      <sheetData sheetId="7343">
        <row r="1">
          <cell r="A1" t="str">
            <v>PHIẾU XỬ LÝ HỒ SƠ THANH TOÁN VƯỢT THẨM QUYỀN PD</v>
          </cell>
        </row>
      </sheetData>
      <sheetData sheetId="7344">
        <row r="1">
          <cell r="A1" t="str">
            <v>PHIẾU XỬ LÝ HỒ SƠ THANH TOÁN VƯỢT THẨM QUYỀN PD</v>
          </cell>
        </row>
      </sheetData>
      <sheetData sheetId="7345">
        <row r="1">
          <cell r="A1" t="str">
            <v>PHIẾU XỬ LÝ HỒ SƠ THANH TOÁN VƯỢT THẨM QUYỀN PD</v>
          </cell>
        </row>
      </sheetData>
      <sheetData sheetId="7346">
        <row r="1">
          <cell r="A1" t="str">
            <v>PHIẾU XỬ LÝ HỒ SƠ THANH TOÁN VƯỢT THẨM QUYỀN PD</v>
          </cell>
        </row>
      </sheetData>
      <sheetData sheetId="7347">
        <row r="1">
          <cell r="A1" t="str">
            <v>PHIẾU XỬ LÝ HỒ SƠ THANH TOÁN VƯỢT THẨM QUYỀN PD</v>
          </cell>
        </row>
      </sheetData>
      <sheetData sheetId="7348">
        <row r="1">
          <cell r="A1" t="str">
            <v>PHIẾU XỬ LÝ HỒ SƠ THANH TOÁN VƯỢT THẨM QUYỀN PD</v>
          </cell>
        </row>
      </sheetData>
      <sheetData sheetId="7349">
        <row r="1">
          <cell r="A1" t="str">
            <v>PHIẾU XỬ LÝ HỒ SƠ THANH TOÁN VƯỢT THẨM QUYỀN PD</v>
          </cell>
        </row>
      </sheetData>
      <sheetData sheetId="7350">
        <row r="1">
          <cell r="A1" t="str">
            <v>PHIẾU XỬ LÝ HỒ SƠ THANH TOÁN VƯỢT THẨM QUYỀN PD</v>
          </cell>
        </row>
      </sheetData>
      <sheetData sheetId="7351">
        <row r="1">
          <cell r="A1" t="str">
            <v>PHIẾU XỬ LÝ HỒ SƠ THANH TOÁN VƯỢT THẨM QUYỀN PD</v>
          </cell>
        </row>
      </sheetData>
      <sheetData sheetId="7352">
        <row r="1">
          <cell r="A1" t="str">
            <v>PHIẾU XỬ LÝ HỒ SƠ THANH TOÁN VƯỢT THẨM QUYỀN PD</v>
          </cell>
        </row>
      </sheetData>
      <sheetData sheetId="7353">
        <row r="1">
          <cell r="A1" t="str">
            <v>PHIẾU XỬ LÝ HỒ SƠ THANH TOÁN VƯỢT THẨM QUYỀN PD</v>
          </cell>
        </row>
      </sheetData>
      <sheetData sheetId="7354">
        <row r="1">
          <cell r="A1" t="str">
            <v>PHIẾU XỬ LÝ HỒ SƠ THANH TOÁN VƯỢT THẨM QUYỀN PD</v>
          </cell>
        </row>
      </sheetData>
      <sheetData sheetId="7355">
        <row r="1">
          <cell r="A1" t="str">
            <v>PHIẾU XỬ LÝ HỒ SƠ THANH TOÁN VƯỢT THẨM QUYỀN PD</v>
          </cell>
        </row>
      </sheetData>
      <sheetData sheetId="7356">
        <row r="1">
          <cell r="A1" t="str">
            <v>PHIẾU XỬ LÝ HỒ SƠ THANH TOÁN VƯỢT THẨM QUYỀN PD</v>
          </cell>
        </row>
      </sheetData>
      <sheetData sheetId="7357">
        <row r="1">
          <cell r="A1" t="str">
            <v>PHIẾU XỬ LÝ HỒ SƠ THANH TOÁN VƯỢT THẨM QUYỀN PD</v>
          </cell>
        </row>
      </sheetData>
      <sheetData sheetId="7358">
        <row r="1">
          <cell r="A1" t="str">
            <v>PHIẾU XỬ LÝ HỒ SƠ THANH TOÁN VƯỢT THẨM QUYỀN PD</v>
          </cell>
        </row>
      </sheetData>
      <sheetData sheetId="7359">
        <row r="1">
          <cell r="A1" t="str">
            <v>PHIẾU XỬ LÝ HỒ SƠ THANH TOÁN VƯỢT THẨM QUYỀN PD</v>
          </cell>
        </row>
      </sheetData>
      <sheetData sheetId="7360">
        <row r="1">
          <cell r="A1" t="str">
            <v>PHIẾU XỬ LÝ HỒ SƠ THANH TOÁN VƯỢT THẨM QUYỀN PD</v>
          </cell>
        </row>
      </sheetData>
      <sheetData sheetId="7361">
        <row r="1">
          <cell r="A1" t="str">
            <v>PHIẾU XỬ LÝ HỒ SƠ THANH TOÁN VƯỢT THẨM QUYỀN PD</v>
          </cell>
        </row>
      </sheetData>
      <sheetData sheetId="7362">
        <row r="1">
          <cell r="A1" t="str">
            <v>PHIẾU XỬ LÝ HỒ SƠ THANH TOÁN VƯỢT THẨM QUYỀN PD</v>
          </cell>
        </row>
      </sheetData>
      <sheetData sheetId="7363">
        <row r="1">
          <cell r="A1" t="str">
            <v>PHIẾU XỬ LÝ HỒ SƠ THANH TOÁN VƯỢT THẨM QUYỀN PD</v>
          </cell>
        </row>
      </sheetData>
      <sheetData sheetId="7364">
        <row r="1">
          <cell r="A1" t="str">
            <v>PHIẾU XỬ LÝ HỒ SƠ THANH TOÁN VƯỢT THẨM QUYỀN PD</v>
          </cell>
        </row>
      </sheetData>
      <sheetData sheetId="7365">
        <row r="1">
          <cell r="A1" t="str">
            <v>PHIẾU XỬ LÝ HỒ SƠ THANH TOÁN VƯỢT THẨM QUYỀN PD</v>
          </cell>
        </row>
      </sheetData>
      <sheetData sheetId="7366">
        <row r="1">
          <cell r="A1" t="str">
            <v>PHIẾU XỬ LÝ HỒ SƠ THANH TOÁN VƯỢT THẨM QUYỀN PD</v>
          </cell>
        </row>
      </sheetData>
      <sheetData sheetId="7367">
        <row r="1">
          <cell r="A1" t="str">
            <v>PHIẾU XỬ LÝ HỒ SƠ THANH TOÁN VƯỢT THẨM QUYỀN PD</v>
          </cell>
        </row>
      </sheetData>
      <sheetData sheetId="7368">
        <row r="1">
          <cell r="A1" t="str">
            <v>PHIẾU XỬ LÝ HỒ SƠ THANH TOÁN VƯỢT THẨM QUYỀN PD</v>
          </cell>
        </row>
      </sheetData>
      <sheetData sheetId="7369">
        <row r="1">
          <cell r="A1" t="str">
            <v>PHIẾU XỬ LÝ HỒ SƠ THANH TOÁN VƯỢT THẨM QUYỀN PD</v>
          </cell>
        </row>
      </sheetData>
      <sheetData sheetId="7370">
        <row r="1">
          <cell r="A1" t="str">
            <v>PHIẾU XỬ LÝ HỒ SƠ THANH TOÁN VƯỢT THẨM QUYỀN PD</v>
          </cell>
        </row>
      </sheetData>
      <sheetData sheetId="7371">
        <row r="1">
          <cell r="A1" t="str">
            <v>PHIẾU XỬ LÝ HỒ SƠ THANH TOÁN VƯỢT THẨM QUYỀN PD</v>
          </cell>
        </row>
      </sheetData>
      <sheetData sheetId="7372">
        <row r="1">
          <cell r="A1" t="str">
            <v>PHIẾU XỬ LÝ HỒ SƠ THANH TOÁN VƯỢT THẨM QUYỀN PD</v>
          </cell>
        </row>
      </sheetData>
      <sheetData sheetId="7373">
        <row r="1">
          <cell r="A1" t="str">
            <v>PHIẾU XỬ LÝ HỒ SƠ THANH TOÁN VƯỢT THẨM QUYỀN PD</v>
          </cell>
        </row>
      </sheetData>
      <sheetData sheetId="7374">
        <row r="1">
          <cell r="A1" t="str">
            <v>PHIẾU XỬ LÝ HỒ SƠ THANH TOÁN VƯỢT THẨM QUYỀN PD</v>
          </cell>
        </row>
      </sheetData>
      <sheetData sheetId="7375">
        <row r="1">
          <cell r="A1" t="str">
            <v>PHIẾU XỬ LÝ HỒ SƠ THANH TOÁN VƯỢT THẨM QUYỀN PD</v>
          </cell>
        </row>
      </sheetData>
      <sheetData sheetId="7376">
        <row r="1">
          <cell r="A1" t="str">
            <v>PHIẾU XỬ LÝ HỒ SƠ THANH TOÁN VƯỢT THẨM QUYỀN PD</v>
          </cell>
        </row>
      </sheetData>
      <sheetData sheetId="7377">
        <row r="1">
          <cell r="A1" t="str">
            <v>PHIẾU XỬ LÝ HỒ SƠ THANH TOÁN VƯỢT THẨM QUYỀN PD</v>
          </cell>
        </row>
      </sheetData>
      <sheetData sheetId="7378">
        <row r="1">
          <cell r="A1" t="str">
            <v>PHIẾU XỬ LÝ HỒ SƠ THANH TOÁN VƯỢT THẨM QUYỀN PD</v>
          </cell>
        </row>
      </sheetData>
      <sheetData sheetId="7379">
        <row r="1">
          <cell r="A1" t="str">
            <v>PHIẾU XỬ LÝ HỒ SƠ THANH TOÁN VƯỢT THẨM QUYỀN PD</v>
          </cell>
        </row>
      </sheetData>
      <sheetData sheetId="7380">
        <row r="1">
          <cell r="A1" t="str">
            <v>PHIẾU XỬ LÝ HỒ SƠ THANH TOÁN VƯỢT THẨM QUYỀN PD</v>
          </cell>
        </row>
      </sheetData>
      <sheetData sheetId="7381">
        <row r="1">
          <cell r="A1" t="str">
            <v>PHIẾU XỬ LÝ HỒ SƠ THANH TOÁN VƯỢT THẨM QUYỀN PD</v>
          </cell>
        </row>
      </sheetData>
      <sheetData sheetId="7382">
        <row r="1">
          <cell r="A1" t="str">
            <v>PHIẾU XỬ LÝ HỒ SƠ THANH TOÁN VƯỢT THẨM QUYỀN PD</v>
          </cell>
        </row>
      </sheetData>
      <sheetData sheetId="7383">
        <row r="1">
          <cell r="A1" t="str">
            <v>PHIẾU XỬ LÝ HỒ SƠ THANH TOÁN VƯỢT THẨM QUYỀN PD</v>
          </cell>
        </row>
      </sheetData>
      <sheetData sheetId="7384">
        <row r="1">
          <cell r="A1" t="str">
            <v>PHIẾU XỬ LÝ HỒ SƠ THANH TOÁN VƯỢT THẨM QUYỀN PD</v>
          </cell>
        </row>
      </sheetData>
      <sheetData sheetId="7385">
        <row r="1">
          <cell r="A1" t="str">
            <v>PHIẾU XỬ LÝ HỒ SƠ THANH TOÁN VƯỢT THẨM QUYỀN PD</v>
          </cell>
        </row>
      </sheetData>
      <sheetData sheetId="7386">
        <row r="1">
          <cell r="A1" t="str">
            <v>PHIẾU XỬ LÝ HỒ SƠ THANH TOÁN VƯỢT THẨM QUYỀN PD</v>
          </cell>
        </row>
      </sheetData>
      <sheetData sheetId="7387">
        <row r="1">
          <cell r="A1" t="str">
            <v>PHIẾU XỬ LÝ HỒ SƠ THANH TOÁN VƯỢT THẨM QUYỀN PD</v>
          </cell>
        </row>
      </sheetData>
      <sheetData sheetId="7388">
        <row r="1">
          <cell r="A1" t="str">
            <v>PHIẾU XỬ LÝ HỒ SƠ THANH TOÁN VƯỢT THẨM QUYỀN PD</v>
          </cell>
        </row>
      </sheetData>
      <sheetData sheetId="7389">
        <row r="1">
          <cell r="A1" t="str">
            <v>PHIẾU XỬ LÝ HỒ SƠ THANH TOÁN VƯỢT THẨM QUYỀN PD</v>
          </cell>
        </row>
      </sheetData>
      <sheetData sheetId="7390">
        <row r="1">
          <cell r="A1" t="str">
            <v>PHIẾU XỬ LÝ HỒ SƠ THANH TOÁN VƯỢT THẨM QUYỀN PD</v>
          </cell>
        </row>
      </sheetData>
      <sheetData sheetId="7391">
        <row r="1">
          <cell r="A1" t="str">
            <v>PHIẾU XỬ LÝ HỒ SƠ THANH TOÁN VƯỢT THẨM QUYỀN PD</v>
          </cell>
        </row>
      </sheetData>
      <sheetData sheetId="7392">
        <row r="1">
          <cell r="A1" t="str">
            <v>PHIẾU XỬ LÝ HỒ SƠ THANH TOÁN VƯỢT THẨM QUYỀN PD</v>
          </cell>
        </row>
      </sheetData>
      <sheetData sheetId="7393">
        <row r="1">
          <cell r="A1" t="str">
            <v>PHIẾU XỬ LÝ HỒ SƠ THANH TOÁN VƯỢT THẨM QUYỀN PD</v>
          </cell>
        </row>
      </sheetData>
      <sheetData sheetId="7394">
        <row r="1">
          <cell r="A1" t="str">
            <v>PHIẾU XỬ LÝ HỒ SƠ THANH TOÁN VƯỢT THẨM QUYỀN PD</v>
          </cell>
        </row>
      </sheetData>
      <sheetData sheetId="7395">
        <row r="1">
          <cell r="A1" t="str">
            <v>PHIẾU XỬ LÝ HỒ SƠ THANH TOÁN VƯỢT THẨM QUYỀN PD</v>
          </cell>
        </row>
      </sheetData>
      <sheetData sheetId="7396">
        <row r="1">
          <cell r="A1" t="str">
            <v>PHIẾU XỬ LÝ HỒ SƠ THANH TOÁN VƯỢT THẨM QUYỀN PD</v>
          </cell>
        </row>
      </sheetData>
      <sheetData sheetId="7397">
        <row r="1">
          <cell r="A1" t="str">
            <v>PHIẾU XỬ LÝ HỒ SƠ THANH TOÁN VƯỢT THẨM QUYỀN PD</v>
          </cell>
        </row>
      </sheetData>
      <sheetData sheetId="7398">
        <row r="1">
          <cell r="A1" t="str">
            <v>PHIẾU XỬ LÝ HỒ SƠ THANH TOÁN VƯỢT THẨM QUYỀN PD</v>
          </cell>
        </row>
      </sheetData>
      <sheetData sheetId="7399">
        <row r="1">
          <cell r="A1" t="str">
            <v>PHIẾU XỬ LÝ HỒ SƠ THANH TOÁN VƯỢT THẨM QUYỀN PD</v>
          </cell>
        </row>
      </sheetData>
      <sheetData sheetId="7400">
        <row r="1">
          <cell r="A1" t="str">
            <v>PHIẾU XỬ LÝ HỒ SƠ THANH TOÁN VƯỢT THẨM QUYỀN PD</v>
          </cell>
        </row>
      </sheetData>
      <sheetData sheetId="7401">
        <row r="1">
          <cell r="A1" t="str">
            <v>PHIẾU XỬ LÝ HỒ SƠ THANH TOÁN VƯỢT THẨM QUYỀN PD</v>
          </cell>
        </row>
      </sheetData>
      <sheetData sheetId="7402">
        <row r="1">
          <cell r="A1" t="str">
            <v>PHIẾU XỬ LÝ HỒ SƠ THANH TOÁN VƯỢT THẨM QUYỀN PD</v>
          </cell>
        </row>
      </sheetData>
      <sheetData sheetId="7403">
        <row r="1">
          <cell r="A1" t="str">
            <v>PHIẾU XỬ LÝ HỒ SƠ THANH TOÁN VƯỢT THẨM QUYỀN PD</v>
          </cell>
        </row>
      </sheetData>
      <sheetData sheetId="7404">
        <row r="1">
          <cell r="A1" t="str">
            <v>PHIẾU XỬ LÝ HỒ SƠ THANH TOÁN VƯỢT THẨM QUYỀN PD</v>
          </cell>
        </row>
      </sheetData>
      <sheetData sheetId="7405">
        <row r="1">
          <cell r="A1" t="str">
            <v>PHIẾU XỬ LÝ HỒ SƠ THANH TOÁN VƯỢT THẨM QUYỀN PD</v>
          </cell>
        </row>
      </sheetData>
      <sheetData sheetId="7406">
        <row r="1">
          <cell r="A1" t="str">
            <v>PHIẾU XỬ LÝ HỒ SƠ THANH TOÁN VƯỢT THẨM QUYỀN PD</v>
          </cell>
        </row>
      </sheetData>
      <sheetData sheetId="7407">
        <row r="1">
          <cell r="A1" t="str">
            <v>PHIẾU XỬ LÝ HỒ SƠ THANH TOÁN VƯỢT THẨM QUYỀN PD</v>
          </cell>
        </row>
      </sheetData>
      <sheetData sheetId="7408">
        <row r="1">
          <cell r="A1" t="str">
            <v>PHIẾU XỬ LÝ HỒ SƠ THANH TOÁN VƯỢT THẨM QUYỀN PD</v>
          </cell>
        </row>
      </sheetData>
      <sheetData sheetId="7409">
        <row r="1">
          <cell r="A1" t="str">
            <v>PHIẾU XỬ LÝ HỒ SƠ THANH TOÁN VƯỢT THẨM QUYỀN PD</v>
          </cell>
        </row>
      </sheetData>
      <sheetData sheetId="7410">
        <row r="1">
          <cell r="A1" t="str">
            <v>PHIẾU XỬ LÝ HỒ SƠ THANH TOÁN VƯỢT THẨM QUYỀN PD</v>
          </cell>
        </row>
      </sheetData>
      <sheetData sheetId="7411">
        <row r="1">
          <cell r="A1" t="str">
            <v>PHIẾU XỬ LÝ HỒ SƠ THANH TOÁN VƯỢT THẨM QUYỀN PD</v>
          </cell>
        </row>
      </sheetData>
      <sheetData sheetId="7412">
        <row r="1">
          <cell r="A1" t="str">
            <v>PHIẾU XỬ LÝ HỒ SƠ THANH TOÁN VƯỢT THẨM QUYỀN PD</v>
          </cell>
        </row>
      </sheetData>
      <sheetData sheetId="7413">
        <row r="1">
          <cell r="A1" t="str">
            <v>PHIẾU XỬ LÝ HỒ SƠ THANH TOÁN VƯỢT THẨM QUYỀN PD</v>
          </cell>
        </row>
      </sheetData>
      <sheetData sheetId="7414">
        <row r="1">
          <cell r="A1" t="str">
            <v>PHIẾU XỬ LÝ HỒ SƠ THANH TOÁN VƯỢT THẨM QUYỀN PD</v>
          </cell>
        </row>
      </sheetData>
      <sheetData sheetId="7415">
        <row r="1">
          <cell r="A1" t="str">
            <v>PHIẾU XỬ LÝ HỒ SƠ THANH TOÁN VƯỢT THẨM QUYỀN PD</v>
          </cell>
        </row>
      </sheetData>
      <sheetData sheetId="7416">
        <row r="1">
          <cell r="A1" t="str">
            <v>PHIẾU XỬ LÝ HỒ SƠ THANH TOÁN VƯỢT THẨM QUYỀN PD</v>
          </cell>
        </row>
      </sheetData>
      <sheetData sheetId="7417">
        <row r="1">
          <cell r="A1" t="str">
            <v>PHIẾU XỬ LÝ HỒ SƠ THANH TOÁN VƯỢT THẨM QUYỀN PD</v>
          </cell>
        </row>
      </sheetData>
      <sheetData sheetId="7418">
        <row r="1">
          <cell r="A1" t="str">
            <v>PHIẾU XỬ LÝ HỒ SƠ THANH TOÁN VƯỢT THẨM QUYỀN PD</v>
          </cell>
        </row>
      </sheetData>
      <sheetData sheetId="7419">
        <row r="1">
          <cell r="A1" t="str">
            <v>PHIẾU XỬ LÝ HỒ SƠ THANH TOÁN VƯỢT THẨM QUYỀN PD</v>
          </cell>
        </row>
      </sheetData>
      <sheetData sheetId="7420">
        <row r="1">
          <cell r="A1" t="str">
            <v>PHIẾU XỬ LÝ HỒ SƠ THANH TOÁN VƯỢT THẨM QUYỀN PD</v>
          </cell>
        </row>
      </sheetData>
      <sheetData sheetId="7421">
        <row r="1">
          <cell r="A1" t="str">
            <v>PHIẾU XỬ LÝ HỒ SƠ THANH TOÁN VƯỢT THẨM QUYỀN PD</v>
          </cell>
        </row>
      </sheetData>
      <sheetData sheetId="7422">
        <row r="1">
          <cell r="A1" t="str">
            <v>PHIẾU XỬ LÝ HỒ SƠ THANH TOÁN VƯỢT THẨM QUYỀN PD</v>
          </cell>
        </row>
      </sheetData>
      <sheetData sheetId="7423">
        <row r="1">
          <cell r="A1" t="str">
            <v>PHIẾU XỬ LÝ HỒ SƠ THANH TOÁN VƯỢT THẨM QUYỀN PD</v>
          </cell>
        </row>
      </sheetData>
      <sheetData sheetId="7424">
        <row r="1">
          <cell r="A1" t="str">
            <v>PHIẾU XỬ LÝ HỒ SƠ THANH TOÁN VƯỢT THẨM QUYỀN PD</v>
          </cell>
        </row>
      </sheetData>
      <sheetData sheetId="7425">
        <row r="1">
          <cell r="A1" t="str">
            <v>PHIẾU XỬ LÝ HỒ SƠ THANH TOÁN VƯỢT THẨM QUYỀN PD</v>
          </cell>
        </row>
      </sheetData>
      <sheetData sheetId="7426">
        <row r="1">
          <cell r="A1" t="str">
            <v>PHIẾU XỬ LÝ HỒ SƠ THANH TOÁN VƯỢT THẨM QUYỀN PD</v>
          </cell>
        </row>
      </sheetData>
      <sheetData sheetId="7427">
        <row r="1">
          <cell r="A1" t="str">
            <v>PHIẾU XỬ LÝ HỒ SƠ THANH TOÁN VƯỢT THẨM QUYỀN PD</v>
          </cell>
        </row>
      </sheetData>
      <sheetData sheetId="7428">
        <row r="1">
          <cell r="A1" t="str">
            <v>PHIẾU XỬ LÝ HỒ SƠ THANH TOÁN VƯỢT THẨM QUYỀN PD</v>
          </cell>
        </row>
      </sheetData>
      <sheetData sheetId="7429">
        <row r="1">
          <cell r="A1" t="str">
            <v>PHIẾU XỬ LÝ HỒ SƠ THANH TOÁN VƯỢT THẨM QUYỀN PD</v>
          </cell>
        </row>
      </sheetData>
      <sheetData sheetId="7430">
        <row r="1">
          <cell r="A1" t="str">
            <v>PHIẾU XỬ LÝ HỒ SƠ THANH TOÁN VƯỢT THẨM QUYỀN PD</v>
          </cell>
        </row>
      </sheetData>
      <sheetData sheetId="7431">
        <row r="1">
          <cell r="A1" t="str">
            <v>PHIẾU XỬ LÝ HỒ SƠ THANH TOÁN VƯỢT THẨM QUYỀN PD</v>
          </cell>
        </row>
      </sheetData>
      <sheetData sheetId="7432">
        <row r="1">
          <cell r="A1" t="str">
            <v>PHIẾU XỬ LÝ HỒ SƠ THANH TOÁN VƯỢT THẨM QUYỀN PD</v>
          </cell>
        </row>
      </sheetData>
      <sheetData sheetId="7433">
        <row r="1">
          <cell r="A1" t="str">
            <v>PHIẾU XỬ LÝ HỒ SƠ THANH TOÁN VƯỢT THẨM QUYỀN PD</v>
          </cell>
        </row>
      </sheetData>
      <sheetData sheetId="7434">
        <row r="1">
          <cell r="A1" t="str">
            <v>PHIẾU XỬ LÝ HỒ SƠ THANH TOÁN VƯỢT THẨM QUYỀN PD</v>
          </cell>
        </row>
      </sheetData>
      <sheetData sheetId="7435">
        <row r="1">
          <cell r="A1" t="str">
            <v>PHIẾU XỬ LÝ HỒ SƠ THANH TOÁN VƯỢT THẨM QUYỀN PD</v>
          </cell>
        </row>
      </sheetData>
      <sheetData sheetId="7436">
        <row r="1">
          <cell r="A1" t="str">
            <v>PHIẾU XỬ LÝ HỒ SƠ THANH TOÁN VƯỢT THẨM QUYỀN PD</v>
          </cell>
        </row>
      </sheetData>
      <sheetData sheetId="7437">
        <row r="1">
          <cell r="A1" t="str">
            <v>PHIẾU XỬ LÝ HỒ SƠ THANH TOÁN VƯỢT THẨM QUYỀN PD</v>
          </cell>
        </row>
      </sheetData>
      <sheetData sheetId="7438">
        <row r="1">
          <cell r="A1" t="str">
            <v>PHIẾU XỬ LÝ HỒ SƠ THANH TOÁN VƯỢT THẨM QUYỀN PD</v>
          </cell>
        </row>
      </sheetData>
      <sheetData sheetId="7439">
        <row r="1">
          <cell r="A1" t="str">
            <v>PHIẾU XỬ LÝ HỒ SƠ THANH TOÁN VƯỢT THẨM QUYỀN PD</v>
          </cell>
        </row>
      </sheetData>
      <sheetData sheetId="7440">
        <row r="1">
          <cell r="A1" t="str">
            <v>PHIẾU XỬ LÝ HỒ SƠ THANH TOÁN VƯỢT THẨM QUYỀN PD</v>
          </cell>
        </row>
      </sheetData>
      <sheetData sheetId="7441">
        <row r="1">
          <cell r="A1" t="str">
            <v>PHIẾU XỬ LÝ HỒ SƠ THANH TOÁN VƯỢT THẨM QUYỀN PD</v>
          </cell>
        </row>
      </sheetData>
      <sheetData sheetId="7442">
        <row r="1">
          <cell r="A1" t="str">
            <v>PHIẾU XỬ LÝ HỒ SƠ THANH TOÁN VƯỢT THẨM QUYỀN PD</v>
          </cell>
        </row>
      </sheetData>
      <sheetData sheetId="7443">
        <row r="1">
          <cell r="A1" t="str">
            <v>PHIẾU XỬ LÝ HỒ SƠ THANH TOÁN VƯỢT THẨM QUYỀN PD</v>
          </cell>
        </row>
      </sheetData>
      <sheetData sheetId="7444">
        <row r="1">
          <cell r="A1" t="str">
            <v>PHIẾU XỬ LÝ HỒ SƠ THANH TOÁN VƯỢT THẨM QUYỀN PD</v>
          </cell>
        </row>
      </sheetData>
      <sheetData sheetId="7445">
        <row r="1">
          <cell r="A1" t="str">
            <v>PHIẾU XỬ LÝ HỒ SƠ THANH TOÁN VƯỢT THẨM QUYỀN PD</v>
          </cell>
        </row>
      </sheetData>
      <sheetData sheetId="7446">
        <row r="1">
          <cell r="A1" t="str">
            <v>PHIẾU XỬ LÝ HỒ SƠ THANH TOÁN VƯỢT THẨM QUYỀN PD</v>
          </cell>
        </row>
      </sheetData>
      <sheetData sheetId="7447">
        <row r="1">
          <cell r="A1" t="str">
            <v>PHIẾU XỬ LÝ HỒ SƠ THANH TOÁN VƯỢT THẨM QUYỀN PD</v>
          </cell>
        </row>
      </sheetData>
      <sheetData sheetId="7448">
        <row r="1">
          <cell r="A1" t="str">
            <v>PHIẾU XỬ LÝ HỒ SƠ THANH TOÁN VƯỢT THẨM QUYỀN PD</v>
          </cell>
        </row>
      </sheetData>
      <sheetData sheetId="7449">
        <row r="1">
          <cell r="A1" t="str">
            <v>PHIẾU XỬ LÝ HỒ SƠ THANH TOÁN VƯỢT THẨM QUYỀN PD</v>
          </cell>
        </row>
      </sheetData>
      <sheetData sheetId="7450">
        <row r="1">
          <cell r="A1" t="str">
            <v>PHIẾU XỬ LÝ HỒ SƠ THANH TOÁN VƯỢT THẨM QUYỀN PD</v>
          </cell>
        </row>
      </sheetData>
      <sheetData sheetId="7451">
        <row r="1">
          <cell r="A1" t="str">
            <v>PHIẾU XỬ LÝ HỒ SƠ THANH TOÁN VƯỢT THẨM QUYỀN PD</v>
          </cell>
        </row>
      </sheetData>
      <sheetData sheetId="7452">
        <row r="1">
          <cell r="A1" t="str">
            <v>PHIẾU XỬ LÝ HỒ SƠ THANH TOÁN VƯỢT THẨM QUYỀN PD</v>
          </cell>
        </row>
      </sheetData>
      <sheetData sheetId="7453">
        <row r="1">
          <cell r="A1" t="str">
            <v>PHIẾU XỬ LÝ HỒ SƠ THANH TOÁN VƯỢT THẨM QUYỀN PD</v>
          </cell>
        </row>
      </sheetData>
      <sheetData sheetId="7454">
        <row r="1">
          <cell r="A1" t="str">
            <v>PHIẾU XỬ LÝ HỒ SƠ THANH TOÁN VƯỢT THẨM QUYỀN PD</v>
          </cell>
        </row>
      </sheetData>
      <sheetData sheetId="7455">
        <row r="1">
          <cell r="A1" t="str">
            <v>PHIẾU XỬ LÝ HỒ SƠ THANH TOÁN VƯỢT THẨM QUYỀN PD</v>
          </cell>
        </row>
      </sheetData>
      <sheetData sheetId="7456">
        <row r="1">
          <cell r="A1" t="str">
            <v>PHIẾU XỬ LÝ HỒ SƠ THANH TOÁN VƯỢT THẨM QUYỀN PD</v>
          </cell>
        </row>
      </sheetData>
      <sheetData sheetId="7457">
        <row r="1">
          <cell r="A1" t="str">
            <v>PHIẾU XỬ LÝ HỒ SƠ THANH TOÁN VƯỢT THẨM QUYỀN PD</v>
          </cell>
        </row>
      </sheetData>
      <sheetData sheetId="7458">
        <row r="1">
          <cell r="A1" t="str">
            <v>PHIẾU XỬ LÝ HỒ SƠ THANH TOÁN VƯỢT THẨM QUYỀN PD</v>
          </cell>
        </row>
      </sheetData>
      <sheetData sheetId="7459">
        <row r="1">
          <cell r="A1" t="str">
            <v>PHIẾU XỬ LÝ HỒ SƠ THANH TOÁN VƯỢT THẨM QUYỀN PD</v>
          </cell>
        </row>
      </sheetData>
      <sheetData sheetId="7460">
        <row r="1">
          <cell r="A1" t="str">
            <v>PHIẾU XỬ LÝ HỒ SƠ THANH TOÁN VƯỢT THẨM QUYỀN PD</v>
          </cell>
        </row>
      </sheetData>
      <sheetData sheetId="7461">
        <row r="1">
          <cell r="A1" t="str">
            <v>PHIẾU XỬ LÝ HỒ SƠ THANH TOÁN VƯỢT THẨM QUYỀN PD</v>
          </cell>
        </row>
      </sheetData>
      <sheetData sheetId="7462">
        <row r="1">
          <cell r="A1" t="str">
            <v>PHIẾU XỬ LÝ HỒ SƠ THANH TOÁN VƯỢT THẨM QUYỀN PD</v>
          </cell>
        </row>
      </sheetData>
      <sheetData sheetId="7463">
        <row r="1">
          <cell r="A1" t="str">
            <v>PHIẾU XỬ LÝ HỒ SƠ THANH TOÁN VƯỢT THẨM QUYỀN PD</v>
          </cell>
        </row>
      </sheetData>
      <sheetData sheetId="7464">
        <row r="1">
          <cell r="A1" t="str">
            <v>PHIẾU XỬ LÝ HỒ SƠ THANH TOÁN VƯỢT THẨM QUYỀN PD</v>
          </cell>
        </row>
      </sheetData>
      <sheetData sheetId="7465">
        <row r="1">
          <cell r="A1" t="str">
            <v>PHIẾU XỬ LÝ HỒ SƠ THANH TOÁN VƯỢT THẨM QUYỀN PD</v>
          </cell>
        </row>
      </sheetData>
      <sheetData sheetId="7466">
        <row r="1">
          <cell r="A1" t="str">
            <v>PHIẾU XỬ LÝ HỒ SƠ THANH TOÁN VƯỢT THẨM QUYỀN PD</v>
          </cell>
        </row>
      </sheetData>
      <sheetData sheetId="7467">
        <row r="1">
          <cell r="A1" t="str">
            <v>PHIẾU XỬ LÝ HỒ SƠ THANH TOÁN VƯỢT THẨM QUYỀN PD</v>
          </cell>
        </row>
      </sheetData>
      <sheetData sheetId="7468">
        <row r="1">
          <cell r="A1" t="str">
            <v>PHIẾU XỬ LÝ HỒ SƠ THANH TOÁN VƯỢT THẨM QUYỀN PD</v>
          </cell>
        </row>
      </sheetData>
      <sheetData sheetId="7469">
        <row r="1">
          <cell r="A1" t="str">
            <v>PHIẾU XỬ LÝ HỒ SƠ THANH TOÁN VƯỢT THẨM QUYỀN PD</v>
          </cell>
        </row>
      </sheetData>
      <sheetData sheetId="7470">
        <row r="1">
          <cell r="A1" t="str">
            <v>PHIẾU XỬ LÝ HỒ SƠ THANH TOÁN VƯỢT THẨM QUYỀN PD</v>
          </cell>
        </row>
      </sheetData>
      <sheetData sheetId="7471">
        <row r="1">
          <cell r="A1" t="str">
            <v>PHIẾU XỬ LÝ HỒ SƠ THANH TOÁN VƯỢT THẨM QUYỀN PD</v>
          </cell>
        </row>
      </sheetData>
      <sheetData sheetId="7472">
        <row r="1">
          <cell r="A1" t="str">
            <v>PHIẾU XỬ LÝ HỒ SƠ THANH TOÁN VƯỢT THẨM QUYỀN PD</v>
          </cell>
        </row>
      </sheetData>
      <sheetData sheetId="7473">
        <row r="1">
          <cell r="A1" t="str">
            <v>PHIẾU XỬ LÝ HỒ SƠ THANH TOÁN VƯỢT THẨM QUYỀN PD</v>
          </cell>
        </row>
      </sheetData>
      <sheetData sheetId="7474">
        <row r="1">
          <cell r="A1" t="str">
            <v>PHIẾU XỬ LÝ HỒ SƠ THANH TOÁN VƯỢT THẨM QUYỀN PD</v>
          </cell>
        </row>
      </sheetData>
      <sheetData sheetId="7475">
        <row r="1">
          <cell r="A1" t="str">
            <v>PHIẾU XỬ LÝ HỒ SƠ THANH TOÁN VƯỢT THẨM QUYỀN PD</v>
          </cell>
        </row>
      </sheetData>
      <sheetData sheetId="7476">
        <row r="1">
          <cell r="A1" t="str">
            <v>PHIẾU XỬ LÝ HỒ SƠ THANH TOÁN VƯỢT THẨM QUYỀN PD</v>
          </cell>
        </row>
      </sheetData>
      <sheetData sheetId="7477">
        <row r="1">
          <cell r="A1" t="str">
            <v>PHIẾU XỬ LÝ HỒ SƠ THANH TOÁN VƯỢT THẨM QUYỀN PD</v>
          </cell>
        </row>
      </sheetData>
      <sheetData sheetId="7478">
        <row r="1">
          <cell r="A1" t="str">
            <v>PHIẾU XỬ LÝ HỒ SƠ THANH TOÁN VƯỢT THẨM QUYỀN PD</v>
          </cell>
        </row>
      </sheetData>
      <sheetData sheetId="7479">
        <row r="1">
          <cell r="A1" t="str">
            <v>PHIẾU XỬ LÝ HỒ SƠ THANH TOÁN VƯỢT THẨM QUYỀN PD</v>
          </cell>
        </row>
      </sheetData>
      <sheetData sheetId="7480">
        <row r="1">
          <cell r="A1" t="str">
            <v>PHIẾU XỬ LÝ HỒ SƠ THANH TOÁN VƯỢT THẨM QUYỀN PD</v>
          </cell>
        </row>
      </sheetData>
      <sheetData sheetId="7481">
        <row r="1">
          <cell r="A1" t="str">
            <v>PHIẾU XỬ LÝ HỒ SƠ THANH TOÁN VƯỢT THẨM QUYỀN PD</v>
          </cell>
        </row>
      </sheetData>
      <sheetData sheetId="7482">
        <row r="1">
          <cell r="A1" t="str">
            <v>PHIẾU XỬ LÝ HỒ SƠ THANH TOÁN VƯỢT THẨM QUYỀN PD</v>
          </cell>
        </row>
      </sheetData>
      <sheetData sheetId="7483">
        <row r="1">
          <cell r="A1" t="str">
            <v>PHIẾU XỬ LÝ HỒ SƠ THANH TOÁN VƯỢT THẨM QUYỀN PD</v>
          </cell>
        </row>
      </sheetData>
      <sheetData sheetId="7484">
        <row r="1">
          <cell r="A1" t="str">
            <v>PHIẾU XỬ LÝ HỒ SƠ THANH TOÁN VƯỢT THẨM QUYỀN PD</v>
          </cell>
        </row>
      </sheetData>
      <sheetData sheetId="7485">
        <row r="1">
          <cell r="A1" t="str">
            <v>PHIẾU XỬ LÝ HỒ SƠ THANH TOÁN VƯỢT THẨM QUYỀN PD</v>
          </cell>
        </row>
      </sheetData>
      <sheetData sheetId="7486">
        <row r="1">
          <cell r="A1" t="str">
            <v>PHIẾU XỬ LÝ HỒ SƠ THANH TOÁN VƯỢT THẨM QUYỀN PD</v>
          </cell>
        </row>
      </sheetData>
      <sheetData sheetId="7487">
        <row r="1">
          <cell r="A1" t="str">
            <v>PHIẾU XỬ LÝ HỒ SƠ THANH TOÁN VƯỢT THẨM QUYỀN PD</v>
          </cell>
        </row>
      </sheetData>
      <sheetData sheetId="7488">
        <row r="1">
          <cell r="A1" t="str">
            <v>PHIẾU XỬ LÝ HỒ SƠ THANH TOÁN VƯỢT THẨM QUYỀN PD</v>
          </cell>
        </row>
      </sheetData>
      <sheetData sheetId="7489">
        <row r="1">
          <cell r="A1" t="str">
            <v>PHIẾU XỬ LÝ HỒ SƠ THANH TOÁN VƯỢT THẨM QUYỀN PD</v>
          </cell>
        </row>
      </sheetData>
      <sheetData sheetId="7490">
        <row r="1">
          <cell r="A1" t="str">
            <v>PHIẾU XỬ LÝ HỒ SƠ THANH TOÁN VƯỢT THẨM QUYỀN PD</v>
          </cell>
        </row>
      </sheetData>
      <sheetData sheetId="7491">
        <row r="1">
          <cell r="A1" t="str">
            <v>PHIẾU XỬ LÝ HỒ SƠ THANH TOÁN VƯỢT THẨM QUYỀN PD</v>
          </cell>
        </row>
      </sheetData>
      <sheetData sheetId="7492">
        <row r="1">
          <cell r="A1" t="str">
            <v>PHIẾU XỬ LÝ HỒ SƠ THANH TOÁN VƯỢT THẨM QUYỀN PD</v>
          </cell>
        </row>
      </sheetData>
      <sheetData sheetId="7493">
        <row r="1">
          <cell r="A1" t="str">
            <v>PHIẾU XỬ LÝ HỒ SƠ THANH TOÁN VƯỢT THẨM QUYỀN PD</v>
          </cell>
        </row>
      </sheetData>
      <sheetData sheetId="7494">
        <row r="1">
          <cell r="A1" t="str">
            <v>PHIẾU XỬ LÝ HỒ SƠ THANH TOÁN VƯỢT THẨM QUYỀN PD</v>
          </cell>
        </row>
      </sheetData>
      <sheetData sheetId="7495">
        <row r="1">
          <cell r="A1" t="str">
            <v>PHIẾU XỬ LÝ HỒ SƠ THANH TOÁN VƯỢT THẨM QUYỀN PD</v>
          </cell>
        </row>
      </sheetData>
      <sheetData sheetId="7496">
        <row r="1">
          <cell r="A1" t="str">
            <v>PHIẾU XỬ LÝ HỒ SƠ THANH TOÁN VƯỢT THẨM QUYỀN PD</v>
          </cell>
        </row>
      </sheetData>
      <sheetData sheetId="7497">
        <row r="1">
          <cell r="A1" t="str">
            <v>PHIẾU XỬ LÝ HỒ SƠ THANH TOÁN VƯỢT THẨM QUYỀN PD</v>
          </cell>
        </row>
      </sheetData>
      <sheetData sheetId="7498">
        <row r="1">
          <cell r="A1" t="str">
            <v>PHIẾU XỬ LÝ HỒ SƠ THANH TOÁN VƯỢT THẨM QUYỀN PD</v>
          </cell>
        </row>
      </sheetData>
      <sheetData sheetId="7499">
        <row r="1">
          <cell r="A1" t="str">
            <v>PHIẾU XỬ LÝ HỒ SƠ THANH TOÁN VƯỢT THẨM QUYỀN PD</v>
          </cell>
        </row>
      </sheetData>
      <sheetData sheetId="7500">
        <row r="1">
          <cell r="A1" t="str">
            <v>PHIẾU XỬ LÝ HỒ SƠ THANH TOÁN VƯỢT THẨM QUYỀN PD</v>
          </cell>
        </row>
      </sheetData>
      <sheetData sheetId="7501">
        <row r="1">
          <cell r="A1" t="str">
            <v>PHIẾU XỬ LÝ HỒ SƠ THANH TOÁN VƯỢT THẨM QUYỀN PD</v>
          </cell>
        </row>
      </sheetData>
      <sheetData sheetId="7502">
        <row r="1">
          <cell r="A1" t="str">
            <v>PHIẾU XỬ LÝ HỒ SƠ THANH TOÁN VƯỢT THẨM QUYỀN PD</v>
          </cell>
        </row>
      </sheetData>
      <sheetData sheetId="7503">
        <row r="1">
          <cell r="A1" t="str">
            <v>PHIẾU XỬ LÝ HỒ SƠ THANH TOÁN VƯỢT THẨM QUYỀN PD</v>
          </cell>
        </row>
      </sheetData>
      <sheetData sheetId="7504">
        <row r="1">
          <cell r="A1" t="str">
            <v>PHIẾU XỬ LÝ HỒ SƠ THANH TOÁN VƯỢT THẨM QUYỀN PD</v>
          </cell>
        </row>
      </sheetData>
      <sheetData sheetId="7505">
        <row r="1">
          <cell r="A1" t="str">
            <v>PHIẾU XỬ LÝ HỒ SƠ THANH TOÁN VƯỢT THẨM QUYỀN PD</v>
          </cell>
        </row>
      </sheetData>
      <sheetData sheetId="7506">
        <row r="1">
          <cell r="A1" t="str">
            <v>PHIẾU XỬ LÝ HỒ SƠ THANH TOÁN VƯỢT THẨM QUYỀN PD</v>
          </cell>
        </row>
      </sheetData>
      <sheetData sheetId="7507">
        <row r="1">
          <cell r="A1" t="str">
            <v>PHIẾU XỬ LÝ HỒ SƠ THANH TOÁN VƯỢT THẨM QUYỀN PD</v>
          </cell>
        </row>
      </sheetData>
      <sheetData sheetId="7508">
        <row r="1">
          <cell r="A1" t="str">
            <v>PHIẾU XỬ LÝ HỒ SƠ THANH TOÁN VƯỢT THẨM QUYỀN PD</v>
          </cell>
        </row>
      </sheetData>
      <sheetData sheetId="7509">
        <row r="1">
          <cell r="A1" t="str">
            <v>PHIẾU XỬ LÝ HỒ SƠ THANH TOÁN VƯỢT THẨM QUYỀN PD</v>
          </cell>
        </row>
      </sheetData>
      <sheetData sheetId="7510">
        <row r="1">
          <cell r="A1" t="str">
            <v>PHIẾU XỬ LÝ HỒ SƠ THANH TOÁN VƯỢT THẨM QUYỀN PD</v>
          </cell>
        </row>
      </sheetData>
      <sheetData sheetId="7511">
        <row r="1">
          <cell r="A1" t="str">
            <v>PHIẾU XỬ LÝ HỒ SƠ THANH TOÁN VƯỢT THẨM QUYỀN PD</v>
          </cell>
        </row>
      </sheetData>
      <sheetData sheetId="7512">
        <row r="1">
          <cell r="A1" t="str">
            <v>PHIẾU XỬ LÝ HỒ SƠ THANH TOÁN VƯỢT THẨM QUYỀN PD</v>
          </cell>
        </row>
      </sheetData>
      <sheetData sheetId="7513">
        <row r="1">
          <cell r="A1" t="str">
            <v>PHIẾU XỬ LÝ HỒ SƠ THANH TOÁN VƯỢT THẨM QUYỀN PD</v>
          </cell>
        </row>
      </sheetData>
      <sheetData sheetId="7514">
        <row r="1">
          <cell r="A1" t="str">
            <v>PHIẾU XỬ LÝ HỒ SƠ THANH TOÁN VƯỢT THẨM QUYỀN PD</v>
          </cell>
        </row>
      </sheetData>
      <sheetData sheetId="7515">
        <row r="1">
          <cell r="A1" t="str">
            <v>PHIẾU XỬ LÝ HỒ SƠ THANH TOÁN VƯỢT THẨM QUYỀN PD</v>
          </cell>
        </row>
      </sheetData>
      <sheetData sheetId="7516">
        <row r="1">
          <cell r="A1" t="str">
            <v>PHIẾU XỬ LÝ HỒ SƠ THANH TOÁN VƯỢT THẨM QUYỀN PD</v>
          </cell>
        </row>
      </sheetData>
      <sheetData sheetId="7517">
        <row r="1">
          <cell r="A1" t="str">
            <v>PHIẾU XỬ LÝ HỒ SƠ THANH TOÁN VƯỢT THẨM QUYỀN PD</v>
          </cell>
        </row>
      </sheetData>
      <sheetData sheetId="7518">
        <row r="1">
          <cell r="A1" t="str">
            <v>PHIẾU XỬ LÝ HỒ SƠ THANH TOÁN VƯỢT THẨM QUYỀN PD</v>
          </cell>
        </row>
      </sheetData>
      <sheetData sheetId="7519">
        <row r="1">
          <cell r="A1" t="str">
            <v>PHIẾU XỬ LÝ HỒ SƠ THANH TOÁN VƯỢT THẨM QUYỀN PD</v>
          </cell>
        </row>
      </sheetData>
      <sheetData sheetId="7520">
        <row r="1">
          <cell r="A1" t="str">
            <v>PHIẾU XỬ LÝ HỒ SƠ THANH TOÁN VƯỢT THẨM QUYỀN PD</v>
          </cell>
        </row>
      </sheetData>
      <sheetData sheetId="7521">
        <row r="1">
          <cell r="A1" t="str">
            <v>PHIẾU XỬ LÝ HỒ SƠ THANH TOÁN VƯỢT THẨM QUYỀN PD</v>
          </cell>
        </row>
      </sheetData>
      <sheetData sheetId="7522">
        <row r="1">
          <cell r="A1" t="str">
            <v>PHIẾU XỬ LÝ HỒ SƠ THANH TOÁN VƯỢT THẨM QUYỀN PD</v>
          </cell>
        </row>
      </sheetData>
      <sheetData sheetId="7523">
        <row r="1">
          <cell r="A1" t="str">
            <v>PHIẾU XỬ LÝ HỒ SƠ THANH TOÁN VƯỢT THẨM QUYỀN PD</v>
          </cell>
        </row>
      </sheetData>
      <sheetData sheetId="7524">
        <row r="1">
          <cell r="A1" t="str">
            <v>PHIẾU XỬ LÝ HỒ SƠ THANH TOÁN VƯỢT THẨM QUYỀN PD</v>
          </cell>
        </row>
      </sheetData>
      <sheetData sheetId="7525">
        <row r="1">
          <cell r="A1" t="str">
            <v>PHIẾU XỬ LÝ HỒ SƠ THANH TOÁN VƯỢT THẨM QUYỀN PD</v>
          </cell>
        </row>
      </sheetData>
      <sheetData sheetId="7526">
        <row r="1">
          <cell r="A1" t="str">
            <v>PHIẾU XỬ LÝ HỒ SƠ THANH TOÁN VƯỢT THẨM QUYỀN PD</v>
          </cell>
        </row>
      </sheetData>
      <sheetData sheetId="7527">
        <row r="1">
          <cell r="A1" t="str">
            <v>PHIẾU XỬ LÝ HỒ SƠ THANH TOÁN VƯỢT THẨM QUYỀN PD</v>
          </cell>
        </row>
      </sheetData>
      <sheetData sheetId="7528">
        <row r="1">
          <cell r="A1" t="str">
            <v>PHIẾU XỬ LÝ HỒ SƠ THANH TOÁN VƯỢT THẨM QUYỀN PD</v>
          </cell>
        </row>
      </sheetData>
      <sheetData sheetId="7529">
        <row r="1">
          <cell r="A1" t="str">
            <v>PHIẾU XỬ LÝ HỒ SƠ THANH TOÁN VƯỢT THẨM QUYỀN PD</v>
          </cell>
        </row>
      </sheetData>
      <sheetData sheetId="7530">
        <row r="1">
          <cell r="A1" t="str">
            <v>PHIẾU XỬ LÝ HỒ SƠ THANH TOÁN VƯỢT THẨM QUYỀN PD</v>
          </cell>
        </row>
      </sheetData>
      <sheetData sheetId="7531">
        <row r="1">
          <cell r="A1" t="str">
            <v>PHIẾU XỬ LÝ HỒ SƠ THANH TOÁN VƯỢT THẨM QUYỀN PD</v>
          </cell>
        </row>
      </sheetData>
      <sheetData sheetId="7532">
        <row r="1">
          <cell r="A1" t="str">
            <v>PHIẾU XỬ LÝ HỒ SƠ THANH TOÁN VƯỢT THẨM QUYỀN PD</v>
          </cell>
        </row>
      </sheetData>
      <sheetData sheetId="7533">
        <row r="1">
          <cell r="A1" t="str">
            <v>PHIẾU XỬ LÝ HỒ SƠ THANH TOÁN VƯỢT THẨM QUYỀN PD</v>
          </cell>
        </row>
      </sheetData>
      <sheetData sheetId="7534">
        <row r="1">
          <cell r="A1" t="str">
            <v>PHIẾU XỬ LÝ HỒ SƠ THANH TOÁN VƯỢT THẨM QUYỀN PD</v>
          </cell>
        </row>
      </sheetData>
      <sheetData sheetId="7535">
        <row r="1">
          <cell r="A1" t="str">
            <v>PHIẾU XỬ LÝ HỒ SƠ THANH TOÁN VƯỢT THẨM QUYỀN PD</v>
          </cell>
        </row>
      </sheetData>
      <sheetData sheetId="7536">
        <row r="1">
          <cell r="A1" t="str">
            <v>PHIẾU XỬ LÝ HỒ SƠ THANH TOÁN VƯỢT THẨM QUYỀN PD</v>
          </cell>
        </row>
      </sheetData>
      <sheetData sheetId="7537">
        <row r="1">
          <cell r="A1" t="str">
            <v>PHIẾU XỬ LÝ HỒ SƠ THANH TOÁN VƯỢT THẨM QUYỀN PD</v>
          </cell>
        </row>
      </sheetData>
      <sheetData sheetId="7538">
        <row r="1">
          <cell r="A1" t="str">
            <v>PHIẾU XỬ LÝ HỒ SƠ THANH TOÁN VƯỢT THẨM QUYỀN PD</v>
          </cell>
        </row>
      </sheetData>
      <sheetData sheetId="7539">
        <row r="1">
          <cell r="A1" t="str">
            <v>PHIẾU XỬ LÝ HỒ SƠ THANH TOÁN VƯỢT THẨM QUYỀN PD</v>
          </cell>
        </row>
      </sheetData>
      <sheetData sheetId="7540">
        <row r="1">
          <cell r="A1" t="str">
            <v>PHIẾU XỬ LÝ HỒ SƠ THANH TOÁN VƯỢT THẨM QUYỀN PD</v>
          </cell>
        </row>
      </sheetData>
      <sheetData sheetId="7541">
        <row r="1">
          <cell r="A1" t="str">
            <v>PHIẾU XỬ LÝ HỒ SƠ THANH TOÁN VƯỢT THẨM QUYỀN PD</v>
          </cell>
        </row>
      </sheetData>
      <sheetData sheetId="7542">
        <row r="1">
          <cell r="A1" t="str">
            <v>PHIẾU XỬ LÝ HỒ SƠ THANH TOÁN VƯỢT THẨM QUYỀN PD</v>
          </cell>
        </row>
      </sheetData>
      <sheetData sheetId="7543">
        <row r="1">
          <cell r="A1" t="str">
            <v>PHIẾU XỬ LÝ HỒ SƠ THANH TOÁN VƯỢT THẨM QUYỀN PD</v>
          </cell>
        </row>
      </sheetData>
      <sheetData sheetId="7544">
        <row r="1">
          <cell r="A1" t="str">
            <v>PHIẾU XỬ LÝ HỒ SƠ THANH TOÁN VƯỢT THẨM QUYỀN PD</v>
          </cell>
        </row>
      </sheetData>
      <sheetData sheetId="7545">
        <row r="1">
          <cell r="A1" t="str">
            <v>PHIẾU XỬ LÝ HỒ SƠ THANH TOÁN VƯỢT THẨM QUYỀN PD</v>
          </cell>
        </row>
      </sheetData>
      <sheetData sheetId="7546">
        <row r="1">
          <cell r="A1" t="str">
            <v>PHIẾU XỬ LÝ HỒ SƠ THANH TOÁN VƯỢT THẨM QUYỀN PD</v>
          </cell>
        </row>
      </sheetData>
      <sheetData sheetId="7547">
        <row r="1">
          <cell r="A1" t="str">
            <v>PHIẾU XỬ LÝ HỒ SƠ THANH TOÁN VƯỢT THẨM QUYỀN PD</v>
          </cell>
        </row>
      </sheetData>
      <sheetData sheetId="7548">
        <row r="1">
          <cell r="A1" t="str">
            <v>PHIẾU XỬ LÝ HỒ SƠ THANH TOÁN VƯỢT THẨM QUYỀN PD</v>
          </cell>
        </row>
      </sheetData>
      <sheetData sheetId="7549">
        <row r="1">
          <cell r="A1" t="str">
            <v>PHIẾU XỬ LÝ HỒ SƠ THANH TOÁN VƯỢT THẨM QUYỀN PD</v>
          </cell>
        </row>
      </sheetData>
      <sheetData sheetId="7550">
        <row r="1">
          <cell r="A1" t="str">
            <v>PHIẾU XỬ LÝ HỒ SƠ THANH TOÁN VƯỢT THẨM QUYỀN PD</v>
          </cell>
        </row>
      </sheetData>
      <sheetData sheetId="7551">
        <row r="1">
          <cell r="A1" t="str">
            <v>PHIẾU XỬ LÝ HỒ SƠ THANH TOÁN VƯỢT THẨM QUYỀN PD</v>
          </cell>
        </row>
      </sheetData>
      <sheetData sheetId="7552">
        <row r="1">
          <cell r="A1" t="str">
            <v>PHIẾU XỬ LÝ HỒ SƠ THANH TOÁN VƯỢT THẨM QUYỀN PD</v>
          </cell>
        </row>
      </sheetData>
      <sheetData sheetId="7553">
        <row r="1">
          <cell r="A1" t="str">
            <v>PHIẾU XỬ LÝ HỒ SƠ THANH TOÁN VƯỢT THẨM QUYỀN PD</v>
          </cell>
        </row>
      </sheetData>
      <sheetData sheetId="7554">
        <row r="1">
          <cell r="A1" t="str">
            <v>PHIẾU XỬ LÝ HỒ SƠ THANH TOÁN VƯỢT THẨM QUYỀN PD</v>
          </cell>
        </row>
      </sheetData>
      <sheetData sheetId="7555">
        <row r="1">
          <cell r="A1" t="str">
            <v>PHIẾU XỬ LÝ HỒ SƠ THANH TOÁN VƯỢT THẨM QUYỀN PD</v>
          </cell>
        </row>
      </sheetData>
      <sheetData sheetId="7556">
        <row r="1">
          <cell r="A1" t="str">
            <v>PHIẾU XỬ LÝ HỒ SƠ THANH TOÁN VƯỢT THẨM QUYỀN PD</v>
          </cell>
        </row>
      </sheetData>
      <sheetData sheetId="7557">
        <row r="1">
          <cell r="A1" t="str">
            <v>PHIẾU XỬ LÝ HỒ SƠ THANH TOÁN VƯỢT THẨM QUYỀN PD</v>
          </cell>
        </row>
      </sheetData>
      <sheetData sheetId="7558">
        <row r="1">
          <cell r="A1" t="str">
            <v>PHIẾU XỬ LÝ HỒ SƠ THANH TOÁN VƯỢT THẨM QUYỀN PD</v>
          </cell>
        </row>
      </sheetData>
      <sheetData sheetId="7559">
        <row r="1">
          <cell r="A1" t="str">
            <v>PHIẾU XỬ LÝ HỒ SƠ THANH TOÁN VƯỢT THẨM QUYỀN PD</v>
          </cell>
        </row>
      </sheetData>
      <sheetData sheetId="7560">
        <row r="1">
          <cell r="A1" t="str">
            <v>PHIẾU XỬ LÝ HỒ SƠ THANH TOÁN VƯỢT THẨM QUYỀN PD</v>
          </cell>
        </row>
      </sheetData>
      <sheetData sheetId="7561">
        <row r="1">
          <cell r="A1" t="str">
            <v>PHIẾU XỬ LÝ HỒ SƠ THANH TOÁN VƯỢT THẨM QUYỀN PD</v>
          </cell>
        </row>
      </sheetData>
      <sheetData sheetId="7562">
        <row r="1">
          <cell r="A1" t="str">
            <v>PHIẾU XỬ LÝ HỒ SƠ THANH TOÁN VƯỢT THẨM QUYỀN PD</v>
          </cell>
        </row>
      </sheetData>
      <sheetData sheetId="7563">
        <row r="1">
          <cell r="A1" t="str">
            <v>PHIẾU XỬ LÝ HỒ SƠ THANH TOÁN VƯỢT THẨM QUYỀN PD</v>
          </cell>
        </row>
      </sheetData>
      <sheetData sheetId="7564">
        <row r="1">
          <cell r="A1" t="str">
            <v>PHIẾU XỬ LÝ HỒ SƠ THANH TOÁN VƯỢT THẨM QUYỀN PD</v>
          </cell>
        </row>
      </sheetData>
      <sheetData sheetId="7565">
        <row r="1">
          <cell r="A1" t="str">
            <v>PHIẾU XỬ LÝ HỒ SƠ THANH TOÁN VƯỢT THẨM QUYỀN PD</v>
          </cell>
        </row>
      </sheetData>
      <sheetData sheetId="7566">
        <row r="1">
          <cell r="A1" t="str">
            <v>PHIẾU XỬ LÝ HỒ SƠ THANH TOÁN VƯỢT THẨM QUYỀN PD</v>
          </cell>
        </row>
      </sheetData>
      <sheetData sheetId="7567">
        <row r="1">
          <cell r="A1" t="str">
            <v>PHIẾU XỬ LÝ HỒ SƠ THANH TOÁN VƯỢT THẨM QUYỀN PD</v>
          </cell>
        </row>
      </sheetData>
      <sheetData sheetId="7568">
        <row r="1">
          <cell r="A1" t="str">
            <v>PHIẾU XỬ LÝ HỒ SƠ THANH TOÁN VƯỢT THẨM QUYỀN PD</v>
          </cell>
        </row>
      </sheetData>
      <sheetData sheetId="7569">
        <row r="1">
          <cell r="A1" t="str">
            <v>PHIẾU XỬ LÝ HỒ SƠ THANH TOÁN VƯỢT THẨM QUYỀN PD</v>
          </cell>
        </row>
      </sheetData>
      <sheetData sheetId="7570">
        <row r="1">
          <cell r="A1" t="str">
            <v>PHIẾU XỬ LÝ HỒ SƠ THANH TOÁN VƯỢT THẨM QUYỀN PD</v>
          </cell>
        </row>
      </sheetData>
      <sheetData sheetId="7571">
        <row r="1">
          <cell r="A1" t="str">
            <v>PHIẾU XỬ LÝ HỒ SƠ THANH TOÁN VƯỢT THẨM QUYỀN PD</v>
          </cell>
        </row>
      </sheetData>
      <sheetData sheetId="7572">
        <row r="1">
          <cell r="A1" t="str">
            <v>PHIẾU XỬ LÝ HỒ SƠ THANH TOÁN VƯỢT THẨM QUYỀN PD</v>
          </cell>
        </row>
      </sheetData>
      <sheetData sheetId="7573">
        <row r="1">
          <cell r="A1" t="str">
            <v>PHIẾU XỬ LÝ HỒ SƠ THANH TOÁN VƯỢT THẨM QUYỀN PD</v>
          </cell>
        </row>
      </sheetData>
      <sheetData sheetId="7574">
        <row r="1">
          <cell r="A1" t="str">
            <v>PHIẾU XỬ LÝ HỒ SƠ THANH TOÁN VƯỢT THẨM QUYỀN PD</v>
          </cell>
        </row>
      </sheetData>
      <sheetData sheetId="7575">
        <row r="1">
          <cell r="A1" t="str">
            <v>PHIẾU XỬ LÝ HỒ SƠ THANH TOÁN VƯỢT THẨM QUYỀN PD</v>
          </cell>
        </row>
      </sheetData>
      <sheetData sheetId="7576">
        <row r="1">
          <cell r="A1" t="str">
            <v>PHIẾU XỬ LÝ HỒ SƠ THANH TOÁN VƯỢT THẨM QUYỀN PD</v>
          </cell>
        </row>
      </sheetData>
      <sheetData sheetId="7577">
        <row r="1">
          <cell r="A1" t="str">
            <v>PHIẾU XỬ LÝ HỒ SƠ THANH TOÁN VƯỢT THẨM QUYỀN PD</v>
          </cell>
        </row>
      </sheetData>
      <sheetData sheetId="7578">
        <row r="1">
          <cell r="A1" t="str">
            <v>PHIẾU XỬ LÝ HỒ SƠ THANH TOÁN VƯỢT THẨM QUYỀN PD</v>
          </cell>
        </row>
      </sheetData>
      <sheetData sheetId="7579">
        <row r="1">
          <cell r="A1" t="str">
            <v>PHIẾU XỬ LÝ HỒ SƠ THANH TOÁN VƯỢT THẨM QUYỀN PD</v>
          </cell>
        </row>
      </sheetData>
      <sheetData sheetId="7580">
        <row r="1">
          <cell r="A1" t="str">
            <v>PHIẾU XỬ LÝ HỒ SƠ THANH TOÁN VƯỢT THẨM QUYỀN PD</v>
          </cell>
        </row>
      </sheetData>
      <sheetData sheetId="7581">
        <row r="1">
          <cell r="A1" t="str">
            <v>PHIẾU XỬ LÝ HỒ SƠ THANH TOÁN VƯỢT THẨM QUYỀN PD</v>
          </cell>
        </row>
      </sheetData>
      <sheetData sheetId="7582">
        <row r="1">
          <cell r="A1" t="str">
            <v>PHIẾU XỬ LÝ HỒ SƠ THANH TOÁN VƯỢT THẨM QUYỀN PD</v>
          </cell>
        </row>
      </sheetData>
      <sheetData sheetId="7583">
        <row r="1">
          <cell r="A1" t="str">
            <v>PHIẾU XỬ LÝ HỒ SƠ THANH TOÁN VƯỢT THẨM QUYỀN PD</v>
          </cell>
        </row>
      </sheetData>
      <sheetData sheetId="7584">
        <row r="1">
          <cell r="A1" t="str">
            <v>PHIẾU XỬ LÝ HỒ SƠ THANH TOÁN VƯỢT THẨM QUYỀN PD</v>
          </cell>
        </row>
      </sheetData>
      <sheetData sheetId="7585">
        <row r="1">
          <cell r="A1" t="str">
            <v>PHIẾU XỬ LÝ HỒ SƠ THANH TOÁN VƯỢT THẨM QUYỀN PD</v>
          </cell>
        </row>
      </sheetData>
      <sheetData sheetId="7586">
        <row r="1">
          <cell r="A1" t="str">
            <v>PHIẾU XỬ LÝ HỒ SƠ THANH TOÁN VƯỢT THẨM QUYỀN PD</v>
          </cell>
        </row>
      </sheetData>
      <sheetData sheetId="7587">
        <row r="1">
          <cell r="A1" t="str">
            <v>PHIẾU XỬ LÝ HỒ SƠ THANH TOÁN VƯỢT THẨM QUYỀN PD</v>
          </cell>
        </row>
      </sheetData>
      <sheetData sheetId="7588">
        <row r="1">
          <cell r="A1" t="str">
            <v>PHIẾU XỬ LÝ HỒ SƠ THANH TOÁN VƯỢT THẨM QUYỀN PD</v>
          </cell>
        </row>
      </sheetData>
      <sheetData sheetId="7589">
        <row r="1">
          <cell r="A1" t="str">
            <v>PHIẾU XỬ LÝ HỒ SƠ THANH TOÁN VƯỢT THẨM QUYỀN PD</v>
          </cell>
        </row>
      </sheetData>
      <sheetData sheetId="7590">
        <row r="1">
          <cell r="A1" t="str">
            <v>PHIẾU XỬ LÝ HỒ SƠ THANH TOÁN VƯỢT THẨM QUYỀN PD</v>
          </cell>
        </row>
      </sheetData>
      <sheetData sheetId="7591">
        <row r="1">
          <cell r="A1" t="str">
            <v>PHIẾU XỬ LÝ HỒ SƠ THANH TOÁN VƯỢT THẨM QUYỀN PD</v>
          </cell>
        </row>
      </sheetData>
      <sheetData sheetId="7592">
        <row r="1">
          <cell r="A1" t="str">
            <v>PHIẾU XỬ LÝ HỒ SƠ THANH TOÁN VƯỢT THẨM QUYỀN PD</v>
          </cell>
        </row>
      </sheetData>
      <sheetData sheetId="7593">
        <row r="1">
          <cell r="A1" t="str">
            <v>PHIẾU XỬ LÝ HỒ SƠ THANH TOÁN VƯỢT THẨM QUYỀN PD</v>
          </cell>
        </row>
      </sheetData>
      <sheetData sheetId="7594">
        <row r="1">
          <cell r="A1" t="str">
            <v>PHIẾU XỬ LÝ HỒ SƠ THANH TOÁN VƯỢT THẨM QUYỀN PD</v>
          </cell>
        </row>
      </sheetData>
      <sheetData sheetId="7595">
        <row r="1">
          <cell r="A1" t="str">
            <v>PHIẾU XỬ LÝ HỒ SƠ THANH TOÁN VƯỢT THẨM QUYỀN PD</v>
          </cell>
        </row>
      </sheetData>
      <sheetData sheetId="7596">
        <row r="1">
          <cell r="A1" t="str">
            <v>PHIẾU XỬ LÝ HỒ SƠ THANH TOÁN VƯỢT THẨM QUYỀN PD</v>
          </cell>
        </row>
      </sheetData>
      <sheetData sheetId="7597">
        <row r="1">
          <cell r="A1" t="str">
            <v>PHIẾU XỬ LÝ HỒ SƠ THANH TOÁN VƯỢT THẨM QUYỀN PD</v>
          </cell>
        </row>
      </sheetData>
      <sheetData sheetId="7598">
        <row r="1">
          <cell r="A1" t="str">
            <v>PHIẾU XỬ LÝ HỒ SƠ THANH TOÁN VƯỢT THẨM QUYỀN PD</v>
          </cell>
        </row>
      </sheetData>
      <sheetData sheetId="7599">
        <row r="1">
          <cell r="A1" t="str">
            <v>PHIẾU XỬ LÝ HỒ SƠ THANH TOÁN VƯỢT THẨM QUYỀN PD</v>
          </cell>
        </row>
      </sheetData>
      <sheetData sheetId="7600">
        <row r="1">
          <cell r="A1" t="str">
            <v>PHIẾU XỬ LÝ HỒ SƠ THANH TOÁN VƯỢT THẨM QUYỀN PD</v>
          </cell>
        </row>
      </sheetData>
      <sheetData sheetId="7601">
        <row r="1">
          <cell r="A1" t="str">
            <v>PHIẾU XỬ LÝ HỒ SƠ THANH TOÁN VƯỢT THẨM QUYỀN PD</v>
          </cell>
        </row>
      </sheetData>
      <sheetData sheetId="7602">
        <row r="1">
          <cell r="A1" t="str">
            <v>PHIẾU XỬ LÝ HỒ SƠ THANH TOÁN VƯỢT THẨM QUYỀN PD</v>
          </cell>
        </row>
      </sheetData>
      <sheetData sheetId="7603">
        <row r="1">
          <cell r="A1" t="str">
            <v>PHIẾU XỬ LÝ HỒ SƠ THANH TOÁN VƯỢT THẨM QUYỀN PD</v>
          </cell>
        </row>
      </sheetData>
      <sheetData sheetId="7604">
        <row r="1">
          <cell r="A1" t="str">
            <v>PHIẾU XỬ LÝ HỒ SƠ THANH TOÁN VƯỢT THẨM QUYỀN PD</v>
          </cell>
        </row>
      </sheetData>
      <sheetData sheetId="7605">
        <row r="1">
          <cell r="A1" t="str">
            <v>PHIẾU XỬ LÝ HỒ SƠ THANH TOÁN VƯỢT THẨM QUYỀN PD</v>
          </cell>
        </row>
      </sheetData>
      <sheetData sheetId="7606">
        <row r="1">
          <cell r="A1" t="str">
            <v>PHIẾU XỬ LÝ HỒ SƠ THANH TOÁN VƯỢT THẨM QUYỀN PD</v>
          </cell>
        </row>
      </sheetData>
      <sheetData sheetId="7607">
        <row r="1">
          <cell r="A1" t="str">
            <v>PHIẾU XỬ LÝ HỒ SƠ THANH TOÁN VƯỢT THẨM QUYỀN PD</v>
          </cell>
        </row>
      </sheetData>
      <sheetData sheetId="7608">
        <row r="1">
          <cell r="A1" t="str">
            <v>PHIẾU XỬ LÝ HỒ SƠ THANH TOÁN VƯỢT THẨM QUYỀN PD</v>
          </cell>
        </row>
      </sheetData>
      <sheetData sheetId="7609">
        <row r="1">
          <cell r="A1" t="str">
            <v>PHIẾU XỬ LÝ HỒ SƠ THANH TOÁN VƯỢT THẨM QUYỀN PD</v>
          </cell>
        </row>
      </sheetData>
      <sheetData sheetId="7610">
        <row r="1">
          <cell r="A1" t="str">
            <v>PHIẾU XỬ LÝ HỒ SƠ THANH TOÁN VƯỢT THẨM QUYỀN PD</v>
          </cell>
        </row>
      </sheetData>
      <sheetData sheetId="7611">
        <row r="1">
          <cell r="A1" t="str">
            <v>PHIẾU XỬ LÝ HỒ SƠ THANH TOÁN VƯỢT THẨM QUYỀN PD</v>
          </cell>
        </row>
      </sheetData>
      <sheetData sheetId="7612">
        <row r="1">
          <cell r="A1" t="str">
            <v>PHIẾU XỬ LÝ HỒ SƠ THANH TOÁN VƯỢT THẨM QUYỀN PD</v>
          </cell>
        </row>
      </sheetData>
      <sheetData sheetId="7613">
        <row r="1">
          <cell r="A1" t="str">
            <v>PHIẾU XỬ LÝ HỒ SƠ THANH TOÁN VƯỢT THẨM QUYỀN PD</v>
          </cell>
        </row>
      </sheetData>
      <sheetData sheetId="7614">
        <row r="1">
          <cell r="A1" t="str">
            <v>PHIẾU XỬ LÝ HỒ SƠ THANH TOÁN VƯỢT THẨM QUYỀN PD</v>
          </cell>
        </row>
      </sheetData>
      <sheetData sheetId="7615">
        <row r="1">
          <cell r="A1" t="str">
            <v>PHIẾU XỬ LÝ HỒ SƠ THANH TOÁN VƯỢT THẨM QUYỀN PD</v>
          </cell>
        </row>
      </sheetData>
      <sheetData sheetId="7616">
        <row r="1">
          <cell r="A1" t="str">
            <v>PHIẾU XỬ LÝ HỒ SƠ THANH TOÁN VƯỢT THẨM QUYỀN PD</v>
          </cell>
        </row>
      </sheetData>
      <sheetData sheetId="7617">
        <row r="1">
          <cell r="A1" t="str">
            <v>PHIẾU XỬ LÝ HỒ SƠ THANH TOÁN VƯỢT THẨM QUYỀN PD</v>
          </cell>
        </row>
      </sheetData>
      <sheetData sheetId="7618">
        <row r="1">
          <cell r="A1" t="str">
            <v>PHIẾU XỬ LÝ HỒ SƠ THANH TOÁN VƯỢT THẨM QUYỀN PD</v>
          </cell>
        </row>
      </sheetData>
      <sheetData sheetId="7619">
        <row r="1">
          <cell r="A1" t="str">
            <v>PHIẾU XỬ LÝ HỒ SƠ THANH TOÁN VƯỢT THẨM QUYỀN PD</v>
          </cell>
        </row>
      </sheetData>
      <sheetData sheetId="7620">
        <row r="1">
          <cell r="A1" t="str">
            <v>PHIẾU XỬ LÝ HỒ SƠ THANH TOÁN VƯỢT THẨM QUYỀN PD</v>
          </cell>
        </row>
      </sheetData>
      <sheetData sheetId="7621">
        <row r="1">
          <cell r="A1" t="str">
            <v>PHIẾU XỬ LÝ HỒ SƠ THANH TOÁN VƯỢT THẨM QUYỀN PD</v>
          </cell>
        </row>
      </sheetData>
      <sheetData sheetId="7622">
        <row r="1">
          <cell r="A1" t="str">
            <v>PHIẾU XỬ LÝ HỒ SƠ THANH TOÁN VƯỢT THẨM QUYỀN PD</v>
          </cell>
        </row>
      </sheetData>
      <sheetData sheetId="7623">
        <row r="1">
          <cell r="A1" t="str">
            <v>PHIẾU XỬ LÝ HỒ SƠ THANH TOÁN VƯỢT THẨM QUYỀN PD</v>
          </cell>
        </row>
      </sheetData>
      <sheetData sheetId="7624">
        <row r="1">
          <cell r="A1" t="str">
            <v>PHIẾU XỬ LÝ HỒ SƠ THANH TOÁN VƯỢT THẨM QUYỀN PD</v>
          </cell>
        </row>
      </sheetData>
      <sheetData sheetId="7625">
        <row r="1">
          <cell r="A1" t="str">
            <v>PHIẾU XỬ LÝ HỒ SƠ THANH TOÁN VƯỢT THẨM QUYỀN PD</v>
          </cell>
        </row>
      </sheetData>
      <sheetData sheetId="7626">
        <row r="1">
          <cell r="A1" t="str">
            <v>PHIẾU XỬ LÝ HỒ SƠ THANH TOÁN VƯỢT THẨM QUYỀN PD</v>
          </cell>
        </row>
      </sheetData>
      <sheetData sheetId="7627">
        <row r="1">
          <cell r="A1" t="str">
            <v>PHIẾU XỬ LÝ HỒ SƠ THANH TOÁN VƯỢT THẨM QUYỀN PD</v>
          </cell>
        </row>
      </sheetData>
      <sheetData sheetId="7628">
        <row r="1">
          <cell r="A1" t="str">
            <v>PHIẾU XỬ LÝ HỒ SƠ THANH TOÁN VƯỢT THẨM QUYỀN PD</v>
          </cell>
        </row>
      </sheetData>
      <sheetData sheetId="7629">
        <row r="1">
          <cell r="A1" t="str">
            <v>PHIẾU XỬ LÝ HỒ SƠ THANH TOÁN VƯỢT THẨM QUYỀN PD</v>
          </cell>
        </row>
      </sheetData>
      <sheetData sheetId="7630">
        <row r="1">
          <cell r="A1" t="str">
            <v>PHIẾU XỬ LÝ HỒ SƠ THANH TOÁN VƯỢT THẨM QUYỀN PD</v>
          </cell>
        </row>
      </sheetData>
      <sheetData sheetId="7631">
        <row r="1">
          <cell r="A1" t="str">
            <v>PHIẾU XỬ LÝ HỒ SƠ THANH TOÁN VƯỢT THẨM QUYỀN PD</v>
          </cell>
        </row>
      </sheetData>
      <sheetData sheetId="7632">
        <row r="1">
          <cell r="A1" t="str">
            <v>PHIẾU XỬ LÝ HỒ SƠ THANH TOÁN VƯỢT THẨM QUYỀN PD</v>
          </cell>
        </row>
      </sheetData>
      <sheetData sheetId="7633">
        <row r="1">
          <cell r="A1" t="str">
            <v>PHIẾU XỬ LÝ HỒ SƠ THANH TOÁN VƯỢT THẨM QUYỀN PD</v>
          </cell>
        </row>
      </sheetData>
      <sheetData sheetId="7634">
        <row r="1">
          <cell r="A1" t="str">
            <v>PHIẾU XỬ LÝ HỒ SƠ THANH TOÁN VƯỢT THẨM QUYỀN PD</v>
          </cell>
        </row>
      </sheetData>
      <sheetData sheetId="7635">
        <row r="1">
          <cell r="A1" t="str">
            <v>PHIẾU XỬ LÝ HỒ SƠ THANH TOÁN VƯỢT THẨM QUYỀN PD</v>
          </cell>
        </row>
      </sheetData>
      <sheetData sheetId="7636">
        <row r="1">
          <cell r="A1" t="str">
            <v>PHIẾU XỬ LÝ HỒ SƠ THANH TOÁN VƯỢT THẨM QUYỀN PD</v>
          </cell>
        </row>
      </sheetData>
      <sheetData sheetId="7637">
        <row r="1">
          <cell r="A1" t="str">
            <v>PHIẾU XỬ LÝ HỒ SƠ THANH TOÁN VƯỢT THẨM QUYỀN PD</v>
          </cell>
        </row>
      </sheetData>
      <sheetData sheetId="7638">
        <row r="1">
          <cell r="A1" t="str">
            <v>PHIẾU XỬ LÝ HỒ SƠ THANH TOÁN VƯỢT THẨM QUYỀN PD</v>
          </cell>
        </row>
      </sheetData>
      <sheetData sheetId="7639">
        <row r="1">
          <cell r="A1" t="str">
            <v>PHIẾU XỬ LÝ HỒ SƠ THANH TOÁN VƯỢT THẨM QUYỀN PD</v>
          </cell>
        </row>
      </sheetData>
      <sheetData sheetId="7640">
        <row r="1">
          <cell r="A1" t="str">
            <v>PHIẾU XỬ LÝ HỒ SƠ THANH TOÁN VƯỢT THẨM QUYỀN PD</v>
          </cell>
        </row>
      </sheetData>
      <sheetData sheetId="7641">
        <row r="1">
          <cell r="A1" t="str">
            <v>PHIẾU XỬ LÝ HỒ SƠ THANH TOÁN VƯỢT THẨM QUYỀN PD</v>
          </cell>
        </row>
      </sheetData>
      <sheetData sheetId="7642">
        <row r="1">
          <cell r="A1" t="str">
            <v>PHIẾU XỬ LÝ HỒ SƠ THANH TOÁN VƯỢT THẨM QUYỀN PD</v>
          </cell>
        </row>
      </sheetData>
      <sheetData sheetId="7643">
        <row r="1">
          <cell r="A1" t="str">
            <v>PHIẾU XỬ LÝ HỒ SƠ THANH TOÁN VƯỢT THẨM QUYỀN PD</v>
          </cell>
        </row>
      </sheetData>
      <sheetData sheetId="7644">
        <row r="1">
          <cell r="A1" t="str">
            <v>PHIẾU XỬ LÝ HỒ SƠ THANH TOÁN VƯỢT THẨM QUYỀN PD</v>
          </cell>
        </row>
      </sheetData>
      <sheetData sheetId="7645">
        <row r="1">
          <cell r="A1" t="str">
            <v>PHIẾU XỬ LÝ HỒ SƠ THANH TOÁN VƯỢT THẨM QUYỀN PD</v>
          </cell>
        </row>
      </sheetData>
      <sheetData sheetId="7646">
        <row r="1">
          <cell r="A1" t="str">
            <v>PHIẾU XỬ LÝ HỒ SƠ THANH TOÁN VƯỢT THẨM QUYỀN PD</v>
          </cell>
        </row>
      </sheetData>
      <sheetData sheetId="7647">
        <row r="1">
          <cell r="A1" t="str">
            <v>PHIẾU XỬ LÝ HỒ SƠ THANH TOÁN VƯỢT THẨM QUYỀN PD</v>
          </cell>
        </row>
      </sheetData>
      <sheetData sheetId="7648">
        <row r="1">
          <cell r="A1" t="str">
            <v>PHIẾU XỬ LÝ HỒ SƠ THANH TOÁN VƯỢT THẨM QUYỀN PD</v>
          </cell>
        </row>
      </sheetData>
      <sheetData sheetId="7649">
        <row r="1">
          <cell r="A1" t="str">
            <v>PHIẾU XỬ LÝ HỒ SƠ THANH TOÁN VƯỢT THẨM QUYỀN PD</v>
          </cell>
        </row>
      </sheetData>
      <sheetData sheetId="7650">
        <row r="1">
          <cell r="A1" t="str">
            <v>PHIẾU XỬ LÝ HỒ SƠ THANH TOÁN VƯỢT THẨM QUYỀN PD</v>
          </cell>
        </row>
      </sheetData>
      <sheetData sheetId="7651">
        <row r="1">
          <cell r="A1" t="str">
            <v>PHIẾU XỬ LÝ HỒ SƠ THANH TOÁN VƯỢT THẨM QUYỀN PD</v>
          </cell>
        </row>
      </sheetData>
      <sheetData sheetId="7652">
        <row r="1">
          <cell r="A1" t="str">
            <v>PHIẾU XỬ LÝ HỒ SƠ THANH TOÁN VƯỢT THẨM QUYỀN PD</v>
          </cell>
        </row>
      </sheetData>
      <sheetData sheetId="7653">
        <row r="1">
          <cell r="A1" t="str">
            <v>PHIẾU XỬ LÝ HỒ SƠ THANH TOÁN VƯỢT THẨM QUYỀN PD</v>
          </cell>
        </row>
      </sheetData>
      <sheetData sheetId="7654">
        <row r="1">
          <cell r="A1" t="str">
            <v>PHIẾU XỬ LÝ HỒ SƠ THANH TOÁN VƯỢT THẨM QUYỀN PD</v>
          </cell>
        </row>
      </sheetData>
      <sheetData sheetId="7655">
        <row r="1">
          <cell r="A1" t="str">
            <v>PHIẾU XỬ LÝ HỒ SƠ THANH TOÁN VƯỢT THẨM QUYỀN PD</v>
          </cell>
        </row>
      </sheetData>
      <sheetData sheetId="7656">
        <row r="1">
          <cell r="A1" t="str">
            <v>PHIẾU XỬ LÝ HỒ SƠ THANH TOÁN VƯỢT THẨM QUYỀN PD</v>
          </cell>
        </row>
      </sheetData>
      <sheetData sheetId="7657">
        <row r="1">
          <cell r="A1" t="str">
            <v>PHIẾU XỬ LÝ HỒ SƠ THANH TOÁN VƯỢT THẨM QUYỀN PD</v>
          </cell>
        </row>
      </sheetData>
      <sheetData sheetId="7658">
        <row r="1">
          <cell r="A1" t="str">
            <v>PHIẾU XỬ LÝ HỒ SƠ THANH TOÁN VƯỢT THẨM QUYỀN PD</v>
          </cell>
        </row>
      </sheetData>
      <sheetData sheetId="7659">
        <row r="1">
          <cell r="A1" t="str">
            <v>PHIẾU XỬ LÝ HỒ SƠ THANH TOÁN VƯỢT THẨM QUYỀN PD</v>
          </cell>
        </row>
      </sheetData>
      <sheetData sheetId="7660">
        <row r="1">
          <cell r="A1" t="str">
            <v>PHIẾU XỬ LÝ HỒ SƠ THANH TOÁN VƯỢT THẨM QUYỀN PD</v>
          </cell>
        </row>
      </sheetData>
      <sheetData sheetId="7661">
        <row r="1">
          <cell r="A1" t="str">
            <v>PHIẾU XỬ LÝ HỒ SƠ THANH TOÁN VƯỢT THẨM QUYỀN PD</v>
          </cell>
        </row>
      </sheetData>
      <sheetData sheetId="7662">
        <row r="1">
          <cell r="A1" t="str">
            <v>PHIẾU XỬ LÝ HỒ SƠ THANH TOÁN VƯỢT THẨM QUYỀN PD</v>
          </cell>
        </row>
      </sheetData>
      <sheetData sheetId="7663">
        <row r="1">
          <cell r="A1" t="str">
            <v>PHIẾU XỬ LÝ HỒ SƠ THANH TOÁN VƯỢT THẨM QUYỀN PD</v>
          </cell>
        </row>
      </sheetData>
      <sheetData sheetId="7664">
        <row r="1">
          <cell r="A1" t="str">
            <v>PHIẾU XỬ LÝ HỒ SƠ THANH TOÁN VƯỢT THẨM QUYỀN PD</v>
          </cell>
        </row>
      </sheetData>
      <sheetData sheetId="7665">
        <row r="1">
          <cell r="A1" t="str">
            <v>PHIẾU XỬ LÝ HỒ SƠ THANH TOÁN VƯỢT THẨM QUYỀN PD</v>
          </cell>
        </row>
      </sheetData>
      <sheetData sheetId="7666">
        <row r="1">
          <cell r="A1" t="str">
            <v>PHIẾU XỬ LÝ HỒ SƠ THANH TOÁN VƯỢT THẨM QUYỀN PD</v>
          </cell>
        </row>
      </sheetData>
      <sheetData sheetId="7667">
        <row r="1">
          <cell r="A1" t="str">
            <v>PHIẾU XỬ LÝ HỒ SƠ THANH TOÁN VƯỢT THẨM QUYỀN PD</v>
          </cell>
        </row>
      </sheetData>
      <sheetData sheetId="7668">
        <row r="1">
          <cell r="A1" t="str">
            <v>PHIẾU XỬ LÝ HỒ SƠ THANH TOÁN VƯỢT THẨM QUYỀN PD</v>
          </cell>
        </row>
      </sheetData>
      <sheetData sheetId="7669">
        <row r="1">
          <cell r="A1" t="str">
            <v>PHIẾU XỬ LÝ HỒ SƠ THANH TOÁN VƯỢT THẨM QUYỀN PD</v>
          </cell>
        </row>
      </sheetData>
      <sheetData sheetId="7670">
        <row r="1">
          <cell r="A1" t="str">
            <v>PHIẾU XỬ LÝ HỒ SƠ THANH TOÁN VƯỢT THẨM QUYỀN PD</v>
          </cell>
        </row>
      </sheetData>
      <sheetData sheetId="7671">
        <row r="1">
          <cell r="A1" t="str">
            <v>PHIẾU XỬ LÝ HỒ SƠ THANH TOÁN VƯỢT THẨM QUYỀN PD</v>
          </cell>
        </row>
      </sheetData>
      <sheetData sheetId="7672">
        <row r="1">
          <cell r="A1" t="str">
            <v>PHIẾU XỬ LÝ HỒ SƠ THANH TOÁN VƯỢT THẨM QUYỀN PD</v>
          </cell>
        </row>
      </sheetData>
      <sheetData sheetId="7673">
        <row r="1">
          <cell r="A1" t="str">
            <v>PHIẾU XỬ LÝ HỒ SƠ THANH TOÁN VƯỢT THẨM QUYỀN PD</v>
          </cell>
        </row>
      </sheetData>
      <sheetData sheetId="7674">
        <row r="1">
          <cell r="A1" t="str">
            <v>PHIẾU XỬ LÝ HỒ SƠ THANH TOÁN VƯỢT THẨM QUYỀN PD</v>
          </cell>
        </row>
      </sheetData>
      <sheetData sheetId="7675">
        <row r="1">
          <cell r="A1" t="str">
            <v>PHIẾU XỬ LÝ HỒ SƠ THANH TOÁN VƯỢT THẨM QUYỀN PD</v>
          </cell>
        </row>
      </sheetData>
      <sheetData sheetId="7676">
        <row r="1">
          <cell r="A1" t="str">
            <v>PHIẾU XỬ LÝ HỒ SƠ THANH TOÁN VƯỢT THẨM QUYỀN PD</v>
          </cell>
        </row>
      </sheetData>
      <sheetData sheetId="7677">
        <row r="1">
          <cell r="A1" t="str">
            <v>PHIẾU XỬ LÝ HỒ SƠ THANH TOÁN VƯỢT THẨM QUYỀN PD</v>
          </cell>
        </row>
      </sheetData>
      <sheetData sheetId="7678">
        <row r="1">
          <cell r="A1" t="str">
            <v>PHIẾU XỬ LÝ HỒ SƠ THANH TOÁN VƯỢT THẨM QUYỀN PD</v>
          </cell>
        </row>
      </sheetData>
      <sheetData sheetId="7679">
        <row r="1">
          <cell r="A1" t="str">
            <v>PHIẾU XỬ LÝ HỒ SƠ THANH TOÁN VƯỢT THẨM QUYỀN PD</v>
          </cell>
        </row>
      </sheetData>
      <sheetData sheetId="7680">
        <row r="1">
          <cell r="A1" t="str">
            <v>PHIẾU XỬ LÝ HỒ SƠ THANH TOÁN VƯỢT THẨM QUYỀN PD</v>
          </cell>
        </row>
      </sheetData>
      <sheetData sheetId="7681">
        <row r="1">
          <cell r="A1" t="str">
            <v>PHIẾU XỬ LÝ HỒ SƠ THANH TOÁN VƯỢT THẨM QUYỀN PD</v>
          </cell>
        </row>
      </sheetData>
      <sheetData sheetId="7682">
        <row r="1">
          <cell r="A1" t="str">
            <v>PHIẾU XỬ LÝ HỒ SƠ THANH TOÁN VƯỢT THẨM QUYỀN PD</v>
          </cell>
        </row>
      </sheetData>
      <sheetData sheetId="7683">
        <row r="1">
          <cell r="A1" t="str">
            <v>PHIẾU XỬ LÝ HỒ SƠ THANH TOÁN VƯỢT THẨM QUYỀN PD</v>
          </cell>
        </row>
      </sheetData>
      <sheetData sheetId="7684">
        <row r="1">
          <cell r="A1" t="str">
            <v>PHIẾU XỬ LÝ HỒ SƠ THANH TOÁN VƯỢT THẨM QUYỀN PD</v>
          </cell>
        </row>
      </sheetData>
      <sheetData sheetId="7685">
        <row r="1">
          <cell r="A1" t="str">
            <v>PHIẾU XỬ LÝ HỒ SƠ THANH TOÁN VƯỢT THẨM QUYỀN PD</v>
          </cell>
        </row>
      </sheetData>
      <sheetData sheetId="7686">
        <row r="1">
          <cell r="A1" t="str">
            <v>PHIẾU XỬ LÝ HỒ SƠ THANH TOÁN VƯỢT THẨM QUYỀN PD</v>
          </cell>
        </row>
      </sheetData>
      <sheetData sheetId="7687">
        <row r="1">
          <cell r="A1" t="str">
            <v>PHIẾU XỬ LÝ HỒ SƠ THANH TOÁN VƯỢT THẨM QUYỀN PD</v>
          </cell>
        </row>
      </sheetData>
      <sheetData sheetId="7688">
        <row r="1">
          <cell r="A1" t="str">
            <v>PHIẾU XỬ LÝ HỒ SƠ THANH TOÁN VƯỢT THẨM QUYỀN PD</v>
          </cell>
        </row>
      </sheetData>
      <sheetData sheetId="7689">
        <row r="1">
          <cell r="A1" t="str">
            <v>PHIẾU XỬ LÝ HỒ SƠ THANH TOÁN VƯỢT THẨM QUYỀN PD</v>
          </cell>
        </row>
      </sheetData>
      <sheetData sheetId="7690">
        <row r="1">
          <cell r="A1" t="str">
            <v>PHIẾU XỬ LÝ HỒ SƠ THANH TOÁN VƯỢT THẨM QUYỀN PD</v>
          </cell>
        </row>
      </sheetData>
      <sheetData sheetId="7691">
        <row r="1">
          <cell r="A1" t="str">
            <v>PHIẾU XỬ LÝ HỒ SƠ THANH TOÁN VƯỢT THẨM QUYỀN PD</v>
          </cell>
        </row>
      </sheetData>
      <sheetData sheetId="7692">
        <row r="1">
          <cell r="A1" t="str">
            <v>PHIẾU XỬ LÝ HỒ SƠ THANH TOÁN VƯỢT THẨM QUYỀN PD</v>
          </cell>
        </row>
      </sheetData>
      <sheetData sheetId="7693">
        <row r="1">
          <cell r="A1" t="str">
            <v>PHIẾU XỬ LÝ HỒ SƠ THANH TOÁN VƯỢT THẨM QUYỀN PD</v>
          </cell>
        </row>
      </sheetData>
      <sheetData sheetId="7694">
        <row r="1">
          <cell r="A1" t="str">
            <v>PHIẾU XỬ LÝ HỒ SƠ THANH TOÁN VƯỢT THẨM QUYỀN PD</v>
          </cell>
        </row>
      </sheetData>
      <sheetData sheetId="7695">
        <row r="1">
          <cell r="A1" t="str">
            <v>PHIẾU XỬ LÝ HỒ SƠ THANH TOÁN VƯỢT THẨM QUYỀN PD</v>
          </cell>
        </row>
      </sheetData>
      <sheetData sheetId="7696">
        <row r="1">
          <cell r="A1" t="str">
            <v>PHIẾU XỬ LÝ HỒ SƠ THANH TOÁN VƯỢT THẨM QUYỀN PD</v>
          </cell>
        </row>
      </sheetData>
      <sheetData sheetId="7697">
        <row r="1">
          <cell r="A1" t="str">
            <v>PHIẾU XỬ LÝ HỒ SƠ THANH TOÁN VƯỢT THẨM QUYỀN PD</v>
          </cell>
        </row>
      </sheetData>
      <sheetData sheetId="7698">
        <row r="1">
          <cell r="A1" t="str">
            <v>PHIẾU XỬ LÝ HỒ SƠ THANH TOÁN VƯỢT THẨM QUYỀN PD</v>
          </cell>
        </row>
      </sheetData>
      <sheetData sheetId="7699">
        <row r="1">
          <cell r="A1" t="str">
            <v>PHIẾU XỬ LÝ HỒ SƠ THANH TOÁN VƯỢT THẨM QUYỀN PD</v>
          </cell>
        </row>
      </sheetData>
      <sheetData sheetId="7700">
        <row r="1">
          <cell r="A1" t="str">
            <v>PHIẾU XỬ LÝ HỒ SƠ THANH TOÁN VƯỢT THẨM QUYỀN PD</v>
          </cell>
        </row>
      </sheetData>
      <sheetData sheetId="7701">
        <row r="1">
          <cell r="A1" t="str">
            <v>PHIẾU XỬ LÝ HỒ SƠ THANH TOÁN VƯỢT THẨM QUYỀN PD</v>
          </cell>
        </row>
      </sheetData>
      <sheetData sheetId="7702">
        <row r="1">
          <cell r="A1" t="str">
            <v>PHIẾU XỬ LÝ HỒ SƠ THANH TOÁN VƯỢT THẨM QUYỀN PD</v>
          </cell>
        </row>
      </sheetData>
      <sheetData sheetId="7703">
        <row r="1">
          <cell r="A1" t="str">
            <v>PHIẾU XỬ LÝ HỒ SƠ THANH TOÁN VƯỢT THẨM QUYỀN PD</v>
          </cell>
        </row>
      </sheetData>
      <sheetData sheetId="7704">
        <row r="1">
          <cell r="A1" t="str">
            <v>PHIẾU XỬ LÝ HỒ SƠ THANH TOÁN VƯỢT THẨM QUYỀN PD</v>
          </cell>
        </row>
      </sheetData>
      <sheetData sheetId="7705">
        <row r="1">
          <cell r="A1" t="str">
            <v>PHIẾU XỬ LÝ HỒ SƠ THANH TOÁN VƯỢT THẨM QUYỀN PD</v>
          </cell>
        </row>
      </sheetData>
      <sheetData sheetId="7706">
        <row r="1">
          <cell r="A1" t="str">
            <v>PHIẾU XỬ LÝ HỒ SƠ THANH TOÁN VƯỢT THẨM QUYỀN PD</v>
          </cell>
        </row>
      </sheetData>
      <sheetData sheetId="7707">
        <row r="1">
          <cell r="A1" t="str">
            <v>PHIẾU XỬ LÝ HỒ SƠ THANH TOÁN VƯỢT THẨM QUYỀN PD</v>
          </cell>
        </row>
      </sheetData>
      <sheetData sheetId="7708">
        <row r="1">
          <cell r="A1" t="str">
            <v>PHIẾU XỬ LÝ HỒ SƠ THANH TOÁN VƯỢT THẨM QUYỀN PD</v>
          </cell>
        </row>
      </sheetData>
      <sheetData sheetId="7709">
        <row r="1">
          <cell r="A1" t="str">
            <v>PHIẾU XỬ LÝ HỒ SƠ THANH TOÁN VƯỢT THẨM QUYỀN PD</v>
          </cell>
        </row>
      </sheetData>
      <sheetData sheetId="7710">
        <row r="1">
          <cell r="A1" t="str">
            <v>PHIẾU XỬ LÝ HỒ SƠ THANH TOÁN VƯỢT THẨM QUYỀN PD</v>
          </cell>
        </row>
      </sheetData>
      <sheetData sheetId="7711">
        <row r="1">
          <cell r="A1" t="str">
            <v>PHIẾU XỬ LÝ HỒ SƠ THANH TOÁN VƯỢT THẨM QUYỀN PD</v>
          </cell>
        </row>
      </sheetData>
      <sheetData sheetId="7712">
        <row r="1">
          <cell r="A1" t="str">
            <v>PHIẾU XỬ LÝ HỒ SƠ THANH TOÁN VƯỢT THẨM QUYỀN PD</v>
          </cell>
        </row>
      </sheetData>
      <sheetData sheetId="7713">
        <row r="1">
          <cell r="A1" t="str">
            <v>PHIẾU XỬ LÝ HỒ SƠ THANH TOÁN VƯỢT THẨM QUYỀN PD</v>
          </cell>
        </row>
      </sheetData>
      <sheetData sheetId="7714">
        <row r="1">
          <cell r="A1" t="str">
            <v>PHIẾU XỬ LÝ HỒ SƠ THANH TOÁN VƯỢT THẨM QUYỀN PD</v>
          </cell>
        </row>
      </sheetData>
      <sheetData sheetId="7715">
        <row r="1">
          <cell r="A1" t="str">
            <v>PHIẾU XỬ LÝ HỒ SƠ THANH TOÁN VƯỢT THẨM QUYỀN PD</v>
          </cell>
        </row>
      </sheetData>
      <sheetData sheetId="7716">
        <row r="1">
          <cell r="A1" t="str">
            <v>PHIẾU XỬ LÝ HỒ SƠ THANH TOÁN VƯỢT THẨM QUYỀN PD</v>
          </cell>
        </row>
      </sheetData>
      <sheetData sheetId="7717">
        <row r="1">
          <cell r="A1" t="str">
            <v>PHIẾU XỬ LÝ HỒ SƠ THANH TOÁN VƯỢT THẨM QUYỀN PD</v>
          </cell>
        </row>
      </sheetData>
      <sheetData sheetId="7718">
        <row r="1">
          <cell r="A1" t="str">
            <v>PHIẾU XỬ LÝ HỒ SƠ THANH TOÁN VƯỢT THẨM QUYỀN PD</v>
          </cell>
        </row>
      </sheetData>
      <sheetData sheetId="7719">
        <row r="1">
          <cell r="A1" t="str">
            <v>PHIẾU XỬ LÝ HỒ SƠ THANH TOÁN VƯỢT THẨM QUYỀN PD</v>
          </cell>
        </row>
      </sheetData>
      <sheetData sheetId="7720">
        <row r="1">
          <cell r="A1" t="str">
            <v>PHIẾU XỬ LÝ HỒ SƠ THANH TOÁN VƯỢT THẨM QUYỀN PD</v>
          </cell>
        </row>
      </sheetData>
      <sheetData sheetId="7721">
        <row r="1">
          <cell r="A1" t="str">
            <v>PHIẾU XỬ LÝ HỒ SƠ THANH TOÁN VƯỢT THẨM QUYỀN PD</v>
          </cell>
        </row>
      </sheetData>
      <sheetData sheetId="7722">
        <row r="1">
          <cell r="A1" t="str">
            <v>PHIẾU XỬ LÝ HỒ SƠ THANH TOÁN VƯỢT THẨM QUYỀN PD</v>
          </cell>
        </row>
      </sheetData>
      <sheetData sheetId="7723">
        <row r="1">
          <cell r="A1" t="str">
            <v>PHIẾU XỬ LÝ HỒ SƠ THANH TOÁN VƯỢT THẨM QUYỀN PD</v>
          </cell>
        </row>
      </sheetData>
      <sheetData sheetId="7724">
        <row r="1">
          <cell r="A1" t="str">
            <v>PHIẾU XỬ LÝ HỒ SƠ THANH TOÁN VƯỢT THẨM QUYỀN PD</v>
          </cell>
        </row>
      </sheetData>
      <sheetData sheetId="7725">
        <row r="1">
          <cell r="A1" t="str">
            <v>PHIẾU XỬ LÝ HỒ SƠ THANH TOÁN VƯỢT THẨM QUYỀN PD</v>
          </cell>
        </row>
      </sheetData>
      <sheetData sheetId="7726">
        <row r="1">
          <cell r="A1" t="str">
            <v>PHIẾU XỬ LÝ HỒ SƠ THANH TOÁN VƯỢT THẨM QUYỀN PD</v>
          </cell>
        </row>
      </sheetData>
      <sheetData sheetId="7727">
        <row r="1">
          <cell r="A1" t="str">
            <v>PHIẾU XỬ LÝ HỒ SƠ THANH TOÁN VƯỢT THẨM QUYỀN PD</v>
          </cell>
        </row>
      </sheetData>
      <sheetData sheetId="7728">
        <row r="1">
          <cell r="A1" t="str">
            <v>PHIẾU XỬ LÝ HỒ SƠ THANH TOÁN VƯỢT THẨM QUYỀN PD</v>
          </cell>
        </row>
      </sheetData>
      <sheetData sheetId="7729">
        <row r="1">
          <cell r="A1" t="str">
            <v>PHIẾU XỬ LÝ HỒ SƠ THANH TOÁN VƯỢT THẨM QUYỀN PD</v>
          </cell>
        </row>
      </sheetData>
      <sheetData sheetId="7730">
        <row r="1">
          <cell r="A1" t="str">
            <v>PHIẾU XỬ LÝ HỒ SƠ THANH TOÁN VƯỢT THẨM QUYỀN PD</v>
          </cell>
        </row>
      </sheetData>
      <sheetData sheetId="7731">
        <row r="1">
          <cell r="A1" t="str">
            <v>PHIẾU XỬ LÝ HỒ SƠ THANH TOÁN VƯỢT THẨM QUYỀN PD</v>
          </cell>
        </row>
      </sheetData>
      <sheetData sheetId="7732">
        <row r="1">
          <cell r="A1" t="str">
            <v>PHIẾU XỬ LÝ HỒ SƠ THANH TOÁN VƯỢT THẨM QUYỀN PD</v>
          </cell>
        </row>
      </sheetData>
      <sheetData sheetId="7733">
        <row r="1">
          <cell r="A1" t="str">
            <v>PHIẾU XỬ LÝ HỒ SƠ THANH TOÁN VƯỢT THẨM QUYỀN PD</v>
          </cell>
        </row>
      </sheetData>
      <sheetData sheetId="7734">
        <row r="1">
          <cell r="A1" t="str">
            <v>PHIẾU XỬ LÝ HỒ SƠ THANH TOÁN VƯỢT THẨM QUYỀN PD</v>
          </cell>
        </row>
      </sheetData>
      <sheetData sheetId="7735">
        <row r="1">
          <cell r="A1" t="str">
            <v>PHIẾU XỬ LÝ HỒ SƠ THANH TOÁN VƯỢT THẨM QUYỀN PD</v>
          </cell>
        </row>
      </sheetData>
      <sheetData sheetId="7736">
        <row r="1">
          <cell r="A1" t="str">
            <v>PHIẾU XỬ LÝ HỒ SƠ THANH TOÁN VƯỢT THẨM QUYỀN PD</v>
          </cell>
        </row>
      </sheetData>
      <sheetData sheetId="7737">
        <row r="1">
          <cell r="A1" t="str">
            <v>PHIẾU XỬ LÝ HỒ SƠ THANH TOÁN VƯỢT THẨM QUYỀN PD</v>
          </cell>
        </row>
      </sheetData>
      <sheetData sheetId="7738">
        <row r="1">
          <cell r="A1" t="str">
            <v>PHIẾU XỬ LÝ HỒ SƠ THANH TOÁN VƯỢT THẨM QUYỀN PD</v>
          </cell>
        </row>
      </sheetData>
      <sheetData sheetId="7739">
        <row r="1">
          <cell r="A1" t="str">
            <v>PHIẾU XỬ LÝ HỒ SƠ THANH TOÁN VƯỢT THẨM QUYỀN PD</v>
          </cell>
        </row>
      </sheetData>
      <sheetData sheetId="7740">
        <row r="1">
          <cell r="A1" t="str">
            <v>PHIẾU XỬ LÝ HỒ SƠ THANH TOÁN VƯỢT THẨM QUYỀN PD</v>
          </cell>
        </row>
      </sheetData>
      <sheetData sheetId="7741">
        <row r="1">
          <cell r="A1" t="str">
            <v>PHIẾU XỬ LÝ HỒ SƠ THANH TOÁN VƯỢT THẨM QUYỀN PD</v>
          </cell>
        </row>
      </sheetData>
      <sheetData sheetId="7742">
        <row r="1">
          <cell r="A1" t="str">
            <v>PHIẾU XỬ LÝ HỒ SƠ THANH TOÁN VƯỢT THẨM QUYỀN PD</v>
          </cell>
        </row>
      </sheetData>
      <sheetData sheetId="7743">
        <row r="1">
          <cell r="A1" t="str">
            <v>PHIẾU XỬ LÝ HỒ SƠ THANH TOÁN VƯỢT THẨM QUYỀN PD</v>
          </cell>
        </row>
      </sheetData>
      <sheetData sheetId="7744">
        <row r="1">
          <cell r="A1" t="str">
            <v>PHIẾU XỬ LÝ HỒ SƠ THANH TOÁN VƯỢT THẨM QUYỀN PD</v>
          </cell>
        </row>
      </sheetData>
      <sheetData sheetId="7745">
        <row r="1">
          <cell r="A1" t="str">
            <v>PHIẾU XỬ LÝ HỒ SƠ THANH TOÁN VƯỢT THẨM QUYỀN PD</v>
          </cell>
        </row>
      </sheetData>
      <sheetData sheetId="7746">
        <row r="1">
          <cell r="A1" t="str">
            <v>PHIẾU XỬ LÝ HỒ SƠ THANH TOÁN VƯỢT THẨM QUYỀN PD</v>
          </cell>
        </row>
      </sheetData>
      <sheetData sheetId="7747">
        <row r="1">
          <cell r="A1" t="str">
            <v>PHIẾU XỬ LÝ HỒ SƠ THANH TOÁN VƯỢT THẨM QUYỀN PD</v>
          </cell>
        </row>
      </sheetData>
      <sheetData sheetId="7748">
        <row r="1">
          <cell r="A1" t="str">
            <v>PHIẾU XỬ LÝ HỒ SƠ THANH TOÁN VƯỢT THẨM QUYỀN PD</v>
          </cell>
        </row>
      </sheetData>
      <sheetData sheetId="7749">
        <row r="1">
          <cell r="A1" t="str">
            <v>PHIẾU XỬ LÝ HỒ SƠ THANH TOÁN VƯỢT THẨM QUYỀN PD</v>
          </cell>
        </row>
      </sheetData>
      <sheetData sheetId="7750">
        <row r="1">
          <cell r="A1" t="str">
            <v>PHIẾU XỬ LÝ HỒ SƠ THANH TOÁN VƯỢT THẨM QUYỀN PD</v>
          </cell>
        </row>
      </sheetData>
      <sheetData sheetId="7751">
        <row r="1">
          <cell r="A1" t="str">
            <v>PHIẾU XỬ LÝ HỒ SƠ THANH TOÁN VƯỢT THẨM QUYỀN PD</v>
          </cell>
        </row>
      </sheetData>
      <sheetData sheetId="7752">
        <row r="1">
          <cell r="A1" t="str">
            <v>PHIẾU XỬ LÝ HỒ SƠ THANH TOÁN VƯỢT THẨM QUYỀN PD</v>
          </cell>
        </row>
      </sheetData>
      <sheetData sheetId="7753">
        <row r="1">
          <cell r="A1" t="str">
            <v>PHIẾU XỬ LÝ HỒ SƠ THANH TOÁN VƯỢT THẨM QUYỀN PD</v>
          </cell>
        </row>
      </sheetData>
      <sheetData sheetId="7754">
        <row r="1">
          <cell r="A1" t="str">
            <v>PHIẾU XỬ LÝ HỒ SƠ THANH TOÁN VƯỢT THẨM QUYỀN PD</v>
          </cell>
        </row>
      </sheetData>
      <sheetData sheetId="7755">
        <row r="1">
          <cell r="A1" t="str">
            <v>PHIẾU XỬ LÝ HỒ SƠ THANH TOÁN VƯỢT THẨM QUYỀN PD</v>
          </cell>
        </row>
      </sheetData>
      <sheetData sheetId="7756">
        <row r="1">
          <cell r="A1" t="str">
            <v>PHIẾU XỬ LÝ HỒ SƠ THANH TOÁN VƯỢT THẨM QUYỀN PD</v>
          </cell>
        </row>
      </sheetData>
      <sheetData sheetId="7757">
        <row r="1">
          <cell r="A1" t="str">
            <v>PHIẾU XỬ LÝ HỒ SƠ THANH TOÁN VƯỢT THẨM QUYỀN PD</v>
          </cell>
        </row>
      </sheetData>
      <sheetData sheetId="7758">
        <row r="1">
          <cell r="A1" t="str">
            <v>PHIẾU XỬ LÝ HỒ SƠ THANH TOÁN VƯỢT THẨM QUYỀN PD</v>
          </cell>
        </row>
      </sheetData>
      <sheetData sheetId="7759">
        <row r="1">
          <cell r="A1" t="str">
            <v>PHIẾU XỬ LÝ HỒ SƠ THANH TOÁN VƯỢT THẨM QUYỀN PD</v>
          </cell>
        </row>
      </sheetData>
      <sheetData sheetId="7760">
        <row r="1">
          <cell r="A1" t="str">
            <v>PHIẾU XỬ LÝ HỒ SƠ THANH TOÁN VƯỢT THẨM QUYỀN PD</v>
          </cell>
        </row>
      </sheetData>
      <sheetData sheetId="7761">
        <row r="1">
          <cell r="A1" t="str">
            <v>PHIẾU XỬ LÝ HỒ SƠ THANH TOÁN VƯỢT THẨM QUYỀN PD</v>
          </cell>
        </row>
      </sheetData>
      <sheetData sheetId="7762">
        <row r="1">
          <cell r="A1" t="str">
            <v>PHIẾU XỬ LÝ HỒ SƠ THANH TOÁN VƯỢT THẨM QUYỀN PD</v>
          </cell>
        </row>
      </sheetData>
      <sheetData sheetId="7763">
        <row r="1">
          <cell r="A1" t="str">
            <v>PHIẾU XỬ LÝ HỒ SƠ THANH TOÁN VƯỢT THẨM QUYỀN PD</v>
          </cell>
        </row>
      </sheetData>
      <sheetData sheetId="7764">
        <row r="1">
          <cell r="A1" t="str">
            <v>PHIẾU XỬ LÝ HỒ SƠ THANH TOÁN VƯỢT THẨM QUYỀN PD</v>
          </cell>
        </row>
      </sheetData>
      <sheetData sheetId="7765">
        <row r="1">
          <cell r="A1" t="str">
            <v>PHIẾU XỬ LÝ HỒ SƠ THANH TOÁN VƯỢT THẨM QUYỀN PD</v>
          </cell>
        </row>
      </sheetData>
      <sheetData sheetId="7766">
        <row r="1">
          <cell r="A1" t="str">
            <v>PHIẾU XỬ LÝ HỒ SƠ THANH TOÁN VƯỢT THẨM QUYỀN PD</v>
          </cell>
        </row>
      </sheetData>
      <sheetData sheetId="7767">
        <row r="1">
          <cell r="A1" t="str">
            <v>PHIẾU XỬ LÝ HỒ SƠ THANH TOÁN VƯỢT THẨM QUYỀN PD</v>
          </cell>
        </row>
      </sheetData>
      <sheetData sheetId="7768">
        <row r="1">
          <cell r="A1" t="str">
            <v>PHIẾU XỬ LÝ HỒ SƠ THANH TOÁN VƯỢT THẨM QUYỀN PD</v>
          </cell>
        </row>
      </sheetData>
      <sheetData sheetId="7769">
        <row r="1">
          <cell r="A1" t="str">
            <v>PHIẾU XỬ LÝ HỒ SƠ THANH TOÁN VƯỢT THẨM QUYỀN PD</v>
          </cell>
        </row>
      </sheetData>
      <sheetData sheetId="7770">
        <row r="1">
          <cell r="A1" t="str">
            <v>PHIẾU XỬ LÝ HỒ SƠ THANH TOÁN VƯỢT THẨM QUYỀN PD</v>
          </cell>
        </row>
      </sheetData>
      <sheetData sheetId="7771">
        <row r="1">
          <cell r="A1" t="str">
            <v>PHIẾU XỬ LÝ HỒ SƠ THANH TOÁN VƯỢT THẨM QUYỀN PD</v>
          </cell>
        </row>
      </sheetData>
      <sheetData sheetId="7772">
        <row r="1">
          <cell r="A1" t="str">
            <v>PHIẾU XỬ LÝ HỒ SƠ THANH TOÁN VƯỢT THẨM QUYỀN PD</v>
          </cell>
        </row>
      </sheetData>
      <sheetData sheetId="7773">
        <row r="1">
          <cell r="A1" t="str">
            <v>PHIẾU XỬ LÝ HỒ SƠ THANH TOÁN VƯỢT THẨM QUYỀN PD</v>
          </cell>
        </row>
      </sheetData>
      <sheetData sheetId="7774">
        <row r="1">
          <cell r="A1" t="str">
            <v>PHIẾU XỬ LÝ HỒ SƠ THANH TOÁN VƯỢT THẨM QUYỀN PD</v>
          </cell>
        </row>
      </sheetData>
      <sheetData sheetId="7775">
        <row r="1">
          <cell r="A1" t="str">
            <v>PHIẾU XỬ LÝ HỒ SƠ THANH TOÁN VƯỢT THẨM QUYỀN PD</v>
          </cell>
        </row>
      </sheetData>
      <sheetData sheetId="7776">
        <row r="1">
          <cell r="A1" t="str">
            <v>PHIẾU XỬ LÝ HỒ SƠ THANH TOÁN VƯỢT THẨM QUYỀN PD</v>
          </cell>
        </row>
      </sheetData>
      <sheetData sheetId="7777">
        <row r="1">
          <cell r="A1" t="str">
            <v>PHIẾU XỬ LÝ HỒ SƠ THANH TOÁN VƯỢT THẨM QUYỀN PD</v>
          </cell>
        </row>
      </sheetData>
      <sheetData sheetId="7778">
        <row r="1">
          <cell r="A1" t="str">
            <v>PHIẾU XỬ LÝ HỒ SƠ THANH TOÁN VƯỢT THẨM QUYỀN PD</v>
          </cell>
        </row>
      </sheetData>
      <sheetData sheetId="7779">
        <row r="1">
          <cell r="A1" t="str">
            <v>PHIẾU XỬ LÝ HỒ SƠ THANH TOÁN VƯỢT THẨM QUYỀN PD</v>
          </cell>
        </row>
      </sheetData>
      <sheetData sheetId="7780">
        <row r="1">
          <cell r="A1" t="str">
            <v>PHIẾU XỬ LÝ HỒ SƠ THANH TOÁN VƯỢT THẨM QUYỀN PD</v>
          </cell>
        </row>
      </sheetData>
      <sheetData sheetId="7781">
        <row r="1">
          <cell r="A1" t="str">
            <v>PHIẾU XỬ LÝ HỒ SƠ THANH TOÁN VƯỢT THẨM QUYỀN PD</v>
          </cell>
        </row>
      </sheetData>
      <sheetData sheetId="7782">
        <row r="1">
          <cell r="A1" t="str">
            <v>PHIẾU XỬ LÝ HỒ SƠ THANH TOÁN VƯỢT THẨM QUYỀN PD</v>
          </cell>
        </row>
      </sheetData>
      <sheetData sheetId="7783">
        <row r="1">
          <cell r="A1" t="str">
            <v>PHIẾU XỬ LÝ HỒ SƠ THANH TOÁN VƯỢT THẨM QUYỀN PD</v>
          </cell>
        </row>
      </sheetData>
      <sheetData sheetId="7784">
        <row r="1">
          <cell r="A1" t="str">
            <v>PHIẾU XỬ LÝ HỒ SƠ THANH TOÁN VƯỢT THẨM QUYỀN PD</v>
          </cell>
        </row>
      </sheetData>
      <sheetData sheetId="7785">
        <row r="1">
          <cell r="A1" t="str">
            <v>PHIẾU XỬ LÝ HỒ SƠ THANH TOÁN VƯỢT THẨM QUYỀN PD</v>
          </cell>
        </row>
      </sheetData>
      <sheetData sheetId="7786">
        <row r="1">
          <cell r="A1" t="str">
            <v>PHIẾU XỬ LÝ HỒ SƠ THANH TOÁN VƯỢT THẨM QUYỀN PD</v>
          </cell>
        </row>
      </sheetData>
      <sheetData sheetId="7787">
        <row r="1">
          <cell r="A1" t="str">
            <v>PHIẾU XỬ LÝ HỒ SƠ THANH TOÁN VƯỢT THẨM QUYỀN PD</v>
          </cell>
        </row>
      </sheetData>
      <sheetData sheetId="7788">
        <row r="1">
          <cell r="A1" t="str">
            <v>PHIẾU XỬ LÝ HỒ SƠ THANH TOÁN VƯỢT THẨM QUYỀN PD</v>
          </cell>
        </row>
      </sheetData>
      <sheetData sheetId="7789">
        <row r="1">
          <cell r="A1" t="str">
            <v>PHIẾU XỬ LÝ HỒ SƠ THANH TOÁN VƯỢT THẨM QUYỀN PD</v>
          </cell>
        </row>
      </sheetData>
      <sheetData sheetId="7790">
        <row r="1">
          <cell r="A1" t="str">
            <v>PHIẾU XỬ LÝ HỒ SƠ THANH TOÁN VƯỢT THẨM QUYỀN PD</v>
          </cell>
        </row>
      </sheetData>
      <sheetData sheetId="7791">
        <row r="1">
          <cell r="A1" t="str">
            <v>PHIẾU XỬ LÝ HỒ SƠ THANH TOÁN VƯỢT THẨM QUYỀN PD</v>
          </cell>
        </row>
      </sheetData>
      <sheetData sheetId="7792">
        <row r="1">
          <cell r="A1" t="str">
            <v>PHIẾU XỬ LÝ HỒ SƠ THANH TOÁN VƯỢT THẨM QUYỀN PD</v>
          </cell>
        </row>
      </sheetData>
      <sheetData sheetId="7793">
        <row r="1">
          <cell r="A1" t="str">
            <v>PHIẾU XỬ LÝ HỒ SƠ THANH TOÁN VƯỢT THẨM QUYỀN PD</v>
          </cell>
        </row>
      </sheetData>
      <sheetData sheetId="7794">
        <row r="1">
          <cell r="A1" t="str">
            <v>PHIẾU XỬ LÝ HỒ SƠ THANH TOÁN VƯỢT THẨM QUYỀN PD</v>
          </cell>
        </row>
      </sheetData>
      <sheetData sheetId="7795">
        <row r="1">
          <cell r="A1" t="str">
            <v>PHIẾU XỬ LÝ HỒ SƠ THANH TOÁN VƯỢT THẨM QUYỀN PD</v>
          </cell>
        </row>
      </sheetData>
      <sheetData sheetId="7796">
        <row r="1">
          <cell r="A1" t="str">
            <v>PHIẾU XỬ LÝ HỒ SƠ THANH TOÁN VƯỢT THẨM QUYỀN PD</v>
          </cell>
        </row>
      </sheetData>
      <sheetData sheetId="7797">
        <row r="1">
          <cell r="A1" t="str">
            <v>PHIẾU XỬ LÝ HỒ SƠ THANH TOÁN VƯỢT THẨM QUYỀN PD</v>
          </cell>
        </row>
      </sheetData>
      <sheetData sheetId="7798">
        <row r="1">
          <cell r="A1" t="str">
            <v>PHIẾU XỬ LÝ HỒ SƠ THANH TOÁN VƯỢT THẨM QUYỀN PD</v>
          </cell>
        </row>
      </sheetData>
      <sheetData sheetId="7799">
        <row r="1">
          <cell r="A1" t="str">
            <v>PHIẾU XỬ LÝ HỒ SƠ THANH TOÁN VƯỢT THẨM QUYỀN PD</v>
          </cell>
        </row>
      </sheetData>
      <sheetData sheetId="7800">
        <row r="1">
          <cell r="A1" t="str">
            <v>PHIẾU XỬ LÝ HỒ SƠ THANH TOÁN VƯỢT THẨM QUYỀN PD</v>
          </cell>
        </row>
      </sheetData>
      <sheetData sheetId="7801">
        <row r="1">
          <cell r="A1" t="str">
            <v>PHIẾU XỬ LÝ HỒ SƠ THANH TOÁN VƯỢT THẨM QUYỀN PD</v>
          </cell>
        </row>
      </sheetData>
      <sheetData sheetId="7802">
        <row r="1">
          <cell r="A1" t="str">
            <v>PHIẾU XỬ LÝ HỒ SƠ THANH TOÁN VƯỢT THẨM QUYỀN PD</v>
          </cell>
        </row>
      </sheetData>
      <sheetData sheetId="7803">
        <row r="1">
          <cell r="A1" t="str">
            <v>PHIẾU XỬ LÝ HỒ SƠ THANH TOÁN VƯỢT THẨM QUYỀN PD</v>
          </cell>
        </row>
      </sheetData>
      <sheetData sheetId="7804">
        <row r="1">
          <cell r="A1" t="str">
            <v>PHIẾU XỬ LÝ HỒ SƠ THANH TOÁN VƯỢT THẨM QUYỀN PD</v>
          </cell>
        </row>
      </sheetData>
      <sheetData sheetId="7805">
        <row r="1">
          <cell r="A1" t="str">
            <v>PHIẾU XỬ LÝ HỒ SƠ THANH TOÁN VƯỢT THẨM QUYỀN PD</v>
          </cell>
        </row>
      </sheetData>
      <sheetData sheetId="7806">
        <row r="1">
          <cell r="A1" t="str">
            <v>PHIẾU XỬ LÝ HỒ SƠ THANH TOÁN VƯỢT THẨM QUYỀN PD</v>
          </cell>
        </row>
      </sheetData>
      <sheetData sheetId="7807">
        <row r="1">
          <cell r="A1" t="str">
            <v>PHIẾU XỬ LÝ HỒ SƠ THANH TOÁN VƯỢT THẨM QUYỀN PD</v>
          </cell>
        </row>
      </sheetData>
      <sheetData sheetId="7808">
        <row r="1">
          <cell r="A1" t="str">
            <v>PHIẾU XỬ LÝ HỒ SƠ THANH TOÁN VƯỢT THẨM QUYỀN PD</v>
          </cell>
        </row>
      </sheetData>
      <sheetData sheetId="7809">
        <row r="1">
          <cell r="A1" t="str">
            <v>PHIẾU XỬ LÝ HỒ SƠ THANH TOÁN VƯỢT THẨM QUYỀN PD</v>
          </cell>
        </row>
      </sheetData>
      <sheetData sheetId="7810">
        <row r="1">
          <cell r="A1" t="str">
            <v>PHIẾU XỬ LÝ HỒ SƠ THANH TOÁN VƯỢT THẨM QUYỀN PD</v>
          </cell>
        </row>
      </sheetData>
      <sheetData sheetId="7811">
        <row r="1">
          <cell r="A1" t="str">
            <v>PHIẾU XỬ LÝ HỒ SƠ THANH TOÁN VƯỢT THẨM QUYỀN PD</v>
          </cell>
        </row>
      </sheetData>
      <sheetData sheetId="7812">
        <row r="1">
          <cell r="A1" t="str">
            <v>PHIẾU XỬ LÝ HỒ SƠ THANH TOÁN VƯỢT THẨM QUYỀN PD</v>
          </cell>
        </row>
      </sheetData>
      <sheetData sheetId="7813">
        <row r="1">
          <cell r="A1" t="str">
            <v>PHIẾU XỬ LÝ HỒ SƠ THANH TOÁN VƯỢT THẨM QUYỀN PD</v>
          </cell>
        </row>
      </sheetData>
      <sheetData sheetId="7814">
        <row r="1">
          <cell r="A1" t="str">
            <v>PHIẾU XỬ LÝ HỒ SƠ THANH TOÁN VƯỢT THẨM QUYỀN PD</v>
          </cell>
        </row>
      </sheetData>
      <sheetData sheetId="7815">
        <row r="1">
          <cell r="A1" t="str">
            <v>PHIẾU XỬ LÝ HỒ SƠ THANH TOÁN VƯỢT THẨM QUYỀN PD</v>
          </cell>
        </row>
      </sheetData>
      <sheetData sheetId="7816">
        <row r="1">
          <cell r="A1" t="str">
            <v>PHIẾU XỬ LÝ HỒ SƠ THANH TOÁN VƯỢT THẨM QUYỀN PD</v>
          </cell>
        </row>
      </sheetData>
      <sheetData sheetId="7817">
        <row r="1">
          <cell r="A1" t="str">
            <v>PHIẾU XỬ LÝ HỒ SƠ THANH TOÁN VƯỢT THẨM QUYỀN PD</v>
          </cell>
        </row>
      </sheetData>
      <sheetData sheetId="7818">
        <row r="1">
          <cell r="A1" t="str">
            <v>PHIẾU XỬ LÝ HỒ SƠ THANH TOÁN VƯỢT THẨM QUYỀN PD</v>
          </cell>
        </row>
      </sheetData>
      <sheetData sheetId="7819">
        <row r="1">
          <cell r="A1" t="str">
            <v>PHIẾU XỬ LÝ HỒ SƠ THANH TOÁN VƯỢT THẨM QUYỀN PD</v>
          </cell>
        </row>
      </sheetData>
      <sheetData sheetId="7820">
        <row r="1">
          <cell r="A1" t="str">
            <v>PHIẾU XỬ LÝ HỒ SƠ THANH TOÁN VƯỢT THẨM QUYỀN PD</v>
          </cell>
        </row>
      </sheetData>
      <sheetData sheetId="7821">
        <row r="1">
          <cell r="A1" t="str">
            <v>PHIẾU XỬ LÝ HỒ SƠ THANH TOÁN VƯỢT THẨM QUYỀN PD</v>
          </cell>
        </row>
      </sheetData>
      <sheetData sheetId="7822">
        <row r="1">
          <cell r="A1" t="str">
            <v>PHIẾU XỬ LÝ HỒ SƠ THANH TOÁN VƯỢT THẨM QUYỀN PD</v>
          </cell>
        </row>
      </sheetData>
      <sheetData sheetId="7823">
        <row r="1">
          <cell r="A1" t="str">
            <v>PHIẾU XỬ LÝ HỒ SƠ THANH TOÁN VƯỢT THẨM QUYỀN PD</v>
          </cell>
        </row>
      </sheetData>
      <sheetData sheetId="7824">
        <row r="1">
          <cell r="A1" t="str">
            <v>PHIẾU XỬ LÝ HỒ SƠ THANH TOÁN VƯỢT THẨM QUYỀN PD</v>
          </cell>
        </row>
      </sheetData>
      <sheetData sheetId="7825">
        <row r="1">
          <cell r="A1" t="str">
            <v>PHIẾU XỬ LÝ HỒ SƠ THANH TOÁN VƯỢT THẨM QUYỀN PD</v>
          </cell>
        </row>
      </sheetData>
      <sheetData sheetId="7826">
        <row r="1">
          <cell r="A1" t="str">
            <v>PHIẾU XỬ LÝ HỒ SƠ THANH TOÁN VƯỢT THẨM QUYỀN PD</v>
          </cell>
        </row>
      </sheetData>
      <sheetData sheetId="7827">
        <row r="1">
          <cell r="A1" t="str">
            <v>PHIẾU XỬ LÝ HỒ SƠ THANH TOÁN VƯỢT THẨM QUYỀN PD</v>
          </cell>
        </row>
      </sheetData>
      <sheetData sheetId="7828">
        <row r="1">
          <cell r="A1" t="str">
            <v>PHIẾU XỬ LÝ HỒ SƠ THANH TOÁN VƯỢT THẨM QUYỀN PD</v>
          </cell>
        </row>
      </sheetData>
      <sheetData sheetId="7829">
        <row r="1">
          <cell r="A1" t="str">
            <v>PHIẾU XỬ LÝ HỒ SƠ THANH TOÁN VƯỢT THẨM QUYỀN PD</v>
          </cell>
        </row>
      </sheetData>
      <sheetData sheetId="7830">
        <row r="1">
          <cell r="A1" t="str">
            <v>PHIẾU XỬ LÝ HỒ SƠ THANH TOÁN VƯỢT THẨM QUYỀN PD</v>
          </cell>
        </row>
      </sheetData>
      <sheetData sheetId="7831">
        <row r="1">
          <cell r="A1" t="str">
            <v>PHIẾU XỬ LÝ HỒ SƠ THANH TOÁN VƯỢT THẨM QUYỀN PD</v>
          </cell>
        </row>
      </sheetData>
      <sheetData sheetId="7832">
        <row r="1">
          <cell r="A1" t="str">
            <v>PHIẾU XỬ LÝ HỒ SƠ THANH TOÁN VƯỢT THẨM QUYỀN PD</v>
          </cell>
        </row>
      </sheetData>
      <sheetData sheetId="7833">
        <row r="1">
          <cell r="A1" t="str">
            <v>PHIẾU XỬ LÝ HỒ SƠ THANH TOÁN VƯỢT THẨM QUYỀN PD</v>
          </cell>
        </row>
      </sheetData>
      <sheetData sheetId="7834">
        <row r="1">
          <cell r="A1" t="str">
            <v>PHIẾU XỬ LÝ HỒ SƠ THANH TOÁN VƯỢT THẨM QUYỀN PD</v>
          </cell>
        </row>
      </sheetData>
      <sheetData sheetId="7835">
        <row r="1">
          <cell r="A1" t="str">
            <v>PHIẾU XỬ LÝ HỒ SƠ THANH TOÁN VƯỢT THẨM QUYỀN PD</v>
          </cell>
        </row>
      </sheetData>
      <sheetData sheetId="7836">
        <row r="1">
          <cell r="A1" t="str">
            <v>PHIẾU XỬ LÝ HỒ SƠ THANH TOÁN VƯỢT THẨM QUYỀN PD</v>
          </cell>
        </row>
      </sheetData>
      <sheetData sheetId="7837">
        <row r="1">
          <cell r="A1" t="str">
            <v>PHIẾU XỬ LÝ HỒ SƠ THANH TOÁN VƯỢT THẨM QUYỀN PD</v>
          </cell>
        </row>
      </sheetData>
      <sheetData sheetId="7838">
        <row r="1">
          <cell r="A1" t="str">
            <v>PHIẾU XỬ LÝ HỒ SƠ THANH TOÁN VƯỢT THẨM QUYỀN PD</v>
          </cell>
        </row>
      </sheetData>
      <sheetData sheetId="7839">
        <row r="1">
          <cell r="A1" t="str">
            <v>PHIẾU XỬ LÝ HỒ SƠ THANH TOÁN VƯỢT THẨM QUYỀN PD</v>
          </cell>
        </row>
      </sheetData>
      <sheetData sheetId="7840">
        <row r="1">
          <cell r="A1" t="str">
            <v>PHIẾU XỬ LÝ HỒ SƠ THANH TOÁN VƯỢT THẨM QUYỀN PD</v>
          </cell>
        </row>
      </sheetData>
      <sheetData sheetId="7841">
        <row r="1">
          <cell r="A1" t="str">
            <v>PHIẾU XỬ LÝ HỒ SƠ THANH TOÁN VƯỢT THẨM QUYỀN PD</v>
          </cell>
        </row>
      </sheetData>
      <sheetData sheetId="7842">
        <row r="1">
          <cell r="A1" t="str">
            <v>PHIẾU XỬ LÝ HỒ SƠ THANH TOÁN VƯỢT THẨM QUYỀN PD</v>
          </cell>
        </row>
      </sheetData>
      <sheetData sheetId="7843">
        <row r="1">
          <cell r="A1" t="str">
            <v>PHIẾU XỬ LÝ HỒ SƠ THANH TOÁN VƯỢT THẨM QUYỀN PD</v>
          </cell>
        </row>
      </sheetData>
      <sheetData sheetId="7844">
        <row r="1">
          <cell r="A1" t="str">
            <v>PHIẾU XỬ LÝ HỒ SƠ THANH TOÁN VƯỢT THẨM QUYỀN PD</v>
          </cell>
        </row>
      </sheetData>
      <sheetData sheetId="7845">
        <row r="1">
          <cell r="A1" t="str">
            <v>PHIẾU XỬ LÝ HỒ SƠ THANH TOÁN VƯỢT THẨM QUYỀN PD</v>
          </cell>
        </row>
      </sheetData>
      <sheetData sheetId="7846">
        <row r="1">
          <cell r="A1" t="str">
            <v>PHIẾU XỬ LÝ HỒ SƠ THANH TOÁN VƯỢT THẨM QUYỀN PD</v>
          </cell>
        </row>
      </sheetData>
      <sheetData sheetId="7847">
        <row r="1">
          <cell r="A1" t="str">
            <v>PHIẾU XỬ LÝ HỒ SƠ THANH TOÁN VƯỢT THẨM QUYỀN PD</v>
          </cell>
        </row>
      </sheetData>
      <sheetData sheetId="7848">
        <row r="1">
          <cell r="A1" t="str">
            <v>PHIẾU XỬ LÝ HỒ SƠ THANH TOÁN VƯỢT THẨM QUYỀN PD</v>
          </cell>
        </row>
      </sheetData>
      <sheetData sheetId="7849">
        <row r="1">
          <cell r="A1" t="str">
            <v>PHIẾU XỬ LÝ HỒ SƠ THANH TOÁN VƯỢT THẨM QUYỀN PD</v>
          </cell>
        </row>
      </sheetData>
      <sheetData sheetId="7850">
        <row r="1">
          <cell r="A1" t="str">
            <v>PHIẾU XỬ LÝ HỒ SƠ THANH TOÁN VƯỢT THẨM QUYỀN PD</v>
          </cell>
        </row>
      </sheetData>
      <sheetData sheetId="7851">
        <row r="1">
          <cell r="A1" t="str">
            <v>PHIẾU XỬ LÝ HỒ SƠ THANH TOÁN VƯỢT THẨM QUYỀN PD</v>
          </cell>
        </row>
      </sheetData>
      <sheetData sheetId="7852">
        <row r="1">
          <cell r="A1" t="str">
            <v>PHIẾU XỬ LÝ HỒ SƠ THANH TOÁN VƯỢT THẨM QUYỀN PD</v>
          </cell>
        </row>
      </sheetData>
      <sheetData sheetId="7853">
        <row r="1">
          <cell r="A1" t="str">
            <v>PHIẾU XỬ LÝ HỒ SƠ THANH TOÁN VƯỢT THẨM QUYỀN PD</v>
          </cell>
        </row>
      </sheetData>
      <sheetData sheetId="7854">
        <row r="1">
          <cell r="A1" t="str">
            <v>PHIẾU XỬ LÝ HỒ SƠ THANH TOÁN VƯỢT THẨM QUYỀN PD</v>
          </cell>
        </row>
      </sheetData>
      <sheetData sheetId="7855">
        <row r="1">
          <cell r="A1" t="str">
            <v>PHIẾU XỬ LÝ HỒ SƠ THANH TOÁN VƯỢT THẨM QUYỀN PD</v>
          </cell>
        </row>
      </sheetData>
      <sheetData sheetId="7856">
        <row r="1">
          <cell r="A1" t="str">
            <v>PHIẾU XỬ LÝ HỒ SƠ THANH TOÁN VƯỢT THẨM QUYỀN PD</v>
          </cell>
        </row>
      </sheetData>
      <sheetData sheetId="7857">
        <row r="1">
          <cell r="A1" t="str">
            <v>PHIẾU XỬ LÝ HỒ SƠ THANH TOÁN VƯỢT THẨM QUYỀN PD</v>
          </cell>
        </row>
      </sheetData>
      <sheetData sheetId="7858">
        <row r="1">
          <cell r="A1" t="str">
            <v>PHIẾU XỬ LÝ HỒ SƠ THANH TOÁN VƯỢT THẨM QUYỀN PD</v>
          </cell>
        </row>
      </sheetData>
      <sheetData sheetId="7859">
        <row r="1">
          <cell r="A1" t="str">
            <v>PHIẾU XỬ LÝ HỒ SƠ THANH TOÁN VƯỢT THẨM QUYỀN PD</v>
          </cell>
        </row>
      </sheetData>
      <sheetData sheetId="7860">
        <row r="1">
          <cell r="A1" t="str">
            <v>PHIẾU XỬ LÝ HỒ SƠ THANH TOÁN VƯỢT THẨM QUYỀN PD</v>
          </cell>
        </row>
      </sheetData>
      <sheetData sheetId="7861">
        <row r="1">
          <cell r="A1" t="str">
            <v>PHIẾU XỬ LÝ HỒ SƠ THANH TOÁN VƯỢT THẨM QUYỀN PD</v>
          </cell>
        </row>
      </sheetData>
      <sheetData sheetId="7862">
        <row r="1">
          <cell r="A1" t="str">
            <v>PHIẾU XỬ LÝ HỒ SƠ THANH TOÁN VƯỢT THẨM QUYỀN PD</v>
          </cell>
        </row>
      </sheetData>
      <sheetData sheetId="7863">
        <row r="1">
          <cell r="A1" t="str">
            <v>PHIẾU XỬ LÝ HỒ SƠ THANH TOÁN VƯỢT THẨM QUYỀN PD</v>
          </cell>
        </row>
      </sheetData>
      <sheetData sheetId="7864">
        <row r="1">
          <cell r="A1" t="str">
            <v>PHIẾU XỬ LÝ HỒ SƠ THANH TOÁN VƯỢT THẨM QUYỀN PD</v>
          </cell>
        </row>
      </sheetData>
      <sheetData sheetId="7865">
        <row r="1">
          <cell r="A1" t="str">
            <v>PHIẾU XỬ LÝ HỒ SƠ THANH TOÁN VƯỢT THẨM QUYỀN PD</v>
          </cell>
        </row>
      </sheetData>
      <sheetData sheetId="7866">
        <row r="1">
          <cell r="A1" t="str">
            <v>PHIẾU XỬ LÝ HỒ SƠ THANH TOÁN VƯỢT THẨM QUYỀN PD</v>
          </cell>
        </row>
      </sheetData>
      <sheetData sheetId="7867">
        <row r="1">
          <cell r="A1" t="str">
            <v>PHIẾU XỬ LÝ HỒ SƠ THANH TOÁN VƯỢT THẨM QUYỀN PD</v>
          </cell>
        </row>
      </sheetData>
      <sheetData sheetId="7868">
        <row r="1">
          <cell r="A1" t="str">
            <v>PHIẾU XỬ LÝ HỒ SƠ THANH TOÁN VƯỢT THẨM QUYỀN PD</v>
          </cell>
        </row>
      </sheetData>
      <sheetData sheetId="7869">
        <row r="1">
          <cell r="A1" t="str">
            <v>PHIẾU XỬ LÝ HỒ SƠ THANH TOÁN VƯỢT THẨM QUYỀN PD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>
        <row r="1">
          <cell r="A1" t="str">
            <v>PHIẾU XỬ LÝ HỒ SƠ THANH TOÁN VƯỢT THẨM QUYỀN PD</v>
          </cell>
        </row>
      </sheetData>
      <sheetData sheetId="7892">
        <row r="1">
          <cell r="A1" t="str">
            <v>PHIẾU XỬ LÝ HỒ SƠ THANH TOÁN VƯỢT THẨM QUYỀN PD</v>
          </cell>
        </row>
      </sheetData>
      <sheetData sheetId="7893">
        <row r="1">
          <cell r="A1" t="str">
            <v>PHIẾU XỬ LÝ HỒ SƠ THANH TOÁN VƯỢT THẨM QUYỀN PD</v>
          </cell>
        </row>
      </sheetData>
      <sheetData sheetId="7894">
        <row r="1">
          <cell r="A1" t="str">
            <v>PHIẾU XỬ LÝ HỒ SƠ THANH TOÁN VƯỢT THẨM QUYỀN PD</v>
          </cell>
        </row>
      </sheetData>
      <sheetData sheetId="7895">
        <row r="1">
          <cell r="A1" t="str">
            <v>PHIẾU XỬ LÝ HỒ SƠ THANH TOÁN VƯỢT THẨM QUYỀN PD</v>
          </cell>
        </row>
      </sheetData>
      <sheetData sheetId="7896">
        <row r="1">
          <cell r="A1" t="str">
            <v>PHIẾU XỬ LÝ HỒ SƠ THANH TOÁN VƯỢT THẨM QUYỀN PD</v>
          </cell>
        </row>
      </sheetData>
      <sheetData sheetId="7897">
        <row r="1">
          <cell r="A1" t="str">
            <v>PHIẾU XỬ LÝ HỒ SƠ THANH TOÁN VƯỢT THẨM QUYỀN PD</v>
          </cell>
        </row>
      </sheetData>
      <sheetData sheetId="7898">
        <row r="1">
          <cell r="A1" t="str">
            <v>PHIẾU XỬ LÝ HỒ SƠ THANH TOÁN VƯỢT THẨM QUYỀN PD</v>
          </cell>
        </row>
      </sheetData>
      <sheetData sheetId="7899">
        <row r="1">
          <cell r="A1" t="str">
            <v>PHIẾU XỬ LÝ HỒ SƠ THANH TOÁN VƯỢT THẨM QUYỀN PD</v>
          </cell>
        </row>
      </sheetData>
      <sheetData sheetId="7900">
        <row r="1">
          <cell r="A1" t="str">
            <v>PHIẾU XỬ LÝ HỒ SƠ THANH TOÁN VƯỢT THẨM QUYỀN PD</v>
          </cell>
        </row>
      </sheetData>
      <sheetData sheetId="7901">
        <row r="1">
          <cell r="A1" t="str">
            <v>PHIẾU XỬ LÝ HỒ SƠ THANH TOÁN VƯỢT THẨM QUYỀN PD</v>
          </cell>
        </row>
      </sheetData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>
        <row r="1">
          <cell r="A1" t="str">
            <v>PHIẾU XỬ LÝ HỒ SƠ THANH TOÁN VƯỢT THẨM QUYỀN PD</v>
          </cell>
        </row>
      </sheetData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>
        <row r="1">
          <cell r="A1" t="str">
            <v>PHIẾU XỬ LÝ HỒ SƠ THANH TOÁN VƯỢT THẨM QUYỀN PD</v>
          </cell>
        </row>
      </sheetData>
      <sheetData sheetId="7924">
        <row r="1">
          <cell r="A1" t="str">
            <v>PHIẾU XỬ LÝ HỒ SƠ THANH TOÁN VƯỢT THẨM QUYỀN PD</v>
          </cell>
        </row>
      </sheetData>
      <sheetData sheetId="7925">
        <row r="1">
          <cell r="A1" t="str">
            <v>PHIẾU XỬ LÝ HỒ SƠ THANH TOÁN VƯỢT THẨM QUYỀN PD</v>
          </cell>
        </row>
      </sheetData>
      <sheetData sheetId="7926">
        <row r="1">
          <cell r="A1" t="str">
            <v>PHIẾU XỬ LÝ HỒ SƠ THANH TOÁN VƯỢT THẨM QUYỀN PD</v>
          </cell>
        </row>
      </sheetData>
      <sheetData sheetId="7927">
        <row r="1">
          <cell r="A1" t="str">
            <v>PHIẾU XỬ LÝ HỒ SƠ THANH TOÁN VƯỢT THẨM QUYỀN PD</v>
          </cell>
        </row>
      </sheetData>
      <sheetData sheetId="7928">
        <row r="1">
          <cell r="A1" t="str">
            <v>PHIẾU XỬ LÝ HỒ SƠ THANH TOÁN VƯỢT THẨM QUYỀN PD</v>
          </cell>
        </row>
      </sheetData>
      <sheetData sheetId="7929">
        <row r="1">
          <cell r="A1" t="str">
            <v>PHIẾU XỬ LÝ HỒ SƠ THANH TOÁN VƯỢT THẨM QUYỀN PD</v>
          </cell>
        </row>
      </sheetData>
      <sheetData sheetId="7930">
        <row r="1">
          <cell r="A1" t="str">
            <v>PHIẾU XỬ LÝ HỒ SƠ THANH TOÁN VƯỢT THẨM QUYỀN PD</v>
          </cell>
        </row>
      </sheetData>
      <sheetData sheetId="7931">
        <row r="1">
          <cell r="A1" t="str">
            <v>PHIẾU XỬ LÝ HỒ SƠ THANH TOÁN VƯỢT THẨM QUYỀN PD</v>
          </cell>
        </row>
      </sheetData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>
        <row r="1">
          <cell r="A1" t="str">
            <v>PHIẾU XỬ LÝ HỒ SƠ THANH TOÁN VƯỢT THẨM QUYỀN PD</v>
          </cell>
        </row>
      </sheetData>
      <sheetData sheetId="7938">
        <row r="1">
          <cell r="A1" t="str">
            <v>PHIẾU XỬ LÝ HỒ SƠ THANH TOÁN VƯỢT THẨM QUYỀN PD</v>
          </cell>
        </row>
      </sheetData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>
        <row r="1">
          <cell r="A1" t="str">
            <v>PHIẾU XỬ LÝ HỒ SƠ THANH TOÁN VƯỢT THẨM QUYỀN PD</v>
          </cell>
        </row>
      </sheetData>
      <sheetData sheetId="7952">
        <row r="1">
          <cell r="A1" t="str">
            <v>PHIẾU XỬ LÝ HỒ SƠ THANH TOÁN VƯỢT THẨM QUYỀN PD</v>
          </cell>
        </row>
      </sheetData>
      <sheetData sheetId="7953">
        <row r="1">
          <cell r="A1" t="str">
            <v>PHIẾU XỬ LÝ HỒ SƠ THANH TOÁN VƯỢT THẨM QUYỀN PD</v>
          </cell>
        </row>
      </sheetData>
      <sheetData sheetId="7954">
        <row r="1">
          <cell r="A1" t="str">
            <v>PHIẾU XỬ LÝ HỒ SƠ THANH TOÁN VƯỢT THẨM QUYỀN PD</v>
          </cell>
        </row>
      </sheetData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>
        <row r="1">
          <cell r="A1" t="str">
            <v>PHIẾU XỬ LÝ HỒ SƠ THANH TOÁN VƯỢT THẨM QUYỀN PD</v>
          </cell>
        </row>
      </sheetData>
      <sheetData sheetId="7966">
        <row r="1">
          <cell r="A1" t="str">
            <v>PHIẾU XỬ LÝ HỒ SƠ THANH TOÁN VƯỢT THẨM QUYỀN PD</v>
          </cell>
        </row>
      </sheetData>
      <sheetData sheetId="7967">
        <row r="1">
          <cell r="A1" t="str">
            <v>PHIẾU XỬ LÝ HỒ SƠ THANH TOÁN VƯỢT THẨM QUYỀN PD</v>
          </cell>
        </row>
      </sheetData>
      <sheetData sheetId="7968">
        <row r="1">
          <cell r="A1" t="str">
            <v>PHIẾU XỬ LÝ HỒ SƠ THANH TOÁN VƯỢT THẨM QUYỀN PD</v>
          </cell>
        </row>
      </sheetData>
      <sheetData sheetId="7969">
        <row r="1">
          <cell r="A1" t="str">
            <v>PHIẾU XỬ LÝ HỒ SƠ THANH TOÁN VƯỢT THẨM QUYỀN PD</v>
          </cell>
        </row>
      </sheetData>
      <sheetData sheetId="7970">
        <row r="1">
          <cell r="A1" t="str">
            <v>PHIẾU XỬ LÝ HỒ SƠ THANH TOÁN VƯỢT THẨM QUYỀN PD</v>
          </cell>
        </row>
      </sheetData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>
        <row r="1">
          <cell r="A1" t="str">
            <v>PHIẾU XỬ LÝ HỒ SƠ THANH TOÁN VƯỢT THẨM QUYỀN PD</v>
          </cell>
        </row>
      </sheetData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>
        <row r="1">
          <cell r="A1" t="str">
            <v>PHIẾU XỬ LÝ HỒ SƠ THANH TOÁN VƯỢT THẨM QUYỀN PD</v>
          </cell>
        </row>
      </sheetData>
      <sheetData sheetId="8001">
        <row r="1">
          <cell r="A1" t="str">
            <v>PHIẾU XỬ LÝ HỒ SƠ THANH TOÁN VƯỢT THẨM QUYỀN PD</v>
          </cell>
        </row>
      </sheetData>
      <sheetData sheetId="8002">
        <row r="1">
          <cell r="A1" t="str">
            <v>PHIẾU XỬ LÝ HỒ SƠ THANH TOÁN VƯỢT THẨM QUYỀN PD</v>
          </cell>
        </row>
      </sheetData>
      <sheetData sheetId="8003">
        <row r="1">
          <cell r="A1" t="str">
            <v>PHIẾU XỬ LÝ HỒ SƠ THANH TOÁN VƯỢT THẨM QUYỀN PD</v>
          </cell>
        </row>
      </sheetData>
      <sheetData sheetId="8004">
        <row r="1">
          <cell r="A1" t="str">
            <v>PHIẾU XỬ LÝ HỒ SƠ THANH TOÁN VƯỢT THẨM QUYỀN PD</v>
          </cell>
        </row>
      </sheetData>
      <sheetData sheetId="8005">
        <row r="1">
          <cell r="A1" t="str">
            <v>PHIẾU XỬ LÝ HỒ SƠ THANH TOÁN VƯỢT THẨM QUYỀN PD</v>
          </cell>
        </row>
      </sheetData>
      <sheetData sheetId="8006">
        <row r="1">
          <cell r="A1" t="str">
            <v>PHIẾU XỬ LÝ HỒ SƠ THANH TOÁN VƯỢT THẨM QUYỀN PD</v>
          </cell>
        </row>
      </sheetData>
      <sheetData sheetId="8007">
        <row r="1">
          <cell r="A1" t="str">
            <v>PHIẾU XỬ LÝ HỒ SƠ THANH TOÁN VƯỢT THẨM QUYỀN PD</v>
          </cell>
        </row>
      </sheetData>
      <sheetData sheetId="8008">
        <row r="1">
          <cell r="A1" t="str">
            <v>PHIẾU XỬ LÝ HỒ SƠ THANH TOÁN VƯỢT THẨM QUYỀN PD</v>
          </cell>
        </row>
      </sheetData>
      <sheetData sheetId="8009">
        <row r="1">
          <cell r="A1" t="str">
            <v>PHIẾU XỬ LÝ HỒ SƠ THANH TOÁN VƯỢT THẨM QUYỀN PD</v>
          </cell>
        </row>
      </sheetData>
      <sheetData sheetId="8010">
        <row r="1">
          <cell r="A1" t="str">
            <v>PHIẾU XỬ LÝ HỒ SƠ THANH TOÁN VƯỢT THẨM QUYỀN PD</v>
          </cell>
        </row>
      </sheetData>
      <sheetData sheetId="8011">
        <row r="1">
          <cell r="A1" t="str">
            <v>PHIẾU XỬ LÝ HỒ SƠ THANH TOÁN VƯỢT THẨM QUYỀN PD</v>
          </cell>
        </row>
      </sheetData>
      <sheetData sheetId="8012">
        <row r="1">
          <cell r="A1" t="str">
            <v>PHIẾU XỬ LÝ HỒ SƠ THANH TOÁN VƯỢT THẨM QUYỀN PD</v>
          </cell>
        </row>
      </sheetData>
      <sheetData sheetId="8013">
        <row r="1">
          <cell r="A1" t="str">
            <v>PHIẾU XỬ LÝ HỒ SƠ THANH TOÁN VƯỢT THẨM QUYỀN PD</v>
          </cell>
        </row>
      </sheetData>
      <sheetData sheetId="8014">
        <row r="1">
          <cell r="A1" t="str">
            <v>PHIẾU XỬ LÝ HỒ SƠ THANH TOÁN VƯỢT THẨM QUYỀN PD</v>
          </cell>
        </row>
      </sheetData>
      <sheetData sheetId="8015">
        <row r="1">
          <cell r="A1" t="str">
            <v>PHIẾU XỬ LÝ HỒ SƠ THANH TOÁN VƯỢT THẨM QUYỀN PD</v>
          </cell>
        </row>
      </sheetData>
      <sheetData sheetId="8016">
        <row r="1">
          <cell r="A1" t="str">
            <v>PHIẾU XỬ LÝ HỒ SƠ THANH TOÁN VƯỢT THẨM QUYỀN PD</v>
          </cell>
        </row>
      </sheetData>
      <sheetData sheetId="8017">
        <row r="1">
          <cell r="A1" t="str">
            <v>PHIẾU XỬ LÝ HỒ SƠ THANH TOÁN VƯỢT THẨM QUYỀN PD</v>
          </cell>
        </row>
      </sheetData>
      <sheetData sheetId="8018">
        <row r="1">
          <cell r="A1" t="str">
            <v>PHIẾU XỬ LÝ HỒ SƠ THANH TOÁN VƯỢT THẨM QUYỀN PD</v>
          </cell>
        </row>
      </sheetData>
      <sheetData sheetId="8019">
        <row r="1">
          <cell r="A1" t="str">
            <v>PHIẾU XỬ LÝ HỒ SƠ THANH TOÁN VƯỢT THẨM QUYỀN PD</v>
          </cell>
        </row>
      </sheetData>
      <sheetData sheetId="8020">
        <row r="1">
          <cell r="A1" t="str">
            <v>PHIẾU XỬ LÝ HỒ SƠ THANH TOÁN VƯỢT THẨM QUYỀN PD</v>
          </cell>
        </row>
      </sheetData>
      <sheetData sheetId="8021">
        <row r="1">
          <cell r="A1" t="str">
            <v>PHIẾU XỬ LÝ HỒ SƠ THANH TOÁN VƯỢT THẨM QUYỀN PD</v>
          </cell>
        </row>
      </sheetData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>
        <row r="1">
          <cell r="A1" t="str">
            <v>PHIẾU XỬ LÝ HỒ SƠ THANH TOÁN VƯỢT THẨM QUYỀN PD</v>
          </cell>
        </row>
      </sheetData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>
        <row r="1">
          <cell r="A1" t="str">
            <v>PHIẾU XỬ LÝ HỒ SƠ THANH TOÁN VƯỢT THẨM QUYỀN PD</v>
          </cell>
        </row>
      </sheetData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>
        <row r="1">
          <cell r="A1" t="str">
            <v>PHIẾU XỬ LÝ HỒ SƠ THANH TOÁN VƯỢT THẨM QUYỀN PD</v>
          </cell>
        </row>
      </sheetData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/>
      <sheetData sheetId="8217">
        <row r="1">
          <cell r="A1" t="str">
            <v>PHIẾU XỬ LÝ HỒ SƠ THANH TOÁN VƯỢT THẨM QUYỀN PD</v>
          </cell>
        </row>
      </sheetData>
      <sheetData sheetId="8218">
        <row r="1">
          <cell r="A1" t="str">
            <v>PHIẾU XỬ LÝ HỒ SƠ THANH TOÁN VƯỢT THẨM QUYỀN PD</v>
          </cell>
        </row>
      </sheetData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>
        <row r="1">
          <cell r="A1" t="str">
            <v>PHIẾU XỬ LÝ HỒ SƠ THANH TOÁN VƯỢT THẨM QUYỀN PD</v>
          </cell>
        </row>
      </sheetData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>
        <row r="1">
          <cell r="A1" t="str">
            <v>PHIẾU XỬ LÝ HỒ SƠ THANH TOÁN VƯỢT THẨM QUYỀN PD</v>
          </cell>
        </row>
      </sheetData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>
        <row r="1">
          <cell r="A1" t="str">
            <v>PHIẾU XỬ LÝ HỒ SƠ THANH TOÁN VƯỢT THẨM QUYỀN PD</v>
          </cell>
        </row>
      </sheetData>
      <sheetData sheetId="8931">
        <row r="1">
          <cell r="A1" t="str">
            <v>PHIẾU XỬ LÝ HỒ SƠ THANH TOÁN VƯỢT THẨM QUYỀN PD</v>
          </cell>
        </row>
      </sheetData>
      <sheetData sheetId="8932">
        <row r="1">
          <cell r="A1" t="str">
            <v>PHIẾU XỬ LÝ HỒ SƠ THANH TOÁN VƯỢT THẨM QUYỀN PD</v>
          </cell>
        </row>
      </sheetData>
      <sheetData sheetId="8933">
        <row r="1">
          <cell r="A1" t="str">
            <v>PHIẾU XỬ LÝ HỒ SƠ THANH TOÁN VƯỢT THẨM QUYỀN PD</v>
          </cell>
        </row>
      </sheetData>
      <sheetData sheetId="8934">
        <row r="1">
          <cell r="A1" t="str">
            <v>PHIẾU XỬ LÝ HỒ SƠ THANH TOÁN VƯỢT THẨM QUYỀN PD</v>
          </cell>
        </row>
      </sheetData>
      <sheetData sheetId="8935">
        <row r="1">
          <cell r="A1" t="str">
            <v>PHIẾU XỬ LÝ HỒ SƠ THANH TOÁN VƯỢT THẨM QUYỀN PD</v>
          </cell>
        </row>
      </sheetData>
      <sheetData sheetId="8936"/>
      <sheetData sheetId="8937"/>
      <sheetData sheetId="8938"/>
      <sheetData sheetId="8939"/>
      <sheetData sheetId="8940"/>
      <sheetData sheetId="8941"/>
      <sheetData sheetId="8942"/>
      <sheetData sheetId="8943">
        <row r="1">
          <cell r="A1" t="str">
            <v>PHIẾU XỬ LÝ HỒ SƠ THANH TOÁN VƯỢT THẨM QUYỀN PD</v>
          </cell>
        </row>
      </sheetData>
      <sheetData sheetId="8944">
        <row r="1">
          <cell r="A1" t="str">
            <v>PHIẾU XỬ LÝ HỒ SƠ THANH TOÁN VƯỢT THẨM QUYỀN PD</v>
          </cell>
        </row>
      </sheetData>
      <sheetData sheetId="8945">
        <row r="1">
          <cell r="A1" t="str">
            <v>PHIẾU XỬ LÝ HỒ SƠ THANH TOÁN VƯỢT THẨM QUYỀN PD</v>
          </cell>
        </row>
      </sheetData>
      <sheetData sheetId="8946">
        <row r="1">
          <cell r="A1" t="str">
            <v>PHIẾU XỬ LÝ HỒ SƠ THANH TOÁN VƯỢT THẨM QUYỀN PD</v>
          </cell>
        </row>
      </sheetData>
      <sheetData sheetId="8947">
        <row r="1">
          <cell r="A1" t="str">
            <v>PHIẾU XỬ LÝ HỒ SƠ THANH TOÁN VƯỢT THẨM QUYỀN PD</v>
          </cell>
        </row>
      </sheetData>
      <sheetData sheetId="8948">
        <row r="1">
          <cell r="A1" t="str">
            <v>PHIẾU XỬ LÝ HỒ SƠ THANH TOÁN VƯỢT THẨM QUYỀN PD</v>
          </cell>
        </row>
      </sheetData>
      <sheetData sheetId="8949">
        <row r="1">
          <cell r="A1" t="str">
            <v>PHIẾU XỬ LÝ HỒ SƠ THANH TOÁN VƯỢT THẨM QUYỀN PD</v>
          </cell>
        </row>
      </sheetData>
      <sheetData sheetId="8950"/>
      <sheetData sheetId="8951"/>
      <sheetData sheetId="8952"/>
      <sheetData sheetId="8953"/>
      <sheetData sheetId="8954"/>
      <sheetData sheetId="8955">
        <row r="1">
          <cell r="A1" t="str">
            <v>PHIẾU XỬ LÝ HỒ SƠ THANH TOÁN VƯỢT THẨM QUYỀN PD</v>
          </cell>
        </row>
      </sheetData>
      <sheetData sheetId="8956"/>
      <sheetData sheetId="8957">
        <row r="1">
          <cell r="A1" t="str">
            <v>PHIẾU XỬ LÝ HỒ SƠ THANH TOÁN VƯỢT THẨM QUYỀN PD</v>
          </cell>
        </row>
      </sheetData>
      <sheetData sheetId="8958"/>
      <sheetData sheetId="8959"/>
      <sheetData sheetId="8960"/>
      <sheetData sheetId="8961"/>
      <sheetData sheetId="8962"/>
      <sheetData sheetId="8963">
        <row r="1">
          <cell r="A1" t="str">
            <v>PHIẾU XỬ LÝ HỒ SƠ THANH TOÁN VƯỢT THẨM QUYỀN PD</v>
          </cell>
        </row>
      </sheetData>
      <sheetData sheetId="8964">
        <row r="1">
          <cell r="A1" t="str">
            <v>PHIẾU XỬ LÝ HỒ SƠ THANH TOÁN VƯỢT THẨM QUYỀN PD</v>
          </cell>
        </row>
      </sheetData>
      <sheetData sheetId="8965">
        <row r="1">
          <cell r="A1" t="str">
            <v>PHIẾU XỬ LÝ HỒ SƠ THANH TOÁN VƯỢT THẨM QUYỀN PD</v>
          </cell>
        </row>
      </sheetData>
      <sheetData sheetId="8966">
        <row r="1">
          <cell r="A1" t="str">
            <v>PHIẾU XỬ LÝ HỒ SƠ THANH TOÁN VƯỢT THẨM QUYỀN PD</v>
          </cell>
        </row>
      </sheetData>
      <sheetData sheetId="8967">
        <row r="1">
          <cell r="A1" t="str">
            <v>PHIẾU XỬ LÝ HỒ SƠ THANH TOÁN VƯỢT THẨM QUYỀN PD</v>
          </cell>
        </row>
      </sheetData>
      <sheetData sheetId="8968">
        <row r="1">
          <cell r="A1" t="str">
            <v>PHIẾU XỬ LÝ HỒ SƠ THANH TOÁN VƯỢT THẨM QUYỀN PD</v>
          </cell>
        </row>
      </sheetData>
      <sheetData sheetId="8969">
        <row r="1">
          <cell r="A1" t="str">
            <v>PHIẾU XỬ LÝ HỒ SƠ THANH TOÁN VƯỢT THẨM QUYỀN PD</v>
          </cell>
        </row>
      </sheetData>
      <sheetData sheetId="8970">
        <row r="1">
          <cell r="A1" t="str">
            <v>PHIẾU XỬ LÝ HỒ SƠ THANH TOÁN VƯỢT THẨM QUYỀN PD</v>
          </cell>
        </row>
      </sheetData>
      <sheetData sheetId="8971">
        <row r="1">
          <cell r="A1" t="str">
            <v>PHIẾU XỬ LÝ HỒ SƠ THANH TOÁN VƯỢT THẨM QUYỀN PD</v>
          </cell>
        </row>
      </sheetData>
      <sheetData sheetId="8972">
        <row r="1">
          <cell r="A1" t="str">
            <v>PHIẾU XỬ LÝ HỒ SƠ THANH TOÁN VƯỢT THẨM QUYỀN PD</v>
          </cell>
        </row>
      </sheetData>
      <sheetData sheetId="8973"/>
      <sheetData sheetId="8974">
        <row r="1">
          <cell r="A1" t="str">
            <v>PHIẾU XỬ LÝ HỒ SƠ THANH TOÁN VƯỢT THẨM QUYỀN PD</v>
          </cell>
        </row>
      </sheetData>
      <sheetData sheetId="8975">
        <row r="1">
          <cell r="A1" t="str">
            <v>PHIẾU XỬ LÝ HỒ SƠ THANH TOÁN VƯỢT THẨM QUYỀN PD</v>
          </cell>
        </row>
      </sheetData>
      <sheetData sheetId="8976">
        <row r="1">
          <cell r="A1" t="str">
            <v>PHIẾU XỬ LÝ HỒ SƠ THANH TOÁN VƯỢT THẨM QUYỀN PD</v>
          </cell>
        </row>
      </sheetData>
      <sheetData sheetId="8977">
        <row r="1">
          <cell r="A1" t="str">
            <v>PHIẾU XỬ LÝ HỒ SƠ THANH TOÁN VƯỢT THẨM QUYỀN PD</v>
          </cell>
        </row>
      </sheetData>
      <sheetData sheetId="8978">
        <row r="1">
          <cell r="A1" t="str">
            <v>PHIẾU XỬ LÝ HỒ SƠ THANH TOÁN VƯỢT THẨM QUYỀN PD</v>
          </cell>
        </row>
      </sheetData>
      <sheetData sheetId="8979">
        <row r="1">
          <cell r="A1" t="str">
            <v>PHIẾU XỬ LÝ HỒ SƠ THANH TOÁN VƯỢT THẨM QUYỀN PD</v>
          </cell>
        </row>
      </sheetData>
      <sheetData sheetId="8980">
        <row r="1">
          <cell r="A1" t="str">
            <v>PHIẾU XỬ LÝ HỒ SƠ THANH TOÁN VƯỢT THẨM QUYỀN PD</v>
          </cell>
        </row>
      </sheetData>
      <sheetData sheetId="8981">
        <row r="1">
          <cell r="A1" t="str">
            <v>PHIẾU XỬ LÝ HỒ SƠ THANH TOÁN VƯỢT THẨM QUYỀN PD</v>
          </cell>
        </row>
      </sheetData>
      <sheetData sheetId="8982">
        <row r="1">
          <cell r="A1" t="str">
            <v>PHIẾU XỬ LÝ HỒ SƠ THANH TOÁN VƯỢT THẨM QUYỀN PD</v>
          </cell>
        </row>
      </sheetData>
      <sheetData sheetId="8983">
        <row r="1">
          <cell r="A1" t="str">
            <v>PHIẾU XỬ LÝ HỒ SƠ THANH TOÁN VƯỢT THẨM QUYỀN PD</v>
          </cell>
        </row>
      </sheetData>
      <sheetData sheetId="8984">
        <row r="1">
          <cell r="A1" t="str">
            <v>PHIẾU XỬ LÝ HỒ SƠ THANH TOÁN VƯỢT THẨM QUYỀN PD</v>
          </cell>
        </row>
      </sheetData>
      <sheetData sheetId="8985"/>
      <sheetData sheetId="8986">
        <row r="1">
          <cell r="A1" t="str">
            <v>PHIẾU XỬ LÝ HỒ SƠ THANH TOÁN VƯỢT THẨM QUYỀN PD</v>
          </cell>
        </row>
      </sheetData>
      <sheetData sheetId="8987">
        <row r="1">
          <cell r="A1" t="str">
            <v>PHIẾU XỬ LÝ HỒ SƠ THANH TOÁN VƯỢT THẨM QUYỀN PD</v>
          </cell>
        </row>
      </sheetData>
      <sheetData sheetId="8988">
        <row r="1">
          <cell r="A1" t="str">
            <v>PHIẾU XỬ LÝ HỒ SƠ THANH TOÁN VƯỢT THẨM QUYỀN PD</v>
          </cell>
        </row>
      </sheetData>
      <sheetData sheetId="8989">
        <row r="1">
          <cell r="A1" t="str">
            <v>PHIẾU XỬ LÝ HỒ SƠ THANH TOÁN VƯỢT THẨM QUYỀN PD</v>
          </cell>
        </row>
      </sheetData>
      <sheetData sheetId="8990"/>
      <sheetData sheetId="8991">
        <row r="1">
          <cell r="A1" t="str">
            <v>PHIẾU XỬ LÝ HỒ SƠ THANH TOÁN VƯỢT THẨM QUYỀN PD</v>
          </cell>
        </row>
      </sheetData>
      <sheetData sheetId="8992"/>
      <sheetData sheetId="8993"/>
      <sheetData sheetId="8994">
        <row r="1">
          <cell r="A1" t="str">
            <v>PHIẾU XỬ LÝ HỒ SƠ THANH TOÁN VƯỢT THẨM QUYỀN PD</v>
          </cell>
        </row>
      </sheetData>
      <sheetData sheetId="8995">
        <row r="1">
          <cell r="A1" t="str">
            <v>PHIẾU XỬ LÝ HỒ SƠ THANH TOÁN VƯỢT THẨM QUYỀN PD</v>
          </cell>
        </row>
      </sheetData>
      <sheetData sheetId="8996">
        <row r="1">
          <cell r="A1" t="str">
            <v>PHIẾU XỬ LÝ HỒ SƠ THANH TOÁN VƯỢT THẨM QUYỀN PD</v>
          </cell>
        </row>
      </sheetData>
      <sheetData sheetId="8997">
        <row r="1">
          <cell r="A1" t="str">
            <v>PHIẾU XỬ LÝ HỒ SƠ THANH TOÁN VƯỢT THẨM QUYỀN PD</v>
          </cell>
        </row>
      </sheetData>
      <sheetData sheetId="8998">
        <row r="1">
          <cell r="A1" t="str">
            <v>PHIẾU XỬ LÝ HỒ SƠ THANH TOÁN VƯỢT THẨM QUYỀN PD</v>
          </cell>
        </row>
      </sheetData>
      <sheetData sheetId="8999"/>
      <sheetData sheetId="9000"/>
      <sheetData sheetId="9001">
        <row r="1">
          <cell r="A1" t="str">
            <v>PHIẾU XỬ LÝ HỒ SƠ THANH TOÁN VƯỢT THẨM QUYỀN PD</v>
          </cell>
        </row>
      </sheetData>
      <sheetData sheetId="9002"/>
      <sheetData sheetId="9003">
        <row r="1">
          <cell r="A1" t="str">
            <v>PHIẾU XỬ LÝ HỒ SƠ THANH TOÁN VƯỢT THẨM QUYỀN PD</v>
          </cell>
        </row>
      </sheetData>
      <sheetData sheetId="9004"/>
      <sheetData sheetId="9005">
        <row r="1">
          <cell r="A1" t="str">
            <v>PHIẾU XỬ LÝ HỒ SƠ THANH TOÁN VƯỢT THẨM QUYỀN PD</v>
          </cell>
        </row>
      </sheetData>
      <sheetData sheetId="9006">
        <row r="1">
          <cell r="A1" t="str">
            <v>PHIẾU XỬ LÝ HỒ SƠ THANH TOÁN VƯỢT THẨM QUYỀN PD</v>
          </cell>
        </row>
      </sheetData>
      <sheetData sheetId="9007">
        <row r="1">
          <cell r="A1" t="str">
            <v>PHIẾU XỬ LÝ HỒ SƠ THANH TOÁN VƯỢT THẨM QUYỀN PD</v>
          </cell>
        </row>
      </sheetData>
      <sheetData sheetId="9008"/>
      <sheetData sheetId="9009"/>
      <sheetData sheetId="9010">
        <row r="1">
          <cell r="A1" t="str">
            <v>PHIẾU XỬ LÝ HỒ SƠ THANH TOÁN VƯỢT THẨM QUYỀN PD</v>
          </cell>
        </row>
      </sheetData>
      <sheetData sheetId="9011">
        <row r="1">
          <cell r="A1" t="str">
            <v>PHIẾU XỬ LÝ HỒ SƠ THANH TOÁN VƯỢT THẨM QUYỀN PD</v>
          </cell>
        </row>
      </sheetData>
      <sheetData sheetId="9012">
        <row r="1">
          <cell r="A1" t="str">
            <v>PHIẾU XỬ LÝ HỒ SƠ THANH TOÁN VƯỢT THẨM QUYỀN PD</v>
          </cell>
        </row>
      </sheetData>
      <sheetData sheetId="9013">
        <row r="1">
          <cell r="A1" t="str">
            <v>PHIẾU XỬ LÝ HỒ SƠ THANH TOÁN VƯỢT THẨM QUYỀN PD</v>
          </cell>
        </row>
      </sheetData>
      <sheetData sheetId="9014">
        <row r="1">
          <cell r="A1" t="str">
            <v>PHIẾU XỬ LÝ HỒ SƠ THANH TOÁN VƯỢT THẨM QUYỀN PD</v>
          </cell>
        </row>
      </sheetData>
      <sheetData sheetId="9015">
        <row r="1">
          <cell r="A1" t="str">
            <v>PHIẾU XỬ LÝ HỒ SƠ THANH TOÁN VƯỢT THẨM QUYỀN PD</v>
          </cell>
        </row>
      </sheetData>
      <sheetData sheetId="9016">
        <row r="1">
          <cell r="A1" t="str">
            <v>PHIẾU XỬ LÝ HỒ SƠ THANH TOÁN VƯỢT THẨM QUYỀN PD</v>
          </cell>
        </row>
      </sheetData>
      <sheetData sheetId="9017">
        <row r="1">
          <cell r="A1" t="str">
            <v>PHIẾU XỬ LÝ HỒ SƠ THANH TOÁN VƯỢT THẨM QUYỀN PD</v>
          </cell>
        </row>
      </sheetData>
      <sheetData sheetId="9018"/>
      <sheetData sheetId="9019"/>
      <sheetData sheetId="9020">
        <row r="1">
          <cell r="A1" t="str">
            <v>PHIẾU XỬ LÝ HỒ SƠ THANH TOÁN VƯỢT THẨM QUYỀN PD</v>
          </cell>
        </row>
      </sheetData>
      <sheetData sheetId="9021">
        <row r="1">
          <cell r="A1" t="str">
            <v>PHIẾU XỬ LÝ HỒ SƠ THANH TOÁN VƯỢT THẨM QUYỀN PD</v>
          </cell>
        </row>
      </sheetData>
      <sheetData sheetId="9022"/>
      <sheetData sheetId="9023"/>
      <sheetData sheetId="9024"/>
      <sheetData sheetId="9025">
        <row r="1">
          <cell r="A1" t="str">
            <v>PHIẾU XỬ LÝ HỒ SƠ THANH TOÁN VƯỢT THẨM QUYỀN PD</v>
          </cell>
        </row>
      </sheetData>
      <sheetData sheetId="9026">
        <row r="1">
          <cell r="A1" t="str">
            <v>PHIẾU XỬ LÝ HỒ SƠ THANH TOÁN VƯỢT THẨM QUYỀN PD</v>
          </cell>
        </row>
      </sheetData>
      <sheetData sheetId="9027">
        <row r="1">
          <cell r="A1" t="str">
            <v>PHIẾU XỬ LÝ HỒ SƠ THANH TOÁN VƯỢT THẨM QUYỀN PD</v>
          </cell>
        </row>
      </sheetData>
      <sheetData sheetId="9028">
        <row r="1">
          <cell r="A1" t="str">
            <v>PHIẾU XỬ LÝ HỒ SƠ THANH TOÁN VƯỢT THẨM QUYỀN PD</v>
          </cell>
        </row>
      </sheetData>
      <sheetData sheetId="9029">
        <row r="1">
          <cell r="A1" t="str">
            <v>PHIẾU XỬ LÝ HỒ SƠ THANH TOÁN VƯỢT THẨM QUYỀN PD</v>
          </cell>
        </row>
      </sheetData>
      <sheetData sheetId="9030">
        <row r="1">
          <cell r="A1" t="str">
            <v>PHIẾU XỬ LÝ HỒ SƠ THANH TOÁN VƯỢT THẨM QUYỀN PD</v>
          </cell>
        </row>
      </sheetData>
      <sheetData sheetId="9031">
        <row r="1">
          <cell r="A1" t="str">
            <v>PHIẾU XỬ LÝ HỒ SƠ THANH TOÁN VƯỢT THẨM QUYỀN PD</v>
          </cell>
        </row>
      </sheetData>
      <sheetData sheetId="9032">
        <row r="1">
          <cell r="A1" t="str">
            <v>PHIẾU XỬ LÝ HỒ SƠ THANH TOÁN VƯỢT THẨM QUYỀN PD</v>
          </cell>
        </row>
      </sheetData>
      <sheetData sheetId="9033">
        <row r="1">
          <cell r="A1" t="str">
            <v>PHIẾU XỬ LÝ HỒ SƠ THANH TOÁN VƯỢT THẨM QUYỀN PD</v>
          </cell>
        </row>
      </sheetData>
      <sheetData sheetId="9034"/>
      <sheetData sheetId="9035">
        <row r="1">
          <cell r="A1" t="str">
            <v>PHIẾU XỬ LÝ HỒ SƠ THANH TOÁN VƯỢT THẨM QUYỀN PD</v>
          </cell>
        </row>
      </sheetData>
      <sheetData sheetId="9036"/>
      <sheetData sheetId="9037">
        <row r="1">
          <cell r="A1" t="str">
            <v>PHIẾU XỬ LÝ HỒ SƠ THANH TOÁN VƯỢT THẨM QUYỀN PD</v>
          </cell>
        </row>
      </sheetData>
      <sheetData sheetId="9038">
        <row r="1">
          <cell r="A1" t="str">
            <v>PHIẾU XỬ LÝ HỒ SƠ THANH TOÁN VƯỢT THẨM QUYỀN PD</v>
          </cell>
        </row>
      </sheetData>
      <sheetData sheetId="9039"/>
      <sheetData sheetId="9040">
        <row r="1">
          <cell r="A1" t="str">
            <v>PHIẾU XỬ LÝ HỒ SƠ THANH TOÁN VƯỢT THẨM QUYỀN PD</v>
          </cell>
        </row>
      </sheetData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>
        <row r="1">
          <cell r="A1" t="str">
            <v>PHIẾU XỬ LÝ HỒ SƠ THANH TOÁN VƯỢT THẨM QUYỀN PD</v>
          </cell>
        </row>
      </sheetData>
      <sheetData sheetId="9050">
        <row r="1">
          <cell r="A1" t="str">
            <v>PHIẾU XỬ LÝ HỒ SƠ THANH TOÁN VƯỢT THẨM QUYỀN PD</v>
          </cell>
        </row>
      </sheetData>
      <sheetData sheetId="9051">
        <row r="1">
          <cell r="A1" t="str">
            <v>PHIẾU XỬ LÝ HỒ SƠ THANH TOÁN VƯỢT THẨM QUYỀN PD</v>
          </cell>
        </row>
      </sheetData>
      <sheetData sheetId="9052">
        <row r="1">
          <cell r="A1" t="str">
            <v>PHIẾU XỬ LÝ HỒ SƠ THANH TOÁN VƯỢT THẨM QUYỀN PD</v>
          </cell>
        </row>
      </sheetData>
      <sheetData sheetId="9053">
        <row r="1">
          <cell r="A1" t="str">
            <v>PHIẾU XỬ LÝ HỒ SƠ THANH TOÁN VƯỢT THẨM QUYỀN PD</v>
          </cell>
        </row>
      </sheetData>
      <sheetData sheetId="9054">
        <row r="1">
          <cell r="A1" t="str">
            <v>PHIẾU XỬ LÝ HỒ SƠ THANH TOÁN VƯỢT THẨM QUYỀN PD</v>
          </cell>
        </row>
      </sheetData>
      <sheetData sheetId="9055"/>
      <sheetData sheetId="9056">
        <row r="1">
          <cell r="A1" t="str">
            <v>PHIẾU XỬ LÝ HỒ SƠ THANH TOÁN VƯỢT THẨM QUYỀN PD</v>
          </cell>
        </row>
      </sheetData>
      <sheetData sheetId="9057"/>
      <sheetData sheetId="9058"/>
      <sheetData sheetId="9059"/>
      <sheetData sheetId="9060"/>
      <sheetData sheetId="9061">
        <row r="1">
          <cell r="A1" t="str">
            <v>PHIẾU XỬ LÝ HỒ SƠ THANH TOÁN VƯỢT THẨM QUYỀN PD</v>
          </cell>
        </row>
      </sheetData>
      <sheetData sheetId="9062">
        <row r="1">
          <cell r="A1" t="str">
            <v>PHIẾU XỬ LÝ HỒ SƠ THANH TOÁN VƯỢT THẨM QUYỀN PD</v>
          </cell>
        </row>
      </sheetData>
      <sheetData sheetId="9063">
        <row r="1">
          <cell r="A1" t="str">
            <v>PHIẾU XỬ LÝ HỒ SƠ THANH TOÁN VƯỢT THẨM QUYỀN PD</v>
          </cell>
        </row>
      </sheetData>
      <sheetData sheetId="9064">
        <row r="1">
          <cell r="A1" t="str">
            <v>PHIẾU XỬ LÝ HỒ SƠ THANH TOÁN VƯỢT THẨM QUYỀN PD</v>
          </cell>
        </row>
      </sheetData>
      <sheetData sheetId="9065">
        <row r="1">
          <cell r="A1" t="str">
            <v>PHIẾU XỬ LÝ HỒ SƠ THANH TOÁN VƯỢT THẨM QUYỀN PD</v>
          </cell>
        </row>
      </sheetData>
      <sheetData sheetId="9066">
        <row r="1">
          <cell r="A1" t="str">
            <v>PHIẾU XỬ LÝ HỒ SƠ THANH TOÁN VƯỢT THẨM QUYỀN PD</v>
          </cell>
        </row>
      </sheetData>
      <sheetData sheetId="9067">
        <row r="1">
          <cell r="A1" t="str">
            <v>PHIẾU XỬ LÝ HỒ SƠ THANH TOÁN VƯỢT THẨM QUYỀN PD</v>
          </cell>
        </row>
      </sheetData>
      <sheetData sheetId="9068">
        <row r="1">
          <cell r="A1" t="str">
            <v>PHIẾU XỬ LÝ HỒ SƠ THANH TOÁN VƯỢT THẨM QUYỀN PD</v>
          </cell>
        </row>
      </sheetData>
      <sheetData sheetId="9069">
        <row r="1">
          <cell r="A1" t="str">
            <v>PHIẾU XỬ LÝ HỒ SƠ THANH TOÁN VƯỢT THẨM QUYỀN PD</v>
          </cell>
        </row>
      </sheetData>
      <sheetData sheetId="9070">
        <row r="1">
          <cell r="A1" t="str">
            <v>PHIẾU XỬ LÝ HỒ SƠ THANH TOÁN VƯỢT THẨM QUYỀN PD</v>
          </cell>
        </row>
      </sheetData>
      <sheetData sheetId="9071">
        <row r="1">
          <cell r="A1" t="str">
            <v>PHIẾU XỬ LÝ HỒ SƠ THANH TOÁN VƯỢT THẨM QUYỀN PD</v>
          </cell>
        </row>
      </sheetData>
      <sheetData sheetId="9072">
        <row r="1">
          <cell r="A1" t="str">
            <v>PHIẾU XỬ LÝ HỒ SƠ THANH TOÁN VƯỢT THẨM QUYỀN PD</v>
          </cell>
        </row>
      </sheetData>
      <sheetData sheetId="9073">
        <row r="1">
          <cell r="A1" t="str">
            <v>PHIẾU XỬ LÝ HỒ SƠ THANH TOÁN VƯỢT THẨM QUYỀN PD</v>
          </cell>
        </row>
      </sheetData>
      <sheetData sheetId="9074">
        <row r="1">
          <cell r="A1" t="str">
            <v>PHIẾU XỬ LÝ HỒ SƠ THANH TOÁN VƯỢT THẨM QUYỀN PD</v>
          </cell>
        </row>
      </sheetData>
      <sheetData sheetId="9075">
        <row r="1">
          <cell r="A1" t="str">
            <v>PHIẾU XỬ LÝ HỒ SƠ THANH TOÁN VƯỢT THẨM QUYỀN PD</v>
          </cell>
        </row>
      </sheetData>
      <sheetData sheetId="9076">
        <row r="1">
          <cell r="A1" t="str">
            <v>PHIẾU XỬ LÝ HỒ SƠ THANH TOÁN VƯỢT THẨM QUYỀN PD</v>
          </cell>
        </row>
      </sheetData>
      <sheetData sheetId="9077">
        <row r="1">
          <cell r="A1" t="str">
            <v>PHIẾU XỬ LÝ HỒ SƠ THANH TOÁN VƯỢT THẨM QUYỀN PD</v>
          </cell>
        </row>
      </sheetData>
      <sheetData sheetId="9078">
        <row r="1">
          <cell r="A1" t="str">
            <v>PHIẾU XỬ LÝ HỒ SƠ THANH TOÁN VƯỢT THẨM QUYỀN PD</v>
          </cell>
        </row>
      </sheetData>
      <sheetData sheetId="9079">
        <row r="1">
          <cell r="A1" t="str">
            <v>PHIẾU XỬ LÝ HỒ SƠ THANH TOÁN VƯỢT THẨM QUYỀN PD</v>
          </cell>
        </row>
      </sheetData>
      <sheetData sheetId="9080">
        <row r="1">
          <cell r="A1" t="str">
            <v>PHIẾU XỬ LÝ HỒ SƠ THANH TOÁN VƯỢT THẨM QUYỀN PD</v>
          </cell>
        </row>
      </sheetData>
      <sheetData sheetId="9081">
        <row r="1">
          <cell r="A1" t="str">
            <v>PHIẾU XỬ LÝ HỒ SƠ THANH TOÁN VƯỢT THẨM QUYỀN PD</v>
          </cell>
        </row>
      </sheetData>
      <sheetData sheetId="9082">
        <row r="1">
          <cell r="A1" t="str">
            <v>PHIẾU XỬ LÝ HỒ SƠ THANH TOÁN VƯỢT THẨM QUYỀN PD</v>
          </cell>
        </row>
      </sheetData>
      <sheetData sheetId="9083">
        <row r="1">
          <cell r="A1" t="str">
            <v>PHIẾU XỬ LÝ HỒ SƠ THANH TOÁN VƯỢT THẨM QUYỀN PD</v>
          </cell>
        </row>
      </sheetData>
      <sheetData sheetId="9084">
        <row r="1">
          <cell r="A1" t="str">
            <v>PHIẾU XỬ LÝ HỒ SƠ THANH TOÁN VƯỢT THẨM QUYỀN PD</v>
          </cell>
        </row>
      </sheetData>
      <sheetData sheetId="9085">
        <row r="1">
          <cell r="A1" t="str">
            <v>PHIẾU XỬ LÝ HỒ SƠ THANH TOÁN VƯỢT THẨM QUYỀN PD</v>
          </cell>
        </row>
      </sheetData>
      <sheetData sheetId="9086">
        <row r="1">
          <cell r="A1" t="str">
            <v>PHIẾU XỬ LÝ HỒ SƠ THANH TOÁN VƯỢT THẨM QUYỀN PD</v>
          </cell>
        </row>
      </sheetData>
      <sheetData sheetId="9087">
        <row r="1">
          <cell r="A1" t="str">
            <v>PHIẾU XỬ LÝ HỒ SƠ THANH TOÁN VƯỢT THẨM QUYỀN PD</v>
          </cell>
        </row>
      </sheetData>
      <sheetData sheetId="9088">
        <row r="1">
          <cell r="A1" t="str">
            <v>PHIẾU XỬ LÝ HỒ SƠ THANH TOÁN VƯỢT THẨM QUYỀN PD</v>
          </cell>
        </row>
      </sheetData>
      <sheetData sheetId="9089">
        <row r="1">
          <cell r="A1" t="str">
            <v>PHIẾU XỬ LÝ HỒ SƠ THANH TOÁN VƯỢT THẨM QUYỀN PD</v>
          </cell>
        </row>
      </sheetData>
      <sheetData sheetId="9090">
        <row r="1">
          <cell r="A1" t="str">
            <v>PHIẾU XỬ LÝ HỒ SƠ THANH TOÁN VƯỢT THẨM QUYỀN PD</v>
          </cell>
        </row>
      </sheetData>
      <sheetData sheetId="9091">
        <row r="1">
          <cell r="A1" t="str">
            <v>PHIẾU XỬ LÝ HỒ SƠ THANH TOÁN VƯỢT THẨM QUYỀN PD</v>
          </cell>
        </row>
      </sheetData>
      <sheetData sheetId="9092">
        <row r="1">
          <cell r="A1" t="str">
            <v>PHIẾU XỬ LÝ HỒ SƠ THANH TOÁN VƯỢT THẨM QUYỀN PD</v>
          </cell>
        </row>
      </sheetData>
      <sheetData sheetId="9093">
        <row r="1">
          <cell r="A1" t="str">
            <v>PHIẾU XỬ LÝ HỒ SƠ THANH TOÁN VƯỢT THẨM QUYỀN PD</v>
          </cell>
        </row>
      </sheetData>
      <sheetData sheetId="9094">
        <row r="1">
          <cell r="A1" t="str">
            <v>PHIẾU XỬ LÝ HỒ SƠ THANH TOÁN VƯỢT THẨM QUYỀN PD</v>
          </cell>
        </row>
      </sheetData>
      <sheetData sheetId="9095">
        <row r="1">
          <cell r="A1" t="str">
            <v>PHIẾU XỬ LÝ HỒ SƠ THANH TOÁN VƯỢT THẨM QUYỀN PD</v>
          </cell>
        </row>
      </sheetData>
      <sheetData sheetId="9096">
        <row r="1">
          <cell r="A1" t="str">
            <v>PHIẾU XỬ LÝ HỒ SƠ THANH TOÁN VƯỢT THẨM QUYỀN PD</v>
          </cell>
        </row>
      </sheetData>
      <sheetData sheetId="9097">
        <row r="1">
          <cell r="A1" t="str">
            <v>PHIẾU XỬ LÝ HỒ SƠ THANH TOÁN VƯỢT THẨM QUYỀN PD</v>
          </cell>
        </row>
      </sheetData>
      <sheetData sheetId="9098">
        <row r="1">
          <cell r="A1" t="str">
            <v>PHIẾU XỬ LÝ HỒ SƠ THANH TOÁN VƯỢT THẨM QUYỀN PD</v>
          </cell>
        </row>
      </sheetData>
      <sheetData sheetId="9099">
        <row r="1">
          <cell r="A1" t="str">
            <v>PHIẾU XỬ LÝ HỒ SƠ THANH TOÁN VƯỢT THẨM QUYỀN PD</v>
          </cell>
        </row>
      </sheetData>
      <sheetData sheetId="9100">
        <row r="1">
          <cell r="A1" t="str">
            <v>PHIẾU XỬ LÝ HỒ SƠ THANH TOÁN VƯỢT THẨM QUYỀN PD</v>
          </cell>
        </row>
      </sheetData>
      <sheetData sheetId="9101">
        <row r="1">
          <cell r="A1" t="str">
            <v>PHIẾU XỬ LÝ HỒ SƠ THANH TOÁN VƯỢT THẨM QUYỀN PD</v>
          </cell>
        </row>
      </sheetData>
      <sheetData sheetId="9102">
        <row r="1">
          <cell r="A1" t="str">
            <v>PHIẾU XỬ LÝ HỒ SƠ THANH TOÁN VƯỢT THẨM QUYỀN PD</v>
          </cell>
        </row>
      </sheetData>
      <sheetData sheetId="9103">
        <row r="1">
          <cell r="A1" t="str">
            <v>PHIẾU XỬ LÝ HỒ SƠ THANH TOÁN VƯỢT THẨM QUYỀN PD</v>
          </cell>
        </row>
      </sheetData>
      <sheetData sheetId="9104">
        <row r="1">
          <cell r="A1" t="str">
            <v>PHIẾU XỬ LÝ HỒ SƠ THANH TOÁN VƯỢT THẨM QUYỀN PD</v>
          </cell>
        </row>
      </sheetData>
      <sheetData sheetId="9105">
        <row r="1">
          <cell r="A1" t="str">
            <v>PHIẾU XỬ LÝ HỒ SƠ THANH TOÁN VƯỢT THẨM QUYỀN PD</v>
          </cell>
        </row>
      </sheetData>
      <sheetData sheetId="9106">
        <row r="1">
          <cell r="A1" t="str">
            <v>PHIẾU XỬ LÝ HỒ SƠ THANH TOÁN VƯỢT THẨM QUYỀN PD</v>
          </cell>
        </row>
      </sheetData>
      <sheetData sheetId="9107">
        <row r="1">
          <cell r="A1" t="str">
            <v>PHIẾU XỬ LÝ HỒ SƠ THANH TOÁN VƯỢT THẨM QUYỀN PD</v>
          </cell>
        </row>
      </sheetData>
      <sheetData sheetId="9108">
        <row r="1">
          <cell r="A1" t="str">
            <v>PHIẾU XỬ LÝ HỒ SƠ THANH TOÁN VƯỢT THẨM QUYỀN PD</v>
          </cell>
        </row>
      </sheetData>
      <sheetData sheetId="9109">
        <row r="1">
          <cell r="A1" t="str">
            <v>PHIẾU XỬ LÝ HỒ SƠ THANH TOÁN VƯỢT THẨM QUYỀN PD</v>
          </cell>
        </row>
      </sheetData>
      <sheetData sheetId="9110">
        <row r="1">
          <cell r="A1" t="str">
            <v>PHIẾU XỬ LÝ HỒ SƠ THANH TOÁN VƯỢT THẨM QUYỀN PD</v>
          </cell>
        </row>
      </sheetData>
      <sheetData sheetId="9111">
        <row r="1">
          <cell r="A1" t="str">
            <v>PHIẾU XỬ LÝ HỒ SƠ THANH TOÁN VƯỢT THẨM QUYỀN PD</v>
          </cell>
        </row>
      </sheetData>
      <sheetData sheetId="9112">
        <row r="1">
          <cell r="A1" t="str">
            <v>PHIẾU XỬ LÝ HỒ SƠ THANH TOÁN VƯỢT THẨM QUYỀN PD</v>
          </cell>
        </row>
      </sheetData>
      <sheetData sheetId="9113">
        <row r="1">
          <cell r="A1" t="str">
            <v>PHIẾU XỬ LÝ HỒ SƠ THANH TOÁN VƯỢT THẨM QUYỀN PD</v>
          </cell>
        </row>
      </sheetData>
      <sheetData sheetId="9114">
        <row r="1">
          <cell r="A1" t="str">
            <v>PHIẾU XỬ LÝ HỒ SƠ THANH TOÁN VƯỢT THẨM QUYỀN PD</v>
          </cell>
        </row>
      </sheetData>
      <sheetData sheetId="9115">
        <row r="1">
          <cell r="A1" t="str">
            <v>PHIẾU XỬ LÝ HỒ SƠ THANH TOÁN VƯỢT THẨM QUYỀN PD</v>
          </cell>
        </row>
      </sheetData>
      <sheetData sheetId="9116">
        <row r="1">
          <cell r="A1" t="str">
            <v>PHIẾU XỬ LÝ HỒ SƠ THANH TOÁN VƯỢT THẨM QUYỀN PD</v>
          </cell>
        </row>
      </sheetData>
      <sheetData sheetId="9117">
        <row r="1">
          <cell r="A1" t="str">
            <v>PHIẾU XỬ LÝ HỒ SƠ THANH TOÁN VƯỢT THẨM QUYỀN PD</v>
          </cell>
        </row>
      </sheetData>
      <sheetData sheetId="9118">
        <row r="1">
          <cell r="A1" t="str">
            <v>PHIẾU XỬ LÝ HỒ SƠ THANH TOÁN VƯỢT THẨM QUYỀN PD</v>
          </cell>
        </row>
      </sheetData>
      <sheetData sheetId="9119">
        <row r="1">
          <cell r="A1" t="str">
            <v>PHIẾU XỬ LÝ HỒ SƠ THANH TOÁN VƯỢT THẨM QUYỀN PD</v>
          </cell>
        </row>
      </sheetData>
      <sheetData sheetId="9120">
        <row r="1">
          <cell r="A1" t="str">
            <v>PHIẾU XỬ LÝ HỒ SƠ THANH TOÁN VƯỢT THẨM QUYỀN PD</v>
          </cell>
        </row>
      </sheetData>
      <sheetData sheetId="9121">
        <row r="1">
          <cell r="A1" t="str">
            <v>PHIẾU XỬ LÝ HỒ SƠ THANH TOÁN VƯỢT THẨM QUYỀN PD</v>
          </cell>
        </row>
      </sheetData>
      <sheetData sheetId="9122">
        <row r="1">
          <cell r="A1" t="str">
            <v>PHIẾU XỬ LÝ HỒ SƠ THANH TOÁN VƯỢT THẨM QUYỀN PD</v>
          </cell>
        </row>
      </sheetData>
      <sheetData sheetId="9123">
        <row r="1">
          <cell r="A1" t="str">
            <v>PHIẾU XỬ LÝ HỒ SƠ THANH TOÁN VƯỢT THẨM QUYỀN PD</v>
          </cell>
        </row>
      </sheetData>
      <sheetData sheetId="9124">
        <row r="1">
          <cell r="A1" t="str">
            <v>PHIẾU XỬ LÝ HỒ SƠ THANH TOÁN VƯỢT THẨM QUYỀN PD</v>
          </cell>
        </row>
      </sheetData>
      <sheetData sheetId="9125">
        <row r="1">
          <cell r="A1" t="str">
            <v>PHIẾU XỬ LÝ HỒ SƠ THANH TOÁN VƯỢT THẨM QUYỀN PD</v>
          </cell>
        </row>
      </sheetData>
      <sheetData sheetId="9126">
        <row r="1">
          <cell r="A1" t="str">
            <v>PHIẾU XỬ LÝ HỒ SƠ THANH TOÁN VƯỢT THẨM QUYỀN PD</v>
          </cell>
        </row>
      </sheetData>
      <sheetData sheetId="9127">
        <row r="1">
          <cell r="A1" t="str">
            <v>PHIẾU XỬ LÝ HỒ SƠ THANH TOÁN VƯỢT THẨM QUYỀN PD</v>
          </cell>
        </row>
      </sheetData>
      <sheetData sheetId="9128">
        <row r="1">
          <cell r="A1" t="str">
            <v>PHIẾU XỬ LÝ HỒ SƠ THANH TOÁN VƯỢT THẨM QUYỀN PD</v>
          </cell>
        </row>
      </sheetData>
      <sheetData sheetId="9129">
        <row r="1">
          <cell r="A1" t="str">
            <v>PHIẾU XỬ LÝ HỒ SƠ THANH TOÁN VƯỢT THẨM QUYỀN PD</v>
          </cell>
        </row>
      </sheetData>
      <sheetData sheetId="9130">
        <row r="1">
          <cell r="A1" t="str">
            <v>PHIẾU XỬ LÝ HỒ SƠ THANH TOÁN VƯỢT THẨM QUYỀN PD</v>
          </cell>
        </row>
      </sheetData>
      <sheetData sheetId="9131">
        <row r="1">
          <cell r="A1" t="str">
            <v>PHIẾU XỬ LÝ HỒ SƠ THANH TOÁN VƯỢT THẨM QUYỀN PD</v>
          </cell>
        </row>
      </sheetData>
      <sheetData sheetId="9132">
        <row r="1">
          <cell r="A1" t="str">
            <v>PHIẾU XỬ LÝ HỒ SƠ THANH TOÁN VƯỢT THẨM QUYỀN PD</v>
          </cell>
        </row>
      </sheetData>
      <sheetData sheetId="9133">
        <row r="1">
          <cell r="A1" t="str">
            <v>PHIẾU XỬ LÝ HỒ SƠ THANH TOÁN VƯỢT THẨM QUYỀN PD</v>
          </cell>
        </row>
      </sheetData>
      <sheetData sheetId="9134">
        <row r="1">
          <cell r="A1" t="str">
            <v>PHIẾU XỬ LÝ HỒ SƠ THANH TOÁN VƯỢT THẨM QUYỀN PD</v>
          </cell>
        </row>
      </sheetData>
      <sheetData sheetId="9135">
        <row r="1">
          <cell r="A1" t="str">
            <v>PHIẾU XỬ LÝ HỒ SƠ THANH TOÁN VƯỢT THẨM QUYỀN PD</v>
          </cell>
        </row>
      </sheetData>
      <sheetData sheetId="9136">
        <row r="1">
          <cell r="A1" t="str">
            <v>PHIẾU XỬ LÝ HỒ SƠ THANH TOÁN VƯỢT THẨM QUYỀN PD</v>
          </cell>
        </row>
      </sheetData>
      <sheetData sheetId="9137">
        <row r="1">
          <cell r="A1" t="str">
            <v>PHIẾU XỬ LÝ HỒ SƠ THANH TOÁN VƯỢT THẨM QUYỀN PD</v>
          </cell>
        </row>
      </sheetData>
      <sheetData sheetId="9138">
        <row r="1">
          <cell r="A1" t="str">
            <v>PHIẾU XỬ LÝ HỒ SƠ THANH TOÁN VƯỢT THẨM QUYỀN PD</v>
          </cell>
        </row>
      </sheetData>
      <sheetData sheetId="9139">
        <row r="1">
          <cell r="A1" t="str">
            <v>PHIẾU XỬ LÝ HỒ SƠ THANH TOÁN VƯỢT THẨM QUYỀN PD</v>
          </cell>
        </row>
      </sheetData>
      <sheetData sheetId="9140">
        <row r="1">
          <cell r="A1" t="str">
            <v>PHIẾU XỬ LÝ HỒ SƠ THANH TOÁN VƯỢT THẨM QUYỀN PD</v>
          </cell>
        </row>
      </sheetData>
      <sheetData sheetId="9141">
        <row r="1">
          <cell r="A1" t="str">
            <v>PHIẾU XỬ LÝ HỒ SƠ THANH TOÁN VƯỢT THẨM QUYỀN PD</v>
          </cell>
        </row>
      </sheetData>
      <sheetData sheetId="9142">
        <row r="1">
          <cell r="A1" t="str">
            <v>PHIẾU XỬ LÝ HỒ SƠ THANH TOÁN VƯỢT THẨM QUYỀN PD</v>
          </cell>
        </row>
      </sheetData>
      <sheetData sheetId="9143">
        <row r="1">
          <cell r="A1" t="str">
            <v>PHIẾU XỬ LÝ HỒ SƠ THANH TOÁN VƯỢT THẨM QUYỀN PD</v>
          </cell>
        </row>
      </sheetData>
      <sheetData sheetId="9144">
        <row r="1">
          <cell r="A1" t="str">
            <v>PHIẾU XỬ LÝ HỒ SƠ THANH TOÁN VƯỢT THẨM QUYỀN PD</v>
          </cell>
        </row>
      </sheetData>
      <sheetData sheetId="9145">
        <row r="1">
          <cell r="A1" t="str">
            <v>PHIẾU XỬ LÝ HỒ SƠ THANH TOÁN VƯỢT THẨM QUYỀN PD</v>
          </cell>
        </row>
      </sheetData>
      <sheetData sheetId="9146">
        <row r="1">
          <cell r="A1" t="str">
            <v>PHIẾU XỬ LÝ HỒ SƠ THANH TOÁN VƯỢT THẨM QUYỀN PD</v>
          </cell>
        </row>
      </sheetData>
      <sheetData sheetId="9147">
        <row r="1">
          <cell r="A1" t="str">
            <v>PHIẾU XỬ LÝ HỒ SƠ THANH TOÁN VƯỢT THẨM QUYỀN PD</v>
          </cell>
        </row>
      </sheetData>
      <sheetData sheetId="9148">
        <row r="1">
          <cell r="A1" t="str">
            <v>PHIẾU XỬ LÝ HỒ SƠ THANH TOÁN VƯỢT THẨM QUYỀN PD</v>
          </cell>
        </row>
      </sheetData>
      <sheetData sheetId="9149">
        <row r="1">
          <cell r="A1" t="str">
            <v>PHIẾU XỬ LÝ HỒ SƠ THANH TOÁN VƯỢT THẨM QUYỀN PD</v>
          </cell>
        </row>
      </sheetData>
      <sheetData sheetId="9150">
        <row r="1">
          <cell r="A1" t="str">
            <v>PHIẾU XỬ LÝ HỒ SƠ THANH TOÁN VƯỢT THẨM QUYỀN PD</v>
          </cell>
        </row>
      </sheetData>
      <sheetData sheetId="9151">
        <row r="1">
          <cell r="A1" t="str">
            <v>PHIẾU XỬ LÝ HỒ SƠ THANH TOÁN VƯỢT THẨM QUYỀN PD</v>
          </cell>
        </row>
      </sheetData>
      <sheetData sheetId="9152">
        <row r="1">
          <cell r="A1" t="str">
            <v>PHIẾU XỬ LÝ HỒ SƠ THANH TOÁN VƯỢT THẨM QUYỀN PD</v>
          </cell>
        </row>
      </sheetData>
      <sheetData sheetId="9153">
        <row r="1">
          <cell r="A1" t="str">
            <v>PHIẾU XỬ LÝ HỒ SƠ THANH TOÁN VƯỢT THẨM QUYỀN PD</v>
          </cell>
        </row>
      </sheetData>
      <sheetData sheetId="9154">
        <row r="1">
          <cell r="A1" t="str">
            <v>PHIẾU XỬ LÝ HỒ SƠ THANH TOÁN VƯỢT THẨM QUYỀN PD</v>
          </cell>
        </row>
      </sheetData>
      <sheetData sheetId="9155">
        <row r="1">
          <cell r="A1" t="str">
            <v>PHIẾU XỬ LÝ HỒ SƠ THANH TOÁN VƯỢT THẨM QUYỀN PD</v>
          </cell>
        </row>
      </sheetData>
      <sheetData sheetId="9156">
        <row r="1">
          <cell r="A1" t="str">
            <v>PHIẾU XỬ LÝ HỒ SƠ THANH TOÁN VƯỢT THẨM QUYỀN PD</v>
          </cell>
        </row>
      </sheetData>
      <sheetData sheetId="9157">
        <row r="1">
          <cell r="A1" t="str">
            <v>PHIẾU XỬ LÝ HỒ SƠ THANH TOÁN VƯỢT THẨM QUYỀN PD</v>
          </cell>
        </row>
      </sheetData>
      <sheetData sheetId="9158">
        <row r="1">
          <cell r="A1" t="str">
            <v>PHIẾU XỬ LÝ HỒ SƠ THANH TOÁN VƯỢT THẨM QUYỀN PD</v>
          </cell>
        </row>
      </sheetData>
      <sheetData sheetId="9159">
        <row r="1">
          <cell r="A1" t="str">
            <v>PHIẾU XỬ LÝ HỒ SƠ THANH TOÁN VƯỢT THẨM QUYỀN PD</v>
          </cell>
        </row>
      </sheetData>
      <sheetData sheetId="9160">
        <row r="1">
          <cell r="A1" t="str">
            <v>PHIẾU XỬ LÝ HỒ SƠ THANH TOÁN VƯỢT THẨM QUYỀN PD</v>
          </cell>
        </row>
      </sheetData>
      <sheetData sheetId="9161">
        <row r="1">
          <cell r="A1" t="str">
            <v>PHIẾU XỬ LÝ HỒ SƠ THANH TOÁN VƯỢT THẨM QUYỀN PD</v>
          </cell>
        </row>
      </sheetData>
      <sheetData sheetId="9162">
        <row r="1">
          <cell r="A1" t="str">
            <v>PHIẾU XỬ LÝ HỒ SƠ THANH TOÁN VƯỢT THẨM QUYỀN PD</v>
          </cell>
        </row>
      </sheetData>
      <sheetData sheetId="9163">
        <row r="1">
          <cell r="A1" t="str">
            <v>PHIẾU XỬ LÝ HỒ SƠ THANH TOÁN VƯỢT THẨM QUYỀN PD</v>
          </cell>
        </row>
      </sheetData>
      <sheetData sheetId="9164">
        <row r="1">
          <cell r="A1" t="str">
            <v>PHIẾU XỬ LÝ HỒ SƠ THANH TOÁN VƯỢT THẨM QUYỀN PD</v>
          </cell>
        </row>
      </sheetData>
      <sheetData sheetId="9165">
        <row r="1">
          <cell r="A1" t="str">
            <v>PHIẾU XỬ LÝ HỒ SƠ THANH TOÁN VƯỢT THẨM QUYỀN PD</v>
          </cell>
        </row>
      </sheetData>
      <sheetData sheetId="9166">
        <row r="1">
          <cell r="A1" t="str">
            <v>PHIẾU XỬ LÝ HỒ SƠ THANH TOÁN VƯỢT THẨM QUYỀN PD</v>
          </cell>
        </row>
      </sheetData>
      <sheetData sheetId="9167">
        <row r="1">
          <cell r="A1" t="str">
            <v>PHIẾU XỬ LÝ HỒ SƠ THANH TOÁN VƯỢT THẨM QUYỀN PD</v>
          </cell>
        </row>
      </sheetData>
      <sheetData sheetId="9168">
        <row r="1">
          <cell r="A1" t="str">
            <v>PHIẾU XỬ LÝ HỒ SƠ THANH TOÁN VƯỢT THẨM QUYỀN PD</v>
          </cell>
        </row>
      </sheetData>
      <sheetData sheetId="9169">
        <row r="1">
          <cell r="A1" t="str">
            <v>PHIẾU XỬ LÝ HỒ SƠ THANH TOÁN VƯỢT THẨM QUYỀN PD</v>
          </cell>
        </row>
      </sheetData>
      <sheetData sheetId="9170">
        <row r="1">
          <cell r="A1" t="str">
            <v>PHIẾU XỬ LÝ HỒ SƠ THANH TOÁN VƯỢT THẨM QUYỀN PD</v>
          </cell>
        </row>
      </sheetData>
      <sheetData sheetId="9171">
        <row r="1">
          <cell r="A1" t="str">
            <v>PHIẾU XỬ LÝ HỒ SƠ THANH TOÁN VƯỢT THẨM QUYỀN PD</v>
          </cell>
        </row>
      </sheetData>
      <sheetData sheetId="9172">
        <row r="1">
          <cell r="A1" t="str">
            <v>PHIẾU XỬ LÝ HỒ SƠ THANH TOÁN VƯỢT THẨM QUYỀN PD</v>
          </cell>
        </row>
      </sheetData>
      <sheetData sheetId="9173">
        <row r="1">
          <cell r="A1" t="str">
            <v>PHIẾU XỬ LÝ HỒ SƠ THANH TOÁN VƯỢT THẨM QUYỀN PD</v>
          </cell>
        </row>
      </sheetData>
      <sheetData sheetId="9174">
        <row r="1">
          <cell r="A1" t="str">
            <v>PHIẾU XỬ LÝ HỒ SƠ THANH TOÁN VƯỢT THẨM QUYỀN PD</v>
          </cell>
        </row>
      </sheetData>
      <sheetData sheetId="9175">
        <row r="1">
          <cell r="A1" t="str">
            <v>PHIẾU XỬ LÝ HỒ SƠ THANH TOÁN VƯỢT THẨM QUYỀN PD</v>
          </cell>
        </row>
      </sheetData>
      <sheetData sheetId="9176">
        <row r="1">
          <cell r="A1" t="str">
            <v>PHIẾU XỬ LÝ HỒ SƠ THANH TOÁN VƯỢT THẨM QUYỀN PD</v>
          </cell>
        </row>
      </sheetData>
      <sheetData sheetId="9177">
        <row r="1">
          <cell r="A1" t="str">
            <v>PHIẾU XỬ LÝ HỒ SƠ THANH TOÁN VƯỢT THẨM QUYỀN PD</v>
          </cell>
        </row>
      </sheetData>
      <sheetData sheetId="9178">
        <row r="1">
          <cell r="A1" t="str">
            <v>PHIẾU XỬ LÝ HỒ SƠ THANH TOÁN VƯỢT THẨM QUYỀN PD</v>
          </cell>
        </row>
      </sheetData>
      <sheetData sheetId="9179">
        <row r="1">
          <cell r="A1" t="str">
            <v>PHIẾU XỬ LÝ HỒ SƠ THANH TOÁN VƯỢT THẨM QUYỀN PD</v>
          </cell>
        </row>
      </sheetData>
      <sheetData sheetId="9180">
        <row r="1">
          <cell r="A1" t="str">
            <v>PHIẾU XỬ LÝ HỒ SƠ THANH TOÁN VƯỢT THẨM QUYỀN PD</v>
          </cell>
        </row>
      </sheetData>
      <sheetData sheetId="9181">
        <row r="1">
          <cell r="A1" t="str">
            <v>PHIẾU XỬ LÝ HỒ SƠ THANH TOÁN VƯỢT THẨM QUYỀN PD</v>
          </cell>
        </row>
      </sheetData>
      <sheetData sheetId="9182">
        <row r="1">
          <cell r="A1" t="str">
            <v>PHIẾU XỬ LÝ HỒ SƠ THANH TOÁN VƯỢT THẨM QUYỀN PD</v>
          </cell>
        </row>
      </sheetData>
      <sheetData sheetId="9183">
        <row r="1">
          <cell r="A1" t="str">
            <v>PHIẾU XỬ LÝ HỒ SƠ THANH TOÁN VƯỢT THẨM QUYỀN PD</v>
          </cell>
        </row>
      </sheetData>
      <sheetData sheetId="9184">
        <row r="1">
          <cell r="A1" t="str">
            <v>PHIẾU XỬ LÝ HỒ SƠ THANH TOÁN VƯỢT THẨM QUYỀN PD</v>
          </cell>
        </row>
      </sheetData>
      <sheetData sheetId="9185">
        <row r="1">
          <cell r="A1" t="str">
            <v>PHIẾU XỬ LÝ HỒ SƠ THANH TOÁN VƯỢT THẨM QUYỀN PD</v>
          </cell>
        </row>
      </sheetData>
      <sheetData sheetId="9186">
        <row r="1">
          <cell r="A1" t="str">
            <v>PHIẾU XỬ LÝ HỒ SƠ THANH TOÁN VƯỢT THẨM QUYỀN PD</v>
          </cell>
        </row>
      </sheetData>
      <sheetData sheetId="9187">
        <row r="1">
          <cell r="A1" t="str">
            <v>PHIẾU XỬ LÝ HỒ SƠ THANH TOÁN VƯỢT THẨM QUYỀN PD</v>
          </cell>
        </row>
      </sheetData>
      <sheetData sheetId="9188">
        <row r="1">
          <cell r="A1" t="str">
            <v>PHIẾU XỬ LÝ HỒ SƠ THANH TOÁN VƯỢT THẨM QUYỀN PD</v>
          </cell>
        </row>
      </sheetData>
      <sheetData sheetId="9189">
        <row r="1">
          <cell r="A1" t="str">
            <v>PHIẾU XỬ LÝ HỒ SƠ THANH TOÁN VƯỢT THẨM QUYỀN PD</v>
          </cell>
        </row>
      </sheetData>
      <sheetData sheetId="9190">
        <row r="1">
          <cell r="A1" t="str">
            <v>PHIẾU XỬ LÝ HỒ SƠ THANH TOÁN VƯỢT THẨM QUYỀN PD</v>
          </cell>
        </row>
      </sheetData>
      <sheetData sheetId="9191">
        <row r="1">
          <cell r="A1" t="str">
            <v>PHIẾU XỬ LÝ HỒ SƠ THANH TOÁN VƯỢT THẨM QUYỀN PD</v>
          </cell>
        </row>
      </sheetData>
      <sheetData sheetId="9192">
        <row r="1">
          <cell r="A1" t="str">
            <v>PHIẾU XỬ LÝ HỒ SƠ THANH TOÁN VƯỢT THẨM QUYỀN PD</v>
          </cell>
        </row>
      </sheetData>
      <sheetData sheetId="9193">
        <row r="1">
          <cell r="A1" t="str">
            <v>PHIẾU XỬ LÝ HỒ SƠ THANH TOÁN VƯỢT THẨM QUYỀN PD</v>
          </cell>
        </row>
      </sheetData>
      <sheetData sheetId="9194">
        <row r="1">
          <cell r="A1" t="str">
            <v>PHIẾU XỬ LÝ HỒ SƠ THANH TOÁN VƯỢT THẨM QUYỀN PD</v>
          </cell>
        </row>
      </sheetData>
      <sheetData sheetId="9195">
        <row r="1">
          <cell r="A1" t="str">
            <v>PHIẾU XỬ LÝ HỒ SƠ THANH TOÁN VƯỢT THẨM QUYỀN PD</v>
          </cell>
        </row>
      </sheetData>
      <sheetData sheetId="9196">
        <row r="1">
          <cell r="A1" t="str">
            <v>PHIẾU XỬ LÝ HỒ SƠ THANH TOÁN VƯỢT THẨM QUYỀN PD</v>
          </cell>
        </row>
      </sheetData>
      <sheetData sheetId="9197">
        <row r="1">
          <cell r="A1" t="str">
            <v>PHIẾU XỬ LÝ HỒ SƠ THANH TOÁN VƯỢT THẨM QUYỀN PD</v>
          </cell>
        </row>
      </sheetData>
      <sheetData sheetId="9198">
        <row r="1">
          <cell r="A1" t="str">
            <v>PHIẾU XỬ LÝ HỒ SƠ THANH TOÁN VƯỢT THẨM QUYỀN PD</v>
          </cell>
        </row>
      </sheetData>
      <sheetData sheetId="9199">
        <row r="1">
          <cell r="A1" t="str">
            <v>PHIẾU XỬ LÝ HỒ SƠ THANH TOÁN VƯỢT THẨM QUYỀN PD</v>
          </cell>
        </row>
      </sheetData>
      <sheetData sheetId="9200">
        <row r="1">
          <cell r="A1" t="str">
            <v>PHIẾU XỬ LÝ HỒ SƠ THANH TOÁN VƯỢT THẨM QUYỀN PD</v>
          </cell>
        </row>
      </sheetData>
      <sheetData sheetId="9201">
        <row r="1">
          <cell r="A1" t="str">
            <v>PHIẾU XỬ LÝ HỒ SƠ THANH TOÁN VƯỢT THẨM QUYỀN PD</v>
          </cell>
        </row>
      </sheetData>
      <sheetData sheetId="9202">
        <row r="1">
          <cell r="A1" t="str">
            <v>PHIẾU XỬ LÝ HỒ SƠ THANH TOÁN VƯỢT THẨM QUYỀN PD</v>
          </cell>
        </row>
      </sheetData>
      <sheetData sheetId="9203">
        <row r="1">
          <cell r="A1" t="str">
            <v>PHIẾU XỬ LÝ HỒ SƠ THANH TOÁN VƯỢT THẨM QUYỀN PD</v>
          </cell>
        </row>
      </sheetData>
      <sheetData sheetId="9204">
        <row r="1">
          <cell r="A1" t="str">
            <v>PHIẾU XỬ LÝ HỒ SƠ THANH TOÁN VƯỢT THẨM QUYỀN PD</v>
          </cell>
        </row>
      </sheetData>
      <sheetData sheetId="9205">
        <row r="1">
          <cell r="A1" t="str">
            <v>PHIẾU XỬ LÝ HỒ SƠ THANH TOÁN VƯỢT THẨM QUYỀN PD</v>
          </cell>
        </row>
      </sheetData>
      <sheetData sheetId="9206">
        <row r="1">
          <cell r="A1" t="str">
            <v>PHIẾU XỬ LÝ HỒ SƠ THANH TOÁN VƯỢT THẨM QUYỀN PD</v>
          </cell>
        </row>
      </sheetData>
      <sheetData sheetId="9207">
        <row r="1">
          <cell r="A1" t="str">
            <v>PHIẾU XỬ LÝ HỒ SƠ THANH TOÁN VƯỢT THẨM QUYỀN PD</v>
          </cell>
        </row>
      </sheetData>
      <sheetData sheetId="9208">
        <row r="1">
          <cell r="A1" t="str">
            <v>PHIẾU XỬ LÝ HỒ SƠ THANH TOÁN VƯỢT THẨM QUYỀN PD</v>
          </cell>
        </row>
      </sheetData>
      <sheetData sheetId="9209">
        <row r="1">
          <cell r="A1" t="str">
            <v>PHIẾU XỬ LÝ HỒ SƠ THANH TOÁN VƯỢT THẨM QUYỀN PD</v>
          </cell>
        </row>
      </sheetData>
      <sheetData sheetId="9210">
        <row r="1">
          <cell r="A1" t="str">
            <v>PHIẾU XỬ LÝ HỒ SƠ THANH TOÁN VƯỢT THẨM QUYỀN PD</v>
          </cell>
        </row>
      </sheetData>
      <sheetData sheetId="9211">
        <row r="1">
          <cell r="A1" t="str">
            <v>PHIẾU XỬ LÝ HỒ SƠ THANH TOÁN VƯỢT THẨM QUYỀN PD</v>
          </cell>
        </row>
      </sheetData>
      <sheetData sheetId="9212">
        <row r="1">
          <cell r="A1" t="str">
            <v>PHIẾU XỬ LÝ HỒ SƠ THANH TOÁN VƯỢT THẨM QUYỀN PD</v>
          </cell>
        </row>
      </sheetData>
      <sheetData sheetId="9213">
        <row r="1">
          <cell r="A1" t="str">
            <v>PHIẾU XỬ LÝ HỒ SƠ THANH TOÁN VƯỢT THẨM QUYỀN PD</v>
          </cell>
        </row>
      </sheetData>
      <sheetData sheetId="9214">
        <row r="1">
          <cell r="A1" t="str">
            <v>PHIẾU XỬ LÝ HỒ SƠ THANH TOÁN VƯỢT THẨM QUYỀN PD</v>
          </cell>
        </row>
      </sheetData>
      <sheetData sheetId="9215">
        <row r="1">
          <cell r="A1" t="str">
            <v>PHIẾU XỬ LÝ HỒ SƠ THANH TOÁN VƯỢT THẨM QUYỀN PD</v>
          </cell>
        </row>
      </sheetData>
      <sheetData sheetId="9216">
        <row r="1">
          <cell r="A1" t="str">
            <v>PHIẾU XỬ LÝ HỒ SƠ THANH TOÁN VƯỢT THẨM QUYỀN PD</v>
          </cell>
        </row>
      </sheetData>
      <sheetData sheetId="9217">
        <row r="1">
          <cell r="A1" t="str">
            <v>PHIẾU XỬ LÝ HỒ SƠ THANH TOÁN VƯỢT THẨM QUYỀN PD</v>
          </cell>
        </row>
      </sheetData>
      <sheetData sheetId="9218">
        <row r="1">
          <cell r="A1" t="str">
            <v>PHIẾU XỬ LÝ HỒ SƠ THANH TOÁN VƯỢT THẨM QUYỀN PD</v>
          </cell>
        </row>
      </sheetData>
      <sheetData sheetId="9219">
        <row r="1">
          <cell r="A1" t="str">
            <v>PHIẾU XỬ LÝ HỒ SƠ THANH TOÁN VƯỢT THẨM QUYỀN PD</v>
          </cell>
        </row>
      </sheetData>
      <sheetData sheetId="9220">
        <row r="1">
          <cell r="A1" t="str">
            <v>PHIẾU XỬ LÝ HỒ SƠ THANH TOÁN VƯỢT THẨM QUYỀN PD</v>
          </cell>
        </row>
      </sheetData>
      <sheetData sheetId="9221">
        <row r="1">
          <cell r="A1" t="str">
            <v>PHIẾU XỬ LÝ HỒ SƠ THANH TOÁN VƯỢT THẨM QUYỀN PD</v>
          </cell>
        </row>
      </sheetData>
      <sheetData sheetId="9222">
        <row r="1">
          <cell r="A1" t="str">
            <v>PHIẾU XỬ LÝ HỒ SƠ THANH TOÁN VƯỢT THẨM QUYỀN PD</v>
          </cell>
        </row>
      </sheetData>
      <sheetData sheetId="9223">
        <row r="1">
          <cell r="A1" t="str">
            <v>PHIẾU XỬ LÝ HỒ SƠ THANH TOÁN VƯỢT THẨM QUYỀN PD</v>
          </cell>
        </row>
      </sheetData>
      <sheetData sheetId="9224">
        <row r="1">
          <cell r="A1" t="str">
            <v>PHIẾU XỬ LÝ HỒ SƠ THANH TOÁN VƯỢT THẨM QUYỀN PD</v>
          </cell>
        </row>
      </sheetData>
      <sheetData sheetId="9225">
        <row r="1">
          <cell r="A1" t="str">
            <v>PHIẾU XỬ LÝ HỒ SƠ THANH TOÁN VƯỢT THẨM QUYỀN PD</v>
          </cell>
        </row>
      </sheetData>
      <sheetData sheetId="9226">
        <row r="1">
          <cell r="A1" t="str">
            <v>PHIẾU XỬ LÝ HỒ SƠ THANH TOÁN VƯỢT THẨM QUYỀN PD</v>
          </cell>
        </row>
      </sheetData>
      <sheetData sheetId="9227">
        <row r="1">
          <cell r="A1" t="str">
            <v>PHIẾU XỬ LÝ HỒ SƠ THANH TOÁN VƯỢT THẨM QUYỀN PD</v>
          </cell>
        </row>
      </sheetData>
      <sheetData sheetId="9228">
        <row r="1">
          <cell r="A1" t="str">
            <v>PHIẾU XỬ LÝ HỒ SƠ THANH TOÁN VƯỢT THẨM QUYỀN PD</v>
          </cell>
        </row>
      </sheetData>
      <sheetData sheetId="9229">
        <row r="1">
          <cell r="A1" t="str">
            <v>PHIẾU XỬ LÝ HỒ SƠ THANH TOÁN VƯỢT THẨM QUYỀN PD</v>
          </cell>
        </row>
      </sheetData>
      <sheetData sheetId="9230">
        <row r="1">
          <cell r="A1" t="str">
            <v>PHIẾU XỬ LÝ HỒ SƠ THANH TOÁN VƯỢT THẨM QUYỀN PD</v>
          </cell>
        </row>
      </sheetData>
      <sheetData sheetId="9231">
        <row r="1">
          <cell r="A1" t="str">
            <v>PHIẾU XỬ LÝ HỒ SƠ THANH TOÁN VƯỢT THẨM QUYỀN PD</v>
          </cell>
        </row>
      </sheetData>
      <sheetData sheetId="9232">
        <row r="1">
          <cell r="A1" t="str">
            <v>PHIẾU XỬ LÝ HỒ SƠ THANH TOÁN VƯỢT THẨM QUYỀN PD</v>
          </cell>
        </row>
      </sheetData>
      <sheetData sheetId="9233">
        <row r="1">
          <cell r="A1" t="str">
            <v>PHIẾU XỬ LÝ HỒ SƠ THANH TOÁN VƯỢT THẨM QUYỀN PD</v>
          </cell>
        </row>
      </sheetData>
      <sheetData sheetId="9234">
        <row r="1">
          <cell r="A1" t="str">
            <v>PHIẾU XỬ LÝ HỒ SƠ THANH TOÁN VƯỢT THẨM QUYỀN PD</v>
          </cell>
        </row>
      </sheetData>
      <sheetData sheetId="9235">
        <row r="1">
          <cell r="A1" t="str">
            <v>PHIẾU XỬ LÝ HỒ SƠ THANH TOÁN VƯỢT THẨM QUYỀN PD</v>
          </cell>
        </row>
      </sheetData>
      <sheetData sheetId="9236">
        <row r="1">
          <cell r="A1" t="str">
            <v>PHIẾU XỬ LÝ HỒ SƠ THANH TOÁN VƯỢT THẨM QUYỀN PD</v>
          </cell>
        </row>
      </sheetData>
      <sheetData sheetId="9237">
        <row r="1">
          <cell r="A1" t="str">
            <v>PHIẾU XỬ LÝ HỒ SƠ THANH TOÁN VƯỢT THẨM QUYỀN PD</v>
          </cell>
        </row>
      </sheetData>
      <sheetData sheetId="9238">
        <row r="1">
          <cell r="A1" t="str">
            <v>PHIẾU XỬ LÝ HỒ SƠ THANH TOÁN VƯỢT THẨM QUYỀN PD</v>
          </cell>
        </row>
      </sheetData>
      <sheetData sheetId="9239">
        <row r="1">
          <cell r="A1" t="str">
            <v>PHIẾU XỬ LÝ HỒ SƠ THANH TOÁN VƯỢT THẨM QUYỀN PD</v>
          </cell>
        </row>
      </sheetData>
      <sheetData sheetId="9240">
        <row r="1">
          <cell r="A1" t="str">
            <v>PHIẾU XỬ LÝ HỒ SƠ THANH TOÁN VƯỢT THẨM QUYỀN PD</v>
          </cell>
        </row>
      </sheetData>
      <sheetData sheetId="9241">
        <row r="1">
          <cell r="A1" t="str">
            <v>PHIẾU XỬ LÝ HỒ SƠ THANH TOÁN VƯỢT THẨM QUYỀN PD</v>
          </cell>
        </row>
      </sheetData>
      <sheetData sheetId="9242">
        <row r="1">
          <cell r="A1" t="str">
            <v>PHIẾU XỬ LÝ HỒ SƠ THANH TOÁN VƯỢT THẨM QUYỀN PD</v>
          </cell>
        </row>
      </sheetData>
      <sheetData sheetId="9243">
        <row r="1">
          <cell r="A1" t="str">
            <v>PHIẾU XỬ LÝ HỒ SƠ THANH TOÁN VƯỢT THẨM QUYỀN PD</v>
          </cell>
        </row>
      </sheetData>
      <sheetData sheetId="9244">
        <row r="1">
          <cell r="A1" t="str">
            <v>PHIẾU XỬ LÝ HỒ SƠ THANH TOÁN VƯỢT THẨM QUYỀN PD</v>
          </cell>
        </row>
      </sheetData>
      <sheetData sheetId="9245">
        <row r="1">
          <cell r="A1" t="str">
            <v>PHIẾU XỬ LÝ HỒ SƠ THANH TOÁN VƯỢT THẨM QUYỀN PD</v>
          </cell>
        </row>
      </sheetData>
      <sheetData sheetId="9246">
        <row r="1">
          <cell r="A1" t="str">
            <v>PHIẾU XỬ LÝ HỒ SƠ THANH TOÁN VƯỢT THẨM QUYỀN PD</v>
          </cell>
        </row>
      </sheetData>
      <sheetData sheetId="9247">
        <row r="1">
          <cell r="A1" t="str">
            <v>PHIẾU XỬ LÝ HỒ SƠ THANH TOÁN VƯỢT THẨM QUYỀN PD</v>
          </cell>
        </row>
      </sheetData>
      <sheetData sheetId="9248">
        <row r="1">
          <cell r="A1" t="str">
            <v>PHIẾU XỬ LÝ HỒ SƠ THANH TOÁN VƯỢT THẨM QUYỀN PD</v>
          </cell>
        </row>
      </sheetData>
      <sheetData sheetId="9249">
        <row r="1">
          <cell r="A1" t="str">
            <v>PHIẾU XỬ LÝ HỒ SƠ THANH TOÁN VƯỢT THẨM QUYỀN PD</v>
          </cell>
        </row>
      </sheetData>
      <sheetData sheetId="9250">
        <row r="1">
          <cell r="A1" t="str">
            <v>PHIẾU XỬ LÝ HỒ SƠ THANH TOÁN VƯỢT THẨM QUYỀN PD</v>
          </cell>
        </row>
      </sheetData>
      <sheetData sheetId="9251">
        <row r="1">
          <cell r="A1" t="str">
            <v>PHIẾU XỬ LÝ HỒ SƠ THANH TOÁN VƯỢT THẨM QUYỀN PD</v>
          </cell>
        </row>
      </sheetData>
      <sheetData sheetId="9252">
        <row r="1">
          <cell r="A1" t="str">
            <v>PHIẾU XỬ LÝ HỒ SƠ THANH TOÁN VƯỢT THẨM QUYỀN PD</v>
          </cell>
        </row>
      </sheetData>
      <sheetData sheetId="9253">
        <row r="1">
          <cell r="A1" t="str">
            <v>PHIẾU XỬ LÝ HỒ SƠ THANH TOÁN VƯỢT THẨM QUYỀN PD</v>
          </cell>
        </row>
      </sheetData>
      <sheetData sheetId="9254">
        <row r="1">
          <cell r="A1" t="str">
            <v>PHIẾU XỬ LÝ HỒ SƠ THANH TOÁN VƯỢT THẨM QUYỀN PD</v>
          </cell>
        </row>
      </sheetData>
      <sheetData sheetId="9255">
        <row r="1">
          <cell r="A1" t="str">
            <v>PHIẾU XỬ LÝ HỒ SƠ THANH TOÁN VƯỢT THẨM QUYỀN PD</v>
          </cell>
        </row>
      </sheetData>
      <sheetData sheetId="9256">
        <row r="1">
          <cell r="A1" t="str">
            <v>PHIẾU XỬ LÝ HỒ SƠ THANH TOÁN VƯỢT THẨM QUYỀN PD</v>
          </cell>
        </row>
      </sheetData>
      <sheetData sheetId="9257">
        <row r="1">
          <cell r="A1" t="str">
            <v>PHIẾU XỬ LÝ HỒ SƠ THANH TOÁN VƯỢT THẨM QUYỀN PD</v>
          </cell>
        </row>
      </sheetData>
      <sheetData sheetId="9258">
        <row r="1">
          <cell r="A1" t="str">
            <v>PHIẾU XỬ LÝ HỒ SƠ THANH TOÁN VƯỢT THẨM QUYỀN PD</v>
          </cell>
        </row>
      </sheetData>
      <sheetData sheetId="9259">
        <row r="1">
          <cell r="A1" t="str">
            <v>PHIẾU XỬ LÝ HỒ SƠ THANH TOÁN VƯỢT THẨM QUYỀN PD</v>
          </cell>
        </row>
      </sheetData>
      <sheetData sheetId="9260">
        <row r="1">
          <cell r="A1" t="str">
            <v>PHIẾU XỬ LÝ HỒ SƠ THANH TOÁN VƯỢT THẨM QUYỀN PD</v>
          </cell>
        </row>
      </sheetData>
      <sheetData sheetId="9261">
        <row r="1">
          <cell r="A1" t="str">
            <v>PHIẾU XỬ LÝ HỒ SƠ THANH TOÁN VƯỢT THẨM QUYỀN PD</v>
          </cell>
        </row>
      </sheetData>
      <sheetData sheetId="9262">
        <row r="1">
          <cell r="A1" t="str">
            <v>PHIẾU XỬ LÝ HỒ SƠ THANH TOÁN VƯỢT THẨM QUYỀN PD</v>
          </cell>
        </row>
      </sheetData>
      <sheetData sheetId="9263">
        <row r="1">
          <cell r="A1" t="str">
            <v>PHIẾU XỬ LÝ HỒ SƠ THANH TOÁN VƯỢT THẨM QUYỀN PD</v>
          </cell>
        </row>
      </sheetData>
      <sheetData sheetId="9264">
        <row r="1">
          <cell r="A1" t="str">
            <v>PHIẾU XỬ LÝ HỒ SƠ THANH TOÁN VƯỢT THẨM QUYỀN PD</v>
          </cell>
        </row>
      </sheetData>
      <sheetData sheetId="9265">
        <row r="1">
          <cell r="A1" t="str">
            <v>PHIẾU XỬ LÝ HỒ SƠ THANH TOÁN VƯỢT THẨM QUYỀN PD</v>
          </cell>
        </row>
      </sheetData>
      <sheetData sheetId="9266">
        <row r="1">
          <cell r="A1" t="str">
            <v>PHIẾU XỬ LÝ HỒ SƠ THANH TOÁN VƯỢT THẨM QUYỀN PD</v>
          </cell>
        </row>
      </sheetData>
      <sheetData sheetId="9267">
        <row r="1">
          <cell r="A1" t="str">
            <v>PHIẾU XỬ LÝ HỒ SƠ THANH TOÁN VƯỢT THẨM QUYỀN PD</v>
          </cell>
        </row>
      </sheetData>
      <sheetData sheetId="9268">
        <row r="1">
          <cell r="A1" t="str">
            <v>PHIẾU XỬ LÝ HỒ SƠ THANH TOÁN VƯỢT THẨM QUYỀN PD</v>
          </cell>
        </row>
      </sheetData>
      <sheetData sheetId="9269">
        <row r="1">
          <cell r="A1" t="str">
            <v>PHIẾU XỬ LÝ HỒ SƠ THANH TOÁN VƯỢT THẨM QUYỀN PD</v>
          </cell>
        </row>
      </sheetData>
      <sheetData sheetId="9270">
        <row r="1">
          <cell r="A1" t="str">
            <v>PHIẾU XỬ LÝ HỒ SƠ THANH TOÁN VƯỢT THẨM QUYỀN PD</v>
          </cell>
        </row>
      </sheetData>
      <sheetData sheetId="9271">
        <row r="1">
          <cell r="A1" t="str">
            <v>PHIẾU XỬ LÝ HỒ SƠ THANH TOÁN VƯỢT THẨM QUYỀN PD</v>
          </cell>
        </row>
      </sheetData>
      <sheetData sheetId="9272">
        <row r="1">
          <cell r="A1" t="str">
            <v>PHIẾU XỬ LÝ HỒ SƠ THANH TOÁN VƯỢT THẨM QUYỀN PD</v>
          </cell>
        </row>
      </sheetData>
      <sheetData sheetId="9273">
        <row r="1">
          <cell r="A1" t="str">
            <v>PHIẾU XỬ LÝ HỒ SƠ THANH TOÁN VƯỢT THẨM QUYỀN PD</v>
          </cell>
        </row>
      </sheetData>
      <sheetData sheetId="9274">
        <row r="1">
          <cell r="A1" t="str">
            <v>PHIẾU XỬ LÝ HỒ SƠ THANH TOÁN VƯỢT THẨM QUYỀN PD</v>
          </cell>
        </row>
      </sheetData>
      <sheetData sheetId="9275">
        <row r="1">
          <cell r="A1" t="str">
            <v>PHIẾU XỬ LÝ HỒ SƠ THANH TOÁN VƯỢT THẨM QUYỀN PD</v>
          </cell>
        </row>
      </sheetData>
      <sheetData sheetId="9276">
        <row r="1">
          <cell r="A1" t="str">
            <v>PHIẾU XỬ LÝ HỒ SƠ THANH TOÁN VƯỢT THẨM QUYỀN PD</v>
          </cell>
        </row>
      </sheetData>
      <sheetData sheetId="9277">
        <row r="1">
          <cell r="A1" t="str">
            <v>PHIẾU XỬ LÝ HỒ SƠ THANH TOÁN VƯỢT THẨM QUYỀN PD</v>
          </cell>
        </row>
      </sheetData>
      <sheetData sheetId="9278">
        <row r="1">
          <cell r="A1" t="str">
            <v>PHIẾU XỬ LÝ HỒ SƠ THANH TOÁN VƯỢT THẨM QUYỀN PD</v>
          </cell>
        </row>
      </sheetData>
      <sheetData sheetId="9279">
        <row r="1">
          <cell r="A1" t="str">
            <v>PHIẾU XỬ LÝ HỒ SƠ THANH TOÁN VƯỢT THẨM QUYỀN PD</v>
          </cell>
        </row>
      </sheetData>
      <sheetData sheetId="9280">
        <row r="1">
          <cell r="A1" t="str">
            <v>PHIẾU XỬ LÝ HỒ SƠ THANH TOÁN VƯỢT THẨM QUYỀN PD</v>
          </cell>
        </row>
      </sheetData>
      <sheetData sheetId="9281">
        <row r="1">
          <cell r="A1" t="str">
            <v>PHIẾU XỬ LÝ HỒ SƠ THANH TOÁN VƯỢT THẨM QUYỀN PD</v>
          </cell>
        </row>
      </sheetData>
      <sheetData sheetId="9282">
        <row r="1">
          <cell r="A1" t="str">
            <v>PHIẾU XỬ LÝ HỒ SƠ THANH TOÁN VƯỢT THẨM QUYỀN PD</v>
          </cell>
        </row>
      </sheetData>
      <sheetData sheetId="9283">
        <row r="1">
          <cell r="A1" t="str">
            <v>PHIẾU XỬ LÝ HỒ SƠ THANH TOÁN VƯỢT THẨM QUYỀN PD</v>
          </cell>
        </row>
      </sheetData>
      <sheetData sheetId="9284">
        <row r="1">
          <cell r="A1" t="str">
            <v>PHIẾU XỬ LÝ HỒ SƠ THANH TOÁN VƯỢT THẨM QUYỀN PD</v>
          </cell>
        </row>
      </sheetData>
      <sheetData sheetId="9285">
        <row r="1">
          <cell r="A1" t="str">
            <v>PHIẾU XỬ LÝ HỒ SƠ THANH TOÁN VƯỢT THẨM QUYỀN PD</v>
          </cell>
        </row>
      </sheetData>
      <sheetData sheetId="9286">
        <row r="1">
          <cell r="A1" t="str">
            <v>PHIẾU XỬ LÝ HỒ SƠ THANH TOÁN VƯỢT THẨM QUYỀN PD</v>
          </cell>
        </row>
      </sheetData>
      <sheetData sheetId="9287">
        <row r="1">
          <cell r="A1" t="str">
            <v>PHIẾU XỬ LÝ HỒ SƠ THANH TOÁN VƯỢT THẨM QUYỀN PD</v>
          </cell>
        </row>
      </sheetData>
      <sheetData sheetId="9288">
        <row r="1">
          <cell r="A1" t="str">
            <v>PHIẾU XỬ LÝ HỒ SƠ THANH TOÁN VƯỢT THẨM QUYỀN PD</v>
          </cell>
        </row>
      </sheetData>
      <sheetData sheetId="9289">
        <row r="1">
          <cell r="A1" t="str">
            <v>PHIẾU XỬ LÝ HỒ SƠ THANH TOÁN VƯỢT THẨM QUYỀN PD</v>
          </cell>
        </row>
      </sheetData>
      <sheetData sheetId="9290">
        <row r="1">
          <cell r="A1" t="str">
            <v>PHIẾU XỬ LÝ HỒ SƠ THANH TOÁN VƯỢT THẨM QUYỀN PD</v>
          </cell>
        </row>
      </sheetData>
      <sheetData sheetId="9291">
        <row r="1">
          <cell r="A1" t="str">
            <v>PHIẾU XỬ LÝ HỒ SƠ THANH TOÁN VƯỢT THẨM QUYỀN PD</v>
          </cell>
        </row>
      </sheetData>
      <sheetData sheetId="9292">
        <row r="1">
          <cell r="A1" t="str">
            <v>PHIẾU XỬ LÝ HỒ SƠ THANH TOÁN VƯỢT THẨM QUYỀN PD</v>
          </cell>
        </row>
      </sheetData>
      <sheetData sheetId="9293">
        <row r="1">
          <cell r="A1" t="str">
            <v>PHIẾU XỬ LÝ HỒ SƠ THANH TOÁN VƯỢT THẨM QUYỀN PD</v>
          </cell>
        </row>
      </sheetData>
      <sheetData sheetId="9294">
        <row r="1">
          <cell r="A1" t="str">
            <v>PHIẾU XỬ LÝ HỒ SƠ THANH TOÁN VƯỢT THẨM QUYỀN PD</v>
          </cell>
        </row>
      </sheetData>
      <sheetData sheetId="9295">
        <row r="1">
          <cell r="A1" t="str">
            <v>PHIẾU XỬ LÝ HỒ SƠ THANH TOÁN VƯỢT THẨM QUYỀN PD</v>
          </cell>
        </row>
      </sheetData>
      <sheetData sheetId="9296">
        <row r="1">
          <cell r="A1" t="str">
            <v>PHIẾU XỬ LÝ HỒ SƠ THANH TOÁN VƯỢT THẨM QUYỀN PD</v>
          </cell>
        </row>
      </sheetData>
      <sheetData sheetId="9297">
        <row r="1">
          <cell r="A1" t="str">
            <v>PHIẾU XỬ LÝ HỒ SƠ THANH TOÁN VƯỢT THẨM QUYỀN PD</v>
          </cell>
        </row>
      </sheetData>
      <sheetData sheetId="9298">
        <row r="1">
          <cell r="A1" t="str">
            <v>PHIẾU XỬ LÝ HỒ SƠ THANH TOÁN VƯỢT THẨM QUYỀN PD</v>
          </cell>
        </row>
      </sheetData>
      <sheetData sheetId="9299">
        <row r="1">
          <cell r="A1" t="str">
            <v>PHIẾU XỬ LÝ HỒ SƠ THANH TOÁN VƯỢT THẨM QUYỀN PD</v>
          </cell>
        </row>
      </sheetData>
      <sheetData sheetId="9300">
        <row r="1">
          <cell r="A1" t="str">
            <v>PHIẾU XỬ LÝ HỒ SƠ THANH TOÁN VƯỢT THẨM QUYỀN PD</v>
          </cell>
        </row>
      </sheetData>
      <sheetData sheetId="9301">
        <row r="1">
          <cell r="A1" t="str">
            <v>PHIẾU XỬ LÝ HỒ SƠ THANH TOÁN VƯỢT THẨM QUYỀN PD</v>
          </cell>
        </row>
      </sheetData>
      <sheetData sheetId="9302">
        <row r="1">
          <cell r="A1" t="str">
            <v>PHIẾU XỬ LÝ HỒ SƠ THANH TOÁN VƯỢT THẨM QUYỀN PD</v>
          </cell>
        </row>
      </sheetData>
      <sheetData sheetId="9303">
        <row r="1">
          <cell r="A1" t="str">
            <v>PHIẾU XỬ LÝ HỒ SƠ THANH TOÁN VƯỢT THẨM QUYỀN PD</v>
          </cell>
        </row>
      </sheetData>
      <sheetData sheetId="9304">
        <row r="1">
          <cell r="A1" t="str">
            <v>PHIẾU XỬ LÝ HỒ SƠ THANH TOÁN VƯỢT THẨM QUYỀN PD</v>
          </cell>
        </row>
      </sheetData>
      <sheetData sheetId="9305">
        <row r="1">
          <cell r="A1" t="str">
            <v>PHIẾU XỬ LÝ HỒ SƠ THANH TOÁN VƯỢT THẨM QUYỀN PD</v>
          </cell>
        </row>
      </sheetData>
      <sheetData sheetId="9306">
        <row r="1">
          <cell r="A1" t="str">
            <v>PHIẾU XỬ LÝ HỒ SƠ THANH TOÁN VƯỢT THẨM QUYỀN PD</v>
          </cell>
        </row>
      </sheetData>
      <sheetData sheetId="9307">
        <row r="1">
          <cell r="A1" t="str">
            <v>PHIẾU XỬ LÝ HỒ SƠ THANH TOÁN VƯỢT THẨM QUYỀN PD</v>
          </cell>
        </row>
      </sheetData>
      <sheetData sheetId="9308">
        <row r="1">
          <cell r="A1" t="str">
            <v>PHIẾU XỬ LÝ HỒ SƠ THANH TOÁN VƯỢT THẨM QUYỀN PD</v>
          </cell>
        </row>
      </sheetData>
      <sheetData sheetId="9309">
        <row r="1">
          <cell r="A1" t="str">
            <v>PHIẾU XỬ LÝ HỒ SƠ THANH TOÁN VƯỢT THẨM QUYỀN PD</v>
          </cell>
        </row>
      </sheetData>
      <sheetData sheetId="9310">
        <row r="1">
          <cell r="A1" t="str">
            <v>PHIẾU XỬ LÝ HỒ SƠ THANH TOÁN VƯỢT THẨM QUYỀN PD</v>
          </cell>
        </row>
      </sheetData>
      <sheetData sheetId="9311">
        <row r="1">
          <cell r="A1" t="str">
            <v>PHIẾU XỬ LÝ HỒ SƠ THANH TOÁN VƯỢT THẨM QUYỀN PD</v>
          </cell>
        </row>
      </sheetData>
      <sheetData sheetId="9312">
        <row r="1">
          <cell r="A1" t="str">
            <v>PHIẾU XỬ LÝ HỒ SƠ THANH TOÁN VƯỢT THẨM QUYỀN PD</v>
          </cell>
        </row>
      </sheetData>
      <sheetData sheetId="9313">
        <row r="1">
          <cell r="A1" t="str">
            <v>PHIẾU XỬ LÝ HỒ SƠ THANH TOÁN VƯỢT THẨM QUYỀN PD</v>
          </cell>
        </row>
      </sheetData>
      <sheetData sheetId="9314">
        <row r="1">
          <cell r="A1" t="str">
            <v>PHIẾU XỬ LÝ HỒ SƠ THANH TOÁN VƯỢT THẨM QUYỀN PD</v>
          </cell>
        </row>
      </sheetData>
      <sheetData sheetId="9315">
        <row r="1">
          <cell r="A1" t="str">
            <v>PHIẾU XỬ LÝ HỒ SƠ THANH TOÁN VƯỢT THẨM QUYỀN PD</v>
          </cell>
        </row>
      </sheetData>
      <sheetData sheetId="9316">
        <row r="1">
          <cell r="A1" t="str">
            <v>PHIẾU XỬ LÝ HỒ SƠ THANH TOÁN VƯỢT THẨM QUYỀN PD</v>
          </cell>
        </row>
      </sheetData>
      <sheetData sheetId="9317">
        <row r="1">
          <cell r="A1" t="str">
            <v>PHIẾU XỬ LÝ HỒ SƠ THANH TOÁN VƯỢT THẨM QUYỀN PD</v>
          </cell>
        </row>
      </sheetData>
      <sheetData sheetId="9318">
        <row r="1">
          <cell r="A1" t="str">
            <v>PHIẾU XỬ LÝ HỒ SƠ THANH TOÁN VƯỢT THẨM QUYỀN PD</v>
          </cell>
        </row>
      </sheetData>
      <sheetData sheetId="9319">
        <row r="1">
          <cell r="A1" t="str">
            <v>PHIẾU XỬ LÝ HỒ SƠ THANH TOÁN VƯỢT THẨM QUYỀN PD</v>
          </cell>
        </row>
      </sheetData>
      <sheetData sheetId="9320">
        <row r="1">
          <cell r="A1" t="str">
            <v>PHIẾU XỬ LÝ HỒ SƠ THANH TOÁN VƯỢT THẨM QUYỀN PD</v>
          </cell>
        </row>
      </sheetData>
      <sheetData sheetId="9321">
        <row r="1">
          <cell r="A1" t="str">
            <v>PHIẾU XỬ LÝ HỒ SƠ THANH TOÁN VƯỢT THẨM QUYỀN PD</v>
          </cell>
        </row>
      </sheetData>
      <sheetData sheetId="9322">
        <row r="1">
          <cell r="A1" t="str">
            <v>PHIẾU XỬ LÝ HỒ SƠ THANH TOÁN VƯỢT THẨM QUYỀN PD</v>
          </cell>
        </row>
      </sheetData>
      <sheetData sheetId="9323">
        <row r="1">
          <cell r="A1" t="str">
            <v>PHIẾU XỬ LÝ HỒ SƠ THANH TOÁN VƯỢT THẨM QUYỀN PD</v>
          </cell>
        </row>
      </sheetData>
      <sheetData sheetId="9324">
        <row r="1">
          <cell r="A1" t="str">
            <v>PHIẾU XỬ LÝ HỒ SƠ THANH TOÁN VƯỢT THẨM QUYỀN PD</v>
          </cell>
        </row>
      </sheetData>
      <sheetData sheetId="9325">
        <row r="1">
          <cell r="A1" t="str">
            <v>PHIẾU XỬ LÝ HỒ SƠ THANH TOÁN VƯỢT THẨM QUYỀN PD</v>
          </cell>
        </row>
      </sheetData>
      <sheetData sheetId="9326">
        <row r="1">
          <cell r="A1" t="str">
            <v>PHIẾU XỬ LÝ HỒ SƠ THANH TOÁN VƯỢT THẨM QUYỀN PD</v>
          </cell>
        </row>
      </sheetData>
      <sheetData sheetId="9327">
        <row r="1">
          <cell r="A1" t="str">
            <v>PHIẾU XỬ LÝ HỒ SƠ THANH TOÁN VƯỢT THẨM QUYỀN PD</v>
          </cell>
        </row>
      </sheetData>
      <sheetData sheetId="9328">
        <row r="1">
          <cell r="A1" t="str">
            <v>PHIẾU XỬ LÝ HỒ SƠ THANH TOÁN VƯỢT THẨM QUYỀN PD</v>
          </cell>
        </row>
      </sheetData>
      <sheetData sheetId="9329">
        <row r="1">
          <cell r="A1" t="str">
            <v>PHIẾU XỬ LÝ HỒ SƠ THANH TOÁN VƯỢT THẨM QUYỀN PD</v>
          </cell>
        </row>
      </sheetData>
      <sheetData sheetId="9330">
        <row r="1">
          <cell r="A1" t="str">
            <v>PHIẾU XỬ LÝ HỒ SƠ THANH TOÁN VƯỢT THẨM QUYỀN PD</v>
          </cell>
        </row>
      </sheetData>
      <sheetData sheetId="9331">
        <row r="1">
          <cell r="A1" t="str">
            <v>PHIẾU XỬ LÝ HỒ SƠ THANH TOÁN VƯỢT THẨM QUYỀN PD</v>
          </cell>
        </row>
      </sheetData>
      <sheetData sheetId="9332">
        <row r="1">
          <cell r="A1" t="str">
            <v>PHIẾU XỬ LÝ HỒ SƠ THANH TOÁN VƯỢT THẨM QUYỀN PD</v>
          </cell>
        </row>
      </sheetData>
      <sheetData sheetId="9333">
        <row r="1">
          <cell r="A1" t="str">
            <v>PHIẾU XỬ LÝ HỒ SƠ THANH TOÁN VƯỢT THẨM QUYỀN PD</v>
          </cell>
        </row>
      </sheetData>
      <sheetData sheetId="9334">
        <row r="1">
          <cell r="A1" t="str">
            <v>PHIẾU XỬ LÝ HỒ SƠ THANH TOÁN VƯỢT THẨM QUYỀN PD</v>
          </cell>
        </row>
      </sheetData>
      <sheetData sheetId="9335">
        <row r="1">
          <cell r="A1" t="str">
            <v>PHIẾU XỬ LÝ HỒ SƠ THANH TOÁN VƯỢT THẨM QUYỀN PD</v>
          </cell>
        </row>
      </sheetData>
      <sheetData sheetId="9336">
        <row r="1">
          <cell r="A1" t="str">
            <v>PHIẾU XỬ LÝ HỒ SƠ THANH TOÁN VƯỢT THẨM QUYỀN PD</v>
          </cell>
        </row>
      </sheetData>
      <sheetData sheetId="9337">
        <row r="1">
          <cell r="A1" t="str">
            <v>PHIẾU XỬ LÝ HỒ SƠ THANH TOÁN VƯỢT THẨM QUYỀN PD</v>
          </cell>
        </row>
      </sheetData>
      <sheetData sheetId="9338">
        <row r="1">
          <cell r="A1" t="str">
            <v>PHIẾU XỬ LÝ HỒ SƠ THANH TOÁN VƯỢT THẨM QUYỀN PD</v>
          </cell>
        </row>
      </sheetData>
      <sheetData sheetId="9339">
        <row r="1">
          <cell r="A1" t="str">
            <v>PHIẾU XỬ LÝ HỒ SƠ THANH TOÁN VƯỢT THẨM QUYỀN PD</v>
          </cell>
        </row>
      </sheetData>
      <sheetData sheetId="9340">
        <row r="1">
          <cell r="A1" t="str">
            <v>PHIẾU XỬ LÝ HỒ SƠ THANH TOÁN VƯỢT THẨM QUYỀN PD</v>
          </cell>
        </row>
      </sheetData>
      <sheetData sheetId="9341">
        <row r="1">
          <cell r="A1" t="str">
            <v>PHIẾU XỬ LÝ HỒ SƠ THANH TOÁN VƯỢT THẨM QUYỀN PD</v>
          </cell>
        </row>
      </sheetData>
      <sheetData sheetId="9342">
        <row r="1">
          <cell r="A1" t="str">
            <v>PHIẾU XỬ LÝ HỒ SƠ THANH TOÁN VƯỢT THẨM QUYỀN PD</v>
          </cell>
        </row>
      </sheetData>
      <sheetData sheetId="9343">
        <row r="1">
          <cell r="A1" t="str">
            <v>PHIẾU XỬ LÝ HỒ SƠ THANH TOÁN VƯỢT THẨM QUYỀN PD</v>
          </cell>
        </row>
      </sheetData>
      <sheetData sheetId="9344">
        <row r="1">
          <cell r="A1" t="str">
            <v>PHIẾU XỬ LÝ HỒ SƠ THANH TOÁN VƯỢT THẨM QUYỀN PD</v>
          </cell>
        </row>
      </sheetData>
      <sheetData sheetId="9345">
        <row r="1">
          <cell r="A1" t="str">
            <v>PHIẾU XỬ LÝ HỒ SƠ THANH TOÁN VƯỢT THẨM QUYỀN PD</v>
          </cell>
        </row>
      </sheetData>
      <sheetData sheetId="9346">
        <row r="1">
          <cell r="A1" t="str">
            <v>PHIẾU XỬ LÝ HỒ SƠ THANH TOÁN VƯỢT THẨM QUYỀN PD</v>
          </cell>
        </row>
      </sheetData>
      <sheetData sheetId="9347">
        <row r="1">
          <cell r="A1" t="str">
            <v>PHIẾU XỬ LÝ HỒ SƠ THANH TOÁN VƯỢT THẨM QUYỀN PD</v>
          </cell>
        </row>
      </sheetData>
      <sheetData sheetId="9348">
        <row r="1">
          <cell r="A1" t="str">
            <v>PHIẾU XỬ LÝ HỒ SƠ THANH TOÁN VƯỢT THẨM QUYỀN PD</v>
          </cell>
        </row>
      </sheetData>
      <sheetData sheetId="9349">
        <row r="1">
          <cell r="A1" t="str">
            <v>PHIẾU XỬ LÝ HỒ SƠ THANH TOÁN VƯỢT THẨM QUYỀN PD</v>
          </cell>
        </row>
      </sheetData>
      <sheetData sheetId="9350">
        <row r="1">
          <cell r="A1" t="str">
            <v>PHIẾU XỬ LÝ HỒ SƠ THANH TOÁN VƯỢT THẨM QUYỀN PD</v>
          </cell>
        </row>
      </sheetData>
      <sheetData sheetId="9351">
        <row r="1">
          <cell r="A1" t="str">
            <v>PHIẾU XỬ LÝ HỒ SƠ THANH TOÁN VƯỢT THẨM QUYỀN PD</v>
          </cell>
        </row>
      </sheetData>
      <sheetData sheetId="9352">
        <row r="1">
          <cell r="A1" t="str">
            <v>PHIẾU XỬ LÝ HỒ SƠ THANH TOÁN VƯỢT THẨM QUYỀN PD</v>
          </cell>
        </row>
      </sheetData>
      <sheetData sheetId="9353">
        <row r="1">
          <cell r="A1" t="str">
            <v>PHIẾU XỬ LÝ HỒ SƠ THANH TOÁN VƯỢT THẨM QUYỀN PD</v>
          </cell>
        </row>
      </sheetData>
      <sheetData sheetId="9354">
        <row r="1">
          <cell r="A1" t="str">
            <v>PHIẾU XỬ LÝ HỒ SƠ THANH TOÁN VƯỢT THẨM QUYỀN PD</v>
          </cell>
        </row>
      </sheetData>
      <sheetData sheetId="9355">
        <row r="1">
          <cell r="A1" t="str">
            <v>PHIẾU XỬ LÝ HỒ SƠ THANH TOÁN VƯỢT THẨM QUYỀN PD</v>
          </cell>
        </row>
      </sheetData>
      <sheetData sheetId="9356">
        <row r="1">
          <cell r="A1" t="str">
            <v>PHIẾU XỬ LÝ HỒ SƠ THANH TOÁN VƯỢT THẨM QUYỀN PD</v>
          </cell>
        </row>
      </sheetData>
      <sheetData sheetId="9357">
        <row r="1">
          <cell r="A1" t="str">
            <v>PHIẾU XỬ LÝ HỒ SƠ THANH TOÁN VƯỢT THẨM QUYỀN PD</v>
          </cell>
        </row>
      </sheetData>
      <sheetData sheetId="9358">
        <row r="1">
          <cell r="A1" t="str">
            <v>PHIẾU XỬ LÝ HỒ SƠ THANH TOÁN VƯỢT THẨM QUYỀN PD</v>
          </cell>
        </row>
      </sheetData>
      <sheetData sheetId="9359">
        <row r="1">
          <cell r="A1" t="str">
            <v>PHIẾU XỬ LÝ HỒ SƠ THANH TOÁN VƯỢT THẨM QUYỀN PD</v>
          </cell>
        </row>
      </sheetData>
      <sheetData sheetId="9360">
        <row r="1">
          <cell r="A1" t="str">
            <v>PHIẾU XỬ LÝ HỒ SƠ THANH TOÁN VƯỢT THẨM QUYỀN PD</v>
          </cell>
        </row>
      </sheetData>
      <sheetData sheetId="9361">
        <row r="1">
          <cell r="A1" t="str">
            <v>PHIẾU XỬ LÝ HỒ SƠ THANH TOÁN VƯỢT THẨM QUYỀN PD</v>
          </cell>
        </row>
      </sheetData>
      <sheetData sheetId="9362">
        <row r="1">
          <cell r="A1" t="str">
            <v>PHIẾU XỬ LÝ HỒ SƠ THANH TOÁN VƯỢT THẨM QUYỀN PD</v>
          </cell>
        </row>
      </sheetData>
      <sheetData sheetId="9363">
        <row r="1">
          <cell r="A1" t="str">
            <v>PHIẾU XỬ LÝ HỒ SƠ THANH TOÁN VƯỢT THẨM QUYỀN PD</v>
          </cell>
        </row>
      </sheetData>
      <sheetData sheetId="9364">
        <row r="1">
          <cell r="A1" t="str">
            <v>PHIẾU XỬ LÝ HỒ SƠ THANH TOÁN VƯỢT THẨM QUYỀN PD</v>
          </cell>
        </row>
      </sheetData>
      <sheetData sheetId="9365">
        <row r="1">
          <cell r="A1" t="str">
            <v>PHIẾU XỬ LÝ HỒ SƠ THANH TOÁN VƯỢT THẨM QUYỀN PD</v>
          </cell>
        </row>
      </sheetData>
      <sheetData sheetId="9366">
        <row r="1">
          <cell r="A1" t="str">
            <v>PHIẾU XỬ LÝ HỒ SƠ THANH TOÁN VƯỢT THẨM QUYỀN PD</v>
          </cell>
        </row>
      </sheetData>
      <sheetData sheetId="9367">
        <row r="1">
          <cell r="A1" t="str">
            <v>PHIẾU XỬ LÝ HỒ SƠ THANH TOÁN VƯỢT THẨM QUYỀN PD</v>
          </cell>
        </row>
      </sheetData>
      <sheetData sheetId="9368">
        <row r="1">
          <cell r="A1" t="str">
            <v>PHIẾU XỬ LÝ HỒ SƠ THANH TOÁN VƯỢT THẨM QUYỀN PD</v>
          </cell>
        </row>
      </sheetData>
      <sheetData sheetId="9369">
        <row r="1">
          <cell r="A1" t="str">
            <v>PHIẾU XỬ LÝ HỒ SƠ THANH TOÁN VƯỢT THẨM QUYỀN PD</v>
          </cell>
        </row>
      </sheetData>
      <sheetData sheetId="9370">
        <row r="1">
          <cell r="A1" t="str">
            <v>PHIẾU XỬ LÝ HỒ SƠ THANH TOÁN VƯỢT THẨM QUYỀN PD</v>
          </cell>
        </row>
      </sheetData>
      <sheetData sheetId="9371">
        <row r="1">
          <cell r="A1" t="str">
            <v>PHIẾU XỬ LÝ HỒ SƠ THANH TOÁN VƯỢT THẨM QUYỀN PD</v>
          </cell>
        </row>
      </sheetData>
      <sheetData sheetId="9372">
        <row r="1">
          <cell r="A1" t="str">
            <v>PHIẾU XỬ LÝ HỒ SƠ THANH TOÁN VƯỢT THẨM QUYỀN PD</v>
          </cell>
        </row>
      </sheetData>
      <sheetData sheetId="9373">
        <row r="1">
          <cell r="A1" t="str">
            <v>PHIẾU XỬ LÝ HỒ SƠ THANH TOÁN VƯỢT THẨM QUYỀN PD</v>
          </cell>
        </row>
      </sheetData>
      <sheetData sheetId="9374">
        <row r="1">
          <cell r="A1" t="str">
            <v>PHIẾU XỬ LÝ HỒ SƠ THANH TOÁN VƯỢT THẨM QUYỀN PD</v>
          </cell>
        </row>
      </sheetData>
      <sheetData sheetId="9375">
        <row r="1">
          <cell r="A1" t="str">
            <v>PHIẾU XỬ LÝ HỒ SƠ THANH TOÁN VƯỢT THẨM QUYỀN PD</v>
          </cell>
        </row>
      </sheetData>
      <sheetData sheetId="9376">
        <row r="1">
          <cell r="A1" t="str">
            <v>PHIẾU XỬ LÝ HỒ SƠ THANH TOÁN VƯỢT THẨM QUYỀN PD</v>
          </cell>
        </row>
      </sheetData>
      <sheetData sheetId="9377">
        <row r="1">
          <cell r="A1" t="str">
            <v>PHIẾU XỬ LÝ HỒ SƠ THANH TOÁN VƯỢT THẨM QUYỀN PD</v>
          </cell>
        </row>
      </sheetData>
      <sheetData sheetId="9378">
        <row r="1">
          <cell r="A1" t="str">
            <v>PHIẾU XỬ LÝ HỒ SƠ THANH TOÁN VƯỢT THẨM QUYỀN PD</v>
          </cell>
        </row>
      </sheetData>
      <sheetData sheetId="9379">
        <row r="1">
          <cell r="A1" t="str">
            <v>PHIẾU XỬ LÝ HỒ SƠ THANH TOÁN VƯỢT THẨM QUYỀN PD</v>
          </cell>
        </row>
      </sheetData>
      <sheetData sheetId="9380">
        <row r="1">
          <cell r="A1" t="str">
            <v>PHIẾU XỬ LÝ HỒ SƠ THANH TOÁN VƯỢT THẨM QUYỀN PD</v>
          </cell>
        </row>
      </sheetData>
      <sheetData sheetId="9381">
        <row r="1">
          <cell r="A1" t="str">
            <v>PHIẾU XỬ LÝ HỒ SƠ THANH TOÁN VƯỢT THẨM QUYỀN PD</v>
          </cell>
        </row>
      </sheetData>
      <sheetData sheetId="9382">
        <row r="1">
          <cell r="A1" t="str">
            <v>PHIẾU XỬ LÝ HỒ SƠ THANH TOÁN VƯỢT THẨM QUYỀN PD</v>
          </cell>
        </row>
      </sheetData>
      <sheetData sheetId="9383">
        <row r="1">
          <cell r="A1" t="str">
            <v>PHIẾU XỬ LÝ HỒ SƠ THANH TOÁN VƯỢT THẨM QUYỀN PD</v>
          </cell>
        </row>
      </sheetData>
      <sheetData sheetId="9384">
        <row r="1">
          <cell r="A1" t="str">
            <v>PHIẾU XỬ LÝ HỒ SƠ THANH TOÁN VƯỢT THẨM QUYỀN PD</v>
          </cell>
        </row>
      </sheetData>
      <sheetData sheetId="9385">
        <row r="1">
          <cell r="A1" t="str">
            <v>PHIẾU XỬ LÝ HỒ SƠ THANH TOÁN VƯỢT THẨM QUYỀN PD</v>
          </cell>
        </row>
      </sheetData>
      <sheetData sheetId="9386">
        <row r="1">
          <cell r="A1" t="str">
            <v>PHIẾU XỬ LÝ HỒ SƠ THANH TOÁN VƯỢT THẨM QUYỀN PD</v>
          </cell>
        </row>
      </sheetData>
      <sheetData sheetId="9387">
        <row r="1">
          <cell r="A1" t="str">
            <v>PHIẾU XỬ LÝ HỒ SƠ THANH TOÁN VƯỢT THẨM QUYỀN PD</v>
          </cell>
        </row>
      </sheetData>
      <sheetData sheetId="9388">
        <row r="1">
          <cell r="A1" t="str">
            <v>PHIẾU XỬ LÝ HỒ SƠ THANH TOÁN VƯỢT THẨM QUYỀN PD</v>
          </cell>
        </row>
      </sheetData>
      <sheetData sheetId="9389">
        <row r="1">
          <cell r="A1" t="str">
            <v>PHIẾU XỬ LÝ HỒ SƠ THANH TOÁN VƯỢT THẨM QUYỀN PD</v>
          </cell>
        </row>
      </sheetData>
      <sheetData sheetId="9390">
        <row r="1">
          <cell r="A1" t="str">
            <v>PHIẾU XỬ LÝ HỒ SƠ THANH TOÁN VƯỢT THẨM QUYỀN PD</v>
          </cell>
        </row>
      </sheetData>
      <sheetData sheetId="9391">
        <row r="1">
          <cell r="A1" t="str">
            <v>PHIẾU XỬ LÝ HỒ SƠ THANH TOÁN VƯỢT THẨM QUYỀN PD</v>
          </cell>
        </row>
      </sheetData>
      <sheetData sheetId="9392">
        <row r="1">
          <cell r="A1" t="str">
            <v>PHIẾU XỬ LÝ HỒ SƠ THANH TOÁN VƯỢT THẨM QUYỀN PD</v>
          </cell>
        </row>
      </sheetData>
      <sheetData sheetId="9393">
        <row r="1">
          <cell r="A1" t="str">
            <v>PHIẾU XỬ LÝ HỒ SƠ THANH TOÁN VƯỢT THẨM QUYỀN PD</v>
          </cell>
        </row>
      </sheetData>
      <sheetData sheetId="9394">
        <row r="1">
          <cell r="A1" t="str">
            <v>PHIẾU XỬ LÝ HỒ SƠ THANH TOÁN VƯỢT THẨM QUYỀN PD</v>
          </cell>
        </row>
      </sheetData>
      <sheetData sheetId="9395">
        <row r="1">
          <cell r="A1" t="str">
            <v>PHIẾU XỬ LÝ HỒ SƠ THANH TOÁN VƯỢT THẨM QUYỀN PD</v>
          </cell>
        </row>
      </sheetData>
      <sheetData sheetId="9396">
        <row r="1">
          <cell r="A1" t="str">
            <v>PHIẾU XỬ LÝ HỒ SƠ THANH TOÁN VƯỢT THẨM QUYỀN PD</v>
          </cell>
        </row>
      </sheetData>
      <sheetData sheetId="9397">
        <row r="1">
          <cell r="A1" t="str">
            <v>PHIẾU XỬ LÝ HỒ SƠ THANH TOÁN VƯỢT THẨM QUYỀN PD</v>
          </cell>
        </row>
      </sheetData>
      <sheetData sheetId="9398">
        <row r="1">
          <cell r="A1" t="str">
            <v>PHIẾU XỬ LÝ HỒ SƠ THANH TOÁN VƯỢT THẨM QUYỀN PD</v>
          </cell>
        </row>
      </sheetData>
      <sheetData sheetId="9399">
        <row r="1">
          <cell r="A1" t="str">
            <v>PHIẾU XỬ LÝ HỒ SƠ THANH TOÁN VƯỢT THẨM QUYỀN PD</v>
          </cell>
        </row>
      </sheetData>
      <sheetData sheetId="9400">
        <row r="1">
          <cell r="A1" t="str">
            <v>PHIẾU XỬ LÝ HỒ SƠ THANH TOÁN VƯỢT THẨM QUYỀN PD</v>
          </cell>
        </row>
      </sheetData>
      <sheetData sheetId="9401">
        <row r="1">
          <cell r="A1" t="str">
            <v>PHIẾU XỬ LÝ HỒ SƠ THANH TOÁN VƯỢT THẨM QUYỀN PD</v>
          </cell>
        </row>
      </sheetData>
      <sheetData sheetId="9402">
        <row r="1">
          <cell r="A1" t="str">
            <v>PHIẾU XỬ LÝ HỒ SƠ THANH TOÁN VƯỢT THẨM QUYỀN PD</v>
          </cell>
        </row>
      </sheetData>
      <sheetData sheetId="9403">
        <row r="1">
          <cell r="A1" t="str">
            <v>PHIẾU XỬ LÝ HỒ SƠ THANH TOÁN VƯỢT THẨM QUYỀN PD</v>
          </cell>
        </row>
      </sheetData>
      <sheetData sheetId="9404">
        <row r="1">
          <cell r="A1" t="str">
            <v>PHIẾU XỬ LÝ HỒ SƠ THANH TOÁN VƯỢT THẨM QUYỀN PD</v>
          </cell>
        </row>
      </sheetData>
      <sheetData sheetId="9405">
        <row r="1">
          <cell r="A1" t="str">
            <v>PHIẾU XỬ LÝ HỒ SƠ THANH TOÁN VƯỢT THẨM QUYỀN PD</v>
          </cell>
        </row>
      </sheetData>
      <sheetData sheetId="9406">
        <row r="1">
          <cell r="A1" t="str">
            <v>PHIẾU XỬ LÝ HỒ SƠ THANH TOÁN VƯỢT THẨM QUYỀN PD</v>
          </cell>
        </row>
      </sheetData>
      <sheetData sheetId="9407">
        <row r="1">
          <cell r="A1" t="str">
            <v>PHIẾU XỬ LÝ HỒ SƠ THANH TOÁN VƯỢT THẨM QUYỀN PD</v>
          </cell>
        </row>
      </sheetData>
      <sheetData sheetId="9408">
        <row r="1">
          <cell r="A1" t="str">
            <v>PHIẾU XỬ LÝ HỒ SƠ THANH TOÁN VƯỢT THẨM QUYỀN PD</v>
          </cell>
        </row>
      </sheetData>
      <sheetData sheetId="9409">
        <row r="1">
          <cell r="A1" t="str">
            <v>PHIẾU XỬ LÝ HỒ SƠ THANH TOÁN VƯỢT THẨM QUYỀN PD</v>
          </cell>
        </row>
      </sheetData>
      <sheetData sheetId="9410">
        <row r="1">
          <cell r="A1" t="str">
            <v>PHIẾU XỬ LÝ HỒ SƠ THANH TOÁN VƯỢT THẨM QUYỀN PD</v>
          </cell>
        </row>
      </sheetData>
      <sheetData sheetId="9411">
        <row r="1">
          <cell r="A1" t="str">
            <v>PHIẾU XỬ LÝ HỒ SƠ THANH TOÁN VƯỢT THẨM QUYỀN PD</v>
          </cell>
        </row>
      </sheetData>
      <sheetData sheetId="9412">
        <row r="1">
          <cell r="A1" t="str">
            <v>PHIẾU XỬ LÝ HỒ SƠ THANH TOÁN VƯỢT THẨM QUYỀN PD</v>
          </cell>
        </row>
      </sheetData>
      <sheetData sheetId="9413">
        <row r="1">
          <cell r="A1" t="str">
            <v>PHIẾU XỬ LÝ HỒ SƠ THANH TOÁN VƯỢT THẨM QUYỀN PD</v>
          </cell>
        </row>
      </sheetData>
      <sheetData sheetId="9414">
        <row r="1">
          <cell r="A1" t="str">
            <v>PHIẾU XỬ LÝ HỒ SƠ THANH TOÁN VƯỢT THẨM QUYỀN PD</v>
          </cell>
        </row>
      </sheetData>
      <sheetData sheetId="9415">
        <row r="1">
          <cell r="A1" t="str">
            <v>PHIẾU XỬ LÝ HỒ SƠ THANH TOÁN VƯỢT THẨM QUYỀN PD</v>
          </cell>
        </row>
      </sheetData>
      <sheetData sheetId="9416">
        <row r="1">
          <cell r="A1" t="str">
            <v>PHIẾU XỬ LÝ HỒ SƠ THANH TOÁN VƯỢT THẨM QUYỀN PD</v>
          </cell>
        </row>
      </sheetData>
      <sheetData sheetId="9417">
        <row r="1">
          <cell r="A1" t="str">
            <v>PHIẾU XỬ LÝ HỒ SƠ THANH TOÁN VƯỢT THẨM QUYỀN PD</v>
          </cell>
        </row>
      </sheetData>
      <sheetData sheetId="9418">
        <row r="1">
          <cell r="A1" t="str">
            <v>PHIẾU XỬ LÝ HỒ SƠ THANH TOÁN VƯỢT THẨM QUYỀN PD</v>
          </cell>
        </row>
      </sheetData>
      <sheetData sheetId="9419">
        <row r="1">
          <cell r="A1" t="str">
            <v>PHIẾU XỬ LÝ HỒ SƠ THANH TOÁN VƯỢT THẨM QUYỀN PD</v>
          </cell>
        </row>
      </sheetData>
      <sheetData sheetId="9420">
        <row r="1">
          <cell r="A1" t="str">
            <v>PHIẾU XỬ LÝ HỒ SƠ THANH TOÁN VƯỢT THẨM QUYỀN PD</v>
          </cell>
        </row>
      </sheetData>
      <sheetData sheetId="9421">
        <row r="1">
          <cell r="A1" t="str">
            <v>PHIẾU XỬ LÝ HỒ SƠ THANH TOÁN VƯỢT THẨM QUYỀN PD</v>
          </cell>
        </row>
      </sheetData>
      <sheetData sheetId="9422">
        <row r="1">
          <cell r="A1" t="str">
            <v>PHIẾU XỬ LÝ HỒ SƠ THANH TOÁN VƯỢT THẨM QUYỀN PD</v>
          </cell>
        </row>
      </sheetData>
      <sheetData sheetId="9423">
        <row r="1">
          <cell r="A1" t="str">
            <v>PHIẾU XỬ LÝ HỒ SƠ THANH TOÁN VƯỢT THẨM QUYỀN PD</v>
          </cell>
        </row>
      </sheetData>
      <sheetData sheetId="9424">
        <row r="1">
          <cell r="A1" t="str">
            <v>PHIẾU XỬ LÝ HỒ SƠ THANH TOÁN VƯỢT THẨM QUYỀN PD</v>
          </cell>
        </row>
      </sheetData>
      <sheetData sheetId="9425">
        <row r="1">
          <cell r="A1" t="str">
            <v>PHIẾU XỬ LÝ HỒ SƠ THANH TOÁN VƯỢT THẨM QUYỀN PD</v>
          </cell>
        </row>
      </sheetData>
      <sheetData sheetId="9426">
        <row r="1">
          <cell r="A1" t="str">
            <v>PHIẾU XỬ LÝ HỒ SƠ THANH TOÁN VƯỢT THẨM QUYỀN PD</v>
          </cell>
        </row>
      </sheetData>
      <sheetData sheetId="9427"/>
      <sheetData sheetId="9428">
        <row r="1">
          <cell r="A1" t="str">
            <v>PHIẾU XỬ LÝ HỒ SƠ THANH TOÁN VƯỢT THẨM QUYỀN PD</v>
          </cell>
        </row>
      </sheetData>
      <sheetData sheetId="9429">
        <row r="1">
          <cell r="A1" t="str">
            <v>PHIẾU XỬ LÝ HỒ SƠ THANH TOÁN VƯỢT THẨM QUYỀN PD</v>
          </cell>
        </row>
      </sheetData>
      <sheetData sheetId="9430">
        <row r="1">
          <cell r="A1" t="str">
            <v>PHIẾU XỬ LÝ HỒ SƠ THANH TOÁN VƯỢT THẨM QUYỀN PD</v>
          </cell>
        </row>
      </sheetData>
      <sheetData sheetId="9431">
        <row r="1">
          <cell r="A1" t="str">
            <v>PHIẾU XỬ LÝ HỒ SƠ THANH TOÁN VƯỢT THẨM QUYỀN PD</v>
          </cell>
        </row>
      </sheetData>
      <sheetData sheetId="9432">
        <row r="1">
          <cell r="A1" t="str">
            <v>PHIẾU XỬ LÝ HỒ SƠ THANH TOÁN VƯỢT THẨM QUYỀN PD</v>
          </cell>
        </row>
      </sheetData>
      <sheetData sheetId="9433">
        <row r="1">
          <cell r="A1" t="str">
            <v>PHIẾU XỬ LÝ HỒ SƠ THANH TOÁN VƯỢT THẨM QUYỀN PD</v>
          </cell>
        </row>
      </sheetData>
      <sheetData sheetId="9434">
        <row r="1">
          <cell r="A1" t="str">
            <v>PHIẾU XỬ LÝ HỒ SƠ THANH TOÁN VƯỢT THẨM QUYỀN PD</v>
          </cell>
        </row>
      </sheetData>
      <sheetData sheetId="9435">
        <row r="1">
          <cell r="A1" t="str">
            <v>PHIẾU XỬ LÝ HỒ SƠ THANH TOÁN VƯỢT THẨM QUYỀN PD</v>
          </cell>
        </row>
      </sheetData>
      <sheetData sheetId="9436">
        <row r="1">
          <cell r="A1" t="str">
            <v>PHIẾU XỬ LÝ HỒ SƠ THANH TOÁN VƯỢT THẨM QUYỀN PD</v>
          </cell>
        </row>
      </sheetData>
      <sheetData sheetId="9437">
        <row r="1">
          <cell r="A1" t="str">
            <v>PHIẾU XỬ LÝ HỒ SƠ THANH TOÁN VƯỢT THẨM QUYỀN PD</v>
          </cell>
        </row>
      </sheetData>
      <sheetData sheetId="9438">
        <row r="1">
          <cell r="A1" t="str">
            <v>PHIẾU XỬ LÝ HỒ SƠ THANH TOÁN VƯỢT THẨM QUYỀN PD</v>
          </cell>
        </row>
      </sheetData>
      <sheetData sheetId="9439">
        <row r="1">
          <cell r="A1" t="str">
            <v>PHIẾU XỬ LÝ HỒ SƠ THANH TOÁN VƯỢT THẨM QUYỀN PD</v>
          </cell>
        </row>
      </sheetData>
      <sheetData sheetId="9440">
        <row r="1">
          <cell r="A1" t="str">
            <v>PHIẾU XỬ LÝ HỒ SƠ THANH TOÁN VƯỢT THẨM QUYỀN PD</v>
          </cell>
        </row>
      </sheetData>
      <sheetData sheetId="9441">
        <row r="1">
          <cell r="A1" t="str">
            <v>PHIẾU XỬ LÝ HỒ SƠ THANH TOÁN VƯỢT THẨM QUYỀN PD</v>
          </cell>
        </row>
      </sheetData>
      <sheetData sheetId="9442">
        <row r="1">
          <cell r="A1" t="str">
            <v>PHIẾU XỬ LÝ HỒ SƠ THANH TOÁN VƯỢT THẨM QUYỀN PD</v>
          </cell>
        </row>
      </sheetData>
      <sheetData sheetId="9443">
        <row r="1">
          <cell r="A1" t="str">
            <v>PHIẾU XỬ LÝ HỒ SƠ THANH TOÁN VƯỢT THẨM QUYỀN PD</v>
          </cell>
        </row>
      </sheetData>
      <sheetData sheetId="9444">
        <row r="1">
          <cell r="A1" t="str">
            <v>PHIẾU XỬ LÝ HỒ SƠ THANH TOÁN VƯỢT THẨM QUYỀN PD</v>
          </cell>
        </row>
      </sheetData>
      <sheetData sheetId="9445">
        <row r="1">
          <cell r="A1" t="str">
            <v>PHIẾU XỬ LÝ HỒ SƠ THANH TOÁN VƯỢT THẨM QUYỀN PD</v>
          </cell>
        </row>
      </sheetData>
      <sheetData sheetId="9446">
        <row r="1">
          <cell r="A1" t="str">
            <v>PHIẾU XỬ LÝ HỒ SƠ THANH TOÁN VƯỢT THẨM QUYỀN PD</v>
          </cell>
        </row>
      </sheetData>
      <sheetData sheetId="9447">
        <row r="1">
          <cell r="A1" t="str">
            <v>PHIẾU XỬ LÝ HỒ SƠ THANH TOÁN VƯỢT THẨM QUYỀN PD</v>
          </cell>
        </row>
      </sheetData>
      <sheetData sheetId="9448">
        <row r="1">
          <cell r="A1" t="str">
            <v>PHIẾU XỬ LÝ HỒ SƠ THANH TOÁN VƯỢT THẨM QUYỀN PD</v>
          </cell>
        </row>
      </sheetData>
      <sheetData sheetId="9449">
        <row r="1">
          <cell r="A1" t="str">
            <v>PHIẾU XỬ LÝ HỒ SƠ THANH TOÁN VƯỢT THẨM QUYỀN PD</v>
          </cell>
        </row>
      </sheetData>
      <sheetData sheetId="9450">
        <row r="1">
          <cell r="A1" t="str">
            <v>PHIẾU XỬ LÝ HỒ SƠ THANH TOÁN VƯỢT THẨM QUYỀN PD</v>
          </cell>
        </row>
      </sheetData>
      <sheetData sheetId="9451">
        <row r="1">
          <cell r="A1" t="str">
            <v>PHIẾU XỬ LÝ HỒ SƠ THANH TOÁN VƯỢT THẨM QUYỀN PD</v>
          </cell>
        </row>
      </sheetData>
      <sheetData sheetId="9452">
        <row r="1">
          <cell r="A1" t="str">
            <v>PHIẾU XỬ LÝ HỒ SƠ THANH TOÁN VƯỢT THẨM QUYỀN PD</v>
          </cell>
        </row>
      </sheetData>
      <sheetData sheetId="9453">
        <row r="1">
          <cell r="A1" t="str">
            <v>PHIẾU XỬ LÝ HỒ SƠ THANH TOÁN VƯỢT THẨM QUYỀN PD</v>
          </cell>
        </row>
      </sheetData>
      <sheetData sheetId="9454">
        <row r="1">
          <cell r="A1" t="str">
            <v>PHIẾU XỬ LÝ HỒ SƠ THANH TOÁN VƯỢT THẨM QUYỀN PD</v>
          </cell>
        </row>
      </sheetData>
      <sheetData sheetId="9455">
        <row r="1">
          <cell r="A1" t="str">
            <v>PHIẾU XỬ LÝ HỒ SƠ THANH TOÁN VƯỢT THẨM QUYỀN PD</v>
          </cell>
        </row>
      </sheetData>
      <sheetData sheetId="9456">
        <row r="1">
          <cell r="A1" t="str">
            <v>PHIẾU XỬ LÝ HỒ SƠ THANH TOÁN VƯỢT THẨM QUYỀN PD</v>
          </cell>
        </row>
      </sheetData>
      <sheetData sheetId="9457">
        <row r="1">
          <cell r="A1" t="str">
            <v>PHIẾU XỬ LÝ HỒ SƠ THANH TOÁN VƯỢT THẨM QUYỀN PD</v>
          </cell>
        </row>
      </sheetData>
      <sheetData sheetId="9458">
        <row r="1">
          <cell r="A1" t="str">
            <v>PHIẾU XỬ LÝ HỒ SƠ THANH TOÁN VƯỢT THẨM QUYỀN PD</v>
          </cell>
        </row>
      </sheetData>
      <sheetData sheetId="9459">
        <row r="1">
          <cell r="A1" t="str">
            <v>PHIẾU XỬ LÝ HỒ SƠ THANH TOÁN VƯỢT THẨM QUYỀN PD</v>
          </cell>
        </row>
      </sheetData>
      <sheetData sheetId="9460">
        <row r="1">
          <cell r="A1" t="str">
            <v>PHIẾU XỬ LÝ HỒ SƠ THANH TOÁN VƯỢT THẨM QUYỀN PD</v>
          </cell>
        </row>
      </sheetData>
      <sheetData sheetId="9461">
        <row r="1">
          <cell r="A1" t="str">
            <v>PHIẾU XỬ LÝ HỒ SƠ THANH TOÁN VƯỢT THẨM QUYỀN PD</v>
          </cell>
        </row>
      </sheetData>
      <sheetData sheetId="9462">
        <row r="1">
          <cell r="A1" t="str">
            <v>PHIẾU XỬ LÝ HỒ SƠ THANH TOÁN VƯỢT THẨM QUYỀN PD</v>
          </cell>
        </row>
      </sheetData>
      <sheetData sheetId="9463">
        <row r="1">
          <cell r="A1" t="str">
            <v>PHIẾU XỬ LÝ HỒ SƠ THANH TOÁN VƯỢT THẨM QUYỀN PD</v>
          </cell>
        </row>
      </sheetData>
      <sheetData sheetId="9464">
        <row r="1">
          <cell r="A1" t="str">
            <v>PHIẾU XỬ LÝ HỒ SƠ THANH TOÁN VƯỢT THẨM QUYỀN PD</v>
          </cell>
        </row>
      </sheetData>
      <sheetData sheetId="9465">
        <row r="1">
          <cell r="A1" t="str">
            <v>PHIẾU XỬ LÝ HỒ SƠ THANH TOÁN VƯỢT THẨM QUYỀN PD</v>
          </cell>
        </row>
      </sheetData>
      <sheetData sheetId="9466">
        <row r="1">
          <cell r="A1" t="str">
            <v>PHIẾU XỬ LÝ HỒ SƠ THANH TOÁN VƯỢT THẨM QUYỀN PD</v>
          </cell>
        </row>
      </sheetData>
      <sheetData sheetId="9467">
        <row r="1">
          <cell r="A1" t="str">
            <v>PHIẾU XỬ LÝ HỒ SƠ THANH TOÁN VƯỢT THẨM QUYỀN PD</v>
          </cell>
        </row>
      </sheetData>
      <sheetData sheetId="9468">
        <row r="1">
          <cell r="A1" t="str">
            <v>PHIẾU XỬ LÝ HỒ SƠ THANH TOÁN VƯỢT THẨM QUYỀN PD</v>
          </cell>
        </row>
      </sheetData>
      <sheetData sheetId="9469">
        <row r="1">
          <cell r="A1" t="str">
            <v>PHIẾU XỬ LÝ HỒ SƠ THANH TOÁN VƯỢT THẨM QUYỀN PD</v>
          </cell>
        </row>
      </sheetData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/>
      <sheetData sheetId="9488"/>
      <sheetData sheetId="9489"/>
      <sheetData sheetId="9490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/>
      <sheetData sheetId="9506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>
        <row r="1">
          <cell r="A1" t="str">
            <v>PHIẾU XỬ LÝ HỒ SƠ THANH TOÁN VƯỢT THẨM QUYỀN PD</v>
          </cell>
        </row>
      </sheetData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>
        <row r="1">
          <cell r="A1" t="str">
            <v>PHIẾU XỬ LÝ HỒ SƠ THANH TOÁN VƯỢT THẨM QUYỀN PD</v>
          </cell>
        </row>
      </sheetData>
      <sheetData sheetId="9572">
        <row r="1">
          <cell r="A1" t="str">
            <v>PHIẾU XỬ LÝ HỒ SƠ THANH TOÁN VƯỢT THẨM QUYỀN PD</v>
          </cell>
        </row>
      </sheetData>
      <sheetData sheetId="9573" refreshError="1"/>
      <sheetData sheetId="9574" refreshError="1"/>
      <sheetData sheetId="9575">
        <row r="1">
          <cell r="A1" t="str">
            <v>PHIẾU XỬ LÝ HỒ SƠ THANH TOÁN VƯỢT THẨM QUYỀN PD</v>
          </cell>
        </row>
      </sheetData>
      <sheetData sheetId="9576">
        <row r="1">
          <cell r="A1" t="str">
            <v>PHIẾU XỬ LÝ HỒ SƠ THANH TOÁN VƯỢT THẨM QUYỀN PD</v>
          </cell>
        </row>
      </sheetData>
      <sheetData sheetId="9577" refreshError="1"/>
      <sheetData sheetId="9578">
        <row r="1">
          <cell r="A1" t="str">
            <v>PHIẾU XỬ LÝ HỒ SƠ THANH TOÁN VƯỢT THẨM QUYỀN PD</v>
          </cell>
        </row>
      </sheetData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/>
      <sheetData sheetId="9985"/>
      <sheetData sheetId="9986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>
        <row r="1">
          <cell r="A1" t="str">
            <v>PHIẾU XỬ LÝ HỒ SƠ THANH TOÁN VƯỢT THẨM QUYỀN PD</v>
          </cell>
        </row>
      </sheetData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/>
      <sheetData sheetId="10375"/>
      <sheetData sheetId="10376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/>
      <sheetData sheetId="10384"/>
      <sheetData sheetId="10385"/>
      <sheetData sheetId="10386"/>
      <sheetData sheetId="10387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DC76-9666-4AAA-9994-2594D075DE0C}">
  <dimension ref="B1:Y371"/>
  <sheetViews>
    <sheetView tabSelected="1" zoomScale="85" zoomScaleNormal="85" workbookViewId="0">
      <pane xSplit="5" ySplit="4" topLeftCell="F105" activePane="bottomRight" state="frozen"/>
      <selection pane="topRight" activeCell="F1" sqref="F1"/>
      <selection pane="bottomLeft" activeCell="A5" sqref="A5"/>
      <selection pane="bottomRight" activeCell="T107" sqref="T107:T112"/>
    </sheetView>
  </sheetViews>
  <sheetFormatPr defaultColWidth="9" defaultRowHeight="12.75" x14ac:dyDescent="0.2"/>
  <cols>
    <col min="1" max="1" width="2.375" style="1" customWidth="1"/>
    <col min="2" max="2" width="15.125" style="1" bestFit="1" customWidth="1"/>
    <col min="3" max="4" width="17.125" style="1" bestFit="1" customWidth="1"/>
    <col min="5" max="5" width="22.75" style="5" customWidth="1"/>
    <col min="6" max="6" width="48.375" style="1" customWidth="1"/>
    <col min="7" max="7" width="9" style="1"/>
    <col min="8" max="8" width="44.5" style="1" customWidth="1"/>
    <col min="9" max="9" width="13.5" style="4" customWidth="1"/>
    <col min="10" max="10" width="7.125" style="1" customWidth="1"/>
    <col min="11" max="11" width="3.125" style="1" customWidth="1"/>
    <col min="12" max="12" width="7.125" style="1" customWidth="1"/>
    <col min="13" max="13" width="3.125" style="3" customWidth="1"/>
    <col min="14" max="14" width="9" style="1" customWidth="1"/>
    <col min="15" max="15" width="3.125" style="3" customWidth="1"/>
    <col min="16" max="16" width="7.125" style="1" customWidth="1"/>
    <col min="17" max="17" width="3.125" style="1" customWidth="1"/>
    <col min="18" max="18" width="9" style="1" customWidth="1"/>
    <col min="19" max="19" width="3.125" style="1" customWidth="1"/>
    <col min="20" max="20" width="8" style="1" customWidth="1"/>
    <col min="21" max="21" width="8" style="1" bestFit="1" customWidth="1"/>
    <col min="22" max="23" width="8.25" style="2" customWidth="1"/>
    <col min="24" max="47" width="9" style="1"/>
    <col min="48" max="48" width="7" style="1" customWidth="1"/>
    <col min="49" max="16384" width="9" style="1"/>
  </cols>
  <sheetData>
    <row r="1" spans="2:24" ht="14.25" thickBot="1" x14ac:dyDescent="0.25">
      <c r="B1" s="413"/>
      <c r="C1" s="413"/>
      <c r="D1" s="413"/>
      <c r="E1" s="412"/>
      <c r="F1" s="412"/>
      <c r="G1" s="406"/>
      <c r="H1" s="406"/>
      <c r="I1" s="405"/>
      <c r="J1" s="403"/>
      <c r="K1" s="402"/>
      <c r="L1" s="403"/>
      <c r="M1" s="404"/>
      <c r="N1" s="403"/>
      <c r="O1" s="404"/>
      <c r="P1" s="403"/>
      <c r="Q1" s="402"/>
      <c r="R1" s="403"/>
      <c r="S1" s="402"/>
      <c r="T1" s="402"/>
      <c r="U1" s="406"/>
      <c r="V1" s="402"/>
      <c r="W1" s="402"/>
    </row>
    <row r="2" spans="2:24" ht="31.5" customHeight="1" thickBot="1" x14ac:dyDescent="0.25">
      <c r="B2" s="411" t="s">
        <v>630</v>
      </c>
      <c r="C2" s="410"/>
      <c r="D2" s="409"/>
      <c r="E2" s="408"/>
      <c r="F2" s="407" t="s">
        <v>629</v>
      </c>
      <c r="G2" s="403"/>
      <c r="H2" s="406"/>
      <c r="I2" s="405"/>
      <c r="J2" s="403"/>
      <c r="K2" s="402"/>
      <c r="L2" s="403"/>
      <c r="M2" s="404"/>
      <c r="N2" s="403"/>
      <c r="O2" s="404"/>
      <c r="P2" s="403"/>
      <c r="Q2" s="402"/>
      <c r="R2" s="403"/>
      <c r="S2" s="402"/>
      <c r="T2" s="402"/>
      <c r="U2" s="723" t="s">
        <v>628</v>
      </c>
      <c r="V2" s="724"/>
      <c r="W2" s="725"/>
    </row>
    <row r="3" spans="2:24" ht="20.100000000000001" customHeight="1" x14ac:dyDescent="0.2">
      <c r="B3" s="645" t="s">
        <v>627</v>
      </c>
      <c r="C3" s="647" t="s">
        <v>626</v>
      </c>
      <c r="D3" s="648"/>
      <c r="E3" s="651" t="s">
        <v>625</v>
      </c>
      <c r="F3" s="726" t="s">
        <v>624</v>
      </c>
      <c r="G3" s="728" t="s">
        <v>623</v>
      </c>
      <c r="H3" s="730" t="s">
        <v>622</v>
      </c>
      <c r="I3" s="731"/>
      <c r="J3" s="731"/>
      <c r="K3" s="731"/>
      <c r="L3" s="731"/>
      <c r="M3" s="731"/>
      <c r="N3" s="731"/>
      <c r="O3" s="731"/>
      <c r="P3" s="731"/>
      <c r="Q3" s="731"/>
      <c r="R3" s="731"/>
      <c r="S3" s="731"/>
      <c r="T3" s="731"/>
      <c r="U3" s="731"/>
      <c r="V3" s="731"/>
      <c r="W3" s="732"/>
    </row>
    <row r="4" spans="2:24" ht="28.5" customHeight="1" thickBot="1" x14ac:dyDescent="0.25">
      <c r="B4" s="646"/>
      <c r="C4" s="649"/>
      <c r="D4" s="650"/>
      <c r="E4" s="652"/>
      <c r="F4" s="727"/>
      <c r="G4" s="729"/>
      <c r="H4" s="400" t="s">
        <v>621</v>
      </c>
      <c r="I4" s="401"/>
      <c r="J4" s="623" t="s">
        <v>620</v>
      </c>
      <c r="K4" s="624"/>
      <c r="L4" s="623" t="s">
        <v>619</v>
      </c>
      <c r="M4" s="624"/>
      <c r="N4" s="623" t="s">
        <v>618</v>
      </c>
      <c r="O4" s="624"/>
      <c r="P4" s="623" t="s">
        <v>617</v>
      </c>
      <c r="Q4" s="624"/>
      <c r="R4" s="623" t="s">
        <v>616</v>
      </c>
      <c r="S4" s="624"/>
      <c r="T4" s="400" t="s">
        <v>615</v>
      </c>
      <c r="U4" s="400" t="s">
        <v>614</v>
      </c>
      <c r="V4" s="400" t="s">
        <v>613</v>
      </c>
      <c r="W4" s="399" t="s">
        <v>612</v>
      </c>
      <c r="X4" s="6"/>
    </row>
    <row r="5" spans="2:24" ht="20.100000000000001" customHeight="1" thickTop="1" x14ac:dyDescent="0.2">
      <c r="B5" s="398" t="s">
        <v>611</v>
      </c>
      <c r="C5" s="397"/>
      <c r="D5" s="396"/>
      <c r="E5" s="395"/>
      <c r="F5" s="394"/>
      <c r="G5" s="393"/>
      <c r="H5" s="392"/>
      <c r="I5" s="391"/>
      <c r="J5" s="389"/>
      <c r="K5" s="388"/>
      <c r="L5" s="389"/>
      <c r="M5" s="390"/>
      <c r="N5" s="389"/>
      <c r="O5" s="390"/>
      <c r="P5" s="389"/>
      <c r="Q5" s="388"/>
      <c r="R5" s="389"/>
      <c r="S5" s="388"/>
      <c r="T5" s="388"/>
      <c r="U5" s="387"/>
      <c r="V5" s="386"/>
      <c r="W5" s="385"/>
      <c r="X5" s="6"/>
    </row>
    <row r="6" spans="2:24" ht="20.100000000000001" customHeight="1" x14ac:dyDescent="0.2">
      <c r="B6" s="384" t="s">
        <v>610</v>
      </c>
      <c r="C6" s="625" t="s">
        <v>609</v>
      </c>
      <c r="D6" s="626"/>
      <c r="E6" s="383"/>
      <c r="F6" s="382" t="s">
        <v>608</v>
      </c>
      <c r="G6" s="380" t="s">
        <v>277</v>
      </c>
      <c r="H6" s="381"/>
      <c r="I6" s="380"/>
      <c r="J6" s="378"/>
      <c r="K6" s="377"/>
      <c r="L6" s="378"/>
      <c r="M6" s="379"/>
      <c r="N6" s="378"/>
      <c r="O6" s="379"/>
      <c r="P6" s="378"/>
      <c r="Q6" s="377"/>
      <c r="R6" s="378"/>
      <c r="S6" s="377"/>
      <c r="T6" s="377"/>
      <c r="U6" s="376"/>
      <c r="V6" s="375"/>
      <c r="W6" s="374"/>
      <c r="X6" s="6"/>
    </row>
    <row r="7" spans="2:24" ht="20.100000000000001" customHeight="1" x14ac:dyDescent="0.2">
      <c r="B7" s="689" t="s">
        <v>607</v>
      </c>
      <c r="C7" s="710" t="s">
        <v>606</v>
      </c>
      <c r="D7" s="305" t="s">
        <v>605</v>
      </c>
      <c r="E7" s="477"/>
      <c r="F7" s="373" t="s">
        <v>604</v>
      </c>
      <c r="G7" s="371" t="s">
        <v>277</v>
      </c>
      <c r="H7" s="372"/>
      <c r="I7" s="371"/>
      <c r="J7" s="370"/>
      <c r="K7" s="367"/>
      <c r="L7" s="368"/>
      <c r="M7" s="369"/>
      <c r="N7" s="368"/>
      <c r="O7" s="369"/>
      <c r="P7" s="368"/>
      <c r="Q7" s="367"/>
      <c r="R7" s="368"/>
      <c r="S7" s="367"/>
      <c r="T7" s="367"/>
      <c r="U7" s="366"/>
      <c r="V7" s="145">
        <v>77</v>
      </c>
      <c r="W7" s="93">
        <f t="shared" ref="W7:W61" si="0">AVERAGE(U7,V7)</f>
        <v>77</v>
      </c>
      <c r="X7" s="6"/>
    </row>
    <row r="8" spans="2:24" ht="20.100000000000001" customHeight="1" x14ac:dyDescent="0.2">
      <c r="B8" s="675"/>
      <c r="C8" s="607"/>
      <c r="D8" s="272" t="s">
        <v>603</v>
      </c>
      <c r="E8" s="478" t="s">
        <v>602</v>
      </c>
      <c r="F8" s="269" t="s">
        <v>601</v>
      </c>
      <c r="G8" s="26" t="s">
        <v>208</v>
      </c>
      <c r="H8" s="362" t="s">
        <v>600</v>
      </c>
      <c r="I8" s="217" t="s">
        <v>583</v>
      </c>
      <c r="J8" s="224">
        <v>0.78</v>
      </c>
      <c r="K8" s="86">
        <v>1</v>
      </c>
      <c r="L8" s="87"/>
      <c r="M8" s="86"/>
      <c r="N8" s="87">
        <v>0.38</v>
      </c>
      <c r="O8" s="86">
        <v>1</v>
      </c>
      <c r="P8" s="87"/>
      <c r="Q8" s="86"/>
      <c r="R8" s="87">
        <v>2</v>
      </c>
      <c r="S8" s="86">
        <v>1</v>
      </c>
      <c r="T8" s="85"/>
      <c r="U8" s="365">
        <f>8/R8</f>
        <v>4</v>
      </c>
      <c r="V8" s="266">
        <v>8</v>
      </c>
      <c r="W8" s="275">
        <f t="shared" si="0"/>
        <v>6</v>
      </c>
      <c r="X8" s="414">
        <f>V8-U8</f>
        <v>4</v>
      </c>
    </row>
    <row r="9" spans="2:24" ht="20.100000000000001" customHeight="1" x14ac:dyDescent="0.2">
      <c r="B9" s="675"/>
      <c r="C9" s="607"/>
      <c r="D9" s="632" t="s">
        <v>599</v>
      </c>
      <c r="E9" s="630" t="s">
        <v>598</v>
      </c>
      <c r="F9" s="246" t="s">
        <v>597</v>
      </c>
      <c r="G9" s="59" t="s">
        <v>2</v>
      </c>
      <c r="H9" s="364" t="s">
        <v>595</v>
      </c>
      <c r="I9" s="217" t="s">
        <v>590</v>
      </c>
      <c r="J9" s="82">
        <v>0.26</v>
      </c>
      <c r="K9" s="67">
        <v>1</v>
      </c>
      <c r="L9" s="69"/>
      <c r="M9" s="67"/>
      <c r="N9" s="69"/>
      <c r="O9" s="67"/>
      <c r="P9" s="69">
        <v>0.11</v>
      </c>
      <c r="Q9" s="67">
        <v>1</v>
      </c>
      <c r="R9" s="69">
        <v>0.19</v>
      </c>
      <c r="S9" s="67">
        <v>1</v>
      </c>
      <c r="T9" s="66"/>
      <c r="U9" s="65">
        <f>1/(IFERROR(J9/K9,0)+IFERROR(L9/M9,0)+IFERROR(N9/O9,0)+IFERROR(P9/Q9,0))</f>
        <v>2.7027027027027026</v>
      </c>
      <c r="V9" s="192"/>
      <c r="W9" s="63">
        <f t="shared" si="0"/>
        <v>2.7027027027027026</v>
      </c>
      <c r="X9" s="414"/>
    </row>
    <row r="10" spans="2:24" ht="19.5" customHeight="1" x14ac:dyDescent="0.2">
      <c r="B10" s="675"/>
      <c r="C10" s="601"/>
      <c r="D10" s="641"/>
      <c r="E10" s="658"/>
      <c r="F10" s="246" t="s">
        <v>596</v>
      </c>
      <c r="G10" s="59" t="s">
        <v>2</v>
      </c>
      <c r="H10" s="364" t="s">
        <v>595</v>
      </c>
      <c r="I10" s="217" t="s">
        <v>590</v>
      </c>
      <c r="J10" s="82">
        <v>0.2</v>
      </c>
      <c r="K10" s="67">
        <v>1</v>
      </c>
      <c r="L10" s="69"/>
      <c r="M10" s="67"/>
      <c r="N10" s="69"/>
      <c r="O10" s="67"/>
      <c r="P10" s="69">
        <v>0.09</v>
      </c>
      <c r="Q10" s="67">
        <v>1</v>
      </c>
      <c r="R10" s="69">
        <v>0.15</v>
      </c>
      <c r="S10" s="67">
        <v>1</v>
      </c>
      <c r="T10" s="66"/>
      <c r="U10" s="65">
        <f>1/(IFERROR(J10/K10,0)+IFERROR(L10/M10,0)+IFERROR(N10/O10,0)+IFERROR(P10/Q10,0))</f>
        <v>3.4482758620689653</v>
      </c>
      <c r="V10" s="192"/>
      <c r="W10" s="63">
        <f t="shared" si="0"/>
        <v>3.4482758620689653</v>
      </c>
      <c r="X10" s="414"/>
    </row>
    <row r="11" spans="2:24" ht="20.100000000000001" customHeight="1" x14ac:dyDescent="0.2">
      <c r="B11" s="675"/>
      <c r="C11" s="605" t="s">
        <v>594</v>
      </c>
      <c r="D11" s="632" t="s">
        <v>650</v>
      </c>
      <c r="E11" s="640" t="s">
        <v>651</v>
      </c>
      <c r="F11" s="363" t="s">
        <v>652</v>
      </c>
      <c r="G11" s="128" t="s">
        <v>44</v>
      </c>
      <c r="H11" s="274" t="s">
        <v>639</v>
      </c>
      <c r="I11" s="229" t="s">
        <v>583</v>
      </c>
      <c r="J11" s="57">
        <v>0.49</v>
      </c>
      <c r="K11" s="55">
        <v>1</v>
      </c>
      <c r="L11" s="57">
        <v>0.18</v>
      </c>
      <c r="M11" s="55">
        <v>1</v>
      </c>
      <c r="N11" s="127"/>
      <c r="O11" s="126"/>
      <c r="P11" s="127"/>
      <c r="Q11" s="126"/>
      <c r="R11" s="57">
        <v>0.63</v>
      </c>
      <c r="S11" s="55">
        <v>1</v>
      </c>
      <c r="T11" s="125"/>
      <c r="U11" s="53">
        <v>100</v>
      </c>
      <c r="V11" s="192">
        <v>100</v>
      </c>
      <c r="W11" s="63">
        <f t="shared" ref="W11" si="1">AVERAGE(U11,V11)</f>
        <v>100</v>
      </c>
      <c r="X11" s="414">
        <f t="shared" ref="X11" si="2">V11-U11</f>
        <v>0</v>
      </c>
    </row>
    <row r="12" spans="2:24" ht="20.100000000000001" customHeight="1" x14ac:dyDescent="0.2">
      <c r="B12" s="675"/>
      <c r="C12" s="587"/>
      <c r="D12" s="590"/>
      <c r="E12" s="617"/>
      <c r="F12" s="436" t="s">
        <v>653</v>
      </c>
      <c r="G12" s="443" t="s">
        <v>638</v>
      </c>
      <c r="H12" s="274" t="s">
        <v>639</v>
      </c>
      <c r="I12" s="229" t="s">
        <v>583</v>
      </c>
      <c r="J12" s="440"/>
      <c r="K12" s="24"/>
      <c r="L12" s="441"/>
      <c r="M12" s="24"/>
      <c r="N12" s="442"/>
      <c r="O12" s="32"/>
      <c r="P12" s="33"/>
      <c r="Q12" s="32"/>
      <c r="R12" s="25"/>
      <c r="S12" s="24"/>
      <c r="T12" s="31"/>
      <c r="U12" s="22">
        <v>250</v>
      </c>
      <c r="V12" s="192"/>
      <c r="W12" s="63"/>
      <c r="X12" s="414"/>
    </row>
    <row r="13" spans="2:24" ht="20.100000000000001" customHeight="1" x14ac:dyDescent="0.2">
      <c r="B13" s="675"/>
      <c r="C13" s="587"/>
      <c r="D13" s="590"/>
      <c r="E13" s="617"/>
      <c r="F13" s="438" t="s">
        <v>654</v>
      </c>
      <c r="G13" s="443" t="s">
        <v>638</v>
      </c>
      <c r="H13" s="274" t="s">
        <v>639</v>
      </c>
      <c r="I13" s="229" t="s">
        <v>583</v>
      </c>
      <c r="J13" s="440"/>
      <c r="K13" s="24"/>
      <c r="L13" s="441"/>
      <c r="M13" s="24"/>
      <c r="N13" s="442"/>
      <c r="O13" s="32"/>
      <c r="P13" s="33"/>
      <c r="Q13" s="32"/>
      <c r="R13" s="25"/>
      <c r="S13" s="24"/>
      <c r="T13" s="31"/>
      <c r="U13" s="22">
        <v>70</v>
      </c>
      <c r="V13" s="192"/>
      <c r="W13" s="63"/>
      <c r="X13" s="414"/>
    </row>
    <row r="14" spans="2:24" ht="20.100000000000001" customHeight="1" x14ac:dyDescent="0.2">
      <c r="B14" s="675"/>
      <c r="C14" s="587"/>
      <c r="D14" s="641"/>
      <c r="E14" s="719"/>
      <c r="F14" s="436" t="s">
        <v>655</v>
      </c>
      <c r="G14" s="443" t="s">
        <v>638</v>
      </c>
      <c r="H14" s="274" t="s">
        <v>639</v>
      </c>
      <c r="I14" s="217" t="s">
        <v>583</v>
      </c>
      <c r="J14" s="440"/>
      <c r="K14" s="24"/>
      <c r="L14" s="441"/>
      <c r="M14" s="24"/>
      <c r="N14" s="442"/>
      <c r="O14" s="32"/>
      <c r="P14" s="33"/>
      <c r="Q14" s="32"/>
      <c r="R14" s="25"/>
      <c r="S14" s="24"/>
      <c r="T14" s="31"/>
      <c r="U14" s="22">
        <v>180</v>
      </c>
      <c r="V14" s="192"/>
      <c r="W14" s="63"/>
      <c r="X14" s="414"/>
    </row>
    <row r="15" spans="2:24" ht="20.100000000000001" customHeight="1" x14ac:dyDescent="0.2">
      <c r="B15" s="675"/>
      <c r="C15" s="587"/>
      <c r="D15" s="632" t="s">
        <v>649</v>
      </c>
      <c r="E15" s="640" t="s">
        <v>643</v>
      </c>
      <c r="F15" s="363" t="s">
        <v>634</v>
      </c>
      <c r="G15" s="128" t="s">
        <v>44</v>
      </c>
      <c r="H15" s="274" t="s">
        <v>639</v>
      </c>
      <c r="I15" s="229" t="s">
        <v>583</v>
      </c>
      <c r="J15" s="57">
        <v>0.49</v>
      </c>
      <c r="K15" s="55">
        <v>1</v>
      </c>
      <c r="L15" s="57">
        <v>0.18</v>
      </c>
      <c r="M15" s="55">
        <v>1</v>
      </c>
      <c r="N15" s="127"/>
      <c r="O15" s="126"/>
      <c r="P15" s="127"/>
      <c r="Q15" s="126"/>
      <c r="R15" s="57">
        <v>0.63</v>
      </c>
      <c r="S15" s="55">
        <v>1</v>
      </c>
      <c r="T15" s="125"/>
      <c r="U15" s="53">
        <v>70</v>
      </c>
      <c r="V15" s="192">
        <v>30</v>
      </c>
      <c r="W15" s="63">
        <f t="shared" si="0"/>
        <v>50</v>
      </c>
      <c r="X15" s="414">
        <f t="shared" ref="X15:X80" si="3">V15-U15</f>
        <v>-40</v>
      </c>
    </row>
    <row r="16" spans="2:24" ht="20.100000000000001" customHeight="1" x14ac:dyDescent="0.2">
      <c r="B16" s="675"/>
      <c r="C16" s="587"/>
      <c r="D16" s="590"/>
      <c r="E16" s="617"/>
      <c r="F16" s="436" t="s">
        <v>635</v>
      </c>
      <c r="G16" s="443" t="s">
        <v>638</v>
      </c>
      <c r="H16" s="274" t="s">
        <v>639</v>
      </c>
      <c r="I16" s="229" t="s">
        <v>583</v>
      </c>
      <c r="J16" s="440"/>
      <c r="K16" s="24"/>
      <c r="L16" s="441"/>
      <c r="M16" s="24"/>
      <c r="N16" s="442"/>
      <c r="O16" s="32"/>
      <c r="P16" s="33"/>
      <c r="Q16" s="32"/>
      <c r="R16" s="25"/>
      <c r="S16" s="24"/>
      <c r="T16" s="31"/>
      <c r="U16" s="22">
        <v>170</v>
      </c>
      <c r="V16" s="192"/>
      <c r="W16" s="63"/>
      <c r="X16" s="414"/>
    </row>
    <row r="17" spans="2:24" ht="20.100000000000001" customHeight="1" x14ac:dyDescent="0.2">
      <c r="B17" s="675"/>
      <c r="C17" s="587"/>
      <c r="D17" s="590"/>
      <c r="E17" s="617"/>
      <c r="F17" s="438" t="s">
        <v>636</v>
      </c>
      <c r="G17" s="443" t="s">
        <v>638</v>
      </c>
      <c r="H17" s="274" t="s">
        <v>639</v>
      </c>
      <c r="I17" s="229" t="s">
        <v>583</v>
      </c>
      <c r="J17" s="440"/>
      <c r="K17" s="24"/>
      <c r="L17" s="441"/>
      <c r="M17" s="24"/>
      <c r="N17" s="442"/>
      <c r="O17" s="32"/>
      <c r="P17" s="33"/>
      <c r="Q17" s="32"/>
      <c r="R17" s="25"/>
      <c r="S17" s="24"/>
      <c r="T17" s="31"/>
      <c r="U17" s="22">
        <v>40</v>
      </c>
      <c r="V17" s="192"/>
      <c r="W17" s="63"/>
      <c r="X17" s="414"/>
    </row>
    <row r="18" spans="2:24" ht="20.100000000000001" customHeight="1" x14ac:dyDescent="0.2">
      <c r="B18" s="675"/>
      <c r="C18" s="587"/>
      <c r="D18" s="590"/>
      <c r="E18" s="617"/>
      <c r="F18" s="436" t="s">
        <v>637</v>
      </c>
      <c r="G18" s="443" t="s">
        <v>638</v>
      </c>
      <c r="H18" s="274" t="s">
        <v>639</v>
      </c>
      <c r="I18" s="217" t="s">
        <v>583</v>
      </c>
      <c r="J18" s="440"/>
      <c r="K18" s="24"/>
      <c r="L18" s="441"/>
      <c r="M18" s="24"/>
      <c r="N18" s="442"/>
      <c r="O18" s="32"/>
      <c r="P18" s="33"/>
      <c r="Q18" s="32"/>
      <c r="R18" s="25"/>
      <c r="S18" s="24"/>
      <c r="T18" s="31"/>
      <c r="U18" s="22">
        <v>100</v>
      </c>
      <c r="V18" s="192"/>
      <c r="W18" s="63"/>
      <c r="X18" s="414"/>
    </row>
    <row r="19" spans="2:24" ht="20.100000000000001" customHeight="1" x14ac:dyDescent="0.2">
      <c r="B19" s="675"/>
      <c r="C19" s="587"/>
      <c r="D19" s="590"/>
      <c r="E19" s="617"/>
      <c r="F19" s="438" t="s">
        <v>640</v>
      </c>
      <c r="G19" s="443" t="s">
        <v>638</v>
      </c>
      <c r="H19" s="274" t="s">
        <v>642</v>
      </c>
      <c r="I19" s="229" t="s">
        <v>583</v>
      </c>
      <c r="J19" s="440"/>
      <c r="K19" s="24"/>
      <c r="L19" s="441"/>
      <c r="M19" s="24"/>
      <c r="N19" s="442"/>
      <c r="O19" s="32"/>
      <c r="P19" s="33"/>
      <c r="Q19" s="32"/>
      <c r="R19" s="25"/>
      <c r="S19" s="24"/>
      <c r="T19" s="31"/>
      <c r="U19" s="22">
        <v>25</v>
      </c>
      <c r="V19" s="192"/>
      <c r="W19" s="63"/>
      <c r="X19" s="414"/>
    </row>
    <row r="20" spans="2:24" ht="20.100000000000001" customHeight="1" x14ac:dyDescent="0.2">
      <c r="B20" s="675"/>
      <c r="C20" s="587"/>
      <c r="D20" s="590"/>
      <c r="E20" s="617"/>
      <c r="F20" s="436" t="s">
        <v>641</v>
      </c>
      <c r="G20" s="443" t="s">
        <v>638</v>
      </c>
      <c r="H20" s="274" t="s">
        <v>642</v>
      </c>
      <c r="I20" s="217" t="s">
        <v>583</v>
      </c>
      <c r="J20" s="440"/>
      <c r="K20" s="24"/>
      <c r="L20" s="441"/>
      <c r="M20" s="24"/>
      <c r="N20" s="442"/>
      <c r="O20" s="32"/>
      <c r="P20" s="33"/>
      <c r="Q20" s="32"/>
      <c r="R20" s="25"/>
      <c r="S20" s="24"/>
      <c r="T20" s="31"/>
      <c r="U20" s="22">
        <v>25</v>
      </c>
      <c r="V20" s="192"/>
      <c r="W20" s="63"/>
      <c r="X20" s="414"/>
    </row>
    <row r="21" spans="2:24" ht="20.100000000000001" customHeight="1" x14ac:dyDescent="0.2">
      <c r="B21" s="675"/>
      <c r="C21" s="587"/>
      <c r="D21" s="627" t="s">
        <v>593</v>
      </c>
      <c r="E21" s="630" t="s">
        <v>592</v>
      </c>
      <c r="F21" s="246" t="s">
        <v>646</v>
      </c>
      <c r="G21" s="443" t="s">
        <v>638</v>
      </c>
      <c r="H21" s="341" t="s">
        <v>656</v>
      </c>
      <c r="I21" s="439" t="s">
        <v>590</v>
      </c>
      <c r="J21" s="224">
        <v>0.26</v>
      </c>
      <c r="K21" s="86">
        <v>3</v>
      </c>
      <c r="L21" s="87"/>
      <c r="M21" s="86"/>
      <c r="N21" s="87"/>
      <c r="O21" s="86"/>
      <c r="P21" s="87">
        <v>0.09</v>
      </c>
      <c r="Q21" s="86">
        <v>1</v>
      </c>
      <c r="R21" s="87"/>
      <c r="S21" s="86"/>
      <c r="T21" s="85"/>
      <c r="U21" s="144">
        <v>110</v>
      </c>
      <c r="V21" s="192">
        <v>115</v>
      </c>
      <c r="W21" s="63">
        <f t="shared" si="0"/>
        <v>112.5</v>
      </c>
      <c r="X21" s="414">
        <f t="shared" si="3"/>
        <v>5</v>
      </c>
    </row>
    <row r="22" spans="2:24" ht="20.100000000000001" customHeight="1" x14ac:dyDescent="0.2">
      <c r="B22" s="675"/>
      <c r="C22" s="587"/>
      <c r="D22" s="628"/>
      <c r="E22" s="660"/>
      <c r="F22" s="246" t="s">
        <v>647</v>
      </c>
      <c r="G22" s="443" t="s">
        <v>638</v>
      </c>
      <c r="H22" s="340" t="s">
        <v>656</v>
      </c>
      <c r="I22" s="267" t="s">
        <v>590</v>
      </c>
      <c r="J22" s="325">
        <v>0.1</v>
      </c>
      <c r="K22" s="55">
        <v>1</v>
      </c>
      <c r="L22" s="57"/>
      <c r="M22" s="55"/>
      <c r="N22" s="57"/>
      <c r="O22" s="55"/>
      <c r="P22" s="57">
        <v>0.04</v>
      </c>
      <c r="Q22" s="55">
        <v>1</v>
      </c>
      <c r="R22" s="57"/>
      <c r="S22" s="55"/>
      <c r="T22" s="66"/>
      <c r="U22" s="65">
        <v>280</v>
      </c>
      <c r="V22" s="192"/>
      <c r="W22" s="63">
        <f t="shared" si="0"/>
        <v>280</v>
      </c>
      <c r="X22" s="414"/>
    </row>
    <row r="23" spans="2:24" ht="20.100000000000001" customHeight="1" x14ac:dyDescent="0.2">
      <c r="B23" s="675"/>
      <c r="C23" s="587"/>
      <c r="D23" s="628"/>
      <c r="E23" s="660"/>
      <c r="F23" s="293" t="s">
        <v>648</v>
      </c>
      <c r="G23" s="443" t="s">
        <v>638</v>
      </c>
      <c r="H23" s="340" t="s">
        <v>656</v>
      </c>
      <c r="I23" s="267" t="s">
        <v>590</v>
      </c>
      <c r="J23" s="325">
        <v>0.3</v>
      </c>
      <c r="K23" s="55">
        <v>1</v>
      </c>
      <c r="L23" s="57"/>
      <c r="M23" s="55"/>
      <c r="N23" s="57"/>
      <c r="O23" s="55"/>
      <c r="P23" s="57">
        <v>0.11</v>
      </c>
      <c r="Q23" s="55">
        <v>1</v>
      </c>
      <c r="R23" s="57"/>
      <c r="S23" s="55"/>
      <c r="T23" s="66"/>
      <c r="U23" s="65">
        <v>95</v>
      </c>
      <c r="V23" s="192"/>
      <c r="W23" s="63">
        <f t="shared" si="0"/>
        <v>95</v>
      </c>
      <c r="X23" s="414"/>
    </row>
    <row r="24" spans="2:24" ht="20.100000000000001" customHeight="1" x14ac:dyDescent="0.2">
      <c r="B24" s="675"/>
      <c r="C24" s="587"/>
      <c r="D24" s="629"/>
      <c r="E24" s="718"/>
      <c r="F24" s="293" t="s">
        <v>645</v>
      </c>
      <c r="G24" s="443" t="s">
        <v>638</v>
      </c>
      <c r="H24" s="340" t="s">
        <v>656</v>
      </c>
      <c r="I24" s="267" t="s">
        <v>590</v>
      </c>
      <c r="J24" s="325">
        <v>0.12</v>
      </c>
      <c r="K24" s="55">
        <v>1</v>
      </c>
      <c r="L24" s="57"/>
      <c r="M24" s="55"/>
      <c r="N24" s="57"/>
      <c r="O24" s="55"/>
      <c r="P24" s="57">
        <v>0.05</v>
      </c>
      <c r="Q24" s="55">
        <v>1</v>
      </c>
      <c r="R24" s="57"/>
      <c r="S24" s="55"/>
      <c r="T24" s="66"/>
      <c r="U24" s="65">
        <v>280</v>
      </c>
      <c r="V24" s="192"/>
      <c r="W24" s="63">
        <f t="shared" si="0"/>
        <v>280</v>
      </c>
      <c r="X24" s="414"/>
    </row>
    <row r="25" spans="2:24" ht="20.100000000000001" customHeight="1" x14ac:dyDescent="0.2">
      <c r="B25" s="675"/>
      <c r="C25" s="587"/>
      <c r="D25" s="627" t="s">
        <v>658</v>
      </c>
      <c r="E25" s="630" t="s">
        <v>591</v>
      </c>
      <c r="F25" s="246" t="s">
        <v>646</v>
      </c>
      <c r="G25" s="443" t="s">
        <v>638</v>
      </c>
      <c r="H25" s="340" t="s">
        <v>656</v>
      </c>
      <c r="I25" s="267" t="s">
        <v>590</v>
      </c>
      <c r="J25" s="82">
        <v>0.24</v>
      </c>
      <c r="K25" s="67">
        <v>1</v>
      </c>
      <c r="L25" s="69"/>
      <c r="M25" s="67"/>
      <c r="N25" s="69"/>
      <c r="O25" s="67"/>
      <c r="P25" s="69">
        <v>0.09</v>
      </c>
      <c r="Q25" s="67">
        <v>1</v>
      </c>
      <c r="R25" s="69"/>
      <c r="S25" s="67"/>
      <c r="T25" s="66"/>
      <c r="U25" s="65">
        <v>120</v>
      </c>
      <c r="V25" s="192"/>
      <c r="W25" s="63">
        <f t="shared" ref="W25:W30" si="4">AVERAGE(U25,V25)</f>
        <v>120</v>
      </c>
      <c r="X25" s="414"/>
    </row>
    <row r="26" spans="2:24" ht="20.100000000000001" customHeight="1" x14ac:dyDescent="0.2">
      <c r="B26" s="675"/>
      <c r="C26" s="587"/>
      <c r="D26" s="628"/>
      <c r="E26" s="588"/>
      <c r="F26" s="246" t="s">
        <v>647</v>
      </c>
      <c r="G26" s="443" t="s">
        <v>638</v>
      </c>
      <c r="H26" s="340" t="s">
        <v>656</v>
      </c>
      <c r="I26" s="267" t="s">
        <v>590</v>
      </c>
      <c r="J26" s="325">
        <v>0.1</v>
      </c>
      <c r="K26" s="55">
        <v>1</v>
      </c>
      <c r="L26" s="57"/>
      <c r="M26" s="55"/>
      <c r="N26" s="57"/>
      <c r="O26" s="55"/>
      <c r="P26" s="57">
        <v>0.03</v>
      </c>
      <c r="Q26" s="55">
        <v>1</v>
      </c>
      <c r="R26" s="57"/>
      <c r="S26" s="55"/>
      <c r="T26" s="66"/>
      <c r="U26" s="65">
        <v>300</v>
      </c>
      <c r="V26" s="192"/>
      <c r="W26" s="63">
        <f t="shared" si="4"/>
        <v>300</v>
      </c>
      <c r="X26" s="414"/>
    </row>
    <row r="27" spans="2:24" ht="20.100000000000001" customHeight="1" x14ac:dyDescent="0.2">
      <c r="B27" s="675"/>
      <c r="C27" s="587"/>
      <c r="D27" s="628"/>
      <c r="E27" s="588"/>
      <c r="F27" s="293" t="s">
        <v>648</v>
      </c>
      <c r="G27" s="443" t="s">
        <v>638</v>
      </c>
      <c r="H27" s="340" t="s">
        <v>656</v>
      </c>
      <c r="I27" s="267" t="s">
        <v>590</v>
      </c>
      <c r="J27" s="325">
        <v>0.28000000000000003</v>
      </c>
      <c r="K27" s="55">
        <v>1</v>
      </c>
      <c r="L27" s="57"/>
      <c r="M27" s="55"/>
      <c r="N27" s="57"/>
      <c r="O27" s="55"/>
      <c r="P27" s="57">
        <v>0.1</v>
      </c>
      <c r="Q27" s="55">
        <v>1</v>
      </c>
      <c r="R27" s="57"/>
      <c r="S27" s="55"/>
      <c r="T27" s="66"/>
      <c r="U27" s="65">
        <v>100</v>
      </c>
      <c r="V27" s="192"/>
      <c r="W27" s="63">
        <f t="shared" si="4"/>
        <v>100</v>
      </c>
      <c r="X27" s="414"/>
    </row>
    <row r="28" spans="2:24" ht="20.100000000000001" customHeight="1" x14ac:dyDescent="0.2">
      <c r="B28" s="675"/>
      <c r="C28" s="587"/>
      <c r="D28" s="628"/>
      <c r="E28" s="588"/>
      <c r="F28" s="293" t="s">
        <v>644</v>
      </c>
      <c r="G28" s="443" t="s">
        <v>638</v>
      </c>
      <c r="H28" s="340" t="s">
        <v>656</v>
      </c>
      <c r="I28" s="267" t="s">
        <v>590</v>
      </c>
      <c r="J28" s="325">
        <v>0.11</v>
      </c>
      <c r="K28" s="55">
        <v>1</v>
      </c>
      <c r="L28" s="57"/>
      <c r="M28" s="55"/>
      <c r="N28" s="57"/>
      <c r="O28" s="55"/>
      <c r="P28" s="57">
        <v>0.04</v>
      </c>
      <c r="Q28" s="55">
        <v>1</v>
      </c>
      <c r="R28" s="57"/>
      <c r="S28" s="55"/>
      <c r="T28" s="66"/>
      <c r="U28" s="65">
        <v>260</v>
      </c>
      <c r="V28" s="192"/>
      <c r="W28" s="63">
        <f t="shared" si="4"/>
        <v>260</v>
      </c>
      <c r="X28" s="414"/>
    </row>
    <row r="29" spans="2:24" ht="20.100000000000001" customHeight="1" x14ac:dyDescent="0.2">
      <c r="B29" s="675"/>
      <c r="C29" s="587"/>
      <c r="D29" s="628"/>
      <c r="E29" s="588"/>
      <c r="F29" s="293" t="s">
        <v>659</v>
      </c>
      <c r="G29" s="443" t="s">
        <v>638</v>
      </c>
      <c r="H29" s="340" t="s">
        <v>656</v>
      </c>
      <c r="I29" s="267" t="s">
        <v>590</v>
      </c>
      <c r="J29" s="325">
        <v>0.28000000000000003</v>
      </c>
      <c r="K29" s="55">
        <v>1</v>
      </c>
      <c r="L29" s="57"/>
      <c r="M29" s="55"/>
      <c r="N29" s="57"/>
      <c r="O29" s="55"/>
      <c r="P29" s="57">
        <v>0.1</v>
      </c>
      <c r="Q29" s="55">
        <v>1</v>
      </c>
      <c r="R29" s="57"/>
      <c r="S29" s="55"/>
      <c r="T29" s="66"/>
      <c r="U29" s="65">
        <v>90</v>
      </c>
      <c r="V29" s="192"/>
      <c r="W29" s="63">
        <f t="shared" si="4"/>
        <v>90</v>
      </c>
      <c r="X29" s="414"/>
    </row>
    <row r="30" spans="2:24" ht="20.100000000000001" customHeight="1" x14ac:dyDescent="0.2">
      <c r="B30" s="675"/>
      <c r="C30" s="587"/>
      <c r="D30" s="628"/>
      <c r="E30" s="658"/>
      <c r="F30" s="293" t="s">
        <v>660</v>
      </c>
      <c r="G30" s="443" t="s">
        <v>638</v>
      </c>
      <c r="H30" s="340" t="s">
        <v>656</v>
      </c>
      <c r="I30" s="267" t="s">
        <v>590</v>
      </c>
      <c r="J30" s="325">
        <v>0.11</v>
      </c>
      <c r="K30" s="55">
        <v>1</v>
      </c>
      <c r="L30" s="57"/>
      <c r="M30" s="55"/>
      <c r="N30" s="57"/>
      <c r="O30" s="55"/>
      <c r="P30" s="57">
        <v>0.04</v>
      </c>
      <c r="Q30" s="55">
        <v>1</v>
      </c>
      <c r="R30" s="57"/>
      <c r="S30" s="55"/>
      <c r="T30" s="66"/>
      <c r="U30" s="65">
        <v>230</v>
      </c>
      <c r="V30" s="192"/>
      <c r="W30" s="63">
        <f t="shared" si="4"/>
        <v>230</v>
      </c>
      <c r="X30" s="414"/>
    </row>
    <row r="31" spans="2:24" ht="20.100000000000001" customHeight="1" x14ac:dyDescent="0.2">
      <c r="B31" s="675"/>
      <c r="C31" s="587"/>
      <c r="D31" s="628"/>
      <c r="E31" s="630" t="s">
        <v>657</v>
      </c>
      <c r="F31" s="246" t="s">
        <v>646</v>
      </c>
      <c r="G31" s="443" t="s">
        <v>638</v>
      </c>
      <c r="H31" s="340" t="s">
        <v>656</v>
      </c>
      <c r="I31" s="267" t="s">
        <v>590</v>
      </c>
      <c r="J31" s="82">
        <v>0.24</v>
      </c>
      <c r="K31" s="67">
        <v>1</v>
      </c>
      <c r="L31" s="69"/>
      <c r="M31" s="67"/>
      <c r="N31" s="69"/>
      <c r="O31" s="67"/>
      <c r="P31" s="69">
        <v>0.09</v>
      </c>
      <c r="Q31" s="67">
        <v>1</v>
      </c>
      <c r="R31" s="69"/>
      <c r="S31" s="67"/>
      <c r="T31" s="66"/>
      <c r="U31" s="65">
        <v>50</v>
      </c>
      <c r="V31" s="192"/>
      <c r="W31" s="63">
        <f t="shared" si="0"/>
        <v>50</v>
      </c>
      <c r="X31" s="414"/>
    </row>
    <row r="32" spans="2:24" ht="20.100000000000001" customHeight="1" x14ac:dyDescent="0.2">
      <c r="B32" s="675"/>
      <c r="C32" s="587"/>
      <c r="D32" s="628"/>
      <c r="E32" s="588"/>
      <c r="F32" s="246" t="s">
        <v>647</v>
      </c>
      <c r="G32" s="443" t="s">
        <v>638</v>
      </c>
      <c r="H32" s="340" t="s">
        <v>656</v>
      </c>
      <c r="I32" s="267" t="s">
        <v>590</v>
      </c>
      <c r="J32" s="325">
        <v>0.1</v>
      </c>
      <c r="K32" s="55">
        <v>1</v>
      </c>
      <c r="L32" s="57"/>
      <c r="M32" s="55"/>
      <c r="N32" s="57"/>
      <c r="O32" s="55"/>
      <c r="P32" s="57">
        <v>0.03</v>
      </c>
      <c r="Q32" s="55">
        <v>1</v>
      </c>
      <c r="R32" s="57"/>
      <c r="S32" s="55"/>
      <c r="T32" s="66"/>
      <c r="U32" s="65">
        <v>120</v>
      </c>
      <c r="V32" s="192"/>
      <c r="W32" s="63">
        <f t="shared" si="0"/>
        <v>120</v>
      </c>
      <c r="X32" s="414"/>
    </row>
    <row r="33" spans="2:24" ht="20.100000000000001" customHeight="1" x14ac:dyDescent="0.2">
      <c r="B33" s="675"/>
      <c r="C33" s="587"/>
      <c r="D33" s="628"/>
      <c r="E33" s="588"/>
      <c r="F33" s="293" t="s">
        <v>648</v>
      </c>
      <c r="G33" s="443" t="s">
        <v>638</v>
      </c>
      <c r="H33" s="340" t="s">
        <v>656</v>
      </c>
      <c r="I33" s="267" t="s">
        <v>590</v>
      </c>
      <c r="J33" s="325">
        <v>0.28000000000000003</v>
      </c>
      <c r="K33" s="55">
        <v>1</v>
      </c>
      <c r="L33" s="57"/>
      <c r="M33" s="55"/>
      <c r="N33" s="57"/>
      <c r="O33" s="55"/>
      <c r="P33" s="57">
        <v>0.1</v>
      </c>
      <c r="Q33" s="55">
        <v>1</v>
      </c>
      <c r="R33" s="57"/>
      <c r="S33" s="55"/>
      <c r="T33" s="66"/>
      <c r="U33" s="65">
        <v>40</v>
      </c>
      <c r="V33" s="192"/>
      <c r="W33" s="63">
        <f t="shared" ref="W33:W34" si="5">AVERAGE(U33,V33)</f>
        <v>40</v>
      </c>
      <c r="X33" s="414"/>
    </row>
    <row r="34" spans="2:24" ht="20.100000000000001" customHeight="1" x14ac:dyDescent="0.2">
      <c r="B34" s="675"/>
      <c r="C34" s="587"/>
      <c r="D34" s="628"/>
      <c r="E34" s="588"/>
      <c r="F34" s="293" t="s">
        <v>644</v>
      </c>
      <c r="G34" s="443" t="s">
        <v>638</v>
      </c>
      <c r="H34" s="340" t="s">
        <v>656</v>
      </c>
      <c r="I34" s="267" t="s">
        <v>590</v>
      </c>
      <c r="J34" s="325">
        <v>0.11</v>
      </c>
      <c r="K34" s="55">
        <v>1</v>
      </c>
      <c r="L34" s="57"/>
      <c r="M34" s="55"/>
      <c r="N34" s="57"/>
      <c r="O34" s="55"/>
      <c r="P34" s="57">
        <v>0.04</v>
      </c>
      <c r="Q34" s="55">
        <v>1</v>
      </c>
      <c r="R34" s="57"/>
      <c r="S34" s="55"/>
      <c r="T34" s="66"/>
      <c r="U34" s="65">
        <v>105</v>
      </c>
      <c r="V34" s="192"/>
      <c r="W34" s="63">
        <f t="shared" si="5"/>
        <v>105</v>
      </c>
      <c r="X34" s="414"/>
    </row>
    <row r="35" spans="2:24" ht="20.100000000000001" customHeight="1" x14ac:dyDescent="0.2">
      <c r="B35" s="675"/>
      <c r="C35" s="587"/>
      <c r="D35" s="628"/>
      <c r="E35" s="588"/>
      <c r="F35" s="293" t="s">
        <v>659</v>
      </c>
      <c r="G35" s="443" t="s">
        <v>638</v>
      </c>
      <c r="H35" s="340" t="s">
        <v>656</v>
      </c>
      <c r="I35" s="267" t="s">
        <v>590</v>
      </c>
      <c r="J35" s="325">
        <v>0.28000000000000003</v>
      </c>
      <c r="K35" s="55">
        <v>1</v>
      </c>
      <c r="L35" s="57"/>
      <c r="M35" s="55"/>
      <c r="N35" s="57"/>
      <c r="O35" s="55"/>
      <c r="P35" s="57">
        <v>0.1</v>
      </c>
      <c r="Q35" s="55">
        <v>1</v>
      </c>
      <c r="R35" s="57"/>
      <c r="S35" s="55"/>
      <c r="T35" s="66"/>
      <c r="U35" s="65">
        <v>35</v>
      </c>
      <c r="V35" s="192"/>
      <c r="W35" s="63">
        <f t="shared" si="0"/>
        <v>35</v>
      </c>
      <c r="X35" s="414"/>
    </row>
    <row r="36" spans="2:24" ht="20.100000000000001" customHeight="1" x14ac:dyDescent="0.2">
      <c r="B36" s="675"/>
      <c r="C36" s="608"/>
      <c r="D36" s="629"/>
      <c r="E36" s="658"/>
      <c r="F36" s="293" t="s">
        <v>660</v>
      </c>
      <c r="G36" s="443" t="s">
        <v>638</v>
      </c>
      <c r="H36" s="340" t="s">
        <v>656</v>
      </c>
      <c r="I36" s="267" t="s">
        <v>590</v>
      </c>
      <c r="J36" s="325">
        <v>0.11</v>
      </c>
      <c r="K36" s="55">
        <v>1</v>
      </c>
      <c r="L36" s="57"/>
      <c r="M36" s="55"/>
      <c r="N36" s="57"/>
      <c r="O36" s="55"/>
      <c r="P36" s="57">
        <v>0.04</v>
      </c>
      <c r="Q36" s="55">
        <v>1</v>
      </c>
      <c r="R36" s="57"/>
      <c r="S36" s="55"/>
      <c r="T36" s="66"/>
      <c r="U36" s="65">
        <v>90</v>
      </c>
      <c r="V36" s="192"/>
      <c r="W36" s="63">
        <f t="shared" si="0"/>
        <v>90</v>
      </c>
      <c r="X36" s="414"/>
    </row>
    <row r="37" spans="2:24" ht="20.100000000000001" customHeight="1" x14ac:dyDescent="0.2">
      <c r="B37" s="675"/>
      <c r="C37" s="599" t="s">
        <v>589</v>
      </c>
      <c r="D37" s="600"/>
      <c r="E37" s="630" t="s">
        <v>588</v>
      </c>
      <c r="F37" s="293" t="s">
        <v>587</v>
      </c>
      <c r="G37" s="207" t="s">
        <v>526</v>
      </c>
      <c r="H37" s="361" t="s">
        <v>586</v>
      </c>
      <c r="I37" s="217" t="s">
        <v>583</v>
      </c>
      <c r="J37" s="325"/>
      <c r="K37" s="55"/>
      <c r="L37" s="57"/>
      <c r="M37" s="55"/>
      <c r="N37" s="57"/>
      <c r="O37" s="55"/>
      <c r="P37" s="57"/>
      <c r="Q37" s="55"/>
      <c r="R37" s="57">
        <v>2.6</v>
      </c>
      <c r="S37" s="55">
        <v>1</v>
      </c>
      <c r="T37" s="66"/>
      <c r="U37" s="360">
        <f>1/R37*8</f>
        <v>3.0769230769230766</v>
      </c>
      <c r="V37" s="291"/>
      <c r="W37" s="51">
        <f t="shared" si="0"/>
        <v>3.0769230769230766</v>
      </c>
      <c r="X37" s="414"/>
    </row>
    <row r="38" spans="2:24" ht="20.100000000000001" customHeight="1" x14ac:dyDescent="0.2">
      <c r="B38" s="706"/>
      <c r="C38" s="616"/>
      <c r="D38" s="715"/>
      <c r="E38" s="698"/>
      <c r="F38" s="359" t="s">
        <v>585</v>
      </c>
      <c r="G38" s="358" t="s">
        <v>526</v>
      </c>
      <c r="H38" s="357" t="s">
        <v>584</v>
      </c>
      <c r="I38" s="356" t="s">
        <v>583</v>
      </c>
      <c r="J38" s="355"/>
      <c r="K38" s="353"/>
      <c r="L38" s="354"/>
      <c r="M38" s="353"/>
      <c r="N38" s="354"/>
      <c r="O38" s="353"/>
      <c r="P38" s="354"/>
      <c r="Q38" s="353"/>
      <c r="R38" s="354">
        <v>3.3</v>
      </c>
      <c r="S38" s="353">
        <v>1</v>
      </c>
      <c r="T38" s="352"/>
      <c r="U38" s="351">
        <f>1/R38*8</f>
        <v>2.4242424242424243</v>
      </c>
      <c r="V38" s="8"/>
      <c r="W38" s="7">
        <f t="shared" si="0"/>
        <v>2.4242424242424243</v>
      </c>
      <c r="X38" s="414"/>
    </row>
    <row r="39" spans="2:24" ht="20.100000000000001" customHeight="1" x14ac:dyDescent="0.2">
      <c r="B39" s="689" t="s">
        <v>663</v>
      </c>
      <c r="C39" s="587" t="s">
        <v>582</v>
      </c>
      <c r="D39" s="716" t="s">
        <v>581</v>
      </c>
      <c r="E39" s="670" t="s">
        <v>580</v>
      </c>
      <c r="F39" s="350" t="s">
        <v>579</v>
      </c>
      <c r="G39" s="349" t="s">
        <v>2</v>
      </c>
      <c r="H39" s="348" t="s">
        <v>656</v>
      </c>
      <c r="I39" s="347" t="s">
        <v>6</v>
      </c>
      <c r="J39" s="346">
        <v>0.05</v>
      </c>
      <c r="K39" s="344">
        <v>3</v>
      </c>
      <c r="L39" s="345"/>
      <c r="M39" s="344"/>
      <c r="N39" s="345"/>
      <c r="O39" s="344"/>
      <c r="P39" s="345">
        <v>0.02</v>
      </c>
      <c r="Q39" s="344">
        <v>1</v>
      </c>
      <c r="R39" s="345"/>
      <c r="S39" s="344"/>
      <c r="T39" s="213"/>
      <c r="U39" s="212">
        <v>55</v>
      </c>
      <c r="V39" s="343">
        <v>60</v>
      </c>
      <c r="W39" s="287">
        <f>AVERAGE(U39,V39)</f>
        <v>57.5</v>
      </c>
      <c r="X39" s="414">
        <f t="shared" si="3"/>
        <v>5</v>
      </c>
    </row>
    <row r="40" spans="2:24" ht="20.100000000000001" customHeight="1" x14ac:dyDescent="0.2">
      <c r="B40" s="675"/>
      <c r="C40" s="587"/>
      <c r="D40" s="590"/>
      <c r="E40" s="588"/>
      <c r="F40" s="269" t="s">
        <v>578</v>
      </c>
      <c r="G40" s="218" t="s">
        <v>2</v>
      </c>
      <c r="H40" s="340" t="s">
        <v>656</v>
      </c>
      <c r="I40" s="267" t="s">
        <v>6</v>
      </c>
      <c r="J40" s="224">
        <v>0.06</v>
      </c>
      <c r="K40" s="86">
        <v>3</v>
      </c>
      <c r="L40" s="87"/>
      <c r="M40" s="86"/>
      <c r="N40" s="87"/>
      <c r="O40" s="86"/>
      <c r="P40" s="87">
        <v>0.02</v>
      </c>
      <c r="Q40" s="86">
        <v>1</v>
      </c>
      <c r="R40" s="87"/>
      <c r="S40" s="86"/>
      <c r="T40" s="66"/>
      <c r="U40" s="65">
        <v>45</v>
      </c>
      <c r="V40" s="15"/>
      <c r="W40" s="14">
        <f t="shared" si="0"/>
        <v>45</v>
      </c>
      <c r="X40" s="414"/>
    </row>
    <row r="41" spans="2:24" ht="20.100000000000001" customHeight="1" x14ac:dyDescent="0.2">
      <c r="B41" s="675"/>
      <c r="C41" s="587"/>
      <c r="D41" s="579"/>
      <c r="E41" s="634"/>
      <c r="F41" s="279" t="s">
        <v>577</v>
      </c>
      <c r="G41" s="278" t="s">
        <v>2</v>
      </c>
      <c r="H41" s="342" t="s">
        <v>656</v>
      </c>
      <c r="I41" s="267" t="s">
        <v>6</v>
      </c>
      <c r="J41" s="333">
        <v>7.0000000000000007E-2</v>
      </c>
      <c r="K41" s="273">
        <v>3</v>
      </c>
      <c r="L41" s="277"/>
      <c r="M41" s="273"/>
      <c r="N41" s="277"/>
      <c r="O41" s="273"/>
      <c r="P41" s="277">
        <v>0.02</v>
      </c>
      <c r="Q41" s="273">
        <v>1</v>
      </c>
      <c r="R41" s="277"/>
      <c r="S41" s="273"/>
      <c r="T41" s="334"/>
      <c r="U41" s="462">
        <v>40</v>
      </c>
      <c r="V41" s="276"/>
      <c r="W41" s="275">
        <f t="shared" si="0"/>
        <v>40</v>
      </c>
      <c r="X41" s="414"/>
    </row>
    <row r="42" spans="2:24" ht="20.100000000000001" customHeight="1" x14ac:dyDescent="0.2">
      <c r="B42" s="675"/>
      <c r="C42" s="587"/>
      <c r="D42" s="590" t="s">
        <v>576</v>
      </c>
      <c r="E42" s="588" t="s">
        <v>575</v>
      </c>
      <c r="F42" s="269" t="s">
        <v>574</v>
      </c>
      <c r="G42" s="142" t="s">
        <v>2</v>
      </c>
      <c r="H42" s="341" t="s">
        <v>573</v>
      </c>
      <c r="I42" s="439" t="s">
        <v>6</v>
      </c>
      <c r="J42" s="224">
        <v>0.02</v>
      </c>
      <c r="K42" s="86">
        <v>3</v>
      </c>
      <c r="L42" s="87"/>
      <c r="M42" s="86"/>
      <c r="N42" s="87"/>
      <c r="O42" s="86"/>
      <c r="P42" s="87">
        <v>0.01</v>
      </c>
      <c r="Q42" s="86">
        <v>1</v>
      </c>
      <c r="R42" s="87"/>
      <c r="S42" s="86"/>
      <c r="T42" s="85"/>
      <c r="U42" s="65" cm="1">
        <f t="array" ref="U42">_xlfn.IFS(MAX(J42,L42,N42)=J42,K42/J42,MAX(J42,L42,N42)=L42,M42/L42,MAX(J42,L42,N42)=N42,O42/N42)</f>
        <v>150</v>
      </c>
      <c r="V42" s="307"/>
      <c r="W42" s="154">
        <f t="shared" si="0"/>
        <v>150</v>
      </c>
      <c r="X42" s="414"/>
    </row>
    <row r="43" spans="2:24" ht="20.100000000000001" customHeight="1" x14ac:dyDescent="0.2">
      <c r="B43" s="675"/>
      <c r="C43" s="587"/>
      <c r="D43" s="590"/>
      <c r="E43" s="658"/>
      <c r="F43" s="269" t="s">
        <v>572</v>
      </c>
      <c r="G43" s="218" t="s">
        <v>2</v>
      </c>
      <c r="H43" s="340" t="s">
        <v>570</v>
      </c>
      <c r="I43" s="267" t="s">
        <v>6</v>
      </c>
      <c r="J43" s="224">
        <v>0.03</v>
      </c>
      <c r="K43" s="86">
        <v>3</v>
      </c>
      <c r="L43" s="87"/>
      <c r="M43" s="86"/>
      <c r="N43" s="87"/>
      <c r="O43" s="86"/>
      <c r="P43" s="87">
        <v>0.01</v>
      </c>
      <c r="Q43" s="86">
        <v>1</v>
      </c>
      <c r="R43" s="87"/>
      <c r="S43" s="86"/>
      <c r="T43" s="66"/>
      <c r="U43" s="65" cm="1">
        <f t="array" ref="U43">_xlfn.IFS(MAX(J43,L43,N43)=J43,K43/J43,MAX(J43,L43,N43)=L43,M43/L43,MAX(J43,L43,N43)=N43,O43/N43)</f>
        <v>100</v>
      </c>
      <c r="V43" s="15"/>
      <c r="W43" s="14">
        <f t="shared" si="0"/>
        <v>100</v>
      </c>
      <c r="X43" s="414"/>
    </row>
    <row r="44" spans="2:24" ht="20.100000000000001" customHeight="1" x14ac:dyDescent="0.2">
      <c r="B44" s="675"/>
      <c r="C44" s="587"/>
      <c r="D44" s="632" t="s">
        <v>571</v>
      </c>
      <c r="E44" s="640" t="s">
        <v>675</v>
      </c>
      <c r="F44" s="246" t="s">
        <v>678</v>
      </c>
      <c r="G44" s="59" t="s">
        <v>2</v>
      </c>
      <c r="H44" s="340" t="s">
        <v>676</v>
      </c>
      <c r="I44" s="267" t="s">
        <v>6</v>
      </c>
      <c r="J44" s="82">
        <v>0.04</v>
      </c>
      <c r="K44" s="67">
        <v>4</v>
      </c>
      <c r="L44" s="69"/>
      <c r="M44" s="67"/>
      <c r="N44" s="69"/>
      <c r="O44" s="67"/>
      <c r="P44" s="69">
        <v>0.01</v>
      </c>
      <c r="Q44" s="67">
        <v>1</v>
      </c>
      <c r="R44" s="69"/>
      <c r="S44" s="67"/>
      <c r="T44" s="66"/>
      <c r="U44" s="65">
        <v>150</v>
      </c>
      <c r="V44" s="192">
        <v>100</v>
      </c>
      <c r="W44" s="63">
        <f t="shared" ref="W44:W46" si="6">AVERAGE(U44,V44)</f>
        <v>125</v>
      </c>
      <c r="X44" s="414">
        <f t="shared" ref="X44" si="7">V44-U44</f>
        <v>-50</v>
      </c>
    </row>
    <row r="45" spans="2:24" ht="20.100000000000001" customHeight="1" x14ac:dyDescent="0.2">
      <c r="B45" s="675"/>
      <c r="C45" s="587"/>
      <c r="D45" s="590"/>
      <c r="E45" s="617"/>
      <c r="F45" s="246" t="s">
        <v>679</v>
      </c>
      <c r="G45" s="59" t="s">
        <v>2</v>
      </c>
      <c r="H45" s="340" t="s">
        <v>677</v>
      </c>
      <c r="I45" s="267" t="s">
        <v>6</v>
      </c>
      <c r="J45" s="82">
        <v>0.05</v>
      </c>
      <c r="K45" s="67">
        <v>4</v>
      </c>
      <c r="L45" s="69"/>
      <c r="M45" s="67"/>
      <c r="N45" s="69"/>
      <c r="O45" s="67"/>
      <c r="P45" s="69">
        <v>0.01</v>
      </c>
      <c r="Q45" s="67">
        <v>1</v>
      </c>
      <c r="R45" s="69"/>
      <c r="S45" s="67"/>
      <c r="T45" s="66"/>
      <c r="U45" s="65">
        <v>150</v>
      </c>
      <c r="V45" s="192">
        <v>100</v>
      </c>
      <c r="W45" s="63">
        <f t="shared" si="6"/>
        <v>125</v>
      </c>
      <c r="X45" s="414"/>
    </row>
    <row r="46" spans="2:24" ht="20.100000000000001" customHeight="1" x14ac:dyDescent="0.2">
      <c r="B46" s="675"/>
      <c r="C46" s="587"/>
      <c r="D46" s="590"/>
      <c r="E46" s="617"/>
      <c r="F46" s="246" t="s">
        <v>680</v>
      </c>
      <c r="G46" s="59" t="s">
        <v>2</v>
      </c>
      <c r="H46" s="340" t="s">
        <v>676</v>
      </c>
      <c r="I46" s="267" t="s">
        <v>6</v>
      </c>
      <c r="J46" s="82">
        <v>0.06</v>
      </c>
      <c r="K46" s="67">
        <v>4</v>
      </c>
      <c r="L46" s="69"/>
      <c r="M46" s="67"/>
      <c r="N46" s="69"/>
      <c r="O46" s="67"/>
      <c r="P46" s="69">
        <v>0.01</v>
      </c>
      <c r="Q46" s="67">
        <v>1</v>
      </c>
      <c r="R46" s="69"/>
      <c r="S46" s="67"/>
      <c r="T46" s="66"/>
      <c r="U46" s="65">
        <v>130</v>
      </c>
      <c r="V46" s="192"/>
      <c r="W46" s="63">
        <f t="shared" si="6"/>
        <v>130</v>
      </c>
      <c r="X46" s="414"/>
    </row>
    <row r="47" spans="2:24" ht="20.100000000000001" customHeight="1" x14ac:dyDescent="0.2">
      <c r="B47" s="675"/>
      <c r="C47" s="587"/>
      <c r="D47" s="590"/>
      <c r="E47" s="617"/>
      <c r="F47" s="246" t="s">
        <v>681</v>
      </c>
      <c r="G47" s="59" t="s">
        <v>2</v>
      </c>
      <c r="H47" s="340" t="s">
        <v>677</v>
      </c>
      <c r="I47" s="267" t="s">
        <v>6</v>
      </c>
      <c r="J47" s="82">
        <v>0.04</v>
      </c>
      <c r="K47" s="67">
        <v>4</v>
      </c>
      <c r="L47" s="69"/>
      <c r="M47" s="67"/>
      <c r="N47" s="69"/>
      <c r="O47" s="67"/>
      <c r="P47" s="69">
        <v>0.01</v>
      </c>
      <c r="Q47" s="67">
        <v>1</v>
      </c>
      <c r="R47" s="69"/>
      <c r="S47" s="67"/>
      <c r="T47" s="66"/>
      <c r="U47" s="65">
        <v>130</v>
      </c>
      <c r="V47" s="192"/>
      <c r="W47" s="63">
        <f t="shared" si="0"/>
        <v>130</v>
      </c>
      <c r="X47" s="414">
        <f t="shared" si="3"/>
        <v>-130</v>
      </c>
    </row>
    <row r="48" spans="2:24" ht="20.100000000000001" customHeight="1" x14ac:dyDescent="0.2">
      <c r="B48" s="675"/>
      <c r="C48" s="587"/>
      <c r="D48" s="590"/>
      <c r="E48" s="617"/>
      <c r="F48" s="246" t="s">
        <v>670</v>
      </c>
      <c r="G48" s="59" t="s">
        <v>2</v>
      </c>
      <c r="H48" s="340" t="s">
        <v>676</v>
      </c>
      <c r="I48" s="267" t="s">
        <v>6</v>
      </c>
      <c r="J48" s="82">
        <v>0.05</v>
      </c>
      <c r="K48" s="67">
        <v>4</v>
      </c>
      <c r="L48" s="69"/>
      <c r="M48" s="67"/>
      <c r="N48" s="69"/>
      <c r="O48" s="67"/>
      <c r="P48" s="69">
        <v>0.01</v>
      </c>
      <c r="Q48" s="67">
        <v>1</v>
      </c>
      <c r="R48" s="69"/>
      <c r="S48" s="67"/>
      <c r="T48" s="66"/>
      <c r="U48" s="65">
        <v>110</v>
      </c>
      <c r="V48" s="192"/>
      <c r="W48" s="63">
        <f t="shared" si="0"/>
        <v>110</v>
      </c>
      <c r="X48" s="414"/>
    </row>
    <row r="49" spans="2:24" ht="20.100000000000001" customHeight="1" x14ac:dyDescent="0.2">
      <c r="B49" s="675"/>
      <c r="C49" s="608"/>
      <c r="D49" s="641"/>
      <c r="E49" s="719"/>
      <c r="F49" s="246" t="s">
        <v>671</v>
      </c>
      <c r="G49" s="59" t="s">
        <v>2</v>
      </c>
      <c r="H49" s="340" t="s">
        <v>677</v>
      </c>
      <c r="I49" s="267" t="s">
        <v>6</v>
      </c>
      <c r="J49" s="82">
        <v>0.06</v>
      </c>
      <c r="K49" s="67">
        <v>4</v>
      </c>
      <c r="L49" s="69"/>
      <c r="M49" s="67"/>
      <c r="N49" s="69"/>
      <c r="O49" s="67"/>
      <c r="P49" s="69">
        <v>0.01</v>
      </c>
      <c r="Q49" s="67">
        <v>1</v>
      </c>
      <c r="R49" s="69"/>
      <c r="S49" s="67"/>
      <c r="T49" s="66"/>
      <c r="U49" s="65">
        <v>110</v>
      </c>
      <c r="V49" s="192"/>
      <c r="W49" s="63">
        <f t="shared" si="0"/>
        <v>110</v>
      </c>
      <c r="X49" s="414"/>
    </row>
    <row r="50" spans="2:24" ht="20.100000000000001" customHeight="1" x14ac:dyDescent="0.2">
      <c r="B50" s="675"/>
      <c r="C50" s="599" t="s">
        <v>569</v>
      </c>
      <c r="D50" s="632" t="s">
        <v>568</v>
      </c>
      <c r="E50" s="630" t="s">
        <v>567</v>
      </c>
      <c r="F50" s="246" t="s">
        <v>566</v>
      </c>
      <c r="G50" s="59" t="s">
        <v>661</v>
      </c>
      <c r="H50" s="215" t="s">
        <v>662</v>
      </c>
      <c r="I50" s="267" t="s">
        <v>6</v>
      </c>
      <c r="J50" s="82">
        <v>0.54</v>
      </c>
      <c r="K50" s="67">
        <v>3</v>
      </c>
      <c r="L50" s="69"/>
      <c r="M50" s="67"/>
      <c r="N50" s="69"/>
      <c r="O50" s="67"/>
      <c r="P50" s="69">
        <v>0.21</v>
      </c>
      <c r="Q50" s="67">
        <v>1</v>
      </c>
      <c r="R50" s="69"/>
      <c r="S50" s="67"/>
      <c r="T50" s="66"/>
      <c r="U50" s="65">
        <v>50</v>
      </c>
      <c r="V50" s="192"/>
      <c r="W50" s="63">
        <f t="shared" si="0"/>
        <v>50</v>
      </c>
      <c r="X50" s="414"/>
    </row>
    <row r="51" spans="2:24" ht="20.100000000000001" customHeight="1" x14ac:dyDescent="0.2">
      <c r="B51" s="675"/>
      <c r="C51" s="607"/>
      <c r="D51" s="590"/>
      <c r="E51" s="588"/>
      <c r="F51" s="246" t="s">
        <v>565</v>
      </c>
      <c r="G51" s="59" t="s">
        <v>661</v>
      </c>
      <c r="H51" s="215" t="s">
        <v>662</v>
      </c>
      <c r="I51" s="267" t="s">
        <v>6</v>
      </c>
      <c r="J51" s="82">
        <v>0.57999999999999996</v>
      </c>
      <c r="K51" s="67">
        <v>3</v>
      </c>
      <c r="L51" s="69"/>
      <c r="M51" s="67"/>
      <c r="N51" s="69"/>
      <c r="O51" s="67"/>
      <c r="P51" s="69">
        <v>0.23</v>
      </c>
      <c r="Q51" s="67">
        <v>1</v>
      </c>
      <c r="R51" s="69"/>
      <c r="S51" s="67"/>
      <c r="T51" s="66"/>
      <c r="U51" s="65">
        <v>45</v>
      </c>
      <c r="V51" s="192">
        <v>51</v>
      </c>
      <c r="W51" s="63">
        <f t="shared" si="0"/>
        <v>48</v>
      </c>
      <c r="X51" s="414">
        <f t="shared" si="3"/>
        <v>6</v>
      </c>
    </row>
    <row r="52" spans="2:24" ht="20.100000000000001" customHeight="1" x14ac:dyDescent="0.2">
      <c r="B52" s="675"/>
      <c r="C52" s="607"/>
      <c r="D52" s="641"/>
      <c r="E52" s="658"/>
      <c r="F52" s="246" t="s">
        <v>564</v>
      </c>
      <c r="G52" s="59" t="s">
        <v>661</v>
      </c>
      <c r="H52" s="215" t="s">
        <v>662</v>
      </c>
      <c r="I52" s="267" t="s">
        <v>6</v>
      </c>
      <c r="J52" s="82">
        <v>0.63</v>
      </c>
      <c r="K52" s="67">
        <v>3</v>
      </c>
      <c r="L52" s="69"/>
      <c r="M52" s="67"/>
      <c r="N52" s="69"/>
      <c r="O52" s="67"/>
      <c r="P52" s="69">
        <v>0.25</v>
      </c>
      <c r="Q52" s="67">
        <v>1</v>
      </c>
      <c r="R52" s="69"/>
      <c r="S52" s="67"/>
      <c r="T52" s="66"/>
      <c r="U52" s="65">
        <v>40</v>
      </c>
      <c r="V52" s="192"/>
      <c r="W52" s="63">
        <f t="shared" si="0"/>
        <v>40</v>
      </c>
      <c r="X52" s="414"/>
    </row>
    <row r="53" spans="2:24" ht="20.100000000000001" customHeight="1" x14ac:dyDescent="0.2">
      <c r="B53" s="675"/>
      <c r="C53" s="607"/>
      <c r="D53" s="632" t="s">
        <v>563</v>
      </c>
      <c r="E53" s="630" t="s">
        <v>631</v>
      </c>
      <c r="F53" s="246" t="s">
        <v>562</v>
      </c>
      <c r="G53" s="59" t="s">
        <v>31</v>
      </c>
      <c r="H53" s="215" t="s">
        <v>662</v>
      </c>
      <c r="I53" s="267" t="s">
        <v>6</v>
      </c>
      <c r="J53" s="82">
        <v>0.05</v>
      </c>
      <c r="K53" s="67">
        <v>5</v>
      </c>
      <c r="L53" s="69"/>
      <c r="M53" s="67"/>
      <c r="N53" s="69"/>
      <c r="O53" s="67"/>
      <c r="P53" s="69">
        <v>0.01</v>
      </c>
      <c r="Q53" s="67">
        <v>2</v>
      </c>
      <c r="R53" s="69"/>
      <c r="S53" s="67"/>
      <c r="T53" s="66"/>
      <c r="U53" s="65">
        <v>65</v>
      </c>
      <c r="V53" s="192">
        <v>100</v>
      </c>
      <c r="W53" s="63">
        <f t="shared" si="0"/>
        <v>82.5</v>
      </c>
      <c r="X53" s="414">
        <f t="shared" si="3"/>
        <v>35</v>
      </c>
    </row>
    <row r="54" spans="2:24" ht="20.100000000000001" customHeight="1" x14ac:dyDescent="0.2">
      <c r="B54" s="675"/>
      <c r="C54" s="607"/>
      <c r="D54" s="641"/>
      <c r="E54" s="658"/>
      <c r="F54" s="246" t="s">
        <v>561</v>
      </c>
      <c r="G54" s="59" t="s">
        <v>31</v>
      </c>
      <c r="H54" s="215" t="s">
        <v>662</v>
      </c>
      <c r="I54" s="267" t="s">
        <v>6</v>
      </c>
      <c r="J54" s="82">
        <v>0.06</v>
      </c>
      <c r="K54" s="67">
        <v>5</v>
      </c>
      <c r="L54" s="69"/>
      <c r="M54" s="67"/>
      <c r="N54" s="69"/>
      <c r="O54" s="67"/>
      <c r="P54" s="69">
        <v>0.01</v>
      </c>
      <c r="Q54" s="67">
        <v>1</v>
      </c>
      <c r="R54" s="69"/>
      <c r="S54" s="67"/>
      <c r="T54" s="66"/>
      <c r="U54" s="65">
        <v>55</v>
      </c>
      <c r="V54" s="192"/>
      <c r="W54" s="63">
        <f t="shared" si="0"/>
        <v>55</v>
      </c>
      <c r="X54" s="414"/>
    </row>
    <row r="55" spans="2:24" ht="20.100000000000001" customHeight="1" x14ac:dyDescent="0.2">
      <c r="B55" s="675"/>
      <c r="C55" s="607"/>
      <c r="D55" s="642" t="s">
        <v>560</v>
      </c>
      <c r="E55" s="640" t="s">
        <v>559</v>
      </c>
      <c r="F55" s="246" t="s">
        <v>664</v>
      </c>
      <c r="G55" s="59" t="s">
        <v>661</v>
      </c>
      <c r="H55" s="215" t="s">
        <v>672</v>
      </c>
      <c r="I55" s="267" t="s">
        <v>6</v>
      </c>
      <c r="J55" s="82">
        <v>0.57999999999999996</v>
      </c>
      <c r="K55" s="67">
        <v>4</v>
      </c>
      <c r="L55" s="69"/>
      <c r="M55" s="67"/>
      <c r="N55" s="69"/>
      <c r="O55" s="67"/>
      <c r="P55" s="69">
        <v>0.18</v>
      </c>
      <c r="Q55" s="67">
        <v>1</v>
      </c>
      <c r="R55" s="69">
        <v>0.17</v>
      </c>
      <c r="S55" s="67">
        <v>1</v>
      </c>
      <c r="T55" s="66"/>
      <c r="U55" s="65">
        <v>130</v>
      </c>
      <c r="V55" s="192">
        <v>69</v>
      </c>
      <c r="W55" s="63">
        <f t="shared" si="0"/>
        <v>99.5</v>
      </c>
      <c r="X55" s="414">
        <f t="shared" si="3"/>
        <v>-61</v>
      </c>
    </row>
    <row r="56" spans="2:24" ht="20.100000000000001" customHeight="1" x14ac:dyDescent="0.2">
      <c r="B56" s="675"/>
      <c r="C56" s="607"/>
      <c r="D56" s="643"/>
      <c r="E56" s="617"/>
      <c r="F56" s="246" t="s">
        <v>665</v>
      </c>
      <c r="G56" s="59" t="s">
        <v>661</v>
      </c>
      <c r="H56" s="215" t="s">
        <v>672</v>
      </c>
      <c r="I56" s="267" t="s">
        <v>6</v>
      </c>
      <c r="J56" s="82">
        <v>0.57999999999999996</v>
      </c>
      <c r="K56" s="67">
        <v>2</v>
      </c>
      <c r="L56" s="69"/>
      <c r="M56" s="67"/>
      <c r="N56" s="69"/>
      <c r="O56" s="67"/>
      <c r="P56" s="69">
        <v>0.18</v>
      </c>
      <c r="Q56" s="67">
        <v>2</v>
      </c>
      <c r="R56" s="69">
        <v>0.17</v>
      </c>
      <c r="S56" s="67">
        <v>1</v>
      </c>
      <c r="T56" s="66"/>
      <c r="U56" s="65">
        <v>150</v>
      </c>
      <c r="V56" s="192"/>
      <c r="W56" s="63">
        <f t="shared" ref="W56" si="8">AVERAGE(U56,V56)</f>
        <v>150</v>
      </c>
      <c r="X56" s="414">
        <f t="shared" ref="X56" si="9">V56-U56</f>
        <v>-150</v>
      </c>
    </row>
    <row r="57" spans="2:24" ht="20.100000000000001" customHeight="1" x14ac:dyDescent="0.2">
      <c r="B57" s="675"/>
      <c r="C57" s="607"/>
      <c r="D57" s="643"/>
      <c r="E57" s="617"/>
      <c r="F57" s="246" t="s">
        <v>666</v>
      </c>
      <c r="G57" s="59" t="s">
        <v>661</v>
      </c>
      <c r="H57" s="215" t="s">
        <v>673</v>
      </c>
      <c r="I57" s="267" t="s">
        <v>6</v>
      </c>
      <c r="J57" s="82">
        <v>0.57999999999999996</v>
      </c>
      <c r="K57" s="67">
        <v>4</v>
      </c>
      <c r="L57" s="69"/>
      <c r="M57" s="67"/>
      <c r="N57" s="69"/>
      <c r="O57" s="67"/>
      <c r="P57" s="69">
        <v>0.18</v>
      </c>
      <c r="Q57" s="67">
        <v>1</v>
      </c>
      <c r="R57" s="69">
        <v>0.17</v>
      </c>
      <c r="S57" s="67">
        <v>1</v>
      </c>
      <c r="T57" s="66"/>
      <c r="U57" s="65">
        <v>120</v>
      </c>
      <c r="V57" s="192">
        <v>69</v>
      </c>
      <c r="W57" s="63">
        <f t="shared" ref="W57" si="10">AVERAGE(U57,V57)</f>
        <v>94.5</v>
      </c>
      <c r="X57" s="414">
        <f t="shared" ref="X57" si="11">V57-U57</f>
        <v>-51</v>
      </c>
    </row>
    <row r="58" spans="2:24" ht="20.100000000000001" customHeight="1" x14ac:dyDescent="0.2">
      <c r="B58" s="675"/>
      <c r="C58" s="607"/>
      <c r="D58" s="643"/>
      <c r="E58" s="617"/>
      <c r="F58" s="246" t="s">
        <v>667</v>
      </c>
      <c r="G58" s="59" t="s">
        <v>661</v>
      </c>
      <c r="H58" s="215" t="s">
        <v>673</v>
      </c>
      <c r="I58" s="267" t="s">
        <v>6</v>
      </c>
      <c r="J58" s="82">
        <v>0.57999999999999996</v>
      </c>
      <c r="K58" s="67">
        <v>2</v>
      </c>
      <c r="L58" s="69"/>
      <c r="M58" s="67"/>
      <c r="N58" s="69"/>
      <c r="O58" s="67"/>
      <c r="P58" s="69">
        <v>0.18</v>
      </c>
      <c r="Q58" s="67">
        <v>2</v>
      </c>
      <c r="R58" s="69">
        <v>0.17</v>
      </c>
      <c r="S58" s="67">
        <v>1</v>
      </c>
      <c r="T58" s="66"/>
      <c r="U58" s="65">
        <v>150</v>
      </c>
      <c r="V58" s="192"/>
      <c r="W58" s="63">
        <f t="shared" ref="W58" si="12">AVERAGE(U58,V58)</f>
        <v>150</v>
      </c>
      <c r="X58" s="414">
        <f t="shared" ref="X58" si="13">V58-U58</f>
        <v>-150</v>
      </c>
    </row>
    <row r="59" spans="2:24" ht="20.100000000000001" customHeight="1" x14ac:dyDescent="0.2">
      <c r="B59" s="675"/>
      <c r="C59" s="607"/>
      <c r="D59" s="643"/>
      <c r="E59" s="617"/>
      <c r="F59" s="339" t="s">
        <v>668</v>
      </c>
      <c r="G59" s="338" t="s">
        <v>661</v>
      </c>
      <c r="H59" s="215" t="s">
        <v>673</v>
      </c>
      <c r="I59" s="267" t="s">
        <v>6</v>
      </c>
      <c r="J59" s="337">
        <v>0.68</v>
      </c>
      <c r="K59" s="67">
        <v>4</v>
      </c>
      <c r="L59" s="336"/>
      <c r="M59" s="335"/>
      <c r="N59" s="336"/>
      <c r="O59" s="335"/>
      <c r="P59" s="336">
        <v>0.21</v>
      </c>
      <c r="Q59" s="335">
        <v>1</v>
      </c>
      <c r="R59" s="336">
        <v>0.25</v>
      </c>
      <c r="S59" s="335">
        <v>1</v>
      </c>
      <c r="T59" s="334"/>
      <c r="U59" s="65">
        <v>105</v>
      </c>
      <c r="V59" s="192"/>
      <c r="W59" s="63">
        <f t="shared" si="0"/>
        <v>105</v>
      </c>
      <c r="X59" s="414"/>
    </row>
    <row r="60" spans="2:24" ht="20.100000000000001" customHeight="1" x14ac:dyDescent="0.2">
      <c r="B60" s="675"/>
      <c r="C60" s="607"/>
      <c r="D60" s="643"/>
      <c r="E60" s="617"/>
      <c r="F60" s="339" t="s">
        <v>669</v>
      </c>
      <c r="G60" s="338" t="s">
        <v>661</v>
      </c>
      <c r="H60" s="215" t="s">
        <v>673</v>
      </c>
      <c r="I60" s="267" t="s">
        <v>6</v>
      </c>
      <c r="J60" s="337">
        <v>0.68</v>
      </c>
      <c r="K60" s="67">
        <v>2</v>
      </c>
      <c r="L60" s="336"/>
      <c r="M60" s="335"/>
      <c r="N60" s="336"/>
      <c r="O60" s="335"/>
      <c r="P60" s="336">
        <v>0.21</v>
      </c>
      <c r="Q60" s="335">
        <v>2</v>
      </c>
      <c r="R60" s="336">
        <v>0.25</v>
      </c>
      <c r="S60" s="335">
        <v>1</v>
      </c>
      <c r="T60" s="334"/>
      <c r="U60" s="65">
        <v>140</v>
      </c>
      <c r="V60" s="192"/>
      <c r="W60" s="63">
        <f t="shared" ref="W60" si="14">AVERAGE(U60,V60)</f>
        <v>140</v>
      </c>
      <c r="X60" s="414"/>
    </row>
    <row r="61" spans="2:24" ht="20.100000000000001" customHeight="1" x14ac:dyDescent="0.2">
      <c r="B61" s="675"/>
      <c r="C61" s="607"/>
      <c r="D61" s="643"/>
      <c r="E61" s="617"/>
      <c r="F61" s="282" t="s">
        <v>670</v>
      </c>
      <c r="G61" s="142" t="s">
        <v>661</v>
      </c>
      <c r="H61" s="361" t="s">
        <v>674</v>
      </c>
      <c r="I61" s="444" t="s">
        <v>6</v>
      </c>
      <c r="J61" s="445">
        <v>0.87</v>
      </c>
      <c r="K61" s="67">
        <v>4</v>
      </c>
      <c r="L61" s="281"/>
      <c r="M61" s="280"/>
      <c r="N61" s="281"/>
      <c r="O61" s="280"/>
      <c r="P61" s="281">
        <v>0.27</v>
      </c>
      <c r="Q61" s="280">
        <v>1</v>
      </c>
      <c r="R61" s="281">
        <v>0.28000000000000003</v>
      </c>
      <c r="S61" s="280">
        <v>1</v>
      </c>
      <c r="T61" s="206"/>
      <c r="U61" s="53">
        <v>85</v>
      </c>
      <c r="V61" s="291"/>
      <c r="W61" s="51">
        <f t="shared" si="0"/>
        <v>85</v>
      </c>
      <c r="X61" s="414"/>
    </row>
    <row r="62" spans="2:24" ht="20.100000000000001" customHeight="1" x14ac:dyDescent="0.2">
      <c r="B62" s="706"/>
      <c r="C62" s="616"/>
      <c r="D62" s="720"/>
      <c r="E62" s="618"/>
      <c r="F62" s="359" t="s">
        <v>671</v>
      </c>
      <c r="G62" s="358" t="s">
        <v>661</v>
      </c>
      <c r="H62" s="357" t="s">
        <v>674</v>
      </c>
      <c r="I62" s="459" t="s">
        <v>6</v>
      </c>
      <c r="J62" s="355">
        <v>0.87</v>
      </c>
      <c r="K62" s="67">
        <v>2</v>
      </c>
      <c r="L62" s="354"/>
      <c r="M62" s="353"/>
      <c r="N62" s="354"/>
      <c r="O62" s="353"/>
      <c r="P62" s="354">
        <v>0.27</v>
      </c>
      <c r="Q62" s="353">
        <v>2</v>
      </c>
      <c r="R62" s="354">
        <v>0.28000000000000003</v>
      </c>
      <c r="S62" s="353">
        <v>1</v>
      </c>
      <c r="T62" s="352"/>
      <c r="U62" s="460">
        <v>115</v>
      </c>
      <c r="V62" s="8"/>
      <c r="W62" s="461">
        <f t="shared" ref="W62" si="15">AVERAGE(U62,V62)</f>
        <v>115</v>
      </c>
      <c r="X62" s="414"/>
    </row>
    <row r="63" spans="2:24" ht="20.100000000000001" customHeight="1" x14ac:dyDescent="0.2">
      <c r="B63" s="446" t="s">
        <v>558</v>
      </c>
      <c r="C63" s="447"/>
      <c r="D63" s="448"/>
      <c r="E63" s="479"/>
      <c r="F63" s="449"/>
      <c r="G63" s="450"/>
      <c r="H63" s="451"/>
      <c r="I63" s="452"/>
      <c r="J63" s="453"/>
      <c r="K63" s="454"/>
      <c r="L63" s="453"/>
      <c r="M63" s="454"/>
      <c r="N63" s="453"/>
      <c r="O63" s="454"/>
      <c r="P63" s="453"/>
      <c r="Q63" s="454"/>
      <c r="R63" s="453"/>
      <c r="S63" s="454"/>
      <c r="T63" s="455"/>
      <c r="U63" s="456"/>
      <c r="V63" s="457"/>
      <c r="W63" s="458"/>
      <c r="X63" s="414"/>
    </row>
    <row r="64" spans="2:24" ht="20.100000000000001" customHeight="1" x14ac:dyDescent="0.2">
      <c r="B64" s="653" t="s">
        <v>557</v>
      </c>
      <c r="C64" s="637" t="s">
        <v>556</v>
      </c>
      <c r="D64" s="638"/>
      <c r="E64" s="480" t="s">
        <v>555</v>
      </c>
      <c r="F64" s="253" t="s">
        <v>554</v>
      </c>
      <c r="G64" s="199" t="s">
        <v>21</v>
      </c>
      <c r="H64" s="227" t="s">
        <v>553</v>
      </c>
      <c r="I64" s="220" t="s">
        <v>29</v>
      </c>
      <c r="J64" s="219"/>
      <c r="K64" s="181"/>
      <c r="L64" s="182"/>
      <c r="M64" s="181"/>
      <c r="N64" s="182"/>
      <c r="O64" s="181"/>
      <c r="P64" s="182"/>
      <c r="Q64" s="181"/>
      <c r="R64" s="182">
        <v>4.0999999999999996</v>
      </c>
      <c r="S64" s="181">
        <v>1</v>
      </c>
      <c r="T64" s="180"/>
      <c r="U64" s="210">
        <f>R64*S64*8</f>
        <v>32.799999999999997</v>
      </c>
      <c r="V64" s="250">
        <v>54</v>
      </c>
      <c r="W64" s="197">
        <f t="shared" ref="W64:W113" si="16">AVERAGE(U64,V64)</f>
        <v>43.4</v>
      </c>
      <c r="X64" s="414">
        <f t="shared" si="3"/>
        <v>21.200000000000003</v>
      </c>
    </row>
    <row r="65" spans="2:24" ht="20.100000000000001" customHeight="1" x14ac:dyDescent="0.2">
      <c r="B65" s="654"/>
      <c r="C65" s="605" t="s">
        <v>546</v>
      </c>
      <c r="D65" s="632" t="s">
        <v>552</v>
      </c>
      <c r="E65" s="630" t="s">
        <v>551</v>
      </c>
      <c r="F65" s="246" t="s">
        <v>550</v>
      </c>
      <c r="G65" s="59" t="s">
        <v>31</v>
      </c>
      <c r="H65" s="332" t="s">
        <v>547</v>
      </c>
      <c r="I65" s="218" t="s">
        <v>29</v>
      </c>
      <c r="J65" s="82">
        <v>2.14</v>
      </c>
      <c r="K65" s="67">
        <v>1</v>
      </c>
      <c r="L65" s="69"/>
      <c r="M65" s="67"/>
      <c r="N65" s="69"/>
      <c r="O65" s="67"/>
      <c r="P65" s="69">
        <v>0.51</v>
      </c>
      <c r="Q65" s="67">
        <v>1</v>
      </c>
      <c r="R65" s="69">
        <v>2.71</v>
      </c>
      <c r="S65" s="67">
        <v>1</v>
      </c>
      <c r="T65" s="66"/>
      <c r="U65" s="65">
        <f>1/R65*8*1000</f>
        <v>2952.0295202952029</v>
      </c>
      <c r="V65" s="192"/>
      <c r="W65" s="63">
        <f t="shared" si="16"/>
        <v>2952.0295202952029</v>
      </c>
      <c r="X65" s="414"/>
    </row>
    <row r="66" spans="2:24" ht="20.100000000000001" customHeight="1" x14ac:dyDescent="0.2">
      <c r="B66" s="654"/>
      <c r="C66" s="587"/>
      <c r="D66" s="590"/>
      <c r="E66" s="588"/>
      <c r="F66" s="246" t="s">
        <v>549</v>
      </c>
      <c r="G66" s="59" t="s">
        <v>31</v>
      </c>
      <c r="H66" s="332" t="s">
        <v>547</v>
      </c>
      <c r="I66" s="218" t="s">
        <v>29</v>
      </c>
      <c r="J66" s="82">
        <v>2.8</v>
      </c>
      <c r="K66" s="67">
        <v>1</v>
      </c>
      <c r="L66" s="69"/>
      <c r="M66" s="67"/>
      <c r="N66" s="69"/>
      <c r="O66" s="67"/>
      <c r="P66" s="69">
        <v>0.66</v>
      </c>
      <c r="Q66" s="67">
        <v>1</v>
      </c>
      <c r="R66" s="69">
        <v>3.54</v>
      </c>
      <c r="S66" s="67">
        <v>1</v>
      </c>
      <c r="T66" s="66"/>
      <c r="U66" s="65">
        <f>1/R66*8*1000</f>
        <v>2259.8870056497176</v>
      </c>
      <c r="V66" s="192"/>
      <c r="W66" s="63">
        <f t="shared" si="16"/>
        <v>2259.8870056497176</v>
      </c>
      <c r="X66" s="414"/>
    </row>
    <row r="67" spans="2:24" ht="20.100000000000001" customHeight="1" x14ac:dyDescent="0.2">
      <c r="B67" s="654"/>
      <c r="C67" s="587"/>
      <c r="D67" s="641"/>
      <c r="E67" s="658"/>
      <c r="F67" s="246" t="s">
        <v>548</v>
      </c>
      <c r="G67" s="59" t="s">
        <v>31</v>
      </c>
      <c r="H67" s="332" t="s">
        <v>547</v>
      </c>
      <c r="I67" s="218" t="s">
        <v>29</v>
      </c>
      <c r="J67" s="82">
        <v>3.65</v>
      </c>
      <c r="K67" s="67">
        <v>1</v>
      </c>
      <c r="L67" s="69"/>
      <c r="M67" s="67"/>
      <c r="N67" s="69"/>
      <c r="O67" s="67"/>
      <c r="P67" s="69">
        <v>0.87</v>
      </c>
      <c r="Q67" s="67">
        <v>1</v>
      </c>
      <c r="R67" s="69">
        <v>4.6100000000000003</v>
      </c>
      <c r="S67" s="67">
        <v>1</v>
      </c>
      <c r="T67" s="66"/>
      <c r="U67" s="65">
        <f>1/R67*8*1000</f>
        <v>1735.3579175704988</v>
      </c>
      <c r="V67" s="192">
        <f>1375/1000</f>
        <v>1.375</v>
      </c>
      <c r="W67" s="63">
        <f t="shared" si="16"/>
        <v>868.36645878524939</v>
      </c>
      <c r="X67" s="414">
        <f t="shared" si="3"/>
        <v>-1733.9829175704988</v>
      </c>
    </row>
    <row r="68" spans="2:24" ht="20.100000000000001" customHeight="1" x14ac:dyDescent="0.2">
      <c r="B68" s="654"/>
      <c r="C68" s="587"/>
      <c r="D68" s="331" t="s">
        <v>546</v>
      </c>
      <c r="E68" s="481"/>
      <c r="F68" s="330"/>
      <c r="G68" s="329" t="s">
        <v>21</v>
      </c>
      <c r="H68" s="328"/>
      <c r="I68" s="34"/>
      <c r="J68" s="327"/>
      <c r="K68" s="126"/>
      <c r="L68" s="127"/>
      <c r="M68" s="126"/>
      <c r="N68" s="127"/>
      <c r="O68" s="126"/>
      <c r="P68" s="127"/>
      <c r="Q68" s="126"/>
      <c r="R68" s="127"/>
      <c r="S68" s="126"/>
      <c r="T68" s="125"/>
      <c r="U68" s="124"/>
      <c r="V68" s="192">
        <f>1110/1000</f>
        <v>1.1100000000000001</v>
      </c>
      <c r="W68" s="63">
        <f t="shared" si="16"/>
        <v>1.1100000000000001</v>
      </c>
      <c r="X68" s="414"/>
    </row>
    <row r="69" spans="2:24" ht="20.100000000000001" customHeight="1" x14ac:dyDescent="0.2">
      <c r="B69" s="654"/>
      <c r="C69" s="587"/>
      <c r="D69" s="249" t="s">
        <v>545</v>
      </c>
      <c r="E69" s="482" t="s">
        <v>544</v>
      </c>
      <c r="F69" s="293" t="s">
        <v>543</v>
      </c>
      <c r="G69" s="59" t="s">
        <v>31</v>
      </c>
      <c r="H69" s="326" t="s">
        <v>542</v>
      </c>
      <c r="I69" s="218" t="s">
        <v>29</v>
      </c>
      <c r="J69" s="325"/>
      <c r="K69" s="55"/>
      <c r="L69" s="57"/>
      <c r="M69" s="55"/>
      <c r="N69" s="57"/>
      <c r="O69" s="55"/>
      <c r="P69" s="57">
        <v>1.06</v>
      </c>
      <c r="Q69" s="55">
        <v>1</v>
      </c>
      <c r="R69" s="57">
        <v>3.76</v>
      </c>
      <c r="S69" s="55">
        <v>1</v>
      </c>
      <c r="T69" s="54"/>
      <c r="U69" s="53">
        <f>1/R69*8*1000</f>
        <v>2127.6595744680849</v>
      </c>
      <c r="V69" s="291"/>
      <c r="W69" s="51">
        <f t="shared" si="16"/>
        <v>2127.6595744680849</v>
      </c>
      <c r="X69" s="414"/>
    </row>
    <row r="70" spans="2:24" s="316" customFormat="1" ht="20.100000000000001" customHeight="1" x14ac:dyDescent="0.2">
      <c r="B70" s="655"/>
      <c r="C70" s="702" t="s">
        <v>541</v>
      </c>
      <c r="D70" s="703"/>
      <c r="E70" s="483"/>
      <c r="F70" s="324" t="s">
        <v>540</v>
      </c>
      <c r="G70" s="322" t="s">
        <v>539</v>
      </c>
      <c r="H70" s="323"/>
      <c r="I70" s="322"/>
      <c r="J70" s="321"/>
      <c r="K70" s="319"/>
      <c r="L70" s="320"/>
      <c r="M70" s="319"/>
      <c r="N70" s="320"/>
      <c r="O70" s="319"/>
      <c r="P70" s="320"/>
      <c r="Q70" s="319"/>
      <c r="R70" s="320"/>
      <c r="S70" s="319"/>
      <c r="T70" s="318"/>
      <c r="U70" s="317"/>
      <c r="V70" s="8">
        <f>1915/1000</f>
        <v>1.915</v>
      </c>
      <c r="W70" s="166">
        <f t="shared" si="16"/>
        <v>1.915</v>
      </c>
      <c r="X70" s="414"/>
    </row>
    <row r="71" spans="2:24" ht="20.100000000000001" customHeight="1" x14ac:dyDescent="0.2">
      <c r="B71" s="656" t="s">
        <v>538</v>
      </c>
      <c r="C71" s="587" t="s">
        <v>537</v>
      </c>
      <c r="D71" s="579" t="s">
        <v>536</v>
      </c>
      <c r="E71" s="635"/>
      <c r="F71" s="315" t="s">
        <v>535</v>
      </c>
      <c r="G71" s="314" t="s">
        <v>1</v>
      </c>
      <c r="H71" s="313"/>
      <c r="I71" s="312"/>
      <c r="J71" s="311"/>
      <c r="K71" s="310"/>
      <c r="L71" s="311"/>
      <c r="M71" s="310"/>
      <c r="N71" s="311"/>
      <c r="O71" s="310"/>
      <c r="P71" s="311"/>
      <c r="Q71" s="310"/>
      <c r="R71" s="311"/>
      <c r="S71" s="310"/>
      <c r="T71" s="309"/>
      <c r="U71" s="308"/>
      <c r="V71" s="307">
        <v>8</v>
      </c>
      <c r="W71" s="154">
        <f t="shared" si="16"/>
        <v>8</v>
      </c>
      <c r="X71" s="414"/>
    </row>
    <row r="72" spans="2:24" ht="20.100000000000001" customHeight="1" x14ac:dyDescent="0.2">
      <c r="B72" s="654"/>
      <c r="C72" s="587"/>
      <c r="D72" s="717"/>
      <c r="E72" s="636"/>
      <c r="F72" s="92" t="s">
        <v>534</v>
      </c>
      <c r="G72" s="306" t="s">
        <v>1</v>
      </c>
      <c r="H72" s="92"/>
      <c r="I72" s="306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15">
        <v>10</v>
      </c>
      <c r="W72" s="14">
        <f t="shared" si="16"/>
        <v>10</v>
      </c>
      <c r="X72" s="414"/>
    </row>
    <row r="73" spans="2:24" ht="20.100000000000001" customHeight="1" x14ac:dyDescent="0.2">
      <c r="B73" s="654"/>
      <c r="C73" s="587"/>
      <c r="D73" s="717"/>
      <c r="E73" s="636"/>
      <c r="F73" s="92" t="s">
        <v>533</v>
      </c>
      <c r="G73" s="306" t="s">
        <v>1</v>
      </c>
      <c r="H73" s="92"/>
      <c r="I73" s="306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276">
        <v>8</v>
      </c>
      <c r="W73" s="275">
        <f t="shared" si="16"/>
        <v>8</v>
      </c>
      <c r="X73" s="414"/>
    </row>
    <row r="74" spans="2:24" ht="20.100000000000001" customHeight="1" x14ac:dyDescent="0.2">
      <c r="B74" s="654"/>
      <c r="C74" s="587"/>
      <c r="D74" s="578" t="s">
        <v>682</v>
      </c>
      <c r="E74" s="588" t="s">
        <v>684</v>
      </c>
      <c r="F74" s="269" t="s">
        <v>532</v>
      </c>
      <c r="G74" s="26" t="s">
        <v>1</v>
      </c>
      <c r="H74" s="268" t="s">
        <v>689</v>
      </c>
      <c r="I74" s="218" t="s">
        <v>29</v>
      </c>
      <c r="J74" s="87">
        <v>0.61</v>
      </c>
      <c r="K74" s="86">
        <v>2</v>
      </c>
      <c r="L74" s="87">
        <v>0.69</v>
      </c>
      <c r="M74" s="86">
        <v>4</v>
      </c>
      <c r="N74" s="87"/>
      <c r="O74" s="86"/>
      <c r="P74" s="87">
        <v>0.33</v>
      </c>
      <c r="Q74" s="86">
        <v>2</v>
      </c>
      <c r="R74" s="87">
        <v>0.97</v>
      </c>
      <c r="S74" s="86">
        <v>1</v>
      </c>
      <c r="T74" s="85"/>
      <c r="U74" s="144">
        <v>80</v>
      </c>
      <c r="V74" s="266">
        <v>100</v>
      </c>
      <c r="W74" s="83">
        <f t="shared" ref="W74:W77" si="17">AVERAGE(U74,V74)</f>
        <v>90</v>
      </c>
      <c r="X74" s="414">
        <f t="shared" ref="X74" si="18">V74-U74</f>
        <v>20</v>
      </c>
    </row>
    <row r="75" spans="2:24" ht="20.100000000000001" customHeight="1" x14ac:dyDescent="0.2">
      <c r="B75" s="654"/>
      <c r="C75" s="587"/>
      <c r="D75" s="590"/>
      <c r="E75" s="634"/>
      <c r="F75" s="246" t="s">
        <v>531</v>
      </c>
      <c r="G75" s="59" t="s">
        <v>384</v>
      </c>
      <c r="H75" s="194" t="s">
        <v>689</v>
      </c>
      <c r="I75" s="218" t="s">
        <v>29</v>
      </c>
      <c r="J75" s="69">
        <v>0.78</v>
      </c>
      <c r="K75" s="67">
        <v>1</v>
      </c>
      <c r="L75" s="69">
        <v>0.88</v>
      </c>
      <c r="M75" s="67">
        <v>1</v>
      </c>
      <c r="N75" s="69"/>
      <c r="O75" s="67"/>
      <c r="P75" s="69">
        <v>0.41</v>
      </c>
      <c r="Q75" s="67">
        <v>1</v>
      </c>
      <c r="R75" s="69">
        <v>1.23</v>
      </c>
      <c r="S75" s="67">
        <v>1</v>
      </c>
      <c r="T75" s="66"/>
      <c r="U75" s="65">
        <v>65</v>
      </c>
      <c r="V75" s="192"/>
      <c r="W75" s="63">
        <f t="shared" si="17"/>
        <v>65</v>
      </c>
      <c r="X75" s="414"/>
    </row>
    <row r="76" spans="2:24" ht="20.100000000000001" customHeight="1" x14ac:dyDescent="0.2">
      <c r="B76" s="654"/>
      <c r="C76" s="587"/>
      <c r="D76" s="590"/>
      <c r="E76" s="633" t="s">
        <v>685</v>
      </c>
      <c r="F76" s="246" t="s">
        <v>532</v>
      </c>
      <c r="G76" s="59" t="s">
        <v>384</v>
      </c>
      <c r="H76" s="194" t="s">
        <v>690</v>
      </c>
      <c r="I76" s="218" t="s">
        <v>29</v>
      </c>
      <c r="J76" s="69">
        <v>0.37</v>
      </c>
      <c r="K76" s="67">
        <v>1</v>
      </c>
      <c r="L76" s="69">
        <v>0.41</v>
      </c>
      <c r="M76" s="67">
        <v>1</v>
      </c>
      <c r="N76" s="69"/>
      <c r="O76" s="67"/>
      <c r="P76" s="69">
        <v>0.2</v>
      </c>
      <c r="Q76" s="67">
        <v>1</v>
      </c>
      <c r="R76" s="69">
        <v>0.68</v>
      </c>
      <c r="S76" s="67">
        <v>1</v>
      </c>
      <c r="T76" s="66"/>
      <c r="U76" s="65">
        <v>110</v>
      </c>
      <c r="V76" s="192">
        <v>150</v>
      </c>
      <c r="W76" s="63">
        <f t="shared" si="17"/>
        <v>130</v>
      </c>
      <c r="X76" s="414">
        <f t="shared" ref="X76" si="19">V76-U76</f>
        <v>40</v>
      </c>
    </row>
    <row r="77" spans="2:24" ht="20.100000000000001" customHeight="1" x14ac:dyDescent="0.2">
      <c r="B77" s="654"/>
      <c r="C77" s="587"/>
      <c r="D77" s="641"/>
      <c r="E77" s="639"/>
      <c r="F77" s="246" t="s">
        <v>531</v>
      </c>
      <c r="G77" s="59" t="s">
        <v>384</v>
      </c>
      <c r="H77" s="194" t="s">
        <v>690</v>
      </c>
      <c r="I77" s="218" t="s">
        <v>29</v>
      </c>
      <c r="J77" s="69">
        <v>0.46</v>
      </c>
      <c r="K77" s="67">
        <v>1</v>
      </c>
      <c r="L77" s="69">
        <v>0.53</v>
      </c>
      <c r="M77" s="67">
        <v>1</v>
      </c>
      <c r="N77" s="69"/>
      <c r="O77" s="67"/>
      <c r="P77" s="69">
        <v>0.25</v>
      </c>
      <c r="Q77" s="67">
        <v>1</v>
      </c>
      <c r="R77" s="69">
        <v>0.86</v>
      </c>
      <c r="S77" s="67">
        <v>1</v>
      </c>
      <c r="T77" s="66"/>
      <c r="U77" s="65">
        <v>85</v>
      </c>
      <c r="V77" s="192"/>
      <c r="W77" s="63">
        <f t="shared" si="17"/>
        <v>85</v>
      </c>
      <c r="X77" s="414"/>
    </row>
    <row r="78" spans="2:24" ht="20.100000000000001" customHeight="1" x14ac:dyDescent="0.2">
      <c r="B78" s="654"/>
      <c r="C78" s="587"/>
      <c r="D78" s="632" t="s">
        <v>683</v>
      </c>
      <c r="E78" s="588" t="s">
        <v>687</v>
      </c>
      <c r="F78" s="269" t="s">
        <v>532</v>
      </c>
      <c r="G78" s="26" t="s">
        <v>1</v>
      </c>
      <c r="H78" s="194" t="s">
        <v>691</v>
      </c>
      <c r="I78" s="218" t="s">
        <v>29</v>
      </c>
      <c r="J78" s="87">
        <v>0.61</v>
      </c>
      <c r="K78" s="86">
        <v>2</v>
      </c>
      <c r="L78" s="87">
        <v>0.69</v>
      </c>
      <c r="M78" s="86">
        <v>4</v>
      </c>
      <c r="N78" s="87"/>
      <c r="O78" s="86"/>
      <c r="P78" s="87">
        <v>0.33</v>
      </c>
      <c r="Q78" s="86">
        <v>2</v>
      </c>
      <c r="R78" s="87">
        <v>0.97</v>
      </c>
      <c r="S78" s="86">
        <v>1</v>
      </c>
      <c r="T78" s="85"/>
      <c r="U78" s="144">
        <v>10</v>
      </c>
      <c r="V78" s="266">
        <v>10</v>
      </c>
      <c r="W78" s="83">
        <f t="shared" si="16"/>
        <v>10</v>
      </c>
      <c r="X78" s="414">
        <f t="shared" si="3"/>
        <v>0</v>
      </c>
    </row>
    <row r="79" spans="2:24" ht="20.100000000000001" customHeight="1" x14ac:dyDescent="0.2">
      <c r="B79" s="654"/>
      <c r="C79" s="587"/>
      <c r="D79" s="590"/>
      <c r="E79" s="634"/>
      <c r="F79" s="246" t="s">
        <v>531</v>
      </c>
      <c r="G79" s="59" t="s">
        <v>384</v>
      </c>
      <c r="H79" s="194" t="s">
        <v>691</v>
      </c>
      <c r="I79" s="218" t="s">
        <v>29</v>
      </c>
      <c r="J79" s="69">
        <v>0.78</v>
      </c>
      <c r="K79" s="67">
        <v>1</v>
      </c>
      <c r="L79" s="69">
        <v>0.88</v>
      </c>
      <c r="M79" s="67">
        <v>1</v>
      </c>
      <c r="N79" s="69"/>
      <c r="O79" s="67"/>
      <c r="P79" s="69">
        <v>0.41</v>
      </c>
      <c r="Q79" s="67">
        <v>1</v>
      </c>
      <c r="R79" s="69">
        <v>1.23</v>
      </c>
      <c r="S79" s="67">
        <v>1</v>
      </c>
      <c r="T79" s="66"/>
      <c r="U79" s="65">
        <v>8</v>
      </c>
      <c r="V79" s="192"/>
      <c r="W79" s="63">
        <f t="shared" si="16"/>
        <v>8</v>
      </c>
      <c r="X79" s="414"/>
    </row>
    <row r="80" spans="2:24" ht="20.100000000000001" customHeight="1" x14ac:dyDescent="0.2">
      <c r="B80" s="654"/>
      <c r="C80" s="587"/>
      <c r="D80" s="590"/>
      <c r="E80" s="633" t="s">
        <v>686</v>
      </c>
      <c r="F80" s="246" t="s">
        <v>532</v>
      </c>
      <c r="G80" s="59" t="s">
        <v>384</v>
      </c>
      <c r="H80" s="194" t="s">
        <v>688</v>
      </c>
      <c r="I80" s="218" t="s">
        <v>29</v>
      </c>
      <c r="J80" s="69">
        <v>0.37</v>
      </c>
      <c r="K80" s="67">
        <v>1</v>
      </c>
      <c r="L80" s="69">
        <v>0.41</v>
      </c>
      <c r="M80" s="67">
        <v>1</v>
      </c>
      <c r="N80" s="69"/>
      <c r="O80" s="67"/>
      <c r="P80" s="69">
        <v>0.2</v>
      </c>
      <c r="Q80" s="67">
        <v>1</v>
      </c>
      <c r="R80" s="69">
        <v>0.68</v>
      </c>
      <c r="S80" s="67">
        <v>1</v>
      </c>
      <c r="T80" s="66"/>
      <c r="U80" s="65">
        <v>13</v>
      </c>
      <c r="V80" s="192">
        <v>15</v>
      </c>
      <c r="W80" s="63">
        <f t="shared" si="16"/>
        <v>14</v>
      </c>
      <c r="X80" s="414">
        <f t="shared" si="3"/>
        <v>2</v>
      </c>
    </row>
    <row r="81" spans="2:25" ht="20.100000000000001" customHeight="1" x14ac:dyDescent="0.2">
      <c r="B81" s="654"/>
      <c r="C81" s="608"/>
      <c r="D81" s="641"/>
      <c r="E81" s="639"/>
      <c r="F81" s="246" t="s">
        <v>531</v>
      </c>
      <c r="G81" s="59" t="s">
        <v>384</v>
      </c>
      <c r="H81" s="194" t="s">
        <v>688</v>
      </c>
      <c r="I81" s="218" t="s">
        <v>29</v>
      </c>
      <c r="J81" s="69">
        <v>0.46</v>
      </c>
      <c r="K81" s="67">
        <v>1</v>
      </c>
      <c r="L81" s="69">
        <v>0.53</v>
      </c>
      <c r="M81" s="67">
        <v>1</v>
      </c>
      <c r="N81" s="69"/>
      <c r="O81" s="67"/>
      <c r="P81" s="69">
        <v>0.25</v>
      </c>
      <c r="Q81" s="67">
        <v>1</v>
      </c>
      <c r="R81" s="69">
        <v>0.86</v>
      </c>
      <c r="S81" s="67">
        <v>1</v>
      </c>
      <c r="T81" s="66"/>
      <c r="U81" s="65">
        <v>10</v>
      </c>
      <c r="V81" s="192"/>
      <c r="W81" s="63">
        <f t="shared" si="16"/>
        <v>10</v>
      </c>
      <c r="X81" s="414"/>
    </row>
    <row r="82" spans="2:25" ht="20.100000000000001" customHeight="1" x14ac:dyDescent="0.2">
      <c r="B82" s="654"/>
      <c r="C82" s="599" t="s">
        <v>707</v>
      </c>
      <c r="D82" s="600" t="s">
        <v>706</v>
      </c>
      <c r="E82" s="633" t="s">
        <v>530</v>
      </c>
      <c r="F82" s="246" t="s">
        <v>529</v>
      </c>
      <c r="G82" s="59" t="s">
        <v>528</v>
      </c>
      <c r="H82" s="194" t="s">
        <v>525</v>
      </c>
      <c r="I82" s="218" t="s">
        <v>29</v>
      </c>
      <c r="J82" s="69"/>
      <c r="K82" s="67"/>
      <c r="L82" s="69"/>
      <c r="M82" s="67"/>
      <c r="N82" s="69"/>
      <c r="O82" s="67"/>
      <c r="P82" s="69"/>
      <c r="Q82" s="67"/>
      <c r="R82" s="69">
        <v>1</v>
      </c>
      <c r="S82" s="67">
        <v>1</v>
      </c>
      <c r="T82" s="66"/>
      <c r="U82" s="65">
        <v>1</v>
      </c>
      <c r="V82" s="192"/>
      <c r="W82" s="63">
        <f t="shared" ref="W82:W83" si="20">AVERAGE(U82,V82)</f>
        <v>1</v>
      </c>
      <c r="X82" s="414"/>
    </row>
    <row r="83" spans="2:25" ht="20.100000000000001" customHeight="1" x14ac:dyDescent="0.2">
      <c r="B83" s="654"/>
      <c r="C83" s="607"/>
      <c r="D83" s="602"/>
      <c r="E83" s="639"/>
      <c r="F83" s="246" t="s">
        <v>527</v>
      </c>
      <c r="G83" s="59" t="s">
        <v>526</v>
      </c>
      <c r="H83" s="194" t="s">
        <v>525</v>
      </c>
      <c r="I83" s="218" t="s">
        <v>29</v>
      </c>
      <c r="J83" s="69"/>
      <c r="K83" s="67"/>
      <c r="L83" s="69"/>
      <c r="M83" s="67"/>
      <c r="N83" s="69"/>
      <c r="O83" s="67"/>
      <c r="P83" s="69"/>
      <c r="Q83" s="67"/>
      <c r="R83" s="69">
        <v>0.5</v>
      </c>
      <c r="S83" s="67">
        <v>1</v>
      </c>
      <c r="T83" s="66"/>
      <c r="U83" s="65">
        <v>1</v>
      </c>
      <c r="V83" s="192"/>
      <c r="W83" s="63">
        <f t="shared" si="20"/>
        <v>1</v>
      </c>
      <c r="X83" s="414"/>
    </row>
    <row r="84" spans="2:25" ht="20.100000000000001" customHeight="1" x14ac:dyDescent="0.2">
      <c r="B84" s="654"/>
      <c r="C84" s="607"/>
      <c r="D84" s="642" t="s">
        <v>745</v>
      </c>
      <c r="E84" s="661" t="s">
        <v>708</v>
      </c>
      <c r="F84" s="733" t="s">
        <v>736</v>
      </c>
      <c r="G84" s="338" t="s">
        <v>748</v>
      </c>
      <c r="H84" s="735" t="s">
        <v>742</v>
      </c>
      <c r="I84" s="721" t="s">
        <v>29</v>
      </c>
      <c r="J84" s="69"/>
      <c r="K84" s="67"/>
      <c r="L84" s="69"/>
      <c r="M84" s="67"/>
      <c r="N84" s="69"/>
      <c r="O84" s="67"/>
      <c r="P84" s="69"/>
      <c r="Q84" s="67"/>
      <c r="R84" s="69"/>
      <c r="S84" s="67"/>
      <c r="T84" s="66">
        <f>(3+0.91*12+2+5)/0.8</f>
        <v>26.150000000000002</v>
      </c>
      <c r="U84" s="65">
        <f>1/T84*60*8</f>
        <v>18.355640535372846</v>
      </c>
      <c r="V84" s="192"/>
      <c r="W84" s="63">
        <f t="shared" si="16"/>
        <v>18.355640535372846</v>
      </c>
      <c r="X84" s="414">
        <v>12</v>
      </c>
      <c r="Y84" s="1">
        <f>X84*U84</f>
        <v>220.26768642447416</v>
      </c>
    </row>
    <row r="85" spans="2:25" ht="20.100000000000001" customHeight="1" x14ac:dyDescent="0.2">
      <c r="B85" s="654"/>
      <c r="C85" s="607"/>
      <c r="D85" s="643"/>
      <c r="E85" s="662"/>
      <c r="F85" s="734"/>
      <c r="G85" s="218" t="s">
        <v>638</v>
      </c>
      <c r="H85" s="736"/>
      <c r="I85" s="722"/>
      <c r="J85" s="69"/>
      <c r="K85" s="67"/>
      <c r="L85" s="69"/>
      <c r="M85" s="67"/>
      <c r="N85" s="69"/>
      <c r="O85" s="67"/>
      <c r="P85" s="69"/>
      <c r="Q85" s="67"/>
      <c r="R85" s="69"/>
      <c r="S85" s="67"/>
      <c r="T85" s="66"/>
      <c r="U85" s="65">
        <f>U84*12</f>
        <v>220.26768642447416</v>
      </c>
      <c r="V85" s="192"/>
      <c r="W85" s="63">
        <f t="shared" si="16"/>
        <v>220.26768642447416</v>
      </c>
      <c r="X85" s="414"/>
    </row>
    <row r="86" spans="2:25" ht="20.100000000000001" customHeight="1" x14ac:dyDescent="0.2">
      <c r="B86" s="654"/>
      <c r="C86" s="607"/>
      <c r="D86" s="643"/>
      <c r="E86" s="662"/>
      <c r="F86" s="733" t="s">
        <v>737</v>
      </c>
      <c r="G86" s="218" t="s">
        <v>748</v>
      </c>
      <c r="H86" s="735" t="s">
        <v>742</v>
      </c>
      <c r="I86" s="721" t="s">
        <v>29</v>
      </c>
      <c r="J86" s="69"/>
      <c r="K86" s="67"/>
      <c r="L86" s="69"/>
      <c r="M86" s="67"/>
      <c r="N86" s="69"/>
      <c r="O86" s="67"/>
      <c r="P86" s="69"/>
      <c r="Q86" s="67"/>
      <c r="R86" s="69"/>
      <c r="S86" s="67"/>
      <c r="T86" s="66">
        <f>(3+1.18*12+2+5)/0.8</f>
        <v>30.2</v>
      </c>
      <c r="U86" s="65">
        <f t="shared" ref="U86:U90" si="21">1/T86*60*8</f>
        <v>15.894039735099339</v>
      </c>
      <c r="V86" s="192"/>
      <c r="W86" s="63"/>
      <c r="X86" s="414"/>
    </row>
    <row r="87" spans="2:25" ht="20.100000000000001" customHeight="1" x14ac:dyDescent="0.2">
      <c r="B87" s="654"/>
      <c r="C87" s="607"/>
      <c r="D87" s="643"/>
      <c r="E87" s="662"/>
      <c r="F87" s="734"/>
      <c r="G87" s="218" t="s">
        <v>638</v>
      </c>
      <c r="H87" s="736"/>
      <c r="I87" s="722"/>
      <c r="J87" s="69"/>
      <c r="K87" s="67"/>
      <c r="L87" s="69"/>
      <c r="M87" s="67"/>
      <c r="N87" s="69"/>
      <c r="O87" s="67"/>
      <c r="P87" s="69"/>
      <c r="Q87" s="67"/>
      <c r="R87" s="69"/>
      <c r="S87" s="67"/>
      <c r="T87" s="66"/>
      <c r="U87" s="65">
        <f>U86*12</f>
        <v>190.72847682119206</v>
      </c>
      <c r="V87" s="192"/>
      <c r="W87" s="63"/>
      <c r="X87" s="414"/>
    </row>
    <row r="88" spans="2:25" ht="20.100000000000001" customHeight="1" x14ac:dyDescent="0.2">
      <c r="B88" s="654"/>
      <c r="C88" s="607"/>
      <c r="D88" s="643"/>
      <c r="E88" s="662"/>
      <c r="F88" s="733" t="s">
        <v>738</v>
      </c>
      <c r="G88" s="218" t="s">
        <v>748</v>
      </c>
      <c r="H88" s="735" t="s">
        <v>743</v>
      </c>
      <c r="I88" s="721" t="s">
        <v>29</v>
      </c>
      <c r="J88" s="69"/>
      <c r="K88" s="67"/>
      <c r="L88" s="69"/>
      <c r="M88" s="67"/>
      <c r="N88" s="69"/>
      <c r="O88" s="67"/>
      <c r="P88" s="69"/>
      <c r="Q88" s="67"/>
      <c r="R88" s="69"/>
      <c r="S88" s="67"/>
      <c r="T88" s="66">
        <f>(3+4.61*12+2+5)/0.8</f>
        <v>81.650000000000006</v>
      </c>
      <c r="U88" s="65">
        <f t="shared" si="21"/>
        <v>5.878750765462339</v>
      </c>
      <c r="V88" s="192"/>
      <c r="W88" s="63"/>
      <c r="X88" s="414"/>
    </row>
    <row r="89" spans="2:25" ht="20.100000000000001" customHeight="1" x14ac:dyDescent="0.2">
      <c r="B89" s="654"/>
      <c r="C89" s="607"/>
      <c r="D89" s="643"/>
      <c r="E89" s="662"/>
      <c r="F89" s="734"/>
      <c r="G89" s="218" t="s">
        <v>638</v>
      </c>
      <c r="H89" s="736"/>
      <c r="I89" s="722"/>
      <c r="J89" s="69"/>
      <c r="K89" s="67"/>
      <c r="L89" s="69"/>
      <c r="M89" s="67"/>
      <c r="N89" s="69"/>
      <c r="O89" s="67"/>
      <c r="P89" s="69"/>
      <c r="Q89" s="67"/>
      <c r="R89" s="69"/>
      <c r="S89" s="67"/>
      <c r="T89" s="66"/>
      <c r="U89" s="65">
        <f>U88*12</f>
        <v>70.545009185548068</v>
      </c>
      <c r="V89" s="192"/>
      <c r="W89" s="63"/>
      <c r="X89" s="414"/>
    </row>
    <row r="90" spans="2:25" ht="20.100000000000001" customHeight="1" x14ac:dyDescent="0.2">
      <c r="B90" s="654"/>
      <c r="C90" s="607"/>
      <c r="D90" s="643"/>
      <c r="E90" s="662"/>
      <c r="F90" s="733" t="s">
        <v>739</v>
      </c>
      <c r="G90" s="218" t="s">
        <v>748</v>
      </c>
      <c r="H90" s="735" t="s">
        <v>744</v>
      </c>
      <c r="I90" s="721" t="s">
        <v>29</v>
      </c>
      <c r="J90" s="69"/>
      <c r="K90" s="67"/>
      <c r="L90" s="69"/>
      <c r="M90" s="67"/>
      <c r="N90" s="69"/>
      <c r="O90" s="67"/>
      <c r="P90" s="69"/>
      <c r="Q90" s="67"/>
      <c r="R90" s="69"/>
      <c r="S90" s="67"/>
      <c r="T90" s="66">
        <f>(3+10.48*12+2+5)/0.8</f>
        <v>169.7</v>
      </c>
      <c r="U90" s="65">
        <f t="shared" si="21"/>
        <v>2.8285209192692986</v>
      </c>
      <c r="V90" s="192"/>
      <c r="W90" s="63"/>
      <c r="X90" s="414"/>
    </row>
    <row r="91" spans="2:25" ht="20.100000000000001" customHeight="1" x14ac:dyDescent="0.2">
      <c r="B91" s="654"/>
      <c r="C91" s="607"/>
      <c r="D91" s="643"/>
      <c r="E91" s="662"/>
      <c r="F91" s="734"/>
      <c r="G91" s="218" t="s">
        <v>638</v>
      </c>
      <c r="H91" s="736"/>
      <c r="I91" s="722"/>
      <c r="J91" s="69"/>
      <c r="K91" s="67"/>
      <c r="L91" s="69"/>
      <c r="M91" s="67"/>
      <c r="N91" s="69"/>
      <c r="O91" s="67"/>
      <c r="P91" s="69"/>
      <c r="Q91" s="67"/>
      <c r="R91" s="69"/>
      <c r="S91" s="67"/>
      <c r="T91" s="66"/>
      <c r="U91" s="65">
        <f>U90*12</f>
        <v>33.942251031231585</v>
      </c>
      <c r="V91" s="192"/>
      <c r="W91" s="63"/>
      <c r="X91" s="414"/>
    </row>
    <row r="92" spans="2:25" ht="20.100000000000001" customHeight="1" x14ac:dyDescent="0.2">
      <c r="B92" s="654"/>
      <c r="C92" s="607"/>
      <c r="D92" s="643"/>
      <c r="E92" s="662"/>
      <c r="F92" s="733" t="s">
        <v>740</v>
      </c>
      <c r="G92" s="218" t="s">
        <v>748</v>
      </c>
      <c r="H92" s="735" t="s">
        <v>744</v>
      </c>
      <c r="I92" s="721" t="s">
        <v>29</v>
      </c>
      <c r="J92" s="69"/>
      <c r="K92" s="67"/>
      <c r="L92" s="69"/>
      <c r="M92" s="67"/>
      <c r="N92" s="69"/>
      <c r="O92" s="67"/>
      <c r="P92" s="69"/>
      <c r="Q92" s="67"/>
      <c r="R92" s="69"/>
      <c r="S92" s="67"/>
      <c r="T92" s="66">
        <f>(3+14.61*12+2+5)/0.8</f>
        <v>231.64999999999998</v>
      </c>
      <c r="U92" s="65">
        <f>1/T92*60*8</f>
        <v>2.0720915173753509</v>
      </c>
      <c r="V92" s="192"/>
      <c r="W92" s="63"/>
      <c r="X92" s="414"/>
    </row>
    <row r="93" spans="2:25" ht="20.100000000000001" customHeight="1" x14ac:dyDescent="0.2">
      <c r="B93" s="654"/>
      <c r="C93" s="607"/>
      <c r="D93" s="643"/>
      <c r="E93" s="662"/>
      <c r="F93" s="734"/>
      <c r="G93" s="218" t="s">
        <v>638</v>
      </c>
      <c r="H93" s="736"/>
      <c r="I93" s="722"/>
      <c r="J93" s="69"/>
      <c r="K93" s="67"/>
      <c r="L93" s="69"/>
      <c r="M93" s="67"/>
      <c r="N93" s="69"/>
      <c r="O93" s="67"/>
      <c r="P93" s="69"/>
      <c r="Q93" s="67"/>
      <c r="R93" s="69"/>
      <c r="S93" s="67"/>
      <c r="T93" s="66"/>
      <c r="U93" s="65">
        <f>U92*12</f>
        <v>24.865098208504211</v>
      </c>
      <c r="V93" s="192"/>
      <c r="W93" s="63"/>
      <c r="X93" s="414"/>
    </row>
    <row r="94" spans="2:25" ht="20.100000000000001" customHeight="1" x14ac:dyDescent="0.2">
      <c r="B94" s="654"/>
      <c r="C94" s="607"/>
      <c r="D94" s="643"/>
      <c r="E94" s="662"/>
      <c r="F94" s="733" t="s">
        <v>741</v>
      </c>
      <c r="G94" s="218" t="s">
        <v>748</v>
      </c>
      <c r="H94" s="735" t="s">
        <v>743</v>
      </c>
      <c r="I94" s="721" t="s">
        <v>29</v>
      </c>
      <c r="J94" s="69"/>
      <c r="K94" s="67"/>
      <c r="L94" s="69"/>
      <c r="M94" s="67"/>
      <c r="N94" s="69"/>
      <c r="O94" s="67"/>
      <c r="P94" s="69"/>
      <c r="Q94" s="67"/>
      <c r="R94" s="69"/>
      <c r="S94" s="67"/>
      <c r="T94" s="66">
        <f>(3+4.01*12+2+5)/0.8</f>
        <v>72.649999999999991</v>
      </c>
      <c r="U94" s="65">
        <f>1/T94*60*8</f>
        <v>6.6070199587061262</v>
      </c>
      <c r="V94" s="192"/>
      <c r="W94" s="63">
        <f t="shared" si="16"/>
        <v>6.6070199587061262</v>
      </c>
      <c r="X94" s="414"/>
    </row>
    <row r="95" spans="2:25" ht="20.100000000000001" customHeight="1" x14ac:dyDescent="0.2">
      <c r="B95" s="654"/>
      <c r="C95" s="601"/>
      <c r="D95" s="644"/>
      <c r="E95" s="663"/>
      <c r="F95" s="734"/>
      <c r="G95" s="222" t="s">
        <v>638</v>
      </c>
      <c r="H95" s="736"/>
      <c r="I95" s="722"/>
      <c r="J95" s="69"/>
      <c r="K95" s="67"/>
      <c r="L95" s="69"/>
      <c r="M95" s="67"/>
      <c r="N95" s="69"/>
      <c r="O95" s="67"/>
      <c r="P95" s="69"/>
      <c r="Q95" s="67"/>
      <c r="R95" s="69"/>
      <c r="S95" s="67"/>
      <c r="T95" s="66"/>
      <c r="U95" s="65">
        <f>U94*12</f>
        <v>79.284239504473518</v>
      </c>
      <c r="V95" s="192"/>
      <c r="W95" s="63"/>
      <c r="X95" s="414"/>
    </row>
    <row r="96" spans="2:25" ht="20.100000000000001" customHeight="1" x14ac:dyDescent="0.2">
      <c r="B96" s="654"/>
      <c r="C96" s="599" t="s">
        <v>701</v>
      </c>
      <c r="D96" s="600"/>
      <c r="E96" s="633" t="s">
        <v>704</v>
      </c>
      <c r="F96" s="246" t="s">
        <v>702</v>
      </c>
      <c r="G96" s="59" t="s">
        <v>528</v>
      </c>
      <c r="H96" s="194" t="s">
        <v>705</v>
      </c>
      <c r="I96" s="218" t="s">
        <v>29</v>
      </c>
      <c r="J96" s="69"/>
      <c r="K96" s="67"/>
      <c r="L96" s="69"/>
      <c r="M96" s="67"/>
      <c r="N96" s="69"/>
      <c r="O96" s="67"/>
      <c r="P96" s="69"/>
      <c r="Q96" s="67"/>
      <c r="R96" s="69"/>
      <c r="S96" s="67"/>
      <c r="T96" s="66"/>
      <c r="U96" s="65">
        <v>120</v>
      </c>
      <c r="V96" s="192"/>
      <c r="W96" s="63">
        <f t="shared" ref="W96:W97" si="22">AVERAGE(U96,V96)</f>
        <v>120</v>
      </c>
      <c r="X96" s="414"/>
    </row>
    <row r="97" spans="2:24" ht="20.100000000000001" customHeight="1" x14ac:dyDescent="0.2">
      <c r="B97" s="654"/>
      <c r="C97" s="601"/>
      <c r="D97" s="602"/>
      <c r="E97" s="639"/>
      <c r="F97" s="246" t="s">
        <v>703</v>
      </c>
      <c r="G97" s="59" t="s">
        <v>526</v>
      </c>
      <c r="H97" s="194" t="s">
        <v>705</v>
      </c>
      <c r="I97" s="218" t="s">
        <v>29</v>
      </c>
      <c r="J97" s="69"/>
      <c r="K97" s="67"/>
      <c r="L97" s="69"/>
      <c r="M97" s="67"/>
      <c r="N97" s="69"/>
      <c r="O97" s="67"/>
      <c r="P97" s="69"/>
      <c r="Q97" s="67"/>
      <c r="R97" s="69"/>
      <c r="S97" s="67"/>
      <c r="T97" s="66"/>
      <c r="U97" s="65">
        <v>170</v>
      </c>
      <c r="V97" s="192"/>
      <c r="W97" s="63">
        <f t="shared" si="22"/>
        <v>170</v>
      </c>
      <c r="X97" s="414"/>
    </row>
    <row r="98" spans="2:24" ht="20.100000000000001" customHeight="1" x14ac:dyDescent="0.2">
      <c r="B98" s="654"/>
      <c r="C98" s="599" t="s">
        <v>524</v>
      </c>
      <c r="D98" s="600"/>
      <c r="E98" s="633" t="s">
        <v>523</v>
      </c>
      <c r="F98" s="246" t="s">
        <v>522</v>
      </c>
      <c r="G98" s="59" t="s">
        <v>108</v>
      </c>
      <c r="H98" s="194" t="s">
        <v>692</v>
      </c>
      <c r="I98" s="267" t="s">
        <v>6</v>
      </c>
      <c r="J98" s="69">
        <v>0.73</v>
      </c>
      <c r="K98" s="67">
        <v>2</v>
      </c>
      <c r="L98" s="69"/>
      <c r="M98" s="67"/>
      <c r="N98" s="69"/>
      <c r="O98" s="67"/>
      <c r="P98" s="69">
        <v>0.38</v>
      </c>
      <c r="Q98" s="67">
        <v>1</v>
      </c>
      <c r="R98" s="69">
        <v>1.92</v>
      </c>
      <c r="S98" s="67">
        <v>1</v>
      </c>
      <c r="T98" s="66"/>
      <c r="U98" s="65">
        <v>30</v>
      </c>
      <c r="V98" s="192"/>
      <c r="W98" s="63">
        <f t="shared" si="16"/>
        <v>30</v>
      </c>
      <c r="X98" s="414"/>
    </row>
    <row r="99" spans="2:24" ht="20.100000000000001" customHeight="1" x14ac:dyDescent="0.2">
      <c r="B99" s="654"/>
      <c r="C99" s="601"/>
      <c r="D99" s="602"/>
      <c r="E99" s="639"/>
      <c r="F99" s="246" t="s">
        <v>521</v>
      </c>
      <c r="G99" s="59" t="s">
        <v>108</v>
      </c>
      <c r="H99" s="194" t="s">
        <v>692</v>
      </c>
      <c r="I99" s="267" t="s">
        <v>6</v>
      </c>
      <c r="J99" s="69">
        <v>0.57999999999999996</v>
      </c>
      <c r="K99" s="67">
        <v>2</v>
      </c>
      <c r="L99" s="69"/>
      <c r="M99" s="67"/>
      <c r="N99" s="69"/>
      <c r="O99" s="67"/>
      <c r="P99" s="69">
        <v>0.3</v>
      </c>
      <c r="Q99" s="67">
        <v>1</v>
      </c>
      <c r="R99" s="69">
        <v>1.54</v>
      </c>
      <c r="S99" s="67">
        <v>1</v>
      </c>
      <c r="T99" s="66"/>
      <c r="U99" s="65">
        <v>40</v>
      </c>
      <c r="V99" s="192"/>
      <c r="W99" s="63">
        <f t="shared" si="16"/>
        <v>40</v>
      </c>
      <c r="X99" s="414"/>
    </row>
    <row r="100" spans="2:24" ht="20.100000000000001" customHeight="1" x14ac:dyDescent="0.2">
      <c r="B100" s="654"/>
      <c r="C100" s="599" t="s">
        <v>520</v>
      </c>
      <c r="D100" s="600"/>
      <c r="E100" s="633" t="s">
        <v>519</v>
      </c>
      <c r="F100" s="246" t="s">
        <v>518</v>
      </c>
      <c r="G100" s="59" t="s">
        <v>44</v>
      </c>
      <c r="H100" s="194" t="s">
        <v>511</v>
      </c>
      <c r="I100" s="218" t="s">
        <v>29</v>
      </c>
      <c r="J100" s="69"/>
      <c r="K100" s="67"/>
      <c r="L100" s="69"/>
      <c r="M100" s="67"/>
      <c r="N100" s="69"/>
      <c r="O100" s="67"/>
      <c r="P100" s="69"/>
      <c r="Q100" s="67"/>
      <c r="R100" s="69">
        <v>9.3800000000000008</v>
      </c>
      <c r="S100" s="67">
        <v>1</v>
      </c>
      <c r="T100" s="66">
        <f t="shared" ref="T100:T105" si="23">R100*1/0.8</f>
        <v>11.725</v>
      </c>
      <c r="U100" s="65">
        <f t="shared" ref="U100:U105" si="24">(1/T100)*60*8</f>
        <v>40.938166311300641</v>
      </c>
      <c r="V100" s="192"/>
      <c r="W100" s="63">
        <f t="shared" si="16"/>
        <v>40.938166311300641</v>
      </c>
      <c r="X100" s="414"/>
    </row>
    <row r="101" spans="2:24" ht="20.100000000000001" customHeight="1" x14ac:dyDescent="0.2">
      <c r="B101" s="654"/>
      <c r="C101" s="607"/>
      <c r="D101" s="620"/>
      <c r="E101" s="660"/>
      <c r="F101" s="246" t="s">
        <v>517</v>
      </c>
      <c r="G101" s="59" t="s">
        <v>53</v>
      </c>
      <c r="H101" s="194" t="s">
        <v>514</v>
      </c>
      <c r="I101" s="218" t="s">
        <v>29</v>
      </c>
      <c r="J101" s="69"/>
      <c r="K101" s="67"/>
      <c r="L101" s="69"/>
      <c r="M101" s="67"/>
      <c r="N101" s="69"/>
      <c r="O101" s="67"/>
      <c r="P101" s="69"/>
      <c r="Q101" s="67"/>
      <c r="R101" s="69">
        <v>8.6999999999999993</v>
      </c>
      <c r="S101" s="67">
        <v>1</v>
      </c>
      <c r="T101" s="66">
        <f t="shared" si="23"/>
        <v>10.874999999999998</v>
      </c>
      <c r="U101" s="65">
        <f t="shared" si="24"/>
        <v>44.137931034482762</v>
      </c>
      <c r="V101" s="192"/>
      <c r="W101" s="63">
        <f t="shared" si="16"/>
        <v>44.137931034482762</v>
      </c>
      <c r="X101" s="414"/>
    </row>
    <row r="102" spans="2:24" ht="20.100000000000001" customHeight="1" x14ac:dyDescent="0.2">
      <c r="B102" s="654"/>
      <c r="C102" s="607"/>
      <c r="D102" s="620"/>
      <c r="E102" s="660"/>
      <c r="F102" s="246" t="s">
        <v>516</v>
      </c>
      <c r="G102" s="59" t="s">
        <v>53</v>
      </c>
      <c r="H102" s="194" t="s">
        <v>514</v>
      </c>
      <c r="I102" s="195" t="s">
        <v>29</v>
      </c>
      <c r="J102" s="69"/>
      <c r="K102" s="67"/>
      <c r="L102" s="69"/>
      <c r="M102" s="67"/>
      <c r="N102" s="69"/>
      <c r="O102" s="67"/>
      <c r="P102" s="69"/>
      <c r="Q102" s="67"/>
      <c r="R102" s="69">
        <v>5.41</v>
      </c>
      <c r="S102" s="67">
        <v>1</v>
      </c>
      <c r="T102" s="66">
        <f t="shared" si="23"/>
        <v>6.7625000000000002</v>
      </c>
      <c r="U102" s="65">
        <f t="shared" si="24"/>
        <v>70.979667282809601</v>
      </c>
      <c r="V102" s="192"/>
      <c r="W102" s="63">
        <f t="shared" si="16"/>
        <v>70.979667282809601</v>
      </c>
      <c r="X102" s="414"/>
    </row>
    <row r="103" spans="2:24" ht="20.100000000000001" customHeight="1" x14ac:dyDescent="0.2">
      <c r="B103" s="654"/>
      <c r="C103" s="607"/>
      <c r="D103" s="620"/>
      <c r="E103" s="660"/>
      <c r="F103" s="246" t="s">
        <v>515</v>
      </c>
      <c r="G103" s="59" t="s">
        <v>53</v>
      </c>
      <c r="H103" s="194" t="s">
        <v>514</v>
      </c>
      <c r="I103" s="195" t="s">
        <v>29</v>
      </c>
      <c r="J103" s="69"/>
      <c r="K103" s="67"/>
      <c r="L103" s="69"/>
      <c r="M103" s="67"/>
      <c r="N103" s="69"/>
      <c r="O103" s="67"/>
      <c r="P103" s="69"/>
      <c r="Q103" s="67"/>
      <c r="R103" s="69">
        <v>7.5</v>
      </c>
      <c r="S103" s="67">
        <v>1</v>
      </c>
      <c r="T103" s="66">
        <f t="shared" si="23"/>
        <v>9.375</v>
      </c>
      <c r="U103" s="65">
        <f t="shared" si="24"/>
        <v>51.2</v>
      </c>
      <c r="V103" s="192"/>
      <c r="W103" s="63">
        <f t="shared" si="16"/>
        <v>51.2</v>
      </c>
      <c r="X103" s="414"/>
    </row>
    <row r="104" spans="2:24" ht="20.100000000000001" customHeight="1" x14ac:dyDescent="0.2">
      <c r="B104" s="654"/>
      <c r="C104" s="607"/>
      <c r="D104" s="620"/>
      <c r="E104" s="660"/>
      <c r="F104" s="246" t="s">
        <v>513</v>
      </c>
      <c r="G104" s="59" t="s">
        <v>53</v>
      </c>
      <c r="H104" s="194" t="s">
        <v>511</v>
      </c>
      <c r="I104" s="193" t="s">
        <v>29</v>
      </c>
      <c r="J104" s="57"/>
      <c r="K104" s="55"/>
      <c r="L104" s="57"/>
      <c r="M104" s="55"/>
      <c r="N104" s="57"/>
      <c r="O104" s="55"/>
      <c r="P104" s="57"/>
      <c r="Q104" s="55"/>
      <c r="R104" s="57">
        <v>9.3800000000000008</v>
      </c>
      <c r="S104" s="55">
        <v>1</v>
      </c>
      <c r="T104" s="66">
        <f t="shared" si="23"/>
        <v>11.725</v>
      </c>
      <c r="U104" s="65">
        <f t="shared" si="24"/>
        <v>40.938166311300641</v>
      </c>
      <c r="V104" s="192"/>
      <c r="W104" s="63">
        <f t="shared" si="16"/>
        <v>40.938166311300641</v>
      </c>
      <c r="X104" s="414"/>
    </row>
    <row r="105" spans="2:24" ht="20.100000000000001" customHeight="1" x14ac:dyDescent="0.2">
      <c r="B105" s="657"/>
      <c r="C105" s="621"/>
      <c r="D105" s="620"/>
      <c r="E105" s="660"/>
      <c r="F105" s="293" t="s">
        <v>512</v>
      </c>
      <c r="G105" s="207" t="s">
        <v>53</v>
      </c>
      <c r="H105" s="292" t="s">
        <v>511</v>
      </c>
      <c r="I105" s="193" t="s">
        <v>29</v>
      </c>
      <c r="J105" s="57"/>
      <c r="K105" s="55"/>
      <c r="L105" s="57"/>
      <c r="M105" s="55"/>
      <c r="N105" s="57"/>
      <c r="O105" s="55"/>
      <c r="P105" s="57"/>
      <c r="Q105" s="55"/>
      <c r="R105" s="57">
        <v>13.33</v>
      </c>
      <c r="S105" s="55">
        <v>1</v>
      </c>
      <c r="T105" s="54">
        <f t="shared" si="23"/>
        <v>16.662499999999998</v>
      </c>
      <c r="U105" s="53">
        <f t="shared" si="24"/>
        <v>28.807201800450116</v>
      </c>
      <c r="V105" s="291"/>
      <c r="W105" s="51">
        <f t="shared" si="16"/>
        <v>28.807201800450116</v>
      </c>
      <c r="X105" s="414"/>
    </row>
    <row r="106" spans="2:24" ht="20.100000000000001" customHeight="1" x14ac:dyDescent="0.2">
      <c r="B106" s="691" t="s">
        <v>510</v>
      </c>
      <c r="C106" s="597" t="s">
        <v>509</v>
      </c>
      <c r="D106" s="305" t="s">
        <v>409</v>
      </c>
      <c r="E106" s="484"/>
      <c r="F106" s="102"/>
      <c r="G106" s="101" t="s">
        <v>21</v>
      </c>
      <c r="H106" s="304" t="s">
        <v>477</v>
      </c>
      <c r="I106" s="101"/>
      <c r="J106" s="98"/>
      <c r="K106" s="97"/>
      <c r="L106" s="98"/>
      <c r="M106" s="97"/>
      <c r="N106" s="98"/>
      <c r="O106" s="97"/>
      <c r="P106" s="98"/>
      <c r="Q106" s="97"/>
      <c r="R106" s="98"/>
      <c r="S106" s="97"/>
      <c r="T106" s="96"/>
      <c r="U106" s="95"/>
      <c r="V106" s="94">
        <v>520</v>
      </c>
      <c r="W106" s="93">
        <f t="shared" si="16"/>
        <v>520</v>
      </c>
      <c r="X106" s="414"/>
    </row>
    <row r="107" spans="2:24" ht="20.100000000000001" customHeight="1" x14ac:dyDescent="0.2">
      <c r="B107" s="675"/>
      <c r="C107" s="607"/>
      <c r="D107" s="590" t="s">
        <v>481</v>
      </c>
      <c r="E107" s="588" t="s">
        <v>508</v>
      </c>
      <c r="F107" s="269" t="s">
        <v>507</v>
      </c>
      <c r="G107" s="26" t="s">
        <v>21</v>
      </c>
      <c r="H107" s="88" t="s">
        <v>477</v>
      </c>
      <c r="I107" s="193" t="s">
        <v>29</v>
      </c>
      <c r="J107" s="87"/>
      <c r="K107" s="86"/>
      <c r="L107" s="87"/>
      <c r="M107" s="86"/>
      <c r="N107" s="87"/>
      <c r="O107" s="86"/>
      <c r="P107" s="87"/>
      <c r="Q107" s="86"/>
      <c r="R107" s="87"/>
      <c r="S107" s="86"/>
      <c r="T107" s="85"/>
      <c r="U107" s="85">
        <v>310</v>
      </c>
      <c r="V107" s="266"/>
      <c r="W107" s="83">
        <f t="shared" si="16"/>
        <v>310</v>
      </c>
      <c r="X107" s="414"/>
    </row>
    <row r="108" spans="2:24" ht="20.100000000000001" customHeight="1" x14ac:dyDescent="0.2">
      <c r="B108" s="675"/>
      <c r="C108" s="607"/>
      <c r="D108" s="590"/>
      <c r="E108" s="588"/>
      <c r="F108" s="246" t="s">
        <v>506</v>
      </c>
      <c r="G108" s="26" t="s">
        <v>21</v>
      </c>
      <c r="H108" s="203" t="s">
        <v>505</v>
      </c>
      <c r="I108" s="193" t="s">
        <v>29</v>
      </c>
      <c r="J108" s="69"/>
      <c r="K108" s="67"/>
      <c r="L108" s="69"/>
      <c r="M108" s="67"/>
      <c r="N108" s="69"/>
      <c r="O108" s="67"/>
      <c r="P108" s="69"/>
      <c r="Q108" s="67"/>
      <c r="R108" s="69"/>
      <c r="S108" s="67"/>
      <c r="T108" s="66"/>
      <c r="U108" s="66">
        <v>560</v>
      </c>
      <c r="V108" s="266"/>
      <c r="W108" s="83">
        <f t="shared" si="16"/>
        <v>560</v>
      </c>
      <c r="X108" s="414"/>
    </row>
    <row r="109" spans="2:24" ht="20.100000000000001" customHeight="1" x14ac:dyDescent="0.2">
      <c r="B109" s="675"/>
      <c r="C109" s="607"/>
      <c r="D109" s="579"/>
      <c r="E109" s="588"/>
      <c r="F109" s="246" t="s">
        <v>504</v>
      </c>
      <c r="G109" s="26" t="s">
        <v>21</v>
      </c>
      <c r="H109" s="203" t="s">
        <v>449</v>
      </c>
      <c r="I109" s="193" t="s">
        <v>29</v>
      </c>
      <c r="J109" s="69"/>
      <c r="K109" s="67"/>
      <c r="L109" s="69"/>
      <c r="M109" s="67"/>
      <c r="N109" s="69"/>
      <c r="O109" s="67"/>
      <c r="P109" s="69"/>
      <c r="Q109" s="67"/>
      <c r="R109" s="69"/>
      <c r="S109" s="67"/>
      <c r="T109" s="66"/>
      <c r="U109" s="66">
        <v>930</v>
      </c>
      <c r="V109" s="266"/>
      <c r="W109" s="83">
        <f t="shared" si="16"/>
        <v>930</v>
      </c>
      <c r="X109" s="414"/>
    </row>
    <row r="110" spans="2:24" ht="20.100000000000001" customHeight="1" x14ac:dyDescent="0.2">
      <c r="B110" s="675"/>
      <c r="C110" s="607"/>
      <c r="D110" s="578" t="s">
        <v>479</v>
      </c>
      <c r="E110" s="588"/>
      <c r="F110" s="246" t="s">
        <v>503</v>
      </c>
      <c r="G110" s="59" t="s">
        <v>21</v>
      </c>
      <c r="H110" s="203" t="s">
        <v>502</v>
      </c>
      <c r="I110" s="193" t="s">
        <v>29</v>
      </c>
      <c r="J110" s="69"/>
      <c r="K110" s="67"/>
      <c r="L110" s="69"/>
      <c r="M110" s="67"/>
      <c r="N110" s="69"/>
      <c r="O110" s="67"/>
      <c r="P110" s="69"/>
      <c r="Q110" s="67"/>
      <c r="R110" s="69"/>
      <c r="S110" s="67"/>
      <c r="T110" s="66"/>
      <c r="U110" s="66">
        <v>230</v>
      </c>
      <c r="V110" s="192"/>
      <c r="W110" s="63">
        <f t="shared" si="16"/>
        <v>230</v>
      </c>
      <c r="X110" s="414"/>
    </row>
    <row r="111" spans="2:24" ht="20.100000000000001" customHeight="1" x14ac:dyDescent="0.2">
      <c r="B111" s="675"/>
      <c r="C111" s="607"/>
      <c r="D111" s="590"/>
      <c r="E111" s="588"/>
      <c r="F111" s="246" t="s">
        <v>501</v>
      </c>
      <c r="G111" s="59" t="s">
        <v>21</v>
      </c>
      <c r="H111" s="203" t="s">
        <v>500</v>
      </c>
      <c r="I111" s="193" t="s">
        <v>29</v>
      </c>
      <c r="J111" s="69"/>
      <c r="K111" s="67"/>
      <c r="L111" s="69"/>
      <c r="M111" s="67"/>
      <c r="N111" s="69"/>
      <c r="O111" s="67"/>
      <c r="P111" s="69"/>
      <c r="Q111" s="67"/>
      <c r="R111" s="69"/>
      <c r="S111" s="67"/>
      <c r="T111" s="66"/>
      <c r="U111" s="66">
        <v>390</v>
      </c>
      <c r="V111" s="192"/>
      <c r="W111" s="63">
        <f t="shared" si="16"/>
        <v>390</v>
      </c>
      <c r="X111" s="414"/>
    </row>
    <row r="112" spans="2:24" ht="20.100000000000001" customHeight="1" x14ac:dyDescent="0.2">
      <c r="B112" s="675"/>
      <c r="C112" s="607"/>
      <c r="D112" s="579"/>
      <c r="E112" s="588"/>
      <c r="F112" s="246" t="s">
        <v>499</v>
      </c>
      <c r="G112" s="59" t="s">
        <v>21</v>
      </c>
      <c r="H112" s="203" t="s">
        <v>498</v>
      </c>
      <c r="I112" s="193" t="s">
        <v>29</v>
      </c>
      <c r="J112" s="69"/>
      <c r="K112" s="67"/>
      <c r="L112" s="69"/>
      <c r="M112" s="67"/>
      <c r="N112" s="69"/>
      <c r="O112" s="67"/>
      <c r="P112" s="69"/>
      <c r="Q112" s="67"/>
      <c r="R112" s="69"/>
      <c r="S112" s="67"/>
      <c r="T112" s="66"/>
      <c r="U112" s="66">
        <v>640</v>
      </c>
      <c r="V112" s="192"/>
      <c r="W112" s="63">
        <f t="shared" si="16"/>
        <v>640</v>
      </c>
      <c r="X112" s="414"/>
    </row>
    <row r="113" spans="2:24" ht="20.100000000000001" customHeight="1" x14ac:dyDescent="0.2">
      <c r="B113" s="675"/>
      <c r="C113" s="607"/>
      <c r="D113" s="578" t="s">
        <v>474</v>
      </c>
      <c r="E113" s="588"/>
      <c r="F113" s="258" t="s">
        <v>497</v>
      </c>
      <c r="G113" s="257" t="s">
        <v>21</v>
      </c>
      <c r="H113" s="294" t="s">
        <v>496</v>
      </c>
      <c r="I113" s="257"/>
      <c r="J113" s="76"/>
      <c r="K113" s="75"/>
      <c r="L113" s="76"/>
      <c r="M113" s="75"/>
      <c r="N113" s="76"/>
      <c r="O113" s="75"/>
      <c r="P113" s="76"/>
      <c r="Q113" s="75"/>
      <c r="R113" s="76"/>
      <c r="S113" s="75"/>
      <c r="T113" s="74"/>
      <c r="U113" s="74"/>
      <c r="V113" s="192">
        <v>367</v>
      </c>
      <c r="W113" s="63">
        <f t="shared" si="16"/>
        <v>367</v>
      </c>
      <c r="X113" s="414"/>
    </row>
    <row r="114" spans="2:24" ht="20.100000000000001" customHeight="1" x14ac:dyDescent="0.2">
      <c r="B114" s="675"/>
      <c r="C114" s="607"/>
      <c r="D114" s="590"/>
      <c r="E114" s="588"/>
      <c r="F114" s="258" t="s">
        <v>495</v>
      </c>
      <c r="G114" s="257" t="s">
        <v>21</v>
      </c>
      <c r="H114" s="294" t="s">
        <v>494</v>
      </c>
      <c r="I114" s="257"/>
      <c r="J114" s="76"/>
      <c r="K114" s="75"/>
      <c r="L114" s="76"/>
      <c r="M114" s="75"/>
      <c r="N114" s="76"/>
      <c r="O114" s="75"/>
      <c r="P114" s="76"/>
      <c r="Q114" s="75"/>
      <c r="R114" s="76"/>
      <c r="S114" s="75"/>
      <c r="T114" s="74"/>
      <c r="U114" s="74"/>
      <c r="V114" s="192">
        <v>27</v>
      </c>
      <c r="W114" s="63">
        <f t="shared" ref="W114:W145" si="25">AVERAGE(U114,V114)</f>
        <v>27</v>
      </c>
      <c r="X114" s="414"/>
    </row>
    <row r="115" spans="2:24" ht="20.100000000000001" customHeight="1" x14ac:dyDescent="0.2">
      <c r="B115" s="675"/>
      <c r="C115" s="607"/>
      <c r="D115" s="590"/>
      <c r="E115" s="588"/>
      <c r="F115" s="258" t="s">
        <v>493</v>
      </c>
      <c r="G115" s="257" t="s">
        <v>21</v>
      </c>
      <c r="H115" s="294" t="s">
        <v>492</v>
      </c>
      <c r="I115" s="257"/>
      <c r="J115" s="76"/>
      <c r="K115" s="75"/>
      <c r="L115" s="76"/>
      <c r="M115" s="75"/>
      <c r="N115" s="76"/>
      <c r="O115" s="75"/>
      <c r="P115" s="76"/>
      <c r="Q115" s="75"/>
      <c r="R115" s="76"/>
      <c r="S115" s="75"/>
      <c r="T115" s="74"/>
      <c r="U115" s="74"/>
      <c r="V115" s="192">
        <v>83</v>
      </c>
      <c r="W115" s="63">
        <f t="shared" si="25"/>
        <v>83</v>
      </c>
      <c r="X115" s="414"/>
    </row>
    <row r="116" spans="2:24" ht="20.100000000000001" customHeight="1" x14ac:dyDescent="0.2">
      <c r="B116" s="675"/>
      <c r="C116" s="607"/>
      <c r="D116" s="590"/>
      <c r="E116" s="588"/>
      <c r="F116" s="246" t="s">
        <v>395</v>
      </c>
      <c r="G116" s="59" t="s">
        <v>21</v>
      </c>
      <c r="H116" s="203" t="s">
        <v>469</v>
      </c>
      <c r="I116" s="193" t="s">
        <v>29</v>
      </c>
      <c r="J116" s="69"/>
      <c r="K116" s="67"/>
      <c r="L116" s="69"/>
      <c r="M116" s="67"/>
      <c r="N116" s="69"/>
      <c r="O116" s="67"/>
      <c r="P116" s="69"/>
      <c r="Q116" s="67"/>
      <c r="R116" s="69"/>
      <c r="S116" s="67"/>
      <c r="T116" s="66"/>
      <c r="U116" s="65">
        <v>65</v>
      </c>
      <c r="V116" s="192"/>
      <c r="W116" s="63">
        <f t="shared" si="25"/>
        <v>65</v>
      </c>
      <c r="X116" s="414"/>
    </row>
    <row r="117" spans="2:24" ht="20.100000000000001" customHeight="1" x14ac:dyDescent="0.2">
      <c r="B117" s="675"/>
      <c r="C117" s="607"/>
      <c r="D117" s="590"/>
      <c r="E117" s="588"/>
      <c r="F117" s="246" t="s">
        <v>394</v>
      </c>
      <c r="G117" s="59" t="s">
        <v>21</v>
      </c>
      <c r="H117" s="203" t="s">
        <v>469</v>
      </c>
      <c r="I117" s="193" t="s">
        <v>29</v>
      </c>
      <c r="J117" s="69"/>
      <c r="K117" s="67"/>
      <c r="L117" s="69"/>
      <c r="M117" s="67"/>
      <c r="N117" s="69"/>
      <c r="O117" s="67"/>
      <c r="P117" s="69"/>
      <c r="Q117" s="67"/>
      <c r="R117" s="69"/>
      <c r="S117" s="67"/>
      <c r="T117" s="66"/>
      <c r="U117" s="65">
        <v>50</v>
      </c>
      <c r="V117" s="192"/>
      <c r="W117" s="63">
        <f t="shared" si="25"/>
        <v>50</v>
      </c>
      <c r="X117" s="414"/>
    </row>
    <row r="118" spans="2:24" ht="20.100000000000001" customHeight="1" x14ac:dyDescent="0.2">
      <c r="B118" s="675"/>
      <c r="C118" s="607"/>
      <c r="D118" s="590"/>
      <c r="E118" s="588"/>
      <c r="F118" s="246" t="s">
        <v>491</v>
      </c>
      <c r="G118" s="59" t="s">
        <v>21</v>
      </c>
      <c r="H118" s="203" t="s">
        <v>469</v>
      </c>
      <c r="I118" s="193" t="s">
        <v>29</v>
      </c>
      <c r="J118" s="69"/>
      <c r="K118" s="67"/>
      <c r="L118" s="69"/>
      <c r="M118" s="67"/>
      <c r="N118" s="69"/>
      <c r="O118" s="67"/>
      <c r="P118" s="69"/>
      <c r="Q118" s="67"/>
      <c r="R118" s="69"/>
      <c r="S118" s="67"/>
      <c r="T118" s="66"/>
      <c r="U118" s="65">
        <v>30</v>
      </c>
      <c r="V118" s="192"/>
      <c r="W118" s="63">
        <f t="shared" si="25"/>
        <v>30</v>
      </c>
      <c r="X118" s="414"/>
    </row>
    <row r="119" spans="2:24" ht="20.100000000000001" customHeight="1" x14ac:dyDescent="0.2">
      <c r="B119" s="675"/>
      <c r="C119" s="601"/>
      <c r="D119" s="579"/>
      <c r="E119" s="634"/>
      <c r="F119" s="246" t="s">
        <v>393</v>
      </c>
      <c r="G119" s="59" t="s">
        <v>21</v>
      </c>
      <c r="H119" s="203" t="s">
        <v>469</v>
      </c>
      <c r="I119" s="193" t="s">
        <v>29</v>
      </c>
      <c r="J119" s="69"/>
      <c r="K119" s="67"/>
      <c r="L119" s="69"/>
      <c r="M119" s="67"/>
      <c r="N119" s="69"/>
      <c r="O119" s="67"/>
      <c r="P119" s="69"/>
      <c r="Q119" s="67"/>
      <c r="R119" s="69"/>
      <c r="S119" s="67"/>
      <c r="T119" s="66"/>
      <c r="U119" s="65">
        <v>25</v>
      </c>
      <c r="V119" s="192"/>
      <c r="W119" s="63">
        <f t="shared" si="25"/>
        <v>25</v>
      </c>
      <c r="X119" s="414"/>
    </row>
    <row r="120" spans="2:24" ht="20.100000000000001" customHeight="1" x14ac:dyDescent="0.2">
      <c r="B120" s="675"/>
      <c r="C120" s="605" t="s">
        <v>490</v>
      </c>
      <c r="D120" s="707" t="s">
        <v>409</v>
      </c>
      <c r="E120" s="485"/>
      <c r="F120" s="258" t="s">
        <v>489</v>
      </c>
      <c r="G120" s="257" t="s">
        <v>21</v>
      </c>
      <c r="H120" s="294" t="s">
        <v>488</v>
      </c>
      <c r="I120" s="257"/>
      <c r="J120" s="76"/>
      <c r="K120" s="75"/>
      <c r="L120" s="76"/>
      <c r="M120" s="75"/>
      <c r="N120" s="76"/>
      <c r="O120" s="75"/>
      <c r="P120" s="76"/>
      <c r="Q120" s="75"/>
      <c r="R120" s="76"/>
      <c r="S120" s="75"/>
      <c r="T120" s="74"/>
      <c r="U120" s="254"/>
      <c r="V120" s="192">
        <v>349</v>
      </c>
      <c r="W120" s="63">
        <f t="shared" si="25"/>
        <v>349</v>
      </c>
      <c r="X120" s="414"/>
    </row>
    <row r="121" spans="2:24" ht="20.100000000000001" customHeight="1" x14ac:dyDescent="0.2">
      <c r="B121" s="675"/>
      <c r="C121" s="587"/>
      <c r="D121" s="708"/>
      <c r="E121" s="485"/>
      <c r="F121" s="258" t="s">
        <v>486</v>
      </c>
      <c r="G121" s="257" t="s">
        <v>21</v>
      </c>
      <c r="H121" s="294" t="s">
        <v>487</v>
      </c>
      <c r="I121" s="257"/>
      <c r="J121" s="76"/>
      <c r="K121" s="75"/>
      <c r="L121" s="76"/>
      <c r="M121" s="75"/>
      <c r="N121" s="76"/>
      <c r="O121" s="75"/>
      <c r="P121" s="76"/>
      <c r="Q121" s="75"/>
      <c r="R121" s="76"/>
      <c r="S121" s="75"/>
      <c r="T121" s="74"/>
      <c r="U121" s="254"/>
      <c r="V121" s="192">
        <v>560</v>
      </c>
      <c r="W121" s="63">
        <f t="shared" si="25"/>
        <v>560</v>
      </c>
      <c r="X121" s="414"/>
    </row>
    <row r="122" spans="2:24" ht="20.100000000000001" customHeight="1" x14ac:dyDescent="0.2">
      <c r="B122" s="675"/>
      <c r="C122" s="587"/>
      <c r="D122" s="708"/>
      <c r="E122" s="485"/>
      <c r="F122" s="258" t="s">
        <v>486</v>
      </c>
      <c r="G122" s="257" t="s">
        <v>21</v>
      </c>
      <c r="H122" s="294" t="s">
        <v>484</v>
      </c>
      <c r="I122" s="257"/>
      <c r="J122" s="76"/>
      <c r="K122" s="75"/>
      <c r="L122" s="76"/>
      <c r="M122" s="75"/>
      <c r="N122" s="76"/>
      <c r="O122" s="75"/>
      <c r="P122" s="76"/>
      <c r="Q122" s="75"/>
      <c r="R122" s="76"/>
      <c r="S122" s="75"/>
      <c r="T122" s="74"/>
      <c r="U122" s="254"/>
      <c r="V122" s="192">
        <v>950</v>
      </c>
      <c r="W122" s="63">
        <f t="shared" si="25"/>
        <v>950</v>
      </c>
      <c r="X122" s="414"/>
    </row>
    <row r="123" spans="2:24" ht="20.100000000000001" customHeight="1" x14ac:dyDescent="0.2">
      <c r="B123" s="675"/>
      <c r="C123" s="587"/>
      <c r="D123" s="708"/>
      <c r="E123" s="485"/>
      <c r="F123" s="258" t="s">
        <v>485</v>
      </c>
      <c r="G123" s="257" t="s">
        <v>21</v>
      </c>
      <c r="H123" s="294" t="s">
        <v>484</v>
      </c>
      <c r="I123" s="257"/>
      <c r="J123" s="76"/>
      <c r="K123" s="75"/>
      <c r="L123" s="76"/>
      <c r="M123" s="75"/>
      <c r="N123" s="76"/>
      <c r="O123" s="75"/>
      <c r="P123" s="76"/>
      <c r="Q123" s="75"/>
      <c r="R123" s="76"/>
      <c r="S123" s="75"/>
      <c r="T123" s="74"/>
      <c r="U123" s="254"/>
      <c r="V123" s="192">
        <v>514</v>
      </c>
      <c r="W123" s="63">
        <f t="shared" si="25"/>
        <v>514</v>
      </c>
      <c r="X123" s="414"/>
    </row>
    <row r="124" spans="2:24" ht="20.100000000000001" customHeight="1" x14ac:dyDescent="0.2">
      <c r="B124" s="675"/>
      <c r="C124" s="587"/>
      <c r="D124" s="709"/>
      <c r="E124" s="485"/>
      <c r="F124" s="258" t="s">
        <v>483</v>
      </c>
      <c r="G124" s="257" t="s">
        <v>21</v>
      </c>
      <c r="H124" s="294" t="s">
        <v>482</v>
      </c>
      <c r="I124" s="257"/>
      <c r="J124" s="76"/>
      <c r="K124" s="75"/>
      <c r="L124" s="76"/>
      <c r="M124" s="75"/>
      <c r="N124" s="76"/>
      <c r="O124" s="75"/>
      <c r="P124" s="76"/>
      <c r="Q124" s="75"/>
      <c r="R124" s="76"/>
      <c r="S124" s="75"/>
      <c r="T124" s="74"/>
      <c r="U124" s="254"/>
      <c r="V124" s="192">
        <v>380</v>
      </c>
      <c r="W124" s="63">
        <f t="shared" si="25"/>
        <v>380</v>
      </c>
      <c r="X124" s="414"/>
    </row>
    <row r="125" spans="2:24" ht="20.100000000000001" customHeight="1" x14ac:dyDescent="0.2">
      <c r="B125" s="675"/>
      <c r="C125" s="587"/>
      <c r="D125" s="578" t="s">
        <v>481</v>
      </c>
      <c r="E125" s="633" t="s">
        <v>480</v>
      </c>
      <c r="F125" s="246" t="s">
        <v>470</v>
      </c>
      <c r="G125" s="59" t="s">
        <v>21</v>
      </c>
      <c r="H125" s="203" t="s">
        <v>477</v>
      </c>
      <c r="I125" s="193" t="s">
        <v>29</v>
      </c>
      <c r="J125" s="69"/>
      <c r="K125" s="67"/>
      <c r="L125" s="69"/>
      <c r="M125" s="67"/>
      <c r="N125" s="69"/>
      <c r="O125" s="67"/>
      <c r="P125" s="69"/>
      <c r="Q125" s="67"/>
      <c r="R125" s="69"/>
      <c r="S125" s="67"/>
      <c r="T125" s="66"/>
      <c r="U125" s="65">
        <v>560</v>
      </c>
      <c r="V125" s="192"/>
      <c r="W125" s="63">
        <f t="shared" si="25"/>
        <v>560</v>
      </c>
      <c r="X125" s="414"/>
    </row>
    <row r="126" spans="2:24" ht="20.100000000000001" customHeight="1" x14ac:dyDescent="0.2">
      <c r="B126" s="675"/>
      <c r="C126" s="587"/>
      <c r="D126" s="590"/>
      <c r="E126" s="588"/>
      <c r="F126" s="246" t="s">
        <v>478</v>
      </c>
      <c r="G126" s="59" t="s">
        <v>21</v>
      </c>
      <c r="H126" s="203" t="s">
        <v>477</v>
      </c>
      <c r="I126" s="193" t="s">
        <v>29</v>
      </c>
      <c r="J126" s="69"/>
      <c r="K126" s="67"/>
      <c r="L126" s="69"/>
      <c r="M126" s="67"/>
      <c r="N126" s="69"/>
      <c r="O126" s="67"/>
      <c r="P126" s="69"/>
      <c r="Q126" s="67"/>
      <c r="R126" s="69"/>
      <c r="S126" s="67"/>
      <c r="T126" s="303"/>
      <c r="U126" s="65">
        <v>420</v>
      </c>
      <c r="V126" s="192"/>
      <c r="W126" s="63">
        <f t="shared" si="25"/>
        <v>420</v>
      </c>
      <c r="X126" s="414"/>
    </row>
    <row r="127" spans="2:24" ht="20.100000000000001" customHeight="1" x14ac:dyDescent="0.2">
      <c r="B127" s="675"/>
      <c r="C127" s="587"/>
      <c r="D127" s="579"/>
      <c r="E127" s="588"/>
      <c r="F127" s="246" t="s">
        <v>476</v>
      </c>
      <c r="G127" s="59" t="s">
        <v>21</v>
      </c>
      <c r="H127" s="203" t="s">
        <v>475</v>
      </c>
      <c r="I127" s="193" t="s">
        <v>29</v>
      </c>
      <c r="J127" s="69"/>
      <c r="K127" s="67"/>
      <c r="L127" s="69"/>
      <c r="M127" s="67"/>
      <c r="N127" s="69"/>
      <c r="O127" s="67"/>
      <c r="P127" s="69"/>
      <c r="Q127" s="67"/>
      <c r="R127" s="69"/>
      <c r="S127" s="67"/>
      <c r="T127" s="303"/>
      <c r="U127" s="65">
        <v>190</v>
      </c>
      <c r="V127" s="192"/>
      <c r="W127" s="63">
        <f t="shared" si="25"/>
        <v>190</v>
      </c>
      <c r="X127" s="414"/>
    </row>
    <row r="128" spans="2:24" ht="20.100000000000001" customHeight="1" x14ac:dyDescent="0.2">
      <c r="B128" s="675"/>
      <c r="C128" s="587"/>
      <c r="D128" s="578" t="s">
        <v>479</v>
      </c>
      <c r="E128" s="588"/>
      <c r="F128" s="246" t="s">
        <v>470</v>
      </c>
      <c r="G128" s="59" t="s">
        <v>21</v>
      </c>
      <c r="H128" s="203" t="s">
        <v>477</v>
      </c>
      <c r="I128" s="193" t="s">
        <v>29</v>
      </c>
      <c r="J128" s="69"/>
      <c r="K128" s="67"/>
      <c r="L128" s="69"/>
      <c r="M128" s="67"/>
      <c r="N128" s="69"/>
      <c r="O128" s="67"/>
      <c r="P128" s="69"/>
      <c r="Q128" s="67"/>
      <c r="R128" s="69"/>
      <c r="S128" s="67"/>
      <c r="T128" s="303"/>
      <c r="U128" s="65">
        <v>390</v>
      </c>
      <c r="V128" s="192"/>
      <c r="W128" s="63">
        <f t="shared" si="25"/>
        <v>390</v>
      </c>
      <c r="X128" s="414"/>
    </row>
    <row r="129" spans="2:25" ht="20.100000000000001" customHeight="1" x14ac:dyDescent="0.2">
      <c r="B129" s="675"/>
      <c r="C129" s="587"/>
      <c r="D129" s="590"/>
      <c r="E129" s="588"/>
      <c r="F129" s="246" t="s">
        <v>478</v>
      </c>
      <c r="G129" s="59" t="s">
        <v>21</v>
      </c>
      <c r="H129" s="203" t="s">
        <v>477</v>
      </c>
      <c r="I129" s="193" t="s">
        <v>29</v>
      </c>
      <c r="J129" s="69"/>
      <c r="K129" s="67"/>
      <c r="L129" s="69"/>
      <c r="M129" s="67"/>
      <c r="N129" s="69"/>
      <c r="O129" s="67"/>
      <c r="P129" s="69"/>
      <c r="Q129" s="67"/>
      <c r="R129" s="69"/>
      <c r="S129" s="67"/>
      <c r="T129" s="303"/>
      <c r="U129" s="65">
        <v>300</v>
      </c>
      <c r="V129" s="192"/>
      <c r="W129" s="63">
        <f t="shared" si="25"/>
        <v>300</v>
      </c>
      <c r="X129" s="414"/>
    </row>
    <row r="130" spans="2:25" ht="20.100000000000001" customHeight="1" x14ac:dyDescent="0.2">
      <c r="B130" s="675"/>
      <c r="C130" s="587"/>
      <c r="D130" s="579"/>
      <c r="E130" s="588"/>
      <c r="F130" s="246" t="s">
        <v>476</v>
      </c>
      <c r="G130" s="59" t="s">
        <v>21</v>
      </c>
      <c r="H130" s="203" t="s">
        <v>475</v>
      </c>
      <c r="I130" s="193" t="s">
        <v>29</v>
      </c>
      <c r="J130" s="69"/>
      <c r="K130" s="67"/>
      <c r="L130" s="69"/>
      <c r="M130" s="67"/>
      <c r="N130" s="69"/>
      <c r="O130" s="67"/>
      <c r="P130" s="69"/>
      <c r="Q130" s="67"/>
      <c r="R130" s="69"/>
      <c r="S130" s="67"/>
      <c r="T130" s="303"/>
      <c r="U130" s="65">
        <v>150</v>
      </c>
      <c r="V130" s="192"/>
      <c r="W130" s="63">
        <f t="shared" si="25"/>
        <v>150</v>
      </c>
      <c r="X130" s="414"/>
    </row>
    <row r="131" spans="2:25" ht="20.100000000000001" customHeight="1" x14ac:dyDescent="0.2">
      <c r="B131" s="675"/>
      <c r="C131" s="587"/>
      <c r="D131" s="578" t="s">
        <v>474</v>
      </c>
      <c r="E131" s="588"/>
      <c r="F131" s="258" t="s">
        <v>473</v>
      </c>
      <c r="G131" s="257" t="s">
        <v>21</v>
      </c>
      <c r="H131" s="294" t="s">
        <v>471</v>
      </c>
      <c r="I131" s="257"/>
      <c r="J131" s="69"/>
      <c r="K131" s="67"/>
      <c r="L131" s="69"/>
      <c r="M131" s="67"/>
      <c r="N131" s="69"/>
      <c r="O131" s="67"/>
      <c r="P131" s="69"/>
      <c r="Q131" s="67"/>
      <c r="R131" s="69"/>
      <c r="S131" s="67"/>
      <c r="T131" s="303"/>
      <c r="U131" s="65"/>
      <c r="V131" s="192">
        <v>25</v>
      </c>
      <c r="W131" s="63">
        <f t="shared" si="25"/>
        <v>25</v>
      </c>
      <c r="X131" s="414"/>
    </row>
    <row r="132" spans="2:25" ht="19.5" customHeight="1" x14ac:dyDescent="0.2">
      <c r="B132" s="675"/>
      <c r="C132" s="587"/>
      <c r="D132" s="590"/>
      <c r="E132" s="588"/>
      <c r="F132" s="258" t="s">
        <v>472</v>
      </c>
      <c r="G132" s="257" t="s">
        <v>21</v>
      </c>
      <c r="H132" s="294" t="s">
        <v>471</v>
      </c>
      <c r="I132" s="257"/>
      <c r="J132" s="69"/>
      <c r="K132" s="67"/>
      <c r="L132" s="69"/>
      <c r="M132" s="67"/>
      <c r="N132" s="69"/>
      <c r="O132" s="67"/>
      <c r="P132" s="69"/>
      <c r="Q132" s="67"/>
      <c r="R132" s="69"/>
      <c r="S132" s="67"/>
      <c r="T132" s="303"/>
      <c r="U132" s="65"/>
      <c r="V132" s="192">
        <v>18</v>
      </c>
      <c r="W132" s="63">
        <f t="shared" si="25"/>
        <v>18</v>
      </c>
      <c r="X132" s="414"/>
    </row>
    <row r="133" spans="2:25" ht="20.100000000000001" customHeight="1" x14ac:dyDescent="0.2">
      <c r="B133" s="675"/>
      <c r="C133" s="587"/>
      <c r="D133" s="590"/>
      <c r="E133" s="588"/>
      <c r="F133" s="246" t="s">
        <v>470</v>
      </c>
      <c r="G133" s="59" t="s">
        <v>21</v>
      </c>
      <c r="H133" s="203" t="s">
        <v>469</v>
      </c>
      <c r="I133" s="193" t="s">
        <v>29</v>
      </c>
      <c r="J133" s="69"/>
      <c r="K133" s="67"/>
      <c r="L133" s="69"/>
      <c r="M133" s="67"/>
      <c r="N133" s="69"/>
      <c r="O133" s="67"/>
      <c r="P133" s="69"/>
      <c r="Q133" s="67"/>
      <c r="R133" s="69"/>
      <c r="S133" s="67"/>
      <c r="T133" s="303"/>
      <c r="U133" s="65">
        <v>38</v>
      </c>
      <c r="V133" s="192"/>
      <c r="W133" s="63">
        <f t="shared" si="25"/>
        <v>38</v>
      </c>
      <c r="X133" s="414"/>
    </row>
    <row r="134" spans="2:25" ht="20.100000000000001" customHeight="1" x14ac:dyDescent="0.2">
      <c r="B134" s="675"/>
      <c r="C134" s="587"/>
      <c r="D134" s="590"/>
      <c r="E134" s="588"/>
      <c r="F134" s="246" t="s">
        <v>470</v>
      </c>
      <c r="G134" s="59" t="s">
        <v>21</v>
      </c>
      <c r="H134" s="203" t="s">
        <v>469</v>
      </c>
      <c r="I134" s="193" t="s">
        <v>29</v>
      </c>
      <c r="J134" s="69"/>
      <c r="K134" s="67"/>
      <c r="L134" s="69"/>
      <c r="M134" s="67"/>
      <c r="N134" s="69"/>
      <c r="O134" s="67"/>
      <c r="P134" s="69"/>
      <c r="Q134" s="67"/>
      <c r="R134" s="69"/>
      <c r="S134" s="67"/>
      <c r="T134" s="303"/>
      <c r="U134" s="65">
        <v>30</v>
      </c>
      <c r="V134" s="192"/>
      <c r="W134" s="63">
        <f t="shared" si="25"/>
        <v>30</v>
      </c>
      <c r="X134" s="414"/>
    </row>
    <row r="135" spans="2:25" ht="20.100000000000001" customHeight="1" x14ac:dyDescent="0.2">
      <c r="B135" s="675"/>
      <c r="C135" s="587"/>
      <c r="D135" s="590"/>
      <c r="E135" s="588"/>
      <c r="F135" s="246" t="s">
        <v>470</v>
      </c>
      <c r="G135" s="59" t="s">
        <v>21</v>
      </c>
      <c r="H135" s="203" t="s">
        <v>469</v>
      </c>
      <c r="I135" s="193" t="s">
        <v>29</v>
      </c>
      <c r="J135" s="69"/>
      <c r="K135" s="67"/>
      <c r="L135" s="69"/>
      <c r="M135" s="67"/>
      <c r="N135" s="69"/>
      <c r="O135" s="67"/>
      <c r="P135" s="69"/>
      <c r="Q135" s="67"/>
      <c r="R135" s="69"/>
      <c r="S135" s="67"/>
      <c r="T135" s="303"/>
      <c r="U135" s="65">
        <v>22</v>
      </c>
      <c r="V135" s="192"/>
      <c r="W135" s="63">
        <f t="shared" si="25"/>
        <v>22</v>
      </c>
      <c r="X135" s="414"/>
    </row>
    <row r="136" spans="2:25" ht="20.100000000000001" customHeight="1" x14ac:dyDescent="0.2">
      <c r="B136" s="675"/>
      <c r="C136" s="608"/>
      <c r="D136" s="641"/>
      <c r="E136" s="634"/>
      <c r="F136" s="246" t="s">
        <v>470</v>
      </c>
      <c r="G136" s="59" t="s">
        <v>21</v>
      </c>
      <c r="H136" s="71" t="s">
        <v>469</v>
      </c>
      <c r="I136" s="193" t="s">
        <v>29</v>
      </c>
      <c r="J136" s="82"/>
      <c r="K136" s="67"/>
      <c r="L136" s="69"/>
      <c r="M136" s="67"/>
      <c r="N136" s="69"/>
      <c r="O136" s="67"/>
      <c r="P136" s="69"/>
      <c r="Q136" s="67"/>
      <c r="R136" s="69"/>
      <c r="S136" s="67"/>
      <c r="T136" s="303"/>
      <c r="U136" s="65">
        <v>16</v>
      </c>
      <c r="V136" s="192"/>
      <c r="W136" s="63">
        <f t="shared" si="25"/>
        <v>16</v>
      </c>
      <c r="X136" s="414"/>
    </row>
    <row r="137" spans="2:25" ht="19.5" customHeight="1" x14ac:dyDescent="0.2">
      <c r="B137" s="675"/>
      <c r="C137" s="599" t="s">
        <v>468</v>
      </c>
      <c r="D137" s="600"/>
      <c r="E137" s="486" t="s">
        <v>467</v>
      </c>
      <c r="F137" s="246" t="s">
        <v>466</v>
      </c>
      <c r="G137" s="59" t="s">
        <v>21</v>
      </c>
      <c r="H137" s="71" t="s">
        <v>465</v>
      </c>
      <c r="I137" s="267" t="s">
        <v>6</v>
      </c>
      <c r="J137" s="82">
        <v>0.20300000000000001</v>
      </c>
      <c r="K137" s="67">
        <v>1</v>
      </c>
      <c r="L137" s="69">
        <v>7.3999999999999996E-2</v>
      </c>
      <c r="M137" s="67">
        <v>1</v>
      </c>
      <c r="N137" s="69"/>
      <c r="O137" s="67"/>
      <c r="P137" s="69"/>
      <c r="Q137" s="67"/>
      <c r="R137" s="69"/>
      <c r="S137" s="67"/>
      <c r="T137" s="66"/>
      <c r="U137" s="65" cm="1">
        <f t="array" ref="U137">_xlfn.IFS(MAX(J137,L137,N137)=J137,K137/J137,MAX(J137,L137,N137)=L137,M137/L137,MAX(J137,L137,N137)=N137,O137/N137)*8</f>
        <v>39.408866995073886</v>
      </c>
      <c r="V137" s="192"/>
      <c r="W137" s="63">
        <f t="shared" si="25"/>
        <v>39.408866995073886</v>
      </c>
      <c r="X137" s="414"/>
    </row>
    <row r="138" spans="2:25" s="301" customFormat="1" ht="30.75" customHeight="1" x14ac:dyDescent="0.2">
      <c r="B138" s="675"/>
      <c r="C138" s="601"/>
      <c r="D138" s="602"/>
      <c r="E138" s="486" t="s">
        <v>632</v>
      </c>
      <c r="F138" s="246" t="s">
        <v>464</v>
      </c>
      <c r="G138" s="207" t="s">
        <v>21</v>
      </c>
      <c r="H138" s="302" t="s">
        <v>463</v>
      </c>
      <c r="I138" s="267" t="s">
        <v>633</v>
      </c>
      <c r="J138" s="82">
        <v>0.121</v>
      </c>
      <c r="K138" s="67">
        <v>1</v>
      </c>
      <c r="L138" s="69">
        <v>0.48599999999999999</v>
      </c>
      <c r="M138" s="67">
        <v>1</v>
      </c>
      <c r="N138" s="69">
        <v>0.121</v>
      </c>
      <c r="O138" s="67">
        <v>1</v>
      </c>
      <c r="P138" s="69"/>
      <c r="Q138" s="67"/>
      <c r="R138" s="69"/>
      <c r="S138" s="67"/>
      <c r="T138" s="66"/>
      <c r="U138" s="65" cm="1">
        <f t="array" ref="U138">_xlfn.IFS(MAX(J138,L138,N138)=J138,K138/J138,MAX(J138,L138,N138)=L138,M138/L138,MAX(J138,L138,N138)=N138,O138/N138)*8</f>
        <v>16.460905349794238</v>
      </c>
      <c r="V138" s="192"/>
      <c r="W138" s="63">
        <f t="shared" si="25"/>
        <v>16.460905349794238</v>
      </c>
      <c r="X138" s="414"/>
      <c r="Y138" s="437"/>
    </row>
    <row r="139" spans="2:25" s="301" customFormat="1" ht="20.100000000000001" customHeight="1" x14ac:dyDescent="0.2">
      <c r="B139" s="675"/>
      <c r="C139" s="599" t="s">
        <v>462</v>
      </c>
      <c r="D139" s="600" t="s">
        <v>461</v>
      </c>
      <c r="E139" s="487"/>
      <c r="F139" s="258" t="s">
        <v>460</v>
      </c>
      <c r="G139" s="34" t="s">
        <v>284</v>
      </c>
      <c r="H139" s="78" t="s">
        <v>458</v>
      </c>
      <c r="I139" s="34"/>
      <c r="J139" s="77"/>
      <c r="K139" s="75"/>
      <c r="L139" s="76"/>
      <c r="M139" s="75"/>
      <c r="N139" s="76"/>
      <c r="O139" s="75"/>
      <c r="P139" s="76"/>
      <c r="Q139" s="75"/>
      <c r="R139" s="76"/>
      <c r="S139" s="75"/>
      <c r="T139" s="74"/>
      <c r="U139" s="254"/>
      <c r="V139" s="192">
        <v>745</v>
      </c>
      <c r="W139" s="63">
        <f t="shared" si="25"/>
        <v>745</v>
      </c>
      <c r="X139" s="414">
        <f t="shared" ref="X139:X178" si="26">V139-U139</f>
        <v>745</v>
      </c>
    </row>
    <row r="140" spans="2:25" s="301" customFormat="1" ht="20.100000000000001" customHeight="1" x14ac:dyDescent="0.2">
      <c r="B140" s="675"/>
      <c r="C140" s="607"/>
      <c r="D140" s="620"/>
      <c r="E140" s="487"/>
      <c r="F140" s="258" t="s">
        <v>459</v>
      </c>
      <c r="G140" s="34" t="s">
        <v>21</v>
      </c>
      <c r="H140" s="78" t="s">
        <v>458</v>
      </c>
      <c r="I140" s="135"/>
      <c r="J140" s="77"/>
      <c r="K140" s="75"/>
      <c r="L140" s="76"/>
      <c r="M140" s="75"/>
      <c r="N140" s="76"/>
      <c r="O140" s="75"/>
      <c r="P140" s="76"/>
      <c r="Q140" s="75"/>
      <c r="R140" s="76"/>
      <c r="S140" s="75"/>
      <c r="T140" s="74"/>
      <c r="U140" s="254"/>
      <c r="V140" s="192">
        <v>1118</v>
      </c>
      <c r="W140" s="63">
        <f t="shared" si="25"/>
        <v>1118</v>
      </c>
      <c r="X140" s="414">
        <f t="shared" si="26"/>
        <v>1118</v>
      </c>
    </row>
    <row r="141" spans="2:25" ht="30" customHeight="1" x14ac:dyDescent="0.2">
      <c r="B141" s="675"/>
      <c r="C141" s="607"/>
      <c r="D141" s="620"/>
      <c r="E141" s="633" t="s">
        <v>457</v>
      </c>
      <c r="F141" s="246" t="s">
        <v>456</v>
      </c>
      <c r="G141" s="26" t="s">
        <v>21</v>
      </c>
      <c r="H141" s="300" t="s">
        <v>454</v>
      </c>
      <c r="I141" s="193" t="s">
        <v>29</v>
      </c>
      <c r="J141" s="69"/>
      <c r="K141" s="67"/>
      <c r="L141" s="69"/>
      <c r="M141" s="67"/>
      <c r="N141" s="69"/>
      <c r="O141" s="67"/>
      <c r="P141" s="69"/>
      <c r="Q141" s="67"/>
      <c r="R141" s="69"/>
      <c r="S141" s="67"/>
      <c r="T141" s="66"/>
      <c r="U141" s="65">
        <v>770</v>
      </c>
      <c r="V141" s="192"/>
      <c r="W141" s="63">
        <f t="shared" si="25"/>
        <v>770</v>
      </c>
      <c r="X141" s="414"/>
    </row>
    <row r="142" spans="2:25" ht="30" customHeight="1" x14ac:dyDescent="0.2">
      <c r="B142" s="675"/>
      <c r="C142" s="607"/>
      <c r="D142" s="620"/>
      <c r="E142" s="634"/>
      <c r="F142" s="246" t="s">
        <v>455</v>
      </c>
      <c r="G142" s="59" t="s">
        <v>21</v>
      </c>
      <c r="H142" s="296" t="s">
        <v>454</v>
      </c>
      <c r="I142" s="193" t="s">
        <v>29</v>
      </c>
      <c r="J142" s="69"/>
      <c r="K142" s="67"/>
      <c r="L142" s="69"/>
      <c r="M142" s="67"/>
      <c r="N142" s="69"/>
      <c r="O142" s="67"/>
      <c r="P142" s="69"/>
      <c r="Q142" s="67"/>
      <c r="R142" s="69"/>
      <c r="S142" s="67"/>
      <c r="T142" s="66"/>
      <c r="U142" s="65">
        <v>1150</v>
      </c>
      <c r="V142" s="192"/>
      <c r="W142" s="63">
        <f t="shared" si="25"/>
        <v>1150</v>
      </c>
      <c r="X142" s="414">
        <f t="shared" si="26"/>
        <v>-1150</v>
      </c>
    </row>
    <row r="143" spans="2:25" ht="20.100000000000001" customHeight="1" x14ac:dyDescent="0.2">
      <c r="B143" s="675"/>
      <c r="C143" s="607"/>
      <c r="D143" s="620"/>
      <c r="E143" s="488"/>
      <c r="F143" s="733" t="s">
        <v>453</v>
      </c>
      <c r="G143" s="257" t="s">
        <v>21</v>
      </c>
      <c r="H143" s="298" t="s">
        <v>449</v>
      </c>
      <c r="I143" s="193"/>
      <c r="J143" s="76"/>
      <c r="K143" s="75"/>
      <c r="L143" s="76"/>
      <c r="M143" s="75"/>
      <c r="N143" s="76"/>
      <c r="O143" s="75"/>
      <c r="P143" s="76"/>
      <c r="Q143" s="75"/>
      <c r="R143" s="76"/>
      <c r="S143" s="75"/>
      <c r="T143" s="74"/>
      <c r="U143" s="254"/>
      <c r="V143" s="192">
        <v>647</v>
      </c>
      <c r="W143" s="63">
        <f t="shared" si="25"/>
        <v>647</v>
      </c>
      <c r="X143" s="414">
        <f t="shared" si="26"/>
        <v>647</v>
      </c>
    </row>
    <row r="144" spans="2:25" ht="30" customHeight="1" x14ac:dyDescent="0.2">
      <c r="B144" s="675"/>
      <c r="C144" s="607"/>
      <c r="D144" s="620"/>
      <c r="E144" s="486" t="s">
        <v>452</v>
      </c>
      <c r="F144" s="734"/>
      <c r="G144" s="59" t="s">
        <v>21</v>
      </c>
      <c r="H144" s="296" t="s">
        <v>451</v>
      </c>
      <c r="I144" s="193" t="s">
        <v>29</v>
      </c>
      <c r="J144" s="69"/>
      <c r="K144" s="67"/>
      <c r="L144" s="69"/>
      <c r="M144" s="67"/>
      <c r="N144" s="69"/>
      <c r="O144" s="67"/>
      <c r="P144" s="69"/>
      <c r="Q144" s="67"/>
      <c r="R144" s="69"/>
      <c r="S144" s="67"/>
      <c r="T144" s="66"/>
      <c r="U144" s="65">
        <v>1380</v>
      </c>
      <c r="V144" s="192"/>
      <c r="W144" s="63">
        <f t="shared" si="25"/>
        <v>1380</v>
      </c>
      <c r="X144" s="414"/>
    </row>
    <row r="145" spans="2:24" ht="20.100000000000001" customHeight="1" x14ac:dyDescent="0.2">
      <c r="B145" s="675"/>
      <c r="C145" s="607"/>
      <c r="D145" s="620"/>
      <c r="E145" s="486"/>
      <c r="F145" s="299" t="s">
        <v>450</v>
      </c>
      <c r="G145" s="257" t="s">
        <v>21</v>
      </c>
      <c r="H145" s="298" t="s">
        <v>449</v>
      </c>
      <c r="I145" s="297"/>
      <c r="J145" s="76"/>
      <c r="K145" s="75"/>
      <c r="L145" s="76"/>
      <c r="M145" s="75"/>
      <c r="N145" s="76"/>
      <c r="O145" s="75"/>
      <c r="P145" s="76"/>
      <c r="Q145" s="75"/>
      <c r="R145" s="76"/>
      <c r="S145" s="75"/>
      <c r="T145" s="74"/>
      <c r="U145" s="254"/>
      <c r="V145" s="192">
        <v>1231</v>
      </c>
      <c r="W145" s="63">
        <f t="shared" si="25"/>
        <v>1231</v>
      </c>
      <c r="X145" s="414">
        <f t="shared" si="26"/>
        <v>1231</v>
      </c>
    </row>
    <row r="146" spans="2:24" ht="20.100000000000001" customHeight="1" x14ac:dyDescent="0.2">
      <c r="B146" s="675"/>
      <c r="C146" s="607"/>
      <c r="D146" s="602"/>
      <c r="E146" s="486"/>
      <c r="F146" s="299" t="s">
        <v>448</v>
      </c>
      <c r="G146" s="257" t="s">
        <v>21</v>
      </c>
      <c r="H146" s="298" t="s">
        <v>447</v>
      </c>
      <c r="I146" s="297"/>
      <c r="J146" s="76"/>
      <c r="K146" s="75"/>
      <c r="L146" s="76"/>
      <c r="M146" s="75"/>
      <c r="N146" s="76"/>
      <c r="O146" s="75"/>
      <c r="P146" s="76"/>
      <c r="Q146" s="75"/>
      <c r="R146" s="76"/>
      <c r="S146" s="75"/>
      <c r="T146" s="74"/>
      <c r="U146" s="254"/>
      <c r="V146" s="192">
        <v>42</v>
      </c>
      <c r="W146" s="63">
        <f t="shared" ref="W146" si="27">AVERAGE(U146,V146)</f>
        <v>42</v>
      </c>
      <c r="X146" s="414">
        <f t="shared" si="26"/>
        <v>42</v>
      </c>
    </row>
    <row r="147" spans="2:24" ht="30" customHeight="1" x14ac:dyDescent="0.2">
      <c r="B147" s="675"/>
      <c r="C147" s="607"/>
      <c r="D147" s="620" t="s">
        <v>446</v>
      </c>
      <c r="E147" s="633" t="s">
        <v>445</v>
      </c>
      <c r="F147" s="246" t="s">
        <v>444</v>
      </c>
      <c r="G147" s="59" t="s">
        <v>21</v>
      </c>
      <c r="H147" s="296" t="s">
        <v>442</v>
      </c>
      <c r="I147" s="69"/>
      <c r="J147" s="67"/>
      <c r="K147" s="69"/>
      <c r="L147" s="67"/>
      <c r="M147" s="69"/>
      <c r="N147" s="67"/>
      <c r="O147" s="69"/>
      <c r="P147" s="67"/>
      <c r="Q147" s="69"/>
      <c r="R147" s="67"/>
      <c r="S147" s="66"/>
      <c r="T147" s="65"/>
      <c r="U147" s="65">
        <v>18</v>
      </c>
      <c r="V147" s="192"/>
      <c r="W147" s="295"/>
      <c r="X147" s="414"/>
    </row>
    <row r="148" spans="2:24" ht="30" customHeight="1" x14ac:dyDescent="0.2">
      <c r="B148" s="675"/>
      <c r="C148" s="607"/>
      <c r="D148" s="620"/>
      <c r="E148" s="588"/>
      <c r="F148" s="246" t="s">
        <v>443</v>
      </c>
      <c r="G148" s="59" t="s">
        <v>21</v>
      </c>
      <c r="H148" s="296" t="s">
        <v>442</v>
      </c>
      <c r="I148" s="69"/>
      <c r="J148" s="67"/>
      <c r="K148" s="69"/>
      <c r="L148" s="67"/>
      <c r="M148" s="69"/>
      <c r="N148" s="67"/>
      <c r="O148" s="69"/>
      <c r="P148" s="67"/>
      <c r="Q148" s="69"/>
      <c r="R148" s="67"/>
      <c r="S148" s="66"/>
      <c r="T148" s="65"/>
      <c r="U148" s="65">
        <v>24</v>
      </c>
      <c r="V148" s="192"/>
      <c r="W148" s="295"/>
      <c r="X148" s="414"/>
    </row>
    <row r="149" spans="2:24" ht="30" customHeight="1" x14ac:dyDescent="0.2">
      <c r="B149" s="675"/>
      <c r="C149" s="607"/>
      <c r="D149" s="620"/>
      <c r="E149" s="588"/>
      <c r="F149" s="246" t="s">
        <v>441</v>
      </c>
      <c r="G149" s="59" t="s">
        <v>21</v>
      </c>
      <c r="H149" s="296" t="s">
        <v>439</v>
      </c>
      <c r="I149" s="69"/>
      <c r="J149" s="67"/>
      <c r="K149" s="69"/>
      <c r="L149" s="67"/>
      <c r="M149" s="69"/>
      <c r="N149" s="67"/>
      <c r="O149" s="69"/>
      <c r="P149" s="67"/>
      <c r="Q149" s="69"/>
      <c r="R149" s="67"/>
      <c r="S149" s="66"/>
      <c r="T149" s="65"/>
      <c r="U149" s="65">
        <v>14</v>
      </c>
      <c r="V149" s="192"/>
      <c r="W149" s="295"/>
      <c r="X149" s="414"/>
    </row>
    <row r="150" spans="2:24" ht="30" customHeight="1" x14ac:dyDescent="0.2">
      <c r="B150" s="675"/>
      <c r="C150" s="607"/>
      <c r="D150" s="620"/>
      <c r="E150" s="634"/>
      <c r="F150" s="246" t="s">
        <v>440</v>
      </c>
      <c r="G150" s="59" t="s">
        <v>284</v>
      </c>
      <c r="H150" s="296" t="s">
        <v>439</v>
      </c>
      <c r="I150" s="69"/>
      <c r="J150" s="67"/>
      <c r="K150" s="69"/>
      <c r="L150" s="67"/>
      <c r="M150" s="69"/>
      <c r="N150" s="67"/>
      <c r="O150" s="69"/>
      <c r="P150" s="67"/>
      <c r="Q150" s="69"/>
      <c r="R150" s="67"/>
      <c r="S150" s="66"/>
      <c r="T150" s="65"/>
      <c r="U150" s="65">
        <v>20</v>
      </c>
      <c r="V150" s="192"/>
      <c r="W150" s="295"/>
      <c r="X150" s="414"/>
    </row>
    <row r="151" spans="2:24" ht="30" customHeight="1" x14ac:dyDescent="0.2">
      <c r="B151" s="675"/>
      <c r="C151" s="607"/>
      <c r="D151" s="620" t="s">
        <v>438</v>
      </c>
      <c r="E151" s="486" t="s">
        <v>437</v>
      </c>
      <c r="F151" s="246" t="s">
        <v>433</v>
      </c>
      <c r="G151" s="59"/>
      <c r="H151" s="296" t="s">
        <v>432</v>
      </c>
      <c r="I151" s="69"/>
      <c r="J151" s="67"/>
      <c r="K151" s="69"/>
      <c r="L151" s="67"/>
      <c r="M151" s="69"/>
      <c r="N151" s="67"/>
      <c r="O151" s="69"/>
      <c r="P151" s="67"/>
      <c r="Q151" s="69"/>
      <c r="R151" s="67"/>
      <c r="S151" s="66"/>
      <c r="T151" s="65"/>
      <c r="U151" s="65">
        <v>110</v>
      </c>
      <c r="V151" s="192"/>
      <c r="W151" s="295"/>
      <c r="X151" s="414"/>
    </row>
    <row r="152" spans="2:24" ht="30" customHeight="1" x14ac:dyDescent="0.2">
      <c r="B152" s="675"/>
      <c r="C152" s="607"/>
      <c r="D152" s="620"/>
      <c r="E152" s="486" t="s">
        <v>436</v>
      </c>
      <c r="F152" s="246" t="s">
        <v>430</v>
      </c>
      <c r="G152" s="59"/>
      <c r="H152" s="296" t="s">
        <v>429</v>
      </c>
      <c r="I152" s="69"/>
      <c r="J152" s="67"/>
      <c r="K152" s="69"/>
      <c r="L152" s="67"/>
      <c r="M152" s="69"/>
      <c r="N152" s="67"/>
      <c r="O152" s="69"/>
      <c r="P152" s="67"/>
      <c r="Q152" s="69"/>
      <c r="R152" s="67"/>
      <c r="S152" s="66"/>
      <c r="T152" s="65"/>
      <c r="U152" s="65">
        <v>250</v>
      </c>
      <c r="V152" s="192"/>
      <c r="W152" s="295"/>
      <c r="X152" s="414"/>
    </row>
    <row r="153" spans="2:24" ht="30" customHeight="1" x14ac:dyDescent="0.2">
      <c r="B153" s="675"/>
      <c r="C153" s="607"/>
      <c r="D153" s="620" t="s">
        <v>435</v>
      </c>
      <c r="E153" s="486" t="s">
        <v>434</v>
      </c>
      <c r="F153" s="246" t="s">
        <v>433</v>
      </c>
      <c r="G153" s="59"/>
      <c r="H153" s="296" t="s">
        <v>432</v>
      </c>
      <c r="I153" s="69"/>
      <c r="J153" s="67"/>
      <c r="K153" s="69"/>
      <c r="L153" s="67"/>
      <c r="M153" s="69"/>
      <c r="N153" s="67"/>
      <c r="O153" s="69"/>
      <c r="P153" s="67"/>
      <c r="Q153" s="69"/>
      <c r="R153" s="67"/>
      <c r="S153" s="66"/>
      <c r="T153" s="65"/>
      <c r="U153" s="65">
        <v>130</v>
      </c>
      <c r="V153" s="192"/>
      <c r="W153" s="295"/>
      <c r="X153" s="414"/>
    </row>
    <row r="154" spans="2:24" ht="30" customHeight="1" x14ac:dyDescent="0.2">
      <c r="B154" s="675"/>
      <c r="C154" s="601"/>
      <c r="D154" s="602"/>
      <c r="E154" s="486" t="s">
        <v>431</v>
      </c>
      <c r="F154" s="246" t="s">
        <v>430</v>
      </c>
      <c r="G154" s="59"/>
      <c r="H154" s="296" t="s">
        <v>429</v>
      </c>
      <c r="I154" s="69"/>
      <c r="J154" s="67"/>
      <c r="K154" s="69"/>
      <c r="L154" s="67"/>
      <c r="M154" s="69"/>
      <c r="N154" s="67"/>
      <c r="O154" s="69"/>
      <c r="P154" s="67"/>
      <c r="Q154" s="69"/>
      <c r="R154" s="67"/>
      <c r="S154" s="66"/>
      <c r="T154" s="65"/>
      <c r="U154" s="65">
        <v>290</v>
      </c>
      <c r="V154" s="192"/>
      <c r="W154" s="295"/>
      <c r="X154" s="414"/>
    </row>
    <row r="155" spans="2:24" ht="20.100000000000001" customHeight="1" x14ac:dyDescent="0.2">
      <c r="B155" s="675"/>
      <c r="C155" s="599" t="s">
        <v>428</v>
      </c>
      <c r="D155" s="600"/>
      <c r="E155" s="614" t="s">
        <v>427</v>
      </c>
      <c r="F155" s="246" t="s">
        <v>694</v>
      </c>
      <c r="G155" s="59" t="s">
        <v>2</v>
      </c>
      <c r="H155" s="203" t="s">
        <v>693</v>
      </c>
      <c r="I155" s="267" t="s">
        <v>6</v>
      </c>
      <c r="J155" s="69"/>
      <c r="K155" s="67"/>
      <c r="L155" s="69"/>
      <c r="M155" s="67"/>
      <c r="N155" s="69">
        <v>0.1</v>
      </c>
      <c r="O155" s="67">
        <v>1</v>
      </c>
      <c r="P155" s="69">
        <v>0.05</v>
      </c>
      <c r="Q155" s="67">
        <v>1</v>
      </c>
      <c r="R155" s="69">
        <v>0.19</v>
      </c>
      <c r="S155" s="67">
        <v>1</v>
      </c>
      <c r="T155" s="66"/>
      <c r="U155" s="65">
        <v>4800</v>
      </c>
      <c r="V155" s="192"/>
      <c r="W155" s="63">
        <f t="shared" ref="W155:W211" si="28">AVERAGE(U155,V155)</f>
        <v>4800</v>
      </c>
      <c r="X155" s="414">
        <f t="shared" si="26"/>
        <v>-4800</v>
      </c>
    </row>
    <row r="156" spans="2:24" ht="20.100000000000001" customHeight="1" x14ac:dyDescent="0.2">
      <c r="B156" s="675"/>
      <c r="C156" s="607"/>
      <c r="D156" s="620"/>
      <c r="E156" s="617"/>
      <c r="F156" s="246" t="s">
        <v>695</v>
      </c>
      <c r="G156" s="59" t="s">
        <v>2</v>
      </c>
      <c r="H156" s="203" t="s">
        <v>693</v>
      </c>
      <c r="I156" s="267" t="s">
        <v>6</v>
      </c>
      <c r="J156" s="69"/>
      <c r="K156" s="67"/>
      <c r="L156" s="69"/>
      <c r="M156" s="67"/>
      <c r="N156" s="69"/>
      <c r="O156" s="67"/>
      <c r="P156" s="69"/>
      <c r="Q156" s="67"/>
      <c r="R156" s="69"/>
      <c r="S156" s="67"/>
      <c r="T156" s="66"/>
      <c r="U156" s="65">
        <v>3600</v>
      </c>
      <c r="V156" s="192"/>
      <c r="W156" s="63"/>
      <c r="X156" s="414"/>
    </row>
    <row r="157" spans="2:24" ht="20.100000000000001" customHeight="1" x14ac:dyDescent="0.2">
      <c r="B157" s="675"/>
      <c r="C157" s="607"/>
      <c r="D157" s="620"/>
      <c r="E157" s="617"/>
      <c r="F157" s="246" t="s">
        <v>696</v>
      </c>
      <c r="G157" s="59" t="s">
        <v>2</v>
      </c>
      <c r="H157" s="203" t="s">
        <v>693</v>
      </c>
      <c r="I157" s="267" t="s">
        <v>6</v>
      </c>
      <c r="J157" s="69"/>
      <c r="K157" s="67"/>
      <c r="L157" s="69"/>
      <c r="M157" s="67"/>
      <c r="N157" s="69">
        <v>0.1</v>
      </c>
      <c r="O157" s="67">
        <v>1</v>
      </c>
      <c r="P157" s="69">
        <v>0.05</v>
      </c>
      <c r="Q157" s="67">
        <v>1</v>
      </c>
      <c r="R157" s="69">
        <v>0.19</v>
      </c>
      <c r="S157" s="67">
        <v>1</v>
      </c>
      <c r="T157" s="66"/>
      <c r="U157" s="65">
        <v>3200</v>
      </c>
      <c r="V157" s="192">
        <v>3571</v>
      </c>
      <c r="W157" s="63"/>
      <c r="X157" s="414"/>
    </row>
    <row r="158" spans="2:24" ht="20.100000000000001" customHeight="1" x14ac:dyDescent="0.2">
      <c r="B158" s="675"/>
      <c r="C158" s="607"/>
      <c r="D158" s="620"/>
      <c r="E158" s="617"/>
      <c r="F158" s="246" t="s">
        <v>697</v>
      </c>
      <c r="G158" s="59" t="s">
        <v>2</v>
      </c>
      <c r="H158" s="203" t="s">
        <v>700</v>
      </c>
      <c r="I158" s="267" t="s">
        <v>6</v>
      </c>
      <c r="J158" s="69"/>
      <c r="K158" s="67"/>
      <c r="L158" s="69"/>
      <c r="M158" s="67"/>
      <c r="N158" s="69">
        <v>0.1</v>
      </c>
      <c r="O158" s="67">
        <v>1</v>
      </c>
      <c r="P158" s="69">
        <v>0.05</v>
      </c>
      <c r="Q158" s="67">
        <v>1</v>
      </c>
      <c r="R158" s="69">
        <v>0.19</v>
      </c>
      <c r="S158" s="67">
        <v>1</v>
      </c>
      <c r="T158" s="66"/>
      <c r="U158" s="65">
        <v>1150</v>
      </c>
      <c r="V158" s="192"/>
      <c r="W158" s="63"/>
      <c r="X158" s="414"/>
    </row>
    <row r="159" spans="2:24" ht="20.100000000000001" customHeight="1" x14ac:dyDescent="0.2">
      <c r="B159" s="675"/>
      <c r="C159" s="607"/>
      <c r="D159" s="620"/>
      <c r="E159" s="617"/>
      <c r="F159" s="246" t="s">
        <v>698</v>
      </c>
      <c r="G159" s="59" t="s">
        <v>2</v>
      </c>
      <c r="H159" s="203" t="s">
        <v>700</v>
      </c>
      <c r="I159" s="267" t="s">
        <v>6</v>
      </c>
      <c r="J159" s="69"/>
      <c r="K159" s="67"/>
      <c r="L159" s="69"/>
      <c r="M159" s="67"/>
      <c r="N159" s="69">
        <v>0.1</v>
      </c>
      <c r="O159" s="67">
        <v>1</v>
      </c>
      <c r="P159" s="69">
        <v>0.05</v>
      </c>
      <c r="Q159" s="67">
        <v>1</v>
      </c>
      <c r="R159" s="69">
        <v>0.19</v>
      </c>
      <c r="S159" s="67">
        <v>1</v>
      </c>
      <c r="T159" s="66"/>
      <c r="U159" s="65">
        <v>700</v>
      </c>
      <c r="V159" s="192"/>
      <c r="W159" s="63"/>
      <c r="X159" s="414"/>
    </row>
    <row r="160" spans="2:24" ht="20.100000000000001" customHeight="1" x14ac:dyDescent="0.2">
      <c r="B160" s="675"/>
      <c r="C160" s="607"/>
      <c r="D160" s="620"/>
      <c r="E160" s="615"/>
      <c r="F160" s="246" t="s">
        <v>699</v>
      </c>
      <c r="G160" s="59" t="s">
        <v>2</v>
      </c>
      <c r="H160" s="203" t="s">
        <v>700</v>
      </c>
      <c r="I160" s="267" t="s">
        <v>6</v>
      </c>
      <c r="J160" s="69"/>
      <c r="K160" s="67"/>
      <c r="L160" s="69"/>
      <c r="M160" s="67"/>
      <c r="N160" s="69">
        <v>0.1</v>
      </c>
      <c r="O160" s="67">
        <v>1</v>
      </c>
      <c r="P160" s="69">
        <v>0.05</v>
      </c>
      <c r="Q160" s="67">
        <v>1</v>
      </c>
      <c r="R160" s="69">
        <v>0.19</v>
      </c>
      <c r="S160" s="67">
        <v>1</v>
      </c>
      <c r="T160" s="66"/>
      <c r="U160" s="65">
        <v>700</v>
      </c>
      <c r="V160" s="192"/>
      <c r="W160" s="63"/>
      <c r="X160" s="414"/>
    </row>
    <row r="161" spans="2:24" ht="20.100000000000001" customHeight="1" x14ac:dyDescent="0.2">
      <c r="B161" s="675"/>
      <c r="C161" s="607"/>
      <c r="D161" s="620"/>
      <c r="E161" s="487"/>
      <c r="F161" s="258" t="s">
        <v>426</v>
      </c>
      <c r="G161" s="257" t="s">
        <v>21</v>
      </c>
      <c r="H161" s="294" t="s">
        <v>425</v>
      </c>
      <c r="I161" s="257"/>
      <c r="J161" s="76"/>
      <c r="K161" s="75"/>
      <c r="L161" s="76"/>
      <c r="M161" s="75"/>
      <c r="N161" s="76"/>
      <c r="O161" s="75"/>
      <c r="P161" s="76"/>
      <c r="Q161" s="75"/>
      <c r="R161" s="76"/>
      <c r="S161" s="75"/>
      <c r="T161" s="74"/>
      <c r="U161" s="254"/>
      <c r="V161" s="192">
        <v>421</v>
      </c>
      <c r="W161" s="63">
        <f t="shared" si="28"/>
        <v>421</v>
      </c>
      <c r="X161" s="414">
        <f t="shared" si="26"/>
        <v>421</v>
      </c>
    </row>
    <row r="162" spans="2:24" ht="20.100000000000001" customHeight="1" x14ac:dyDescent="0.2">
      <c r="B162" s="675"/>
      <c r="C162" s="612"/>
      <c r="D162" s="613"/>
      <c r="E162" s="487"/>
      <c r="F162" s="258" t="s">
        <v>424</v>
      </c>
      <c r="G162" s="257" t="s">
        <v>384</v>
      </c>
      <c r="H162" s="294"/>
      <c r="I162" s="257"/>
      <c r="J162" s="76"/>
      <c r="K162" s="75"/>
      <c r="L162" s="76"/>
      <c r="M162" s="75"/>
      <c r="N162" s="76"/>
      <c r="O162" s="75"/>
      <c r="P162" s="76"/>
      <c r="Q162" s="75"/>
      <c r="R162" s="76"/>
      <c r="S162" s="75"/>
      <c r="T162" s="74"/>
      <c r="U162" s="254"/>
      <c r="V162" s="192">
        <v>2.2000000000000002</v>
      </c>
      <c r="W162" s="63">
        <f t="shared" si="28"/>
        <v>2.2000000000000002</v>
      </c>
      <c r="X162" s="414">
        <f t="shared" si="26"/>
        <v>2.2000000000000002</v>
      </c>
    </row>
    <row r="163" spans="2:24" ht="20.100000000000001" customHeight="1" x14ac:dyDescent="0.2">
      <c r="B163" s="675"/>
      <c r="C163" s="610" t="s">
        <v>423</v>
      </c>
      <c r="D163" s="611"/>
      <c r="E163" s="487"/>
      <c r="F163" s="258" t="s">
        <v>422</v>
      </c>
      <c r="G163" s="257" t="s">
        <v>2</v>
      </c>
      <c r="H163" s="294"/>
      <c r="I163" s="257"/>
      <c r="J163" s="76"/>
      <c r="K163" s="75"/>
      <c r="L163" s="76"/>
      <c r="M163" s="75"/>
      <c r="N163" s="76"/>
      <c r="O163" s="75"/>
      <c r="P163" s="76"/>
      <c r="Q163" s="75"/>
      <c r="R163" s="76"/>
      <c r="S163" s="75"/>
      <c r="T163" s="74"/>
      <c r="U163" s="254"/>
      <c r="V163" s="192">
        <v>505</v>
      </c>
      <c r="W163" s="63">
        <f t="shared" si="28"/>
        <v>505</v>
      </c>
      <c r="X163" s="414">
        <f t="shared" si="26"/>
        <v>505</v>
      </c>
    </row>
    <row r="164" spans="2:24" ht="20.100000000000001" customHeight="1" x14ac:dyDescent="0.2">
      <c r="B164" s="675"/>
      <c r="C164" s="607"/>
      <c r="D164" s="620"/>
      <c r="E164" s="487"/>
      <c r="F164" s="258" t="s">
        <v>421</v>
      </c>
      <c r="G164" s="257" t="s">
        <v>44</v>
      </c>
      <c r="H164" s="294"/>
      <c r="I164" s="257"/>
      <c r="J164" s="76"/>
      <c r="K164" s="75"/>
      <c r="L164" s="76"/>
      <c r="M164" s="75"/>
      <c r="N164" s="76"/>
      <c r="O164" s="75"/>
      <c r="P164" s="76"/>
      <c r="Q164" s="75"/>
      <c r="R164" s="76"/>
      <c r="S164" s="75"/>
      <c r="T164" s="74"/>
      <c r="U164" s="254"/>
      <c r="V164" s="192">
        <v>64</v>
      </c>
      <c r="W164" s="63">
        <f t="shared" si="28"/>
        <v>64</v>
      </c>
      <c r="X164" s="414">
        <f t="shared" si="26"/>
        <v>64</v>
      </c>
    </row>
    <row r="165" spans="2:24" ht="20.100000000000001" customHeight="1" x14ac:dyDescent="0.2">
      <c r="B165" s="675"/>
      <c r="C165" s="607"/>
      <c r="D165" s="620"/>
      <c r="E165" s="633" t="s">
        <v>420</v>
      </c>
      <c r="F165" s="246" t="s">
        <v>419</v>
      </c>
      <c r="G165" s="59" t="s">
        <v>53</v>
      </c>
      <c r="H165" s="203" t="s">
        <v>413</v>
      </c>
      <c r="I165" s="193" t="s">
        <v>29</v>
      </c>
      <c r="J165" s="69"/>
      <c r="K165" s="67"/>
      <c r="L165" s="69"/>
      <c r="M165" s="67"/>
      <c r="N165" s="69"/>
      <c r="O165" s="67"/>
      <c r="P165" s="69"/>
      <c r="Q165" s="67"/>
      <c r="R165" s="69"/>
      <c r="S165" s="67"/>
      <c r="T165" s="66"/>
      <c r="U165" s="65">
        <v>38</v>
      </c>
      <c r="V165" s="192"/>
      <c r="W165" s="63">
        <f t="shared" si="28"/>
        <v>38</v>
      </c>
      <c r="X165" s="414"/>
    </row>
    <row r="166" spans="2:24" ht="20.100000000000001" customHeight="1" x14ac:dyDescent="0.2">
      <c r="B166" s="675"/>
      <c r="C166" s="607"/>
      <c r="D166" s="620"/>
      <c r="E166" s="588"/>
      <c r="F166" s="246" t="s">
        <v>418</v>
      </c>
      <c r="G166" s="59" t="s">
        <v>53</v>
      </c>
      <c r="H166" s="203" t="s">
        <v>413</v>
      </c>
      <c r="I166" s="193" t="s">
        <v>29</v>
      </c>
      <c r="J166" s="69"/>
      <c r="K166" s="67"/>
      <c r="L166" s="69"/>
      <c r="M166" s="67"/>
      <c r="N166" s="69"/>
      <c r="O166" s="67"/>
      <c r="P166" s="69"/>
      <c r="Q166" s="67"/>
      <c r="R166" s="69"/>
      <c r="S166" s="67"/>
      <c r="T166" s="66"/>
      <c r="U166" s="65">
        <v>41</v>
      </c>
      <c r="V166" s="192"/>
      <c r="W166" s="63">
        <f t="shared" si="28"/>
        <v>41</v>
      </c>
      <c r="X166" s="414"/>
    </row>
    <row r="167" spans="2:24" ht="20.100000000000001" customHeight="1" x14ac:dyDescent="0.2">
      <c r="B167" s="675"/>
      <c r="C167" s="607"/>
      <c r="D167" s="620"/>
      <c r="E167" s="588"/>
      <c r="F167" s="246" t="s">
        <v>417</v>
      </c>
      <c r="G167" s="59" t="s">
        <v>53</v>
      </c>
      <c r="H167" s="203" t="s">
        <v>413</v>
      </c>
      <c r="I167" s="193" t="s">
        <v>29</v>
      </c>
      <c r="J167" s="69"/>
      <c r="K167" s="67"/>
      <c r="L167" s="69"/>
      <c r="M167" s="67"/>
      <c r="N167" s="69"/>
      <c r="O167" s="67"/>
      <c r="P167" s="69"/>
      <c r="Q167" s="67"/>
      <c r="R167" s="69"/>
      <c r="S167" s="67"/>
      <c r="T167" s="66"/>
      <c r="U167" s="65">
        <v>67</v>
      </c>
      <c r="V167" s="192"/>
      <c r="W167" s="63">
        <f t="shared" si="28"/>
        <v>67</v>
      </c>
      <c r="X167" s="414"/>
    </row>
    <row r="168" spans="2:24" ht="20.100000000000001" customHeight="1" x14ac:dyDescent="0.2">
      <c r="B168" s="675"/>
      <c r="C168" s="607"/>
      <c r="D168" s="620"/>
      <c r="E168" s="588"/>
      <c r="F168" s="246" t="s">
        <v>416</v>
      </c>
      <c r="G168" s="59" t="s">
        <v>53</v>
      </c>
      <c r="H168" s="203" t="s">
        <v>413</v>
      </c>
      <c r="I168" s="193" t="s">
        <v>29</v>
      </c>
      <c r="J168" s="69"/>
      <c r="K168" s="67"/>
      <c r="L168" s="69"/>
      <c r="M168" s="67"/>
      <c r="N168" s="69"/>
      <c r="O168" s="67"/>
      <c r="P168" s="69"/>
      <c r="Q168" s="67"/>
      <c r="R168" s="69"/>
      <c r="S168" s="67"/>
      <c r="T168" s="66"/>
      <c r="U168" s="65">
        <v>48</v>
      </c>
      <c r="V168" s="192"/>
      <c r="W168" s="63">
        <f t="shared" si="28"/>
        <v>48</v>
      </c>
      <c r="X168" s="414"/>
    </row>
    <row r="169" spans="2:24" ht="20.100000000000001" customHeight="1" x14ac:dyDescent="0.2">
      <c r="B169" s="675"/>
      <c r="C169" s="607"/>
      <c r="D169" s="620"/>
      <c r="E169" s="588"/>
      <c r="F169" s="246" t="s">
        <v>415</v>
      </c>
      <c r="G169" s="59" t="s">
        <v>53</v>
      </c>
      <c r="H169" s="203" t="s">
        <v>413</v>
      </c>
      <c r="I169" s="193" t="s">
        <v>29</v>
      </c>
      <c r="J169" s="69"/>
      <c r="K169" s="67"/>
      <c r="L169" s="69"/>
      <c r="M169" s="67"/>
      <c r="N169" s="69"/>
      <c r="O169" s="67"/>
      <c r="P169" s="69"/>
      <c r="Q169" s="67"/>
      <c r="R169" s="69"/>
      <c r="S169" s="67"/>
      <c r="T169" s="66"/>
      <c r="U169" s="65">
        <v>38</v>
      </c>
      <c r="V169" s="192"/>
      <c r="W169" s="63">
        <f t="shared" si="28"/>
        <v>38</v>
      </c>
      <c r="X169" s="414"/>
    </row>
    <row r="170" spans="2:24" ht="20.100000000000001" customHeight="1" x14ac:dyDescent="0.2">
      <c r="B170" s="675"/>
      <c r="C170" s="601"/>
      <c r="D170" s="602"/>
      <c r="E170" s="634"/>
      <c r="F170" s="246" t="s">
        <v>414</v>
      </c>
      <c r="G170" s="59" t="s">
        <v>53</v>
      </c>
      <c r="H170" s="203" t="s">
        <v>413</v>
      </c>
      <c r="I170" s="193" t="s">
        <v>29</v>
      </c>
      <c r="J170" s="69"/>
      <c r="K170" s="67"/>
      <c r="L170" s="69"/>
      <c r="M170" s="67"/>
      <c r="N170" s="69"/>
      <c r="O170" s="67"/>
      <c r="P170" s="69"/>
      <c r="Q170" s="67"/>
      <c r="R170" s="69"/>
      <c r="S170" s="67"/>
      <c r="T170" s="66"/>
      <c r="U170" s="65">
        <v>27</v>
      </c>
      <c r="V170" s="192"/>
      <c r="W170" s="63">
        <f t="shared" si="28"/>
        <v>27</v>
      </c>
      <c r="X170" s="414"/>
    </row>
    <row r="171" spans="2:24" ht="20.100000000000001" customHeight="1" x14ac:dyDescent="0.2">
      <c r="B171" s="675"/>
      <c r="C171" s="603" t="s">
        <v>412</v>
      </c>
      <c r="D171" s="604"/>
      <c r="E171" s="486"/>
      <c r="F171" s="246" t="s">
        <v>411</v>
      </c>
      <c r="G171" s="59" t="s">
        <v>21</v>
      </c>
      <c r="H171" s="194"/>
      <c r="I171" s="195"/>
      <c r="J171" s="69"/>
      <c r="K171" s="67"/>
      <c r="L171" s="69"/>
      <c r="M171" s="67"/>
      <c r="N171" s="69"/>
      <c r="O171" s="67"/>
      <c r="P171" s="69"/>
      <c r="Q171" s="67"/>
      <c r="R171" s="69"/>
      <c r="S171" s="67"/>
      <c r="T171" s="66"/>
      <c r="U171" s="65">
        <v>40.72</v>
      </c>
      <c r="V171" s="192"/>
      <c r="W171" s="63">
        <f t="shared" si="28"/>
        <v>40.72</v>
      </c>
      <c r="X171" s="414"/>
    </row>
    <row r="172" spans="2:24" ht="20.100000000000001" customHeight="1" x14ac:dyDescent="0.2">
      <c r="B172" s="675"/>
      <c r="C172" s="605" t="s">
        <v>410</v>
      </c>
      <c r="D172" s="204" t="s">
        <v>409</v>
      </c>
      <c r="E172" s="486"/>
      <c r="F172" s="246" t="s">
        <v>407</v>
      </c>
      <c r="G172" s="59" t="s">
        <v>21</v>
      </c>
      <c r="I172" s="195"/>
      <c r="J172" s="69"/>
      <c r="K172" s="67"/>
      <c r="L172" s="69"/>
      <c r="M172" s="67"/>
      <c r="N172" s="69"/>
      <c r="O172" s="67"/>
      <c r="P172" s="69"/>
      <c r="Q172" s="67"/>
      <c r="R172" s="69"/>
      <c r="S172" s="67"/>
      <c r="T172" s="66"/>
      <c r="U172" s="65">
        <v>268.5</v>
      </c>
      <c r="V172" s="192"/>
      <c r="W172" s="63">
        <f t="shared" si="28"/>
        <v>268.5</v>
      </c>
      <c r="X172" s="414"/>
    </row>
    <row r="173" spans="2:24" ht="20.100000000000001" customHeight="1" x14ac:dyDescent="0.2">
      <c r="B173" s="675"/>
      <c r="C173" s="587"/>
      <c r="D173" s="204" t="s">
        <v>395</v>
      </c>
      <c r="E173" s="486"/>
      <c r="F173" s="246" t="s">
        <v>408</v>
      </c>
      <c r="G173" s="59" t="s">
        <v>21</v>
      </c>
      <c r="H173" s="194"/>
      <c r="I173" s="195"/>
      <c r="J173" s="69"/>
      <c r="K173" s="67"/>
      <c r="L173" s="69"/>
      <c r="M173" s="67"/>
      <c r="N173" s="69"/>
      <c r="O173" s="67"/>
      <c r="P173" s="69"/>
      <c r="Q173" s="67"/>
      <c r="R173" s="69"/>
      <c r="S173" s="67"/>
      <c r="T173" s="66"/>
      <c r="U173" s="65">
        <v>69.599999999999994</v>
      </c>
      <c r="V173" s="192"/>
      <c r="W173" s="63">
        <f t="shared" si="28"/>
        <v>69.599999999999994</v>
      </c>
      <c r="X173" s="414"/>
    </row>
    <row r="174" spans="2:24" ht="20.100000000000001" customHeight="1" x14ac:dyDescent="0.2">
      <c r="B174" s="675"/>
      <c r="C174" s="587"/>
      <c r="D174" s="204" t="s">
        <v>394</v>
      </c>
      <c r="E174" s="486"/>
      <c r="F174" s="246" t="s">
        <v>407</v>
      </c>
      <c r="G174" s="59" t="s">
        <v>21</v>
      </c>
      <c r="H174" s="194"/>
      <c r="I174" s="195"/>
      <c r="J174" s="69"/>
      <c r="K174" s="67"/>
      <c r="L174" s="69"/>
      <c r="M174" s="67"/>
      <c r="N174" s="69"/>
      <c r="O174" s="67"/>
      <c r="P174" s="69"/>
      <c r="Q174" s="67"/>
      <c r="R174" s="69"/>
      <c r="S174" s="67"/>
      <c r="T174" s="66"/>
      <c r="U174" s="65">
        <v>152.29</v>
      </c>
      <c r="V174" s="192"/>
      <c r="W174" s="63">
        <f t="shared" si="28"/>
        <v>152.29</v>
      </c>
      <c r="X174" s="414"/>
    </row>
    <row r="175" spans="2:24" ht="20.100000000000001" customHeight="1" x14ac:dyDescent="0.2">
      <c r="B175" s="675"/>
      <c r="C175" s="587"/>
      <c r="D175" s="249" t="s">
        <v>393</v>
      </c>
      <c r="E175" s="487"/>
      <c r="F175" s="293" t="s">
        <v>407</v>
      </c>
      <c r="G175" s="207" t="s">
        <v>284</v>
      </c>
      <c r="H175" s="292"/>
      <c r="I175" s="193"/>
      <c r="J175" s="57"/>
      <c r="K175" s="55"/>
      <c r="L175" s="57"/>
      <c r="M175" s="55"/>
      <c r="N175" s="57"/>
      <c r="O175" s="55"/>
      <c r="P175" s="57"/>
      <c r="Q175" s="55"/>
      <c r="R175" s="57"/>
      <c r="S175" s="55"/>
      <c r="T175" s="54"/>
      <c r="U175" s="53">
        <v>152.29</v>
      </c>
      <c r="V175" s="291"/>
      <c r="W175" s="51">
        <f t="shared" si="28"/>
        <v>152.29</v>
      </c>
      <c r="X175" s="414"/>
    </row>
    <row r="176" spans="2:24" ht="20.100000000000001" customHeight="1" x14ac:dyDescent="0.2">
      <c r="B176" s="656" t="s">
        <v>406</v>
      </c>
      <c r="C176" s="290" t="s">
        <v>405</v>
      </c>
      <c r="D176" s="289" t="s">
        <v>404</v>
      </c>
      <c r="E176" s="477"/>
      <c r="F176" s="288" t="s">
        <v>403</v>
      </c>
      <c r="G176" s="101" t="s">
        <v>53</v>
      </c>
      <c r="H176" s="100"/>
      <c r="I176" s="99"/>
      <c r="J176" s="98"/>
      <c r="K176" s="97"/>
      <c r="L176" s="98"/>
      <c r="M176" s="97"/>
      <c r="N176" s="98"/>
      <c r="O176" s="97"/>
      <c r="P176" s="98"/>
      <c r="Q176" s="97"/>
      <c r="R176" s="98"/>
      <c r="S176" s="97"/>
      <c r="T176" s="96"/>
      <c r="U176" s="95"/>
      <c r="V176" s="94">
        <v>65</v>
      </c>
      <c r="W176" s="287">
        <f t="shared" si="28"/>
        <v>65</v>
      </c>
      <c r="X176" s="414">
        <f t="shared" si="26"/>
        <v>65</v>
      </c>
    </row>
    <row r="177" spans="2:24" ht="20.100000000000001" customHeight="1" x14ac:dyDescent="0.2">
      <c r="B177" s="654"/>
      <c r="C177" s="286" t="s">
        <v>402</v>
      </c>
      <c r="D177" s="285" t="s">
        <v>401</v>
      </c>
      <c r="E177" s="489"/>
      <c r="F177" s="284" t="s">
        <v>400</v>
      </c>
      <c r="G177" s="34" t="s">
        <v>53</v>
      </c>
      <c r="H177" s="48"/>
      <c r="I177" s="47"/>
      <c r="J177" s="33"/>
      <c r="K177" s="32"/>
      <c r="L177" s="33"/>
      <c r="M177" s="32"/>
      <c r="N177" s="33"/>
      <c r="O177" s="32"/>
      <c r="P177" s="33"/>
      <c r="Q177" s="32"/>
      <c r="R177" s="33"/>
      <c r="S177" s="32"/>
      <c r="T177" s="31"/>
      <c r="U177" s="30"/>
      <c r="V177" s="15">
        <v>27</v>
      </c>
      <c r="W177" s="283">
        <f t="shared" si="28"/>
        <v>27</v>
      </c>
      <c r="X177" s="414">
        <f t="shared" si="26"/>
        <v>27</v>
      </c>
    </row>
    <row r="178" spans="2:24" ht="20.100000000000001" customHeight="1" x14ac:dyDescent="0.2">
      <c r="B178" s="654"/>
      <c r="C178" s="587" t="s">
        <v>399</v>
      </c>
      <c r="D178" s="578" t="s">
        <v>401</v>
      </c>
      <c r="E178" s="588" t="s">
        <v>398</v>
      </c>
      <c r="F178" s="589" t="s">
        <v>396</v>
      </c>
      <c r="G178" s="59" t="s">
        <v>748</v>
      </c>
      <c r="H178" s="582" t="s">
        <v>742</v>
      </c>
      <c r="I178" s="584" t="s">
        <v>29</v>
      </c>
      <c r="J178" s="281"/>
      <c r="K178" s="280"/>
      <c r="L178" s="281"/>
      <c r="M178" s="280"/>
      <c r="N178" s="281"/>
      <c r="O178" s="280"/>
      <c r="P178" s="281"/>
      <c r="Q178" s="280"/>
      <c r="R178" s="281"/>
      <c r="S178" s="280"/>
      <c r="T178" s="141">
        <f>(5+0.91*12+8+4+18)/0.85</f>
        <v>54.023529411764706</v>
      </c>
      <c r="U178" s="472">
        <f>1/T178*60*8</f>
        <v>8.8850174216027877</v>
      </c>
      <c r="V178" s="307">
        <v>15</v>
      </c>
      <c r="W178" s="154">
        <f t="shared" si="28"/>
        <v>11.942508710801395</v>
      </c>
      <c r="X178" s="414">
        <f t="shared" si="26"/>
        <v>6.1149825783972123</v>
      </c>
    </row>
    <row r="179" spans="2:24" ht="20.100000000000001" customHeight="1" x14ac:dyDescent="0.2">
      <c r="B179" s="654"/>
      <c r="C179" s="587"/>
      <c r="D179" s="579"/>
      <c r="E179" s="588"/>
      <c r="F179" s="581"/>
      <c r="G179" s="59" t="s">
        <v>638</v>
      </c>
      <c r="H179" s="583"/>
      <c r="I179" s="586"/>
      <c r="J179" s="25"/>
      <c r="K179" s="24"/>
      <c r="L179" s="25"/>
      <c r="M179" s="24"/>
      <c r="N179" s="25"/>
      <c r="O179" s="24"/>
      <c r="P179" s="25"/>
      <c r="Q179" s="24"/>
      <c r="R179" s="25"/>
      <c r="S179" s="24"/>
      <c r="T179" s="23"/>
      <c r="U179" s="472">
        <f>U178*12</f>
        <v>106.62020905923345</v>
      </c>
      <c r="V179" s="15"/>
      <c r="W179" s="154"/>
      <c r="X179" s="414"/>
    </row>
    <row r="180" spans="2:24" ht="20.100000000000001" customHeight="1" x14ac:dyDescent="0.2">
      <c r="B180" s="654"/>
      <c r="C180" s="587"/>
      <c r="D180" s="578" t="s">
        <v>746</v>
      </c>
      <c r="E180" s="588"/>
      <c r="F180" s="580" t="s">
        <v>396</v>
      </c>
      <c r="G180" s="59" t="s">
        <v>748</v>
      </c>
      <c r="H180" s="582" t="s">
        <v>742</v>
      </c>
      <c r="I180" s="584" t="s">
        <v>29</v>
      </c>
      <c r="J180" s="470"/>
      <c r="K180" s="471"/>
      <c r="L180" s="470"/>
      <c r="M180" s="471"/>
      <c r="N180" s="470"/>
      <c r="O180" s="471"/>
      <c r="P180" s="470"/>
      <c r="Q180" s="471"/>
      <c r="R180" s="470"/>
      <c r="S180" s="471"/>
      <c r="T180" s="23">
        <f>(5+1.18*12+8+4+18)/0.85</f>
        <v>57.835294117647059</v>
      </c>
      <c r="U180" s="22">
        <f t="shared" ref="U180:U186" si="29">1/T180*60*8</f>
        <v>8.2994304312449145</v>
      </c>
      <c r="V180" s="15"/>
      <c r="W180" s="464"/>
      <c r="X180" s="414"/>
    </row>
    <row r="181" spans="2:24" ht="20.100000000000001" customHeight="1" x14ac:dyDescent="0.2">
      <c r="B181" s="654"/>
      <c r="C181" s="587"/>
      <c r="D181" s="579"/>
      <c r="E181" s="588"/>
      <c r="F181" s="581"/>
      <c r="G181" s="59" t="s">
        <v>638</v>
      </c>
      <c r="H181" s="583"/>
      <c r="I181" s="577"/>
      <c r="J181" s="470"/>
      <c r="K181" s="471"/>
      <c r="L181" s="470"/>
      <c r="M181" s="471"/>
      <c r="N181" s="470"/>
      <c r="O181" s="471"/>
      <c r="P181" s="470"/>
      <c r="Q181" s="471"/>
      <c r="R181" s="470"/>
      <c r="S181" s="471"/>
      <c r="T181" s="504"/>
      <c r="U181" s="472">
        <f>U180*12</f>
        <v>99.593165174938974</v>
      </c>
      <c r="V181" s="15"/>
      <c r="W181" s="14"/>
      <c r="X181" s="414"/>
    </row>
    <row r="182" spans="2:24" ht="20.100000000000001" customHeight="1" x14ac:dyDescent="0.2">
      <c r="B182" s="654"/>
      <c r="C182" s="587"/>
      <c r="D182" s="578" t="s">
        <v>395</v>
      </c>
      <c r="E182" s="588"/>
      <c r="F182" s="589" t="s">
        <v>396</v>
      </c>
      <c r="G182" s="59" t="s">
        <v>748</v>
      </c>
      <c r="H182" s="582" t="s">
        <v>743</v>
      </c>
      <c r="I182" s="575" t="s">
        <v>29</v>
      </c>
      <c r="J182" s="25"/>
      <c r="K182" s="24"/>
      <c r="L182" s="25"/>
      <c r="M182" s="24"/>
      <c r="N182" s="25"/>
      <c r="O182" s="24"/>
      <c r="P182" s="25"/>
      <c r="Q182" s="24"/>
      <c r="R182" s="25"/>
      <c r="S182" s="24"/>
      <c r="T182" s="504">
        <f>(5+4.61*12+8+4+18)/0.85</f>
        <v>106.25882352941177</v>
      </c>
      <c r="U182" s="22">
        <f t="shared" si="29"/>
        <v>4.517271922054916</v>
      </c>
      <c r="V182" s="15"/>
      <c r="W182" s="14">
        <f t="shared" si="28"/>
        <v>4.517271922054916</v>
      </c>
      <c r="X182" s="414"/>
    </row>
    <row r="183" spans="2:24" ht="20.100000000000001" customHeight="1" x14ac:dyDescent="0.2">
      <c r="B183" s="654"/>
      <c r="C183" s="587"/>
      <c r="D183" s="579"/>
      <c r="E183" s="588"/>
      <c r="F183" s="581"/>
      <c r="G183" s="59" t="s">
        <v>638</v>
      </c>
      <c r="H183" s="583"/>
      <c r="I183" s="577"/>
      <c r="J183" s="277"/>
      <c r="K183" s="273"/>
      <c r="L183" s="277"/>
      <c r="M183" s="273"/>
      <c r="N183" s="277"/>
      <c r="O183" s="273"/>
      <c r="P183" s="277"/>
      <c r="Q183" s="273"/>
      <c r="R183" s="277"/>
      <c r="S183" s="273"/>
      <c r="T183" s="504"/>
      <c r="U183" s="472">
        <f>U182*12</f>
        <v>54.207263064658989</v>
      </c>
      <c r="V183" s="276"/>
      <c r="W183" s="275"/>
      <c r="X183" s="414"/>
    </row>
    <row r="184" spans="2:24" ht="20.100000000000001" customHeight="1" x14ac:dyDescent="0.2">
      <c r="B184" s="654"/>
      <c r="C184" s="587"/>
      <c r="D184" s="578" t="s">
        <v>394</v>
      </c>
      <c r="E184" s="588"/>
      <c r="F184" s="589" t="s">
        <v>392</v>
      </c>
      <c r="G184" s="59" t="s">
        <v>748</v>
      </c>
      <c r="H184" s="582" t="s">
        <v>744</v>
      </c>
      <c r="I184" s="575" t="s">
        <v>29</v>
      </c>
      <c r="J184" s="277"/>
      <c r="K184" s="273"/>
      <c r="L184" s="277"/>
      <c r="M184" s="273"/>
      <c r="N184" s="277"/>
      <c r="O184" s="273"/>
      <c r="P184" s="277"/>
      <c r="Q184" s="273"/>
      <c r="R184" s="277"/>
      <c r="S184" s="273"/>
      <c r="T184" s="23">
        <f>(5+10.48*12+8+4+18)/0.85</f>
        <v>189.12941176470588</v>
      </c>
      <c r="U184" s="22">
        <f t="shared" si="29"/>
        <v>2.537944762378701</v>
      </c>
      <c r="V184" s="276"/>
      <c r="W184" s="275">
        <f t="shared" si="28"/>
        <v>2.537944762378701</v>
      </c>
      <c r="X184" s="414"/>
    </row>
    <row r="185" spans="2:24" ht="20.100000000000001" customHeight="1" x14ac:dyDescent="0.2">
      <c r="B185" s="654"/>
      <c r="C185" s="587"/>
      <c r="D185" s="579"/>
      <c r="E185" s="588"/>
      <c r="F185" s="581"/>
      <c r="G185" s="59" t="s">
        <v>638</v>
      </c>
      <c r="H185" s="583"/>
      <c r="I185" s="577"/>
      <c r="J185" s="277"/>
      <c r="K185" s="273"/>
      <c r="L185" s="277"/>
      <c r="M185" s="273"/>
      <c r="N185" s="277"/>
      <c r="O185" s="273"/>
      <c r="P185" s="277"/>
      <c r="Q185" s="273"/>
      <c r="R185" s="277"/>
      <c r="S185" s="273"/>
      <c r="T185" s="23"/>
      <c r="U185" s="472">
        <f>U184*12</f>
        <v>30.455337148544412</v>
      </c>
      <c r="V185" s="276"/>
      <c r="W185" s="275"/>
      <c r="X185" s="414"/>
    </row>
    <row r="186" spans="2:24" ht="20.100000000000001" customHeight="1" x14ac:dyDescent="0.2">
      <c r="B186" s="654"/>
      <c r="C186" s="587"/>
      <c r="D186" s="578" t="s">
        <v>393</v>
      </c>
      <c r="E186" s="588"/>
      <c r="F186" s="589" t="s">
        <v>392</v>
      </c>
      <c r="G186" s="59" t="s">
        <v>748</v>
      </c>
      <c r="H186" s="582" t="s">
        <v>744</v>
      </c>
      <c r="I186" s="575" t="s">
        <v>29</v>
      </c>
      <c r="J186" s="25"/>
      <c r="K186" s="24"/>
      <c r="L186" s="25"/>
      <c r="M186" s="24"/>
      <c r="N186" s="25"/>
      <c r="O186" s="24"/>
      <c r="P186" s="25"/>
      <c r="Q186" s="24"/>
      <c r="R186" s="25"/>
      <c r="S186" s="273"/>
      <c r="T186" s="23">
        <f>(5+14.61*12+8+4+18)/0.85</f>
        <v>247.43529411764706</v>
      </c>
      <c r="U186" s="22">
        <f t="shared" si="29"/>
        <v>1.9399011030810196</v>
      </c>
      <c r="V186" s="15"/>
      <c r="W186" s="14">
        <f t="shared" si="28"/>
        <v>1.9399011030810196</v>
      </c>
      <c r="X186" s="414"/>
    </row>
    <row r="187" spans="2:24" ht="20.100000000000001" customHeight="1" x14ac:dyDescent="0.2">
      <c r="B187" s="654"/>
      <c r="C187" s="587"/>
      <c r="D187" s="579"/>
      <c r="E187" s="588"/>
      <c r="F187" s="581"/>
      <c r="G187" s="59" t="s">
        <v>638</v>
      </c>
      <c r="H187" s="583"/>
      <c r="I187" s="577"/>
      <c r="J187" s="25"/>
      <c r="K187" s="24"/>
      <c r="L187" s="25"/>
      <c r="M187" s="24"/>
      <c r="N187" s="25"/>
      <c r="O187" s="24"/>
      <c r="P187" s="25"/>
      <c r="Q187" s="24"/>
      <c r="R187" s="25"/>
      <c r="S187" s="273"/>
      <c r="T187" s="23"/>
      <c r="U187" s="472">
        <f>U186*12</f>
        <v>23.278813236972233</v>
      </c>
      <c r="V187" s="15"/>
      <c r="W187" s="14"/>
      <c r="X187" s="414"/>
    </row>
    <row r="188" spans="2:24" ht="20.100000000000001" customHeight="1" x14ac:dyDescent="0.2">
      <c r="B188" s="654"/>
      <c r="C188" s="587"/>
      <c r="D188" s="578" t="s">
        <v>397</v>
      </c>
      <c r="E188" s="588"/>
      <c r="F188" s="589" t="s">
        <v>392</v>
      </c>
      <c r="G188" s="59" t="s">
        <v>748</v>
      </c>
      <c r="H188" s="582" t="s">
        <v>743</v>
      </c>
      <c r="I188" s="575" t="s">
        <v>29</v>
      </c>
      <c r="J188" s="25"/>
      <c r="K188" s="24"/>
      <c r="L188" s="25"/>
      <c r="M188" s="24"/>
      <c r="N188" s="25"/>
      <c r="O188" s="24"/>
      <c r="P188" s="25"/>
      <c r="Q188" s="24"/>
      <c r="R188" s="25"/>
      <c r="S188" s="273"/>
      <c r="T188" s="23">
        <f>(5+4.01*12+8+4+18)/0.85</f>
        <v>97.788235294117655</v>
      </c>
      <c r="U188" s="476">
        <f t="shared" ref="U188" si="30">1/T188*60*8</f>
        <v>4.9085659287776702</v>
      </c>
      <c r="V188" s="15"/>
      <c r="W188" s="14">
        <f t="shared" ref="W188" si="31">AVERAGE(U188,V188)</f>
        <v>4.9085659287776702</v>
      </c>
      <c r="X188" s="414"/>
    </row>
    <row r="189" spans="2:24" ht="20.100000000000001" customHeight="1" x14ac:dyDescent="0.2">
      <c r="B189" s="654"/>
      <c r="C189" s="659"/>
      <c r="D189" s="579"/>
      <c r="E189" s="634"/>
      <c r="F189" s="581"/>
      <c r="G189" s="59" t="s">
        <v>638</v>
      </c>
      <c r="H189" s="583"/>
      <c r="I189" s="577"/>
      <c r="J189" s="25"/>
      <c r="K189" s="24"/>
      <c r="L189" s="25"/>
      <c r="M189" s="24"/>
      <c r="N189" s="25"/>
      <c r="O189" s="24"/>
      <c r="P189" s="25"/>
      <c r="Q189" s="24"/>
      <c r="R189" s="25"/>
      <c r="S189" s="273"/>
      <c r="T189" s="23"/>
      <c r="U189" s="472">
        <f>U188*12</f>
        <v>58.902791145332046</v>
      </c>
      <c r="V189" s="15"/>
      <c r="W189" s="14"/>
      <c r="X189" s="414"/>
    </row>
    <row r="190" spans="2:24" ht="20.100000000000001" customHeight="1" x14ac:dyDescent="0.2">
      <c r="B190" s="654"/>
      <c r="C190" s="587" t="s">
        <v>750</v>
      </c>
      <c r="D190" s="578" t="s">
        <v>401</v>
      </c>
      <c r="E190" s="588" t="s">
        <v>747</v>
      </c>
      <c r="F190" s="589" t="s">
        <v>811</v>
      </c>
      <c r="G190" s="59" t="s">
        <v>748</v>
      </c>
      <c r="H190" s="582" t="s">
        <v>807</v>
      </c>
      <c r="I190" s="584" t="s">
        <v>29</v>
      </c>
      <c r="J190" s="281"/>
      <c r="K190" s="280"/>
      <c r="L190" s="281"/>
      <c r="M190" s="280"/>
      <c r="N190" s="281"/>
      <c r="O190" s="280"/>
      <c r="P190" s="281"/>
      <c r="Q190" s="280"/>
      <c r="R190" s="281"/>
      <c r="S190" s="280"/>
      <c r="T190" s="141">
        <f>(2+0.21*20)/0.85</f>
        <v>7.2941176470588243</v>
      </c>
      <c r="U190" s="472">
        <f>1/T190*8</f>
        <v>1.096774193548387</v>
      </c>
      <c r="V190" s="307"/>
      <c r="W190" s="464">
        <f t="shared" ref="W190" si="32">AVERAGE(U190,V190)</f>
        <v>1.096774193548387</v>
      </c>
      <c r="X190" s="414">
        <f t="shared" ref="X190" si="33">V190-U190</f>
        <v>-1.096774193548387</v>
      </c>
    </row>
    <row r="191" spans="2:24" ht="20.100000000000001" customHeight="1" x14ac:dyDescent="0.2">
      <c r="B191" s="654"/>
      <c r="C191" s="587"/>
      <c r="D191" s="579"/>
      <c r="E191" s="588"/>
      <c r="F191" s="581"/>
      <c r="G191" s="59" t="s">
        <v>638</v>
      </c>
      <c r="H191" s="583"/>
      <c r="I191" s="586"/>
      <c r="J191" s="25"/>
      <c r="K191" s="24"/>
      <c r="L191" s="25"/>
      <c r="M191" s="24"/>
      <c r="N191" s="25"/>
      <c r="O191" s="24"/>
      <c r="P191" s="25"/>
      <c r="Q191" s="24"/>
      <c r="R191" s="25"/>
      <c r="S191" s="24"/>
      <c r="T191" s="23"/>
      <c r="U191" s="472">
        <f>U190*20</f>
        <v>21.93548387096774</v>
      </c>
      <c r="V191" s="15"/>
      <c r="W191" s="154"/>
      <c r="X191" s="414"/>
    </row>
    <row r="192" spans="2:24" ht="20.100000000000001" customHeight="1" x14ac:dyDescent="0.2">
      <c r="B192" s="654"/>
      <c r="C192" s="587"/>
      <c r="D192" s="578" t="s">
        <v>746</v>
      </c>
      <c r="E192" s="588"/>
      <c r="F192" s="580" t="s">
        <v>811</v>
      </c>
      <c r="G192" s="59" t="s">
        <v>748</v>
      </c>
      <c r="H192" s="582" t="s">
        <v>807</v>
      </c>
      <c r="I192" s="584" t="s">
        <v>29</v>
      </c>
      <c r="J192" s="470"/>
      <c r="K192" s="471"/>
      <c r="L192" s="470"/>
      <c r="M192" s="471"/>
      <c r="N192" s="470"/>
      <c r="O192" s="471"/>
      <c r="P192" s="470"/>
      <c r="Q192" s="471"/>
      <c r="R192" s="470"/>
      <c r="S192" s="471"/>
      <c r="T192" s="23">
        <f>(2+0.3*20)/0.8</f>
        <v>10</v>
      </c>
      <c r="U192" s="472">
        <f>1/T192*8</f>
        <v>0.8</v>
      </c>
      <c r="V192" s="15"/>
      <c r="W192" s="464"/>
      <c r="X192" s="414"/>
    </row>
    <row r="193" spans="2:24" ht="20.100000000000001" customHeight="1" x14ac:dyDescent="0.2">
      <c r="B193" s="654"/>
      <c r="C193" s="587"/>
      <c r="D193" s="579"/>
      <c r="E193" s="588"/>
      <c r="F193" s="581"/>
      <c r="G193" s="59" t="s">
        <v>638</v>
      </c>
      <c r="H193" s="583"/>
      <c r="I193" s="577"/>
      <c r="J193" s="470"/>
      <c r="K193" s="471"/>
      <c r="L193" s="470"/>
      <c r="M193" s="471"/>
      <c r="N193" s="470"/>
      <c r="O193" s="471"/>
      <c r="P193" s="470"/>
      <c r="Q193" s="471"/>
      <c r="R193" s="470"/>
      <c r="S193" s="471"/>
      <c r="T193" s="504"/>
      <c r="U193" s="472">
        <f>U192*12</f>
        <v>9.6000000000000014</v>
      </c>
      <c r="V193" s="15"/>
      <c r="W193" s="14"/>
      <c r="X193" s="414"/>
    </row>
    <row r="194" spans="2:24" ht="20.100000000000001" customHeight="1" x14ac:dyDescent="0.2">
      <c r="B194" s="654"/>
      <c r="C194" s="587"/>
      <c r="D194" s="578" t="s">
        <v>749</v>
      </c>
      <c r="E194" s="588"/>
      <c r="F194" s="580" t="s">
        <v>811</v>
      </c>
      <c r="G194" s="59" t="s">
        <v>748</v>
      </c>
      <c r="H194" s="582" t="s">
        <v>807</v>
      </c>
      <c r="I194" s="584" t="s">
        <v>29</v>
      </c>
      <c r="J194" s="470"/>
      <c r="K194" s="471"/>
      <c r="L194" s="470"/>
      <c r="M194" s="471"/>
      <c r="N194" s="470"/>
      <c r="O194" s="471"/>
      <c r="P194" s="470"/>
      <c r="Q194" s="471"/>
      <c r="R194" s="470"/>
      <c r="S194" s="471"/>
      <c r="T194" s="23">
        <f>(2+0.59*20)/0.8</f>
        <v>17.249999999999996</v>
      </c>
      <c r="U194" s="472">
        <f>1/T194*8</f>
        <v>0.4637681159420291</v>
      </c>
      <c r="V194" s="15"/>
      <c r="W194" s="464"/>
      <c r="X194" s="414"/>
    </row>
    <row r="195" spans="2:24" ht="20.100000000000001" customHeight="1" x14ac:dyDescent="0.2">
      <c r="B195" s="654"/>
      <c r="C195" s="587"/>
      <c r="D195" s="579"/>
      <c r="E195" s="588"/>
      <c r="F195" s="581"/>
      <c r="G195" s="59" t="s">
        <v>638</v>
      </c>
      <c r="H195" s="583"/>
      <c r="I195" s="577"/>
      <c r="J195" s="470"/>
      <c r="K195" s="471"/>
      <c r="L195" s="470"/>
      <c r="M195" s="471"/>
      <c r="N195" s="470"/>
      <c r="O195" s="471"/>
      <c r="P195" s="470"/>
      <c r="Q195" s="471"/>
      <c r="R195" s="470"/>
      <c r="S195" s="471"/>
      <c r="T195" s="504"/>
      <c r="U195" s="472">
        <f>U194*12</f>
        <v>5.5652173913043494</v>
      </c>
      <c r="V195" s="15"/>
      <c r="W195" s="14"/>
      <c r="X195" s="414"/>
    </row>
    <row r="196" spans="2:24" ht="20.100000000000001" customHeight="1" x14ac:dyDescent="0.2">
      <c r="B196" s="654"/>
      <c r="C196" s="587"/>
      <c r="D196" s="578" t="s">
        <v>395</v>
      </c>
      <c r="E196" s="588"/>
      <c r="F196" s="585" t="s">
        <v>812</v>
      </c>
      <c r="G196" s="59" t="s">
        <v>748</v>
      </c>
      <c r="H196" s="582" t="s">
        <v>805</v>
      </c>
      <c r="I196" s="575" t="s">
        <v>29</v>
      </c>
      <c r="J196" s="25"/>
      <c r="K196" s="24"/>
      <c r="L196" s="25"/>
      <c r="M196" s="24"/>
      <c r="N196" s="25"/>
      <c r="O196" s="24"/>
      <c r="P196" s="25"/>
      <c r="Q196" s="24"/>
      <c r="R196" s="25"/>
      <c r="S196" s="24"/>
      <c r="T196" s="23">
        <f>(2+1.04*20)/0.8</f>
        <v>28.5</v>
      </c>
      <c r="U196" s="472">
        <f>1/T196*8</f>
        <v>0.2807017543859649</v>
      </c>
      <c r="V196" s="15"/>
      <c r="W196" s="14">
        <f t="shared" ref="W196" si="34">AVERAGE(U196,V196)</f>
        <v>0.2807017543859649</v>
      </c>
      <c r="X196" s="414"/>
    </row>
    <row r="197" spans="2:24" ht="20.100000000000001" customHeight="1" x14ac:dyDescent="0.2">
      <c r="B197" s="654"/>
      <c r="C197" s="587"/>
      <c r="D197" s="590"/>
      <c r="E197" s="588"/>
      <c r="F197" s="585"/>
      <c r="G197" s="59" t="s">
        <v>638</v>
      </c>
      <c r="H197" s="583"/>
      <c r="I197" s="576"/>
      <c r="J197" s="277"/>
      <c r="K197" s="273"/>
      <c r="L197" s="277"/>
      <c r="M197" s="273"/>
      <c r="N197" s="277"/>
      <c r="O197" s="273"/>
      <c r="P197" s="277"/>
      <c r="Q197" s="273"/>
      <c r="R197" s="277"/>
      <c r="S197" s="273"/>
      <c r="T197" s="504"/>
      <c r="U197" s="472">
        <f>U196*12</f>
        <v>3.3684210526315788</v>
      </c>
      <c r="V197" s="276"/>
      <c r="W197" s="275"/>
      <c r="X197" s="414"/>
    </row>
    <row r="198" spans="2:24" ht="20.100000000000001" customHeight="1" x14ac:dyDescent="0.2">
      <c r="B198" s="654"/>
      <c r="C198" s="587"/>
      <c r="D198" s="590"/>
      <c r="E198" s="588"/>
      <c r="F198" s="585" t="s">
        <v>813</v>
      </c>
      <c r="G198" s="59" t="s">
        <v>748</v>
      </c>
      <c r="H198" s="582" t="s">
        <v>809</v>
      </c>
      <c r="I198" s="576"/>
      <c r="J198" s="277"/>
      <c r="K198" s="273"/>
      <c r="L198" s="277"/>
      <c r="M198" s="273"/>
      <c r="N198" s="277"/>
      <c r="O198" s="273"/>
      <c r="P198" s="277"/>
      <c r="Q198" s="273"/>
      <c r="R198" s="277"/>
      <c r="S198" s="273"/>
      <c r="T198" s="23">
        <f>(2+0.64*20)/0.8</f>
        <v>18.5</v>
      </c>
      <c r="U198" s="472">
        <f>1/T198*8</f>
        <v>0.43243243243243246</v>
      </c>
      <c r="V198" s="276"/>
      <c r="W198" s="275"/>
      <c r="X198" s="414"/>
    </row>
    <row r="199" spans="2:24" ht="20.100000000000001" customHeight="1" x14ac:dyDescent="0.2">
      <c r="B199" s="654"/>
      <c r="C199" s="587"/>
      <c r="D199" s="579"/>
      <c r="E199" s="588"/>
      <c r="F199" s="585"/>
      <c r="G199" s="59" t="s">
        <v>638</v>
      </c>
      <c r="H199" s="583"/>
      <c r="I199" s="577"/>
      <c r="J199" s="277"/>
      <c r="K199" s="273"/>
      <c r="L199" s="277"/>
      <c r="M199" s="273"/>
      <c r="N199" s="277"/>
      <c r="O199" s="273"/>
      <c r="P199" s="277"/>
      <c r="Q199" s="273"/>
      <c r="R199" s="277"/>
      <c r="S199" s="273"/>
      <c r="T199" s="504"/>
      <c r="U199" s="472">
        <f>U198*12</f>
        <v>5.1891891891891895</v>
      </c>
      <c r="V199" s="276"/>
      <c r="W199" s="275"/>
      <c r="X199" s="414"/>
    </row>
    <row r="200" spans="2:24" ht="20.100000000000001" customHeight="1" x14ac:dyDescent="0.2">
      <c r="B200" s="654"/>
      <c r="C200" s="587"/>
      <c r="D200" s="578" t="s">
        <v>394</v>
      </c>
      <c r="E200" s="588"/>
      <c r="F200" s="585" t="s">
        <v>812</v>
      </c>
      <c r="G200" s="59" t="s">
        <v>748</v>
      </c>
      <c r="H200" s="582" t="s">
        <v>805</v>
      </c>
      <c r="I200" s="575" t="s">
        <v>29</v>
      </c>
      <c r="J200" s="277"/>
      <c r="K200" s="273"/>
      <c r="L200" s="277"/>
      <c r="M200" s="273"/>
      <c r="N200" s="277"/>
      <c r="O200" s="273"/>
      <c r="P200" s="277"/>
      <c r="Q200" s="273"/>
      <c r="R200" s="277"/>
      <c r="S200" s="273"/>
      <c r="T200" s="23">
        <f>(2+1.42*20)/0.8</f>
        <v>37.999999999999993</v>
      </c>
      <c r="U200" s="472">
        <f>1/T200*8</f>
        <v>0.21052631578947373</v>
      </c>
      <c r="V200" s="276"/>
      <c r="W200" s="275">
        <f t="shared" ref="W200" si="35">AVERAGE(U200,V200)</f>
        <v>0.21052631578947373</v>
      </c>
      <c r="X200" s="414"/>
    </row>
    <row r="201" spans="2:24" ht="20.100000000000001" customHeight="1" x14ac:dyDescent="0.2">
      <c r="B201" s="654"/>
      <c r="C201" s="587"/>
      <c r="D201" s="590"/>
      <c r="E201" s="588"/>
      <c r="F201" s="585"/>
      <c r="G201" s="59" t="s">
        <v>638</v>
      </c>
      <c r="H201" s="583"/>
      <c r="I201" s="576"/>
      <c r="J201" s="277"/>
      <c r="K201" s="273"/>
      <c r="L201" s="277"/>
      <c r="M201" s="273"/>
      <c r="N201" s="277"/>
      <c r="O201" s="273"/>
      <c r="P201" s="277"/>
      <c r="Q201" s="273"/>
      <c r="R201" s="277"/>
      <c r="S201" s="273"/>
      <c r="T201" s="504"/>
      <c r="U201" s="472">
        <f>U200*12</f>
        <v>2.526315789473685</v>
      </c>
      <c r="V201" s="276"/>
      <c r="W201" s="275"/>
      <c r="X201" s="414"/>
    </row>
    <row r="202" spans="2:24" ht="20.100000000000001" customHeight="1" x14ac:dyDescent="0.2">
      <c r="B202" s="654"/>
      <c r="C202" s="587"/>
      <c r="D202" s="590"/>
      <c r="E202" s="588"/>
      <c r="F202" s="585" t="s">
        <v>813</v>
      </c>
      <c r="G202" s="59" t="s">
        <v>748</v>
      </c>
      <c r="H202" s="582" t="s">
        <v>809</v>
      </c>
      <c r="I202" s="576"/>
      <c r="J202" s="277"/>
      <c r="K202" s="273"/>
      <c r="L202" s="277"/>
      <c r="M202" s="273"/>
      <c r="N202" s="277"/>
      <c r="O202" s="273"/>
      <c r="P202" s="277"/>
      <c r="Q202" s="273"/>
      <c r="R202" s="277"/>
      <c r="S202" s="273"/>
      <c r="T202" s="23">
        <f>(2+1.18*20)/0.8</f>
        <v>31.999999999999996</v>
      </c>
      <c r="U202" s="472">
        <f>1/T202*8</f>
        <v>0.25</v>
      </c>
      <c r="V202" s="276"/>
      <c r="W202" s="275"/>
      <c r="X202" s="414"/>
    </row>
    <row r="203" spans="2:24" ht="20.100000000000001" customHeight="1" x14ac:dyDescent="0.2">
      <c r="B203" s="654"/>
      <c r="C203" s="587"/>
      <c r="D203" s="579"/>
      <c r="E203" s="588"/>
      <c r="F203" s="585"/>
      <c r="G203" s="59" t="s">
        <v>638</v>
      </c>
      <c r="H203" s="583"/>
      <c r="I203" s="577"/>
      <c r="J203" s="277"/>
      <c r="K203" s="273"/>
      <c r="L203" s="277"/>
      <c r="M203" s="273"/>
      <c r="N203" s="277"/>
      <c r="O203" s="273"/>
      <c r="P203" s="277"/>
      <c r="Q203" s="273"/>
      <c r="R203" s="277"/>
      <c r="S203" s="273"/>
      <c r="T203" s="504"/>
      <c r="U203" s="472">
        <f>U202*12</f>
        <v>3</v>
      </c>
      <c r="V203" s="276"/>
      <c r="W203" s="275"/>
      <c r="X203" s="414"/>
    </row>
    <row r="204" spans="2:24" ht="20.100000000000001" customHeight="1" x14ac:dyDescent="0.2">
      <c r="B204" s="654"/>
      <c r="C204" s="587"/>
      <c r="D204" s="578" t="s">
        <v>393</v>
      </c>
      <c r="E204" s="588"/>
      <c r="F204" s="585" t="s">
        <v>812</v>
      </c>
      <c r="G204" s="59" t="s">
        <v>748</v>
      </c>
      <c r="H204" s="582" t="s">
        <v>805</v>
      </c>
      <c r="I204" s="575" t="s">
        <v>29</v>
      </c>
      <c r="J204" s="25"/>
      <c r="K204" s="24"/>
      <c r="L204" s="25"/>
      <c r="M204" s="24"/>
      <c r="N204" s="25"/>
      <c r="O204" s="24"/>
      <c r="P204" s="25"/>
      <c r="Q204" s="24"/>
      <c r="R204" s="25"/>
      <c r="S204" s="273"/>
      <c r="T204" s="23">
        <f>(2+2.48*20)/0.8</f>
        <v>64.5</v>
      </c>
      <c r="U204" s="472">
        <f>1/T204*8</f>
        <v>0.12403100775193798</v>
      </c>
      <c r="V204" s="15"/>
      <c r="W204" s="14">
        <f t="shared" ref="W204" si="36">AVERAGE(U204,V204)</f>
        <v>0.12403100775193798</v>
      </c>
      <c r="X204" s="414"/>
    </row>
    <row r="205" spans="2:24" ht="20.100000000000001" customHeight="1" x14ac:dyDescent="0.2">
      <c r="B205" s="654"/>
      <c r="C205" s="587"/>
      <c r="D205" s="590"/>
      <c r="E205" s="588"/>
      <c r="F205" s="585"/>
      <c r="G205" s="59" t="s">
        <v>638</v>
      </c>
      <c r="H205" s="583"/>
      <c r="I205" s="576"/>
      <c r="J205" s="25"/>
      <c r="K205" s="24"/>
      <c r="L205" s="25"/>
      <c r="M205" s="24"/>
      <c r="N205" s="25"/>
      <c r="O205" s="24"/>
      <c r="P205" s="25"/>
      <c r="Q205" s="24"/>
      <c r="R205" s="25"/>
      <c r="S205" s="273"/>
      <c r="T205" s="504"/>
      <c r="U205" s="472">
        <f>U204*12</f>
        <v>1.4883720930232558</v>
      </c>
      <c r="V205" s="15"/>
      <c r="W205" s="14"/>
      <c r="X205" s="414"/>
    </row>
    <row r="206" spans="2:24" ht="20.100000000000001" customHeight="1" x14ac:dyDescent="0.2">
      <c r="B206" s="654"/>
      <c r="C206" s="587"/>
      <c r="D206" s="590"/>
      <c r="E206" s="588"/>
      <c r="F206" s="585" t="s">
        <v>813</v>
      </c>
      <c r="G206" s="59" t="s">
        <v>748</v>
      </c>
      <c r="H206" s="582" t="s">
        <v>809</v>
      </c>
      <c r="I206" s="576"/>
      <c r="J206" s="25"/>
      <c r="K206" s="24"/>
      <c r="L206" s="25"/>
      <c r="M206" s="24"/>
      <c r="N206" s="25"/>
      <c r="O206" s="24"/>
      <c r="P206" s="25"/>
      <c r="Q206" s="24"/>
      <c r="R206" s="25"/>
      <c r="S206" s="273"/>
      <c r="T206" s="23">
        <f>(2+1.88*20)/0.8</f>
        <v>49.499999999999993</v>
      </c>
      <c r="U206" s="22">
        <f>1/T206*8</f>
        <v>0.16161616161616163</v>
      </c>
      <c r="V206" s="15"/>
      <c r="W206" s="14"/>
      <c r="X206" s="414"/>
    </row>
    <row r="207" spans="2:24" ht="20.100000000000001" customHeight="1" x14ac:dyDescent="0.2">
      <c r="B207" s="654"/>
      <c r="C207" s="587"/>
      <c r="D207" s="579"/>
      <c r="E207" s="588"/>
      <c r="F207" s="585"/>
      <c r="G207" s="59" t="s">
        <v>638</v>
      </c>
      <c r="H207" s="583"/>
      <c r="I207" s="577"/>
      <c r="J207" s="25"/>
      <c r="K207" s="24"/>
      <c r="L207" s="25"/>
      <c r="M207" s="24"/>
      <c r="N207" s="25"/>
      <c r="O207" s="24"/>
      <c r="P207" s="25"/>
      <c r="Q207" s="24"/>
      <c r="R207" s="25"/>
      <c r="S207" s="273"/>
      <c r="T207" s="504"/>
      <c r="U207" s="205">
        <f>U206*12</f>
        <v>1.9393939393939394</v>
      </c>
      <c r="V207" s="15"/>
      <c r="W207" s="14"/>
      <c r="X207" s="414"/>
    </row>
    <row r="208" spans="2:24" ht="20.100000000000001" customHeight="1" x14ac:dyDescent="0.2">
      <c r="B208" s="654"/>
      <c r="C208" s="694" t="s">
        <v>391</v>
      </c>
      <c r="D208" s="272" t="s">
        <v>390</v>
      </c>
      <c r="E208" s="478" t="s">
        <v>389</v>
      </c>
      <c r="F208" s="269" t="s">
        <v>388</v>
      </c>
      <c r="G208" s="26" t="s">
        <v>384</v>
      </c>
      <c r="H208" s="268" t="s">
        <v>709</v>
      </c>
      <c r="I208" s="267" t="s">
        <v>6</v>
      </c>
      <c r="J208" s="87">
        <v>4.7E-2</v>
      </c>
      <c r="K208" s="86">
        <v>1</v>
      </c>
      <c r="L208" s="87"/>
      <c r="M208" s="86"/>
      <c r="N208" s="271"/>
      <c r="O208" s="86"/>
      <c r="P208" s="87">
        <v>4.7E-2</v>
      </c>
      <c r="Q208" s="86">
        <v>1</v>
      </c>
      <c r="R208" s="87">
        <v>5.1999999999999998E-2</v>
      </c>
      <c r="S208" s="86">
        <v>1</v>
      </c>
      <c r="T208" s="85"/>
      <c r="U208" s="65">
        <v>30</v>
      </c>
      <c r="V208" s="266">
        <v>21</v>
      </c>
      <c r="W208" s="83">
        <f t="shared" si="28"/>
        <v>25.5</v>
      </c>
      <c r="X208" s="414">
        <f t="shared" ref="X208:X263" si="37">V208-U208</f>
        <v>-9</v>
      </c>
    </row>
    <row r="209" spans="2:24" ht="20.100000000000001" customHeight="1" x14ac:dyDescent="0.2">
      <c r="B209" s="654"/>
      <c r="C209" s="659"/>
      <c r="D209" s="270" t="s">
        <v>387</v>
      </c>
      <c r="E209" s="490" t="s">
        <v>386</v>
      </c>
      <c r="F209" s="246" t="s">
        <v>385</v>
      </c>
      <c r="G209" s="59" t="s">
        <v>384</v>
      </c>
      <c r="H209" s="194" t="s">
        <v>710</v>
      </c>
      <c r="I209" s="267" t="s">
        <v>6</v>
      </c>
      <c r="J209" s="69">
        <v>5.3999999999999999E-2</v>
      </c>
      <c r="K209" s="67">
        <v>1</v>
      </c>
      <c r="L209" s="69"/>
      <c r="M209" s="67"/>
      <c r="N209" s="69"/>
      <c r="O209" s="67"/>
      <c r="P209" s="69">
        <v>5.3999999999999999E-2</v>
      </c>
      <c r="Q209" s="67">
        <v>1</v>
      </c>
      <c r="R209" s="69">
        <v>8.8999999999999996E-2</v>
      </c>
      <c r="S209" s="67">
        <v>1</v>
      </c>
      <c r="T209" s="85"/>
      <c r="U209" s="65">
        <v>45</v>
      </c>
      <c r="V209" s="192">
        <v>18</v>
      </c>
      <c r="W209" s="63">
        <f t="shared" si="28"/>
        <v>31.5</v>
      </c>
      <c r="X209" s="414">
        <f t="shared" si="37"/>
        <v>-27</v>
      </c>
    </row>
    <row r="210" spans="2:24" ht="20.100000000000001" customHeight="1" x14ac:dyDescent="0.2">
      <c r="B210" s="654"/>
      <c r="C210" s="601" t="s">
        <v>383</v>
      </c>
      <c r="D210" s="602"/>
      <c r="E210" s="478" t="s">
        <v>382</v>
      </c>
      <c r="F210" s="269" t="s">
        <v>381</v>
      </c>
      <c r="G210" s="26" t="s">
        <v>2</v>
      </c>
      <c r="H210" s="268" t="s">
        <v>380</v>
      </c>
      <c r="I210" s="267" t="s">
        <v>6</v>
      </c>
      <c r="J210" s="87">
        <v>5.0000000000000001E-3</v>
      </c>
      <c r="K210" s="86">
        <v>1</v>
      </c>
      <c r="L210" s="87"/>
      <c r="M210" s="86"/>
      <c r="N210" s="87"/>
      <c r="O210" s="86"/>
      <c r="P210" s="87">
        <v>1E-3</v>
      </c>
      <c r="Q210" s="86">
        <v>1</v>
      </c>
      <c r="R210" s="87"/>
      <c r="S210" s="86"/>
      <c r="T210" s="85"/>
      <c r="U210" s="65">
        <f>1/(IFERROR(J210/K210,0)+IFERROR(L210/M210,0)+IFERROR(N210/O210,0)+IFERROR(P210/Q210,0))</f>
        <v>166.66666666666666</v>
      </c>
      <c r="V210" s="266"/>
      <c r="W210" s="83">
        <f t="shared" si="28"/>
        <v>166.66666666666666</v>
      </c>
      <c r="X210" s="414"/>
    </row>
    <row r="211" spans="2:24" ht="20.100000000000001" customHeight="1" x14ac:dyDescent="0.2">
      <c r="B211" s="657"/>
      <c r="C211" s="603" t="s">
        <v>379</v>
      </c>
      <c r="D211" s="604"/>
      <c r="E211" s="491" t="s">
        <v>378</v>
      </c>
      <c r="F211" s="246"/>
      <c r="G211" s="59" t="s">
        <v>21</v>
      </c>
      <c r="H211" s="194" t="s">
        <v>377</v>
      </c>
      <c r="I211" s="195"/>
      <c r="J211" s="69"/>
      <c r="K211" s="67"/>
      <c r="L211" s="69"/>
      <c r="M211" s="67"/>
      <c r="N211" s="69"/>
      <c r="O211" s="67"/>
      <c r="P211" s="69"/>
      <c r="Q211" s="67"/>
      <c r="R211" s="69"/>
      <c r="S211" s="67"/>
      <c r="T211" s="66"/>
      <c r="U211" s="65">
        <v>90</v>
      </c>
      <c r="V211" s="192"/>
      <c r="W211" s="63">
        <f t="shared" si="28"/>
        <v>90</v>
      </c>
      <c r="X211" s="414"/>
    </row>
    <row r="212" spans="2:24" ht="20.100000000000001" customHeight="1" x14ac:dyDescent="0.2">
      <c r="B212" s="244" t="s">
        <v>376</v>
      </c>
      <c r="C212" s="243"/>
      <c r="D212" s="242"/>
      <c r="E212" s="492"/>
      <c r="F212" s="241"/>
      <c r="G212" s="240"/>
      <c r="H212" s="239"/>
      <c r="I212" s="238"/>
      <c r="J212" s="237"/>
      <c r="K212" s="236"/>
      <c r="L212" s="237"/>
      <c r="M212" s="236"/>
      <c r="N212" s="237"/>
      <c r="O212" s="236"/>
      <c r="P212" s="237"/>
      <c r="Q212" s="236"/>
      <c r="R212" s="237"/>
      <c r="S212" s="236"/>
      <c r="T212" s="235"/>
      <c r="U212" s="234"/>
      <c r="V212" s="233"/>
      <c r="W212" s="232"/>
      <c r="X212" s="414"/>
    </row>
    <row r="213" spans="2:24" ht="20.100000000000001" customHeight="1" x14ac:dyDescent="0.2">
      <c r="B213" s="692" t="s">
        <v>375</v>
      </c>
      <c r="C213" s="667" t="s">
        <v>374</v>
      </c>
      <c r="D213" s="265" t="s">
        <v>373</v>
      </c>
      <c r="E213" s="480" t="s">
        <v>372</v>
      </c>
      <c r="F213" s="253" t="s">
        <v>371</v>
      </c>
      <c r="G213" s="199" t="s">
        <v>118</v>
      </c>
      <c r="H213" s="184" t="s">
        <v>370</v>
      </c>
      <c r="I213" s="183" t="s">
        <v>6</v>
      </c>
      <c r="J213" s="264"/>
      <c r="K213" s="263">
        <v>3</v>
      </c>
      <c r="L213" s="182"/>
      <c r="M213" s="181"/>
      <c r="N213" s="182"/>
      <c r="O213" s="181"/>
      <c r="P213" s="182"/>
      <c r="Q213" s="181">
        <v>1</v>
      </c>
      <c r="R213" s="182"/>
      <c r="S213" s="181"/>
      <c r="T213" s="180"/>
      <c r="U213" s="210">
        <v>4</v>
      </c>
      <c r="V213" s="250">
        <v>4.37</v>
      </c>
      <c r="W213" s="197">
        <f t="shared" ref="W213:W242" si="38">AVERAGE(U213,V213)</f>
        <v>4.1850000000000005</v>
      </c>
      <c r="X213" s="414">
        <f t="shared" si="37"/>
        <v>0.37000000000000011</v>
      </c>
    </row>
    <row r="214" spans="2:24" ht="20.100000000000001" customHeight="1" x14ac:dyDescent="0.2">
      <c r="B214" s="693"/>
      <c r="C214" s="587"/>
      <c r="D214" s="204" t="s">
        <v>369</v>
      </c>
      <c r="E214" s="630" t="s">
        <v>368</v>
      </c>
      <c r="F214" s="246" t="s">
        <v>367</v>
      </c>
      <c r="G214" s="59" t="s">
        <v>118</v>
      </c>
      <c r="H214" s="194" t="s">
        <v>366</v>
      </c>
      <c r="I214" s="195" t="s">
        <v>6</v>
      </c>
      <c r="J214" s="260"/>
      <c r="K214" s="259">
        <v>5</v>
      </c>
      <c r="L214" s="69"/>
      <c r="M214" s="67"/>
      <c r="N214" s="69"/>
      <c r="O214" s="67"/>
      <c r="P214" s="69"/>
      <c r="Q214" s="67">
        <v>2</v>
      </c>
      <c r="R214" s="69"/>
      <c r="S214" s="67"/>
      <c r="T214" s="66"/>
      <c r="U214" s="65">
        <v>2.6</v>
      </c>
      <c r="V214" s="192">
        <v>2.5</v>
      </c>
      <c r="W214" s="63">
        <f t="shared" si="38"/>
        <v>2.5499999999999998</v>
      </c>
      <c r="X214" s="414">
        <f t="shared" si="37"/>
        <v>-0.10000000000000009</v>
      </c>
    </row>
    <row r="215" spans="2:24" ht="20.100000000000001" customHeight="1" x14ac:dyDescent="0.2">
      <c r="B215" s="693"/>
      <c r="C215" s="587"/>
      <c r="D215" s="606" t="s">
        <v>365</v>
      </c>
      <c r="E215" s="588"/>
      <c r="F215" s="246" t="s">
        <v>364</v>
      </c>
      <c r="G215" s="59" t="s">
        <v>118</v>
      </c>
      <c r="H215" s="194" t="s">
        <v>362</v>
      </c>
      <c r="I215" s="195" t="s">
        <v>6</v>
      </c>
      <c r="J215" s="260"/>
      <c r="K215" s="259">
        <v>6</v>
      </c>
      <c r="L215" s="69"/>
      <c r="M215" s="67"/>
      <c r="N215" s="69"/>
      <c r="O215" s="67"/>
      <c r="P215" s="69"/>
      <c r="Q215" s="67">
        <v>2</v>
      </c>
      <c r="R215" s="69"/>
      <c r="S215" s="67"/>
      <c r="T215" s="66"/>
      <c r="U215" s="65">
        <v>3.4</v>
      </c>
      <c r="V215" s="192">
        <v>3.4</v>
      </c>
      <c r="W215" s="63">
        <f t="shared" si="38"/>
        <v>3.4</v>
      </c>
      <c r="X215" s="414">
        <f t="shared" si="37"/>
        <v>0</v>
      </c>
    </row>
    <row r="216" spans="2:24" ht="20.100000000000001" customHeight="1" x14ac:dyDescent="0.2">
      <c r="B216" s="693"/>
      <c r="C216" s="587"/>
      <c r="D216" s="606"/>
      <c r="E216" s="658"/>
      <c r="F216" s="246" t="s">
        <v>363</v>
      </c>
      <c r="G216" s="59" t="s">
        <v>118</v>
      </c>
      <c r="H216" s="194" t="s">
        <v>362</v>
      </c>
      <c r="I216" s="195" t="s">
        <v>6</v>
      </c>
      <c r="J216" s="260"/>
      <c r="K216" s="259">
        <v>6</v>
      </c>
      <c r="L216" s="69"/>
      <c r="M216" s="67"/>
      <c r="N216" s="69"/>
      <c r="O216" s="67"/>
      <c r="P216" s="69"/>
      <c r="Q216" s="67">
        <v>2</v>
      </c>
      <c r="R216" s="69"/>
      <c r="S216" s="67"/>
      <c r="T216" s="66"/>
      <c r="U216" s="65">
        <v>3</v>
      </c>
      <c r="V216" s="192">
        <v>3</v>
      </c>
      <c r="W216" s="63">
        <f t="shared" si="38"/>
        <v>3</v>
      </c>
      <c r="X216" s="414">
        <f t="shared" si="37"/>
        <v>0</v>
      </c>
    </row>
    <row r="217" spans="2:24" ht="20.100000000000001" customHeight="1" x14ac:dyDescent="0.2">
      <c r="B217" s="693"/>
      <c r="C217" s="605" t="s">
        <v>361</v>
      </c>
      <c r="D217" s="606" t="s">
        <v>360</v>
      </c>
      <c r="E217" s="630" t="s">
        <v>359</v>
      </c>
      <c r="F217" s="246" t="s">
        <v>350</v>
      </c>
      <c r="G217" s="59" t="s">
        <v>2</v>
      </c>
      <c r="H217" s="194" t="s">
        <v>358</v>
      </c>
      <c r="I217" s="195" t="s">
        <v>6</v>
      </c>
      <c r="J217" s="260"/>
      <c r="K217" s="259">
        <v>5</v>
      </c>
      <c r="L217" s="69"/>
      <c r="M217" s="67"/>
      <c r="N217" s="69"/>
      <c r="O217" s="67"/>
      <c r="P217" s="69"/>
      <c r="Q217" s="67">
        <v>2</v>
      </c>
      <c r="R217" s="69"/>
      <c r="S217" s="67"/>
      <c r="T217" s="66"/>
      <c r="U217" s="65">
        <v>50</v>
      </c>
      <c r="V217" s="192">
        <v>70</v>
      </c>
      <c r="W217" s="63">
        <f t="shared" si="38"/>
        <v>60</v>
      </c>
      <c r="X217" s="414">
        <f t="shared" si="37"/>
        <v>20</v>
      </c>
    </row>
    <row r="218" spans="2:24" ht="20.100000000000001" customHeight="1" x14ac:dyDescent="0.2">
      <c r="B218" s="693"/>
      <c r="C218" s="587"/>
      <c r="D218" s="606"/>
      <c r="E218" s="588"/>
      <c r="F218" s="246" t="s">
        <v>349</v>
      </c>
      <c r="G218" s="59" t="s">
        <v>2</v>
      </c>
      <c r="H218" s="194" t="s">
        <v>358</v>
      </c>
      <c r="I218" s="195" t="s">
        <v>6</v>
      </c>
      <c r="J218" s="260"/>
      <c r="K218" s="259">
        <v>5</v>
      </c>
      <c r="L218" s="69"/>
      <c r="M218" s="67"/>
      <c r="N218" s="69"/>
      <c r="O218" s="67"/>
      <c r="P218" s="69"/>
      <c r="Q218" s="67">
        <v>2</v>
      </c>
      <c r="R218" s="69"/>
      <c r="S218" s="67"/>
      <c r="T218" s="66"/>
      <c r="U218" s="65">
        <v>45</v>
      </c>
      <c r="V218" s="192">
        <v>60</v>
      </c>
      <c r="W218" s="63">
        <f t="shared" si="38"/>
        <v>52.5</v>
      </c>
      <c r="X218" s="414">
        <f t="shared" si="37"/>
        <v>15</v>
      </c>
    </row>
    <row r="219" spans="2:24" ht="20.100000000000001" customHeight="1" x14ac:dyDescent="0.2">
      <c r="B219" s="693"/>
      <c r="C219" s="587"/>
      <c r="D219" s="606"/>
      <c r="E219" s="588"/>
      <c r="F219" s="246" t="s">
        <v>347</v>
      </c>
      <c r="G219" s="59" t="s">
        <v>2</v>
      </c>
      <c r="H219" s="194" t="s">
        <v>358</v>
      </c>
      <c r="I219" s="195" t="s">
        <v>6</v>
      </c>
      <c r="J219" s="260"/>
      <c r="K219" s="259">
        <v>5</v>
      </c>
      <c r="L219" s="69"/>
      <c r="M219" s="67"/>
      <c r="N219" s="69"/>
      <c r="O219" s="67"/>
      <c r="P219" s="69"/>
      <c r="Q219" s="67">
        <v>2</v>
      </c>
      <c r="R219" s="69"/>
      <c r="S219" s="67"/>
      <c r="T219" s="66"/>
      <c r="U219" s="65">
        <v>30</v>
      </c>
      <c r="V219" s="192">
        <v>40</v>
      </c>
      <c r="W219" s="63">
        <f t="shared" si="38"/>
        <v>35</v>
      </c>
      <c r="X219" s="414">
        <f t="shared" si="37"/>
        <v>10</v>
      </c>
    </row>
    <row r="220" spans="2:24" ht="20.100000000000001" customHeight="1" x14ac:dyDescent="0.2">
      <c r="B220" s="693"/>
      <c r="C220" s="587"/>
      <c r="D220" s="606"/>
      <c r="E220" s="588"/>
      <c r="F220" s="258" t="s">
        <v>357</v>
      </c>
      <c r="G220" s="257" t="s">
        <v>2</v>
      </c>
      <c r="H220" s="256"/>
      <c r="I220" s="255"/>
      <c r="J220" s="262"/>
      <c r="K220" s="261"/>
      <c r="L220" s="76"/>
      <c r="M220" s="75"/>
      <c r="N220" s="76"/>
      <c r="O220" s="75"/>
      <c r="P220" s="76"/>
      <c r="Q220" s="75"/>
      <c r="R220" s="76"/>
      <c r="S220" s="75"/>
      <c r="T220" s="74"/>
      <c r="U220" s="254"/>
      <c r="V220" s="192">
        <v>100</v>
      </c>
      <c r="W220" s="63">
        <f t="shared" si="38"/>
        <v>100</v>
      </c>
      <c r="X220" s="414"/>
    </row>
    <row r="221" spans="2:24" ht="20.100000000000001" customHeight="1" x14ac:dyDescent="0.2">
      <c r="B221" s="693"/>
      <c r="C221" s="587"/>
      <c r="D221" s="606"/>
      <c r="E221" s="588"/>
      <c r="F221" s="246" t="s">
        <v>356</v>
      </c>
      <c r="G221" s="59" t="s">
        <v>2</v>
      </c>
      <c r="H221" s="194"/>
      <c r="I221" s="195"/>
      <c r="J221" s="260"/>
      <c r="K221" s="259"/>
      <c r="L221" s="69"/>
      <c r="M221" s="67"/>
      <c r="N221" s="69"/>
      <c r="O221" s="67"/>
      <c r="P221" s="69"/>
      <c r="Q221" s="67"/>
      <c r="R221" s="69"/>
      <c r="S221" s="67"/>
      <c r="T221" s="66"/>
      <c r="U221" s="65">
        <v>41.66</v>
      </c>
      <c r="V221" s="192"/>
      <c r="W221" s="63">
        <f t="shared" si="38"/>
        <v>41.66</v>
      </c>
      <c r="X221" s="414"/>
    </row>
    <row r="222" spans="2:24" ht="20.100000000000001" customHeight="1" x14ac:dyDescent="0.2">
      <c r="B222" s="693"/>
      <c r="C222" s="587"/>
      <c r="D222" s="606"/>
      <c r="E222" s="588"/>
      <c r="F222" s="246" t="s">
        <v>355</v>
      </c>
      <c r="G222" s="59" t="s">
        <v>2</v>
      </c>
      <c r="H222" s="194"/>
      <c r="I222" s="195"/>
      <c r="J222" s="69"/>
      <c r="K222" s="67"/>
      <c r="L222" s="69"/>
      <c r="M222" s="67"/>
      <c r="N222" s="69"/>
      <c r="O222" s="67"/>
      <c r="P222" s="69"/>
      <c r="Q222" s="67"/>
      <c r="R222" s="69"/>
      <c r="S222" s="67"/>
      <c r="T222" s="66"/>
      <c r="U222" s="65">
        <v>28.57</v>
      </c>
      <c r="V222" s="192"/>
      <c r="W222" s="63">
        <f t="shared" si="38"/>
        <v>28.57</v>
      </c>
      <c r="X222" s="414"/>
    </row>
    <row r="223" spans="2:24" ht="20.100000000000001" customHeight="1" x14ac:dyDescent="0.2">
      <c r="B223" s="693"/>
      <c r="C223" s="587"/>
      <c r="D223" s="606"/>
      <c r="E223" s="588"/>
      <c r="F223" s="246" t="s">
        <v>354</v>
      </c>
      <c r="G223" s="59" t="s">
        <v>2</v>
      </c>
      <c r="H223" s="194"/>
      <c r="I223" s="195"/>
      <c r="J223" s="69"/>
      <c r="K223" s="67"/>
      <c r="L223" s="69"/>
      <c r="M223" s="67"/>
      <c r="N223" s="69"/>
      <c r="O223" s="67"/>
      <c r="P223" s="69"/>
      <c r="Q223" s="67"/>
      <c r="R223" s="69"/>
      <c r="S223" s="67"/>
      <c r="T223" s="66"/>
      <c r="U223" s="65">
        <v>34.72</v>
      </c>
      <c r="V223" s="192"/>
      <c r="W223" s="63">
        <f t="shared" si="38"/>
        <v>34.72</v>
      </c>
      <c r="X223" s="414"/>
    </row>
    <row r="224" spans="2:24" ht="20.100000000000001" customHeight="1" x14ac:dyDescent="0.2">
      <c r="B224" s="693"/>
      <c r="C224" s="587"/>
      <c r="D224" s="606"/>
      <c r="E224" s="658"/>
      <c r="F224" s="246" t="s">
        <v>353</v>
      </c>
      <c r="G224" s="59" t="s">
        <v>2</v>
      </c>
      <c r="H224" s="194"/>
      <c r="I224" s="195"/>
      <c r="J224" s="69"/>
      <c r="K224" s="67"/>
      <c r="L224" s="69"/>
      <c r="M224" s="67"/>
      <c r="N224" s="69"/>
      <c r="O224" s="67"/>
      <c r="P224" s="69"/>
      <c r="Q224" s="67"/>
      <c r="R224" s="69"/>
      <c r="S224" s="67"/>
      <c r="T224" s="66"/>
      <c r="U224" s="65">
        <v>41.66</v>
      </c>
      <c r="V224" s="192"/>
      <c r="W224" s="63">
        <f t="shared" si="38"/>
        <v>41.66</v>
      </c>
      <c r="X224" s="414"/>
    </row>
    <row r="225" spans="2:24" ht="20.100000000000001" customHeight="1" x14ac:dyDescent="0.2">
      <c r="B225" s="693"/>
      <c r="C225" s="587"/>
      <c r="D225" s="664" t="s">
        <v>352</v>
      </c>
      <c r="E225" s="630" t="s">
        <v>351</v>
      </c>
      <c r="F225" s="246" t="s">
        <v>350</v>
      </c>
      <c r="G225" s="59" t="s">
        <v>2</v>
      </c>
      <c r="H225" s="194" t="s">
        <v>0</v>
      </c>
      <c r="I225" s="195" t="s">
        <v>6</v>
      </c>
      <c r="J225" s="69"/>
      <c r="K225" s="67">
        <v>4</v>
      </c>
      <c r="L225" s="69"/>
      <c r="M225" s="67"/>
      <c r="N225" s="69"/>
      <c r="O225" s="67"/>
      <c r="P225" s="69"/>
      <c r="Q225" s="67">
        <v>1</v>
      </c>
      <c r="R225" s="69"/>
      <c r="S225" s="67"/>
      <c r="T225" s="66"/>
      <c r="U225" s="65">
        <v>40</v>
      </c>
      <c r="V225" s="192">
        <v>65</v>
      </c>
      <c r="W225" s="63">
        <f t="shared" si="38"/>
        <v>52.5</v>
      </c>
      <c r="X225" s="414">
        <f t="shared" si="37"/>
        <v>25</v>
      </c>
    </row>
    <row r="226" spans="2:24" ht="20.100000000000001" customHeight="1" x14ac:dyDescent="0.2">
      <c r="B226" s="693"/>
      <c r="C226" s="587"/>
      <c r="D226" s="606"/>
      <c r="E226" s="588"/>
      <c r="F226" s="246" t="s">
        <v>349</v>
      </c>
      <c r="G226" s="59" t="s">
        <v>2</v>
      </c>
      <c r="H226" s="194" t="s">
        <v>0</v>
      </c>
      <c r="I226" s="195" t="s">
        <v>6</v>
      </c>
      <c r="J226" s="69"/>
      <c r="K226" s="67">
        <v>4</v>
      </c>
      <c r="L226" s="69"/>
      <c r="M226" s="67"/>
      <c r="N226" s="69"/>
      <c r="O226" s="67"/>
      <c r="P226" s="69"/>
      <c r="Q226" s="67">
        <v>1</v>
      </c>
      <c r="R226" s="69"/>
      <c r="S226" s="67"/>
      <c r="T226" s="66"/>
      <c r="U226" s="65">
        <v>35</v>
      </c>
      <c r="V226" s="192">
        <v>50</v>
      </c>
      <c r="W226" s="63">
        <f t="shared" si="38"/>
        <v>42.5</v>
      </c>
      <c r="X226" s="414">
        <f t="shared" si="37"/>
        <v>15</v>
      </c>
    </row>
    <row r="227" spans="2:24" ht="20.100000000000001" customHeight="1" x14ac:dyDescent="0.2">
      <c r="B227" s="693"/>
      <c r="C227" s="587"/>
      <c r="D227" s="606"/>
      <c r="E227" s="588"/>
      <c r="F227" s="258" t="s">
        <v>348</v>
      </c>
      <c r="G227" s="257" t="s">
        <v>2</v>
      </c>
      <c r="H227" s="256"/>
      <c r="I227" s="255"/>
      <c r="J227" s="76"/>
      <c r="K227" s="75"/>
      <c r="L227" s="76"/>
      <c r="M227" s="75"/>
      <c r="N227" s="76"/>
      <c r="O227" s="75"/>
      <c r="P227" s="76"/>
      <c r="Q227" s="75"/>
      <c r="R227" s="76"/>
      <c r="S227" s="75"/>
      <c r="T227" s="74"/>
      <c r="U227" s="254"/>
      <c r="V227" s="192">
        <v>115</v>
      </c>
      <c r="W227" s="63">
        <f t="shared" si="38"/>
        <v>115</v>
      </c>
      <c r="X227" s="414">
        <f t="shared" si="37"/>
        <v>115</v>
      </c>
    </row>
    <row r="228" spans="2:24" ht="20.100000000000001" customHeight="1" x14ac:dyDescent="0.2">
      <c r="B228" s="693"/>
      <c r="C228" s="587"/>
      <c r="D228" s="606"/>
      <c r="E228" s="658"/>
      <c r="F228" s="246" t="s">
        <v>347</v>
      </c>
      <c r="G228" s="59" t="s">
        <v>2</v>
      </c>
      <c r="H228" s="194" t="s">
        <v>0</v>
      </c>
      <c r="I228" s="195" t="s">
        <v>6</v>
      </c>
      <c r="J228" s="69"/>
      <c r="K228" s="67">
        <v>4</v>
      </c>
      <c r="L228" s="69"/>
      <c r="M228" s="67"/>
      <c r="N228" s="69"/>
      <c r="O228" s="67"/>
      <c r="P228" s="69"/>
      <c r="Q228" s="67">
        <v>1</v>
      </c>
      <c r="R228" s="69"/>
      <c r="S228" s="67"/>
      <c r="T228" s="66"/>
      <c r="U228" s="65">
        <v>25</v>
      </c>
      <c r="V228" s="192"/>
      <c r="W228" s="63">
        <f t="shared" si="38"/>
        <v>25</v>
      </c>
      <c r="X228" s="414"/>
    </row>
    <row r="229" spans="2:24" ht="20.100000000000001" customHeight="1" x14ac:dyDescent="0.2">
      <c r="B229" s="693"/>
      <c r="C229" s="587"/>
      <c r="D229" s="606" t="s">
        <v>346</v>
      </c>
      <c r="E229" s="630" t="s">
        <v>345</v>
      </c>
      <c r="F229" s="246" t="s">
        <v>342</v>
      </c>
      <c r="G229" s="59" t="s">
        <v>2</v>
      </c>
      <c r="H229" s="194" t="s">
        <v>0</v>
      </c>
      <c r="I229" s="195" t="s">
        <v>6</v>
      </c>
      <c r="J229" s="69"/>
      <c r="K229" s="67">
        <v>4</v>
      </c>
      <c r="L229" s="69"/>
      <c r="M229" s="67"/>
      <c r="N229" s="69"/>
      <c r="O229" s="67"/>
      <c r="P229" s="69"/>
      <c r="Q229" s="67">
        <v>1</v>
      </c>
      <c r="R229" s="69"/>
      <c r="S229" s="67"/>
      <c r="T229" s="66"/>
      <c r="U229" s="66">
        <v>30</v>
      </c>
      <c r="V229" s="192">
        <v>30</v>
      </c>
      <c r="W229" s="63">
        <f t="shared" si="38"/>
        <v>30</v>
      </c>
      <c r="X229" s="414">
        <f t="shared" si="37"/>
        <v>0</v>
      </c>
    </row>
    <row r="230" spans="2:24" ht="20.100000000000001" customHeight="1" x14ac:dyDescent="0.2">
      <c r="B230" s="693"/>
      <c r="C230" s="587"/>
      <c r="D230" s="606"/>
      <c r="E230" s="588"/>
      <c r="F230" s="246" t="s">
        <v>341</v>
      </c>
      <c r="G230" s="59" t="s">
        <v>2</v>
      </c>
      <c r="H230" s="194" t="s">
        <v>0</v>
      </c>
      <c r="I230" s="195" t="s">
        <v>6</v>
      </c>
      <c r="J230" s="69"/>
      <c r="K230" s="67">
        <v>4</v>
      </c>
      <c r="L230" s="69"/>
      <c r="M230" s="67"/>
      <c r="N230" s="69"/>
      <c r="O230" s="67"/>
      <c r="P230" s="69"/>
      <c r="Q230" s="67">
        <v>1</v>
      </c>
      <c r="R230" s="69"/>
      <c r="S230" s="67"/>
      <c r="T230" s="66"/>
      <c r="U230" s="65">
        <v>40</v>
      </c>
      <c r="V230" s="192">
        <v>40</v>
      </c>
      <c r="W230" s="63">
        <f t="shared" si="38"/>
        <v>40</v>
      </c>
      <c r="X230" s="414">
        <f t="shared" si="37"/>
        <v>0</v>
      </c>
    </row>
    <row r="231" spans="2:24" ht="20.100000000000001" customHeight="1" x14ac:dyDescent="0.2">
      <c r="B231" s="693"/>
      <c r="C231" s="587"/>
      <c r="D231" s="606"/>
      <c r="E231" s="658"/>
      <c r="F231" s="246" t="s">
        <v>340</v>
      </c>
      <c r="G231" s="59" t="s">
        <v>2</v>
      </c>
      <c r="H231" s="194" t="s">
        <v>0</v>
      </c>
      <c r="I231" s="195" t="s">
        <v>6</v>
      </c>
      <c r="J231" s="69"/>
      <c r="K231" s="67">
        <v>4</v>
      </c>
      <c r="L231" s="69"/>
      <c r="M231" s="67"/>
      <c r="N231" s="69"/>
      <c r="O231" s="67"/>
      <c r="P231" s="69"/>
      <c r="Q231" s="67">
        <v>1</v>
      </c>
      <c r="R231" s="69"/>
      <c r="S231" s="67"/>
      <c r="T231" s="66"/>
      <c r="U231" s="65">
        <v>70</v>
      </c>
      <c r="V231" s="192">
        <v>70</v>
      </c>
      <c r="W231" s="63">
        <f t="shared" si="38"/>
        <v>70</v>
      </c>
      <c r="X231" s="414">
        <f t="shared" si="37"/>
        <v>0</v>
      </c>
    </row>
    <row r="232" spans="2:24" ht="20.100000000000001" customHeight="1" x14ac:dyDescent="0.2">
      <c r="B232" s="693"/>
      <c r="C232" s="587"/>
      <c r="D232" s="606" t="s">
        <v>344</v>
      </c>
      <c r="E232" s="630" t="s">
        <v>343</v>
      </c>
      <c r="F232" s="246" t="s">
        <v>342</v>
      </c>
      <c r="G232" s="59" t="s">
        <v>2</v>
      </c>
      <c r="H232" s="194" t="s">
        <v>339</v>
      </c>
      <c r="I232" s="195" t="s">
        <v>6</v>
      </c>
      <c r="J232" s="69"/>
      <c r="K232" s="67">
        <v>5</v>
      </c>
      <c r="L232" s="69"/>
      <c r="M232" s="67"/>
      <c r="N232" s="69"/>
      <c r="O232" s="67"/>
      <c r="P232" s="69"/>
      <c r="Q232" s="67">
        <v>1</v>
      </c>
      <c r="R232" s="69"/>
      <c r="S232" s="67"/>
      <c r="T232" s="66"/>
      <c r="U232" s="65">
        <v>40</v>
      </c>
      <c r="V232" s="192">
        <v>40</v>
      </c>
      <c r="W232" s="63">
        <f t="shared" si="38"/>
        <v>40</v>
      </c>
      <c r="X232" s="414">
        <f t="shared" si="37"/>
        <v>0</v>
      </c>
    </row>
    <row r="233" spans="2:24" ht="20.100000000000001" customHeight="1" x14ac:dyDescent="0.2">
      <c r="B233" s="693"/>
      <c r="C233" s="587"/>
      <c r="D233" s="606"/>
      <c r="E233" s="588"/>
      <c r="F233" s="246" t="s">
        <v>341</v>
      </c>
      <c r="G233" s="59" t="s">
        <v>2</v>
      </c>
      <c r="H233" s="194" t="s">
        <v>339</v>
      </c>
      <c r="I233" s="195" t="s">
        <v>6</v>
      </c>
      <c r="J233" s="69"/>
      <c r="K233" s="67">
        <v>5</v>
      </c>
      <c r="L233" s="69"/>
      <c r="M233" s="67"/>
      <c r="N233" s="69"/>
      <c r="O233" s="67"/>
      <c r="P233" s="69"/>
      <c r="Q233" s="67">
        <v>1</v>
      </c>
      <c r="R233" s="69"/>
      <c r="S233" s="67"/>
      <c r="T233" s="66"/>
      <c r="U233" s="65">
        <v>50</v>
      </c>
      <c r="V233" s="192">
        <v>50</v>
      </c>
      <c r="W233" s="63">
        <f t="shared" si="38"/>
        <v>50</v>
      </c>
      <c r="X233" s="414">
        <f t="shared" si="37"/>
        <v>0</v>
      </c>
    </row>
    <row r="234" spans="2:24" ht="20.100000000000001" customHeight="1" x14ac:dyDescent="0.2">
      <c r="B234" s="693"/>
      <c r="C234" s="587"/>
      <c r="D234" s="606"/>
      <c r="E234" s="658"/>
      <c r="F234" s="246" t="s">
        <v>340</v>
      </c>
      <c r="G234" s="59" t="s">
        <v>2</v>
      </c>
      <c r="H234" s="194" t="s">
        <v>339</v>
      </c>
      <c r="I234" s="195" t="s">
        <v>6</v>
      </c>
      <c r="J234" s="69"/>
      <c r="K234" s="67">
        <v>5</v>
      </c>
      <c r="L234" s="69"/>
      <c r="M234" s="67"/>
      <c r="N234" s="69"/>
      <c r="O234" s="67"/>
      <c r="P234" s="69"/>
      <c r="Q234" s="67">
        <v>1</v>
      </c>
      <c r="R234" s="69"/>
      <c r="S234" s="67"/>
      <c r="T234" s="66"/>
      <c r="U234" s="65">
        <v>90</v>
      </c>
      <c r="V234" s="192">
        <v>90</v>
      </c>
      <c r="W234" s="63">
        <f t="shared" si="38"/>
        <v>90</v>
      </c>
      <c r="X234" s="414">
        <f t="shared" si="37"/>
        <v>0</v>
      </c>
    </row>
    <row r="235" spans="2:24" ht="20.100000000000001" customHeight="1" x14ac:dyDescent="0.2">
      <c r="B235" s="693"/>
      <c r="C235" s="608"/>
      <c r="D235" s="204" t="s">
        <v>338</v>
      </c>
      <c r="E235" s="491"/>
      <c r="F235" s="246" t="s">
        <v>338</v>
      </c>
      <c r="G235" s="59" t="s">
        <v>2</v>
      </c>
      <c r="H235" s="194"/>
      <c r="I235" s="195"/>
      <c r="J235" s="69"/>
      <c r="K235" s="67"/>
      <c r="L235" s="69"/>
      <c r="M235" s="67"/>
      <c r="N235" s="69"/>
      <c r="O235" s="67"/>
      <c r="P235" s="69"/>
      <c r="Q235" s="67"/>
      <c r="R235" s="69"/>
      <c r="S235" s="67"/>
      <c r="T235" s="66"/>
      <c r="U235" s="65">
        <v>28.57</v>
      </c>
      <c r="V235" s="192"/>
      <c r="W235" s="63">
        <f t="shared" si="38"/>
        <v>28.57</v>
      </c>
      <c r="X235" s="414"/>
    </row>
    <row r="236" spans="2:24" ht="20.100000000000001" customHeight="1" x14ac:dyDescent="0.2">
      <c r="B236" s="693"/>
      <c r="C236" s="605" t="s">
        <v>286</v>
      </c>
      <c r="D236" s="632" t="s">
        <v>337</v>
      </c>
      <c r="E236" s="630" t="s">
        <v>336</v>
      </c>
      <c r="F236" s="246" t="s">
        <v>335</v>
      </c>
      <c r="G236" s="59" t="s">
        <v>21</v>
      </c>
      <c r="H236" s="203" t="s">
        <v>332</v>
      </c>
      <c r="I236" s="59" t="s">
        <v>29</v>
      </c>
      <c r="J236" s="69"/>
      <c r="K236" s="67"/>
      <c r="L236" s="69"/>
      <c r="M236" s="67"/>
      <c r="N236" s="69"/>
      <c r="O236" s="67"/>
      <c r="P236" s="69"/>
      <c r="Q236" s="67"/>
      <c r="R236" s="69">
        <v>135</v>
      </c>
      <c r="S236" s="67">
        <v>1</v>
      </c>
      <c r="T236" s="66"/>
      <c r="U236" s="65">
        <f>R236*1.4*1</f>
        <v>189</v>
      </c>
      <c r="V236" s="192">
        <v>189</v>
      </c>
      <c r="W236" s="63">
        <f t="shared" si="38"/>
        <v>189</v>
      </c>
      <c r="X236" s="414">
        <f t="shared" si="37"/>
        <v>0</v>
      </c>
    </row>
    <row r="237" spans="2:24" ht="20.100000000000001" customHeight="1" x14ac:dyDescent="0.2">
      <c r="B237" s="693"/>
      <c r="C237" s="587"/>
      <c r="D237" s="590"/>
      <c r="E237" s="588"/>
      <c r="F237" s="246" t="s">
        <v>334</v>
      </c>
      <c r="G237" s="59" t="s">
        <v>21</v>
      </c>
      <c r="H237" s="203" t="s">
        <v>332</v>
      </c>
      <c r="I237" s="59" t="s">
        <v>29</v>
      </c>
      <c r="J237" s="69"/>
      <c r="K237" s="67"/>
      <c r="L237" s="69"/>
      <c r="M237" s="67"/>
      <c r="N237" s="69"/>
      <c r="O237" s="67"/>
      <c r="P237" s="69"/>
      <c r="Q237" s="67"/>
      <c r="R237" s="69">
        <v>130</v>
      </c>
      <c r="S237" s="67">
        <v>1</v>
      </c>
      <c r="T237" s="66"/>
      <c r="U237" s="65">
        <f>R237*1*1.2</f>
        <v>156</v>
      </c>
      <c r="V237" s="192">
        <v>182</v>
      </c>
      <c r="W237" s="63">
        <f t="shared" si="38"/>
        <v>169</v>
      </c>
      <c r="X237" s="414">
        <f t="shared" si="37"/>
        <v>26</v>
      </c>
    </row>
    <row r="238" spans="2:24" ht="20.100000000000001" customHeight="1" x14ac:dyDescent="0.2">
      <c r="B238" s="693"/>
      <c r="C238" s="608"/>
      <c r="D238" s="641"/>
      <c r="E238" s="631"/>
      <c r="F238" s="246" t="s">
        <v>333</v>
      </c>
      <c r="G238" s="59" t="s">
        <v>21</v>
      </c>
      <c r="H238" s="203" t="s">
        <v>332</v>
      </c>
      <c r="I238" s="59" t="s">
        <v>29</v>
      </c>
      <c r="J238" s="69"/>
      <c r="K238" s="67"/>
      <c r="L238" s="69"/>
      <c r="M238" s="67"/>
      <c r="N238" s="69"/>
      <c r="O238" s="67"/>
      <c r="P238" s="69"/>
      <c r="Q238" s="67"/>
      <c r="R238" s="69">
        <v>130</v>
      </c>
      <c r="S238" s="67">
        <v>1</v>
      </c>
      <c r="T238" s="66"/>
      <c r="U238" s="65">
        <f>R238*1*1</f>
        <v>130</v>
      </c>
      <c r="V238" s="192">
        <v>130</v>
      </c>
      <c r="W238" s="63">
        <f t="shared" si="38"/>
        <v>130</v>
      </c>
      <c r="X238" s="414">
        <f t="shared" si="37"/>
        <v>0</v>
      </c>
    </row>
    <row r="239" spans="2:24" ht="20.100000000000001" customHeight="1" x14ac:dyDescent="0.2">
      <c r="B239" s="691" t="s">
        <v>331</v>
      </c>
      <c r="C239" s="667" t="s">
        <v>330</v>
      </c>
      <c r="D239" s="228" t="s">
        <v>329</v>
      </c>
      <c r="E239" s="493" t="s">
        <v>328</v>
      </c>
      <c r="F239" s="253" t="s">
        <v>327</v>
      </c>
      <c r="G239" s="199" t="s">
        <v>322</v>
      </c>
      <c r="H239" s="252" t="s">
        <v>326</v>
      </c>
      <c r="I239" s="251"/>
      <c r="J239" s="182"/>
      <c r="K239" s="181"/>
      <c r="L239" s="182"/>
      <c r="M239" s="181"/>
      <c r="N239" s="182"/>
      <c r="O239" s="181"/>
      <c r="P239" s="182"/>
      <c r="Q239" s="181"/>
      <c r="R239" s="182"/>
      <c r="S239" s="181"/>
      <c r="T239" s="180"/>
      <c r="U239" s="210">
        <v>25</v>
      </c>
      <c r="V239" s="250">
        <v>11.3</v>
      </c>
      <c r="W239" s="197">
        <f t="shared" si="38"/>
        <v>18.149999999999999</v>
      </c>
      <c r="X239" s="414">
        <f t="shared" si="37"/>
        <v>-13.7</v>
      </c>
    </row>
    <row r="240" spans="2:24" ht="20.100000000000001" customHeight="1" x14ac:dyDescent="0.2">
      <c r="B240" s="675"/>
      <c r="C240" s="587"/>
      <c r="D240" s="249" t="s">
        <v>325</v>
      </c>
      <c r="E240" s="482" t="s">
        <v>324</v>
      </c>
      <c r="F240" s="246" t="s">
        <v>323</v>
      </c>
      <c r="G240" s="59" t="s">
        <v>322</v>
      </c>
      <c r="H240" s="248" t="s">
        <v>321</v>
      </c>
      <c r="I240" s="214"/>
      <c r="J240" s="247"/>
      <c r="K240" s="67"/>
      <c r="L240" s="247"/>
      <c r="M240" s="67"/>
      <c r="N240" s="247"/>
      <c r="O240" s="67"/>
      <c r="P240" s="69"/>
      <c r="Q240" s="67"/>
      <c r="R240" s="69"/>
      <c r="S240" s="67"/>
      <c r="T240" s="66"/>
      <c r="U240" s="65">
        <v>12</v>
      </c>
      <c r="V240" s="192">
        <v>4.5</v>
      </c>
      <c r="W240" s="63">
        <f t="shared" si="38"/>
        <v>8.25</v>
      </c>
      <c r="X240" s="414">
        <f t="shared" si="37"/>
        <v>-7.5</v>
      </c>
    </row>
    <row r="241" spans="2:24" ht="20.100000000000001" customHeight="1" x14ac:dyDescent="0.2">
      <c r="B241" s="675"/>
      <c r="C241" s="599" t="s">
        <v>320</v>
      </c>
      <c r="D241" s="600"/>
      <c r="E241" s="482" t="s">
        <v>319</v>
      </c>
      <c r="F241" s="246" t="s">
        <v>318</v>
      </c>
      <c r="G241" s="59" t="s">
        <v>2</v>
      </c>
      <c r="H241" s="203" t="s">
        <v>317</v>
      </c>
      <c r="I241" s="195" t="s">
        <v>6</v>
      </c>
      <c r="J241" s="69">
        <v>0.03</v>
      </c>
      <c r="K241" s="67">
        <v>3</v>
      </c>
      <c r="L241" s="69">
        <v>0.01</v>
      </c>
      <c r="M241" s="67">
        <v>1</v>
      </c>
      <c r="N241" s="69">
        <v>0.01</v>
      </c>
      <c r="O241" s="67">
        <v>1</v>
      </c>
      <c r="P241" s="69"/>
      <c r="Q241" s="67"/>
      <c r="R241" s="69"/>
      <c r="S241" s="67"/>
      <c r="T241" s="66"/>
      <c r="U241" s="65" cm="1">
        <f t="array" ref="U241">_xlfn.IFS(MAX(J241,L241,N241)=J241,K241/J241,MAX(J241,L241,N241)=L241,M241/L241,MAX(J241,L241,N241)=N241,O241/N241)</f>
        <v>100</v>
      </c>
      <c r="V241" s="192">
        <f>86</f>
        <v>86</v>
      </c>
      <c r="W241" s="63">
        <f t="shared" si="38"/>
        <v>93</v>
      </c>
      <c r="X241" s="414">
        <f t="shared" si="37"/>
        <v>-14</v>
      </c>
    </row>
    <row r="242" spans="2:24" ht="20.100000000000001" customHeight="1" x14ac:dyDescent="0.2">
      <c r="B242" s="690"/>
      <c r="C242" s="665" t="s">
        <v>316</v>
      </c>
      <c r="D242" s="666"/>
      <c r="E242" s="494" t="s">
        <v>315</v>
      </c>
      <c r="F242" s="245" t="s">
        <v>314</v>
      </c>
      <c r="G242" s="119" t="s">
        <v>313</v>
      </c>
      <c r="H242" s="120" t="s">
        <v>312</v>
      </c>
      <c r="I242" s="119" t="s">
        <v>6</v>
      </c>
      <c r="J242" s="118">
        <v>6.2E-2</v>
      </c>
      <c r="K242" s="117">
        <v>1</v>
      </c>
      <c r="L242" s="118"/>
      <c r="M242" s="117"/>
      <c r="N242" s="118">
        <v>5.6000000000000001E-2</v>
      </c>
      <c r="O242" s="117">
        <v>1</v>
      </c>
      <c r="P242" s="118">
        <v>6.2E-2</v>
      </c>
      <c r="Q242" s="117">
        <v>1</v>
      </c>
      <c r="R242" s="118"/>
      <c r="S242" s="117"/>
      <c r="T242" s="66"/>
      <c r="U242" s="65">
        <f>1/(IFERROR(J242/K242,0)+IFERROR(L242/M242,0)+IFERROR(N242/O242,0)+IFERROR(P242/Q242,0))</f>
        <v>5.5555555555555554</v>
      </c>
      <c r="V242" s="187"/>
      <c r="W242" s="115">
        <f t="shared" si="38"/>
        <v>5.5555555555555554</v>
      </c>
      <c r="X242" s="414"/>
    </row>
    <row r="243" spans="2:24" ht="20.100000000000001" customHeight="1" x14ac:dyDescent="0.2">
      <c r="B243" s="244" t="s">
        <v>311</v>
      </c>
      <c r="C243" s="243"/>
      <c r="D243" s="242"/>
      <c r="E243" s="492"/>
      <c r="F243" s="241"/>
      <c r="G243" s="240"/>
      <c r="H243" s="239"/>
      <c r="I243" s="238"/>
      <c r="J243" s="237"/>
      <c r="K243" s="236"/>
      <c r="L243" s="237"/>
      <c r="M243" s="236"/>
      <c r="N243" s="237"/>
      <c r="O243" s="236"/>
      <c r="P243" s="237"/>
      <c r="Q243" s="236"/>
      <c r="R243" s="237"/>
      <c r="S243" s="236"/>
      <c r="T243" s="235"/>
      <c r="U243" s="234"/>
      <c r="V243" s="233"/>
      <c r="W243" s="232"/>
      <c r="X243" s="414">
        <f t="shared" si="37"/>
        <v>0</v>
      </c>
    </row>
    <row r="244" spans="2:24" ht="20.100000000000001" customHeight="1" x14ac:dyDescent="0.2">
      <c r="B244" s="695" t="s">
        <v>310</v>
      </c>
      <c r="C244" s="637" t="s">
        <v>309</v>
      </c>
      <c r="D244" s="638"/>
      <c r="E244" s="480" t="s">
        <v>308</v>
      </c>
      <c r="F244" s="186" t="s">
        <v>307</v>
      </c>
      <c r="G244" s="201" t="s">
        <v>31</v>
      </c>
      <c r="H244" s="184" t="s">
        <v>306</v>
      </c>
      <c r="I244" s="183" t="s">
        <v>6</v>
      </c>
      <c r="J244" s="182"/>
      <c r="K244" s="181">
        <v>3</v>
      </c>
      <c r="L244" s="182"/>
      <c r="M244" s="181"/>
      <c r="N244" s="216"/>
      <c r="O244" s="181"/>
      <c r="P244" s="182"/>
      <c r="Q244" s="181">
        <v>1</v>
      </c>
      <c r="R244" s="182"/>
      <c r="S244" s="181"/>
      <c r="T244" s="180"/>
      <c r="U244" s="210">
        <v>25</v>
      </c>
      <c r="V244" s="198">
        <v>27</v>
      </c>
      <c r="W244" s="197">
        <f t="shared" ref="W244:W281" si="39">AVERAGE(U244,V244)</f>
        <v>26</v>
      </c>
      <c r="X244" s="414">
        <f t="shared" si="37"/>
        <v>2</v>
      </c>
    </row>
    <row r="245" spans="2:24" ht="20.100000000000001" customHeight="1" x14ac:dyDescent="0.2">
      <c r="B245" s="696"/>
      <c r="C245" s="599" t="s">
        <v>305</v>
      </c>
      <c r="D245" s="600"/>
      <c r="E245" s="630" t="s">
        <v>304</v>
      </c>
      <c r="F245" s="73" t="s">
        <v>303</v>
      </c>
      <c r="G245" s="72" t="s">
        <v>31</v>
      </c>
      <c r="H245" s="194" t="s">
        <v>299</v>
      </c>
      <c r="I245" s="195" t="s">
        <v>6</v>
      </c>
      <c r="J245" s="69"/>
      <c r="K245" s="67">
        <v>3</v>
      </c>
      <c r="L245" s="69"/>
      <c r="M245" s="67"/>
      <c r="N245" s="69"/>
      <c r="O245" s="67"/>
      <c r="P245" s="69"/>
      <c r="Q245" s="67">
        <v>1</v>
      </c>
      <c r="R245" s="69"/>
      <c r="S245" s="67"/>
      <c r="T245" s="66"/>
      <c r="U245" s="65">
        <v>19</v>
      </c>
      <c r="V245" s="64"/>
      <c r="W245" s="63">
        <f t="shared" si="39"/>
        <v>19</v>
      </c>
      <c r="X245" s="414"/>
    </row>
    <row r="246" spans="2:24" ht="20.100000000000001" customHeight="1" x14ac:dyDescent="0.2">
      <c r="B246" s="696"/>
      <c r="C246" s="607"/>
      <c r="D246" s="620"/>
      <c r="E246" s="588"/>
      <c r="F246" s="73" t="s">
        <v>302</v>
      </c>
      <c r="G246" s="72" t="s">
        <v>2</v>
      </c>
      <c r="H246" s="194" t="s">
        <v>299</v>
      </c>
      <c r="I246" s="195" t="s">
        <v>6</v>
      </c>
      <c r="J246" s="69"/>
      <c r="K246" s="67">
        <v>3</v>
      </c>
      <c r="L246" s="69"/>
      <c r="M246" s="67"/>
      <c r="N246" s="69"/>
      <c r="O246" s="67"/>
      <c r="P246" s="69"/>
      <c r="Q246" s="67">
        <v>1</v>
      </c>
      <c r="R246" s="69"/>
      <c r="S246" s="67"/>
      <c r="T246" s="66"/>
      <c r="U246" s="66">
        <v>20</v>
      </c>
      <c r="V246" s="64">
        <v>14</v>
      </c>
      <c r="W246" s="63">
        <f t="shared" si="39"/>
        <v>17</v>
      </c>
      <c r="X246" s="414">
        <f t="shared" si="37"/>
        <v>-6</v>
      </c>
    </row>
    <row r="247" spans="2:24" ht="20.100000000000001" customHeight="1" x14ac:dyDescent="0.2">
      <c r="B247" s="696"/>
      <c r="C247" s="607"/>
      <c r="D247" s="620"/>
      <c r="E247" s="588"/>
      <c r="F247" s="73" t="s">
        <v>301</v>
      </c>
      <c r="G247" s="72" t="s">
        <v>2</v>
      </c>
      <c r="H247" s="194" t="s">
        <v>299</v>
      </c>
      <c r="I247" s="195" t="s">
        <v>6</v>
      </c>
      <c r="J247" s="69"/>
      <c r="K247" s="67">
        <v>3</v>
      </c>
      <c r="L247" s="69"/>
      <c r="M247" s="67"/>
      <c r="N247" s="69"/>
      <c r="O247" s="67"/>
      <c r="P247" s="69"/>
      <c r="Q247" s="67">
        <v>1</v>
      </c>
      <c r="R247" s="69"/>
      <c r="S247" s="67"/>
      <c r="T247" s="66"/>
      <c r="U247" s="65">
        <v>23</v>
      </c>
      <c r="V247" s="64"/>
      <c r="W247" s="63">
        <f t="shared" si="39"/>
        <v>23</v>
      </c>
      <c r="X247" s="414"/>
    </row>
    <row r="248" spans="2:24" ht="20.100000000000001" customHeight="1" x14ac:dyDescent="0.2">
      <c r="B248" s="696"/>
      <c r="C248" s="607"/>
      <c r="D248" s="620"/>
      <c r="E248" s="588"/>
      <c r="F248" s="73" t="s">
        <v>300</v>
      </c>
      <c r="G248" s="72" t="s">
        <v>2</v>
      </c>
      <c r="H248" s="194" t="s">
        <v>299</v>
      </c>
      <c r="I248" s="195" t="s">
        <v>6</v>
      </c>
      <c r="J248" s="69"/>
      <c r="K248" s="67">
        <v>3</v>
      </c>
      <c r="L248" s="69"/>
      <c r="M248" s="67"/>
      <c r="N248" s="69"/>
      <c r="O248" s="67"/>
      <c r="P248" s="69"/>
      <c r="Q248" s="67">
        <v>1</v>
      </c>
      <c r="R248" s="69"/>
      <c r="S248" s="67"/>
      <c r="T248" s="66"/>
      <c r="U248" s="65">
        <v>24</v>
      </c>
      <c r="V248" s="64"/>
      <c r="W248" s="63">
        <f t="shared" si="39"/>
        <v>24</v>
      </c>
      <c r="X248" s="414"/>
    </row>
    <row r="249" spans="2:24" ht="20.100000000000001" customHeight="1" x14ac:dyDescent="0.2">
      <c r="B249" s="696"/>
      <c r="C249" s="607"/>
      <c r="D249" s="620"/>
      <c r="E249" s="588"/>
      <c r="F249" s="73" t="s">
        <v>298</v>
      </c>
      <c r="G249" s="72" t="s">
        <v>2</v>
      </c>
      <c r="H249" s="215" t="s">
        <v>292</v>
      </c>
      <c r="I249" s="231" t="s">
        <v>6</v>
      </c>
      <c r="J249" s="82"/>
      <c r="K249" s="67">
        <v>3</v>
      </c>
      <c r="L249" s="69"/>
      <c r="M249" s="67"/>
      <c r="N249" s="69"/>
      <c r="O249" s="67"/>
      <c r="P249" s="69"/>
      <c r="Q249" s="67">
        <v>2</v>
      </c>
      <c r="R249" s="69"/>
      <c r="S249" s="67"/>
      <c r="T249" s="66"/>
      <c r="U249" s="65">
        <v>25</v>
      </c>
      <c r="V249" s="64"/>
      <c r="W249" s="63">
        <f t="shared" si="39"/>
        <v>25</v>
      </c>
      <c r="X249" s="414"/>
    </row>
    <row r="250" spans="2:24" ht="20.100000000000001" customHeight="1" x14ac:dyDescent="0.2">
      <c r="B250" s="696"/>
      <c r="C250" s="601"/>
      <c r="D250" s="602"/>
      <c r="E250" s="634"/>
      <c r="F250" s="73" t="s">
        <v>297</v>
      </c>
      <c r="G250" s="72" t="s">
        <v>2</v>
      </c>
      <c r="H250" s="215" t="s">
        <v>292</v>
      </c>
      <c r="I250" s="217" t="s">
        <v>6</v>
      </c>
      <c r="J250" s="82"/>
      <c r="K250" s="67">
        <v>3</v>
      </c>
      <c r="L250" s="69"/>
      <c r="M250" s="67"/>
      <c r="N250" s="69"/>
      <c r="O250" s="67"/>
      <c r="P250" s="69"/>
      <c r="Q250" s="67">
        <v>2</v>
      </c>
      <c r="R250" s="69"/>
      <c r="S250" s="67"/>
      <c r="T250" s="66"/>
      <c r="U250" s="65">
        <v>27</v>
      </c>
      <c r="V250" s="64"/>
      <c r="W250" s="63">
        <f t="shared" si="39"/>
        <v>27</v>
      </c>
      <c r="X250" s="414"/>
    </row>
    <row r="251" spans="2:24" ht="20.100000000000001" customHeight="1" x14ac:dyDescent="0.2">
      <c r="B251" s="696"/>
      <c r="C251" s="599" t="s">
        <v>296</v>
      </c>
      <c r="D251" s="600"/>
      <c r="E251" s="633" t="s">
        <v>295</v>
      </c>
      <c r="F251" s="73" t="s">
        <v>294</v>
      </c>
      <c r="G251" s="72" t="s">
        <v>2</v>
      </c>
      <c r="H251" s="215" t="s">
        <v>292</v>
      </c>
      <c r="I251" s="217" t="s">
        <v>6</v>
      </c>
      <c r="J251" s="216"/>
      <c r="K251" s="67">
        <v>3</v>
      </c>
      <c r="L251" s="69"/>
      <c r="M251" s="67"/>
      <c r="N251" s="69"/>
      <c r="O251" s="67"/>
      <c r="P251" s="69"/>
      <c r="Q251" s="67">
        <v>2</v>
      </c>
      <c r="R251" s="69"/>
      <c r="S251" s="67"/>
      <c r="T251" s="66"/>
      <c r="U251" s="65">
        <v>22</v>
      </c>
      <c r="V251" s="64"/>
      <c r="W251" s="63">
        <f t="shared" si="39"/>
        <v>22</v>
      </c>
      <c r="X251" s="414"/>
    </row>
    <row r="252" spans="2:24" ht="20.100000000000001" customHeight="1" x14ac:dyDescent="0.2">
      <c r="B252" s="697"/>
      <c r="C252" s="621"/>
      <c r="D252" s="622"/>
      <c r="E252" s="698"/>
      <c r="F252" s="122" t="s">
        <v>293</v>
      </c>
      <c r="G252" s="121" t="s">
        <v>2</v>
      </c>
      <c r="H252" s="230" t="s">
        <v>292</v>
      </c>
      <c r="I252" s="229" t="s">
        <v>6</v>
      </c>
      <c r="J252" s="82"/>
      <c r="K252" s="117">
        <v>3</v>
      </c>
      <c r="L252" s="118"/>
      <c r="M252" s="117"/>
      <c r="N252" s="118"/>
      <c r="O252" s="117"/>
      <c r="P252" s="118"/>
      <c r="Q252" s="117">
        <v>2</v>
      </c>
      <c r="R252" s="118"/>
      <c r="S252" s="117"/>
      <c r="T252" s="189"/>
      <c r="U252" s="188">
        <v>19</v>
      </c>
      <c r="V252" s="116"/>
      <c r="W252" s="115">
        <f t="shared" si="39"/>
        <v>19</v>
      </c>
      <c r="X252" s="414"/>
    </row>
    <row r="253" spans="2:24" ht="20.100000000000001" customHeight="1" x14ac:dyDescent="0.2">
      <c r="B253" s="594" t="s">
        <v>291</v>
      </c>
      <c r="C253" s="667" t="s">
        <v>290</v>
      </c>
      <c r="D253" s="228" t="s">
        <v>289</v>
      </c>
      <c r="E253" s="495" t="s">
        <v>288</v>
      </c>
      <c r="F253" s="186" t="s">
        <v>287</v>
      </c>
      <c r="G253" s="201" t="s">
        <v>2</v>
      </c>
      <c r="H253" s="227" t="s">
        <v>224</v>
      </c>
      <c r="I253" s="220" t="s">
        <v>6</v>
      </c>
      <c r="J253" s="219"/>
      <c r="K253" s="181">
        <v>2</v>
      </c>
      <c r="L253" s="182"/>
      <c r="M253" s="181"/>
      <c r="N253" s="182"/>
      <c r="O253" s="181"/>
      <c r="P253" s="182"/>
      <c r="Q253" s="181">
        <v>1</v>
      </c>
      <c r="R253" s="182"/>
      <c r="S253" s="181"/>
      <c r="T253" s="180"/>
      <c r="U253" s="210">
        <v>29</v>
      </c>
      <c r="V253" s="198">
        <v>42</v>
      </c>
      <c r="W253" s="197">
        <f t="shared" si="39"/>
        <v>35.5</v>
      </c>
      <c r="X253" s="414">
        <f t="shared" si="37"/>
        <v>13</v>
      </c>
    </row>
    <row r="254" spans="2:24" ht="20.100000000000001" customHeight="1" x14ac:dyDescent="0.2">
      <c r="B254" s="595"/>
      <c r="C254" s="608"/>
      <c r="D254" s="226" t="s">
        <v>286</v>
      </c>
      <c r="E254" s="486" t="s">
        <v>275</v>
      </c>
      <c r="F254" s="90" t="s">
        <v>285</v>
      </c>
      <c r="G254" s="89" t="s">
        <v>284</v>
      </c>
      <c r="H254" s="225" t="s">
        <v>283</v>
      </c>
      <c r="I254" s="218" t="s">
        <v>6</v>
      </c>
      <c r="J254" s="224"/>
      <c r="K254" s="86">
        <v>2</v>
      </c>
      <c r="L254" s="87"/>
      <c r="M254" s="86">
        <v>1</v>
      </c>
      <c r="N254" s="87"/>
      <c r="O254" s="86"/>
      <c r="P254" s="87"/>
      <c r="Q254" s="86">
        <v>2</v>
      </c>
      <c r="R254" s="87"/>
      <c r="S254" s="86"/>
      <c r="T254" s="85"/>
      <c r="U254" s="144">
        <v>50</v>
      </c>
      <c r="V254" s="84">
        <v>85</v>
      </c>
      <c r="W254" s="83">
        <f t="shared" si="39"/>
        <v>67.5</v>
      </c>
      <c r="X254" s="414">
        <f t="shared" si="37"/>
        <v>35</v>
      </c>
    </row>
    <row r="255" spans="2:24" ht="20.100000000000001" customHeight="1" x14ac:dyDescent="0.2">
      <c r="B255" s="595"/>
      <c r="C255" s="599" t="s">
        <v>282</v>
      </c>
      <c r="D255" s="600"/>
      <c r="E255" s="486" t="s">
        <v>279</v>
      </c>
      <c r="F255" s="90" t="s">
        <v>281</v>
      </c>
      <c r="G255" s="72" t="s">
        <v>277</v>
      </c>
      <c r="H255" s="71" t="s">
        <v>280</v>
      </c>
      <c r="I255" s="218" t="s">
        <v>6</v>
      </c>
      <c r="J255" s="82"/>
      <c r="K255" s="67">
        <v>1</v>
      </c>
      <c r="L255" s="69"/>
      <c r="M255" s="67"/>
      <c r="N255" s="69"/>
      <c r="O255" s="67"/>
      <c r="P255" s="69"/>
      <c r="Q255" s="67"/>
      <c r="R255" s="69"/>
      <c r="S255" s="67"/>
      <c r="T255" s="66"/>
      <c r="U255" s="223">
        <v>100</v>
      </c>
      <c r="V255" s="64">
        <v>77.27</v>
      </c>
      <c r="W255" s="63">
        <f t="shared" si="39"/>
        <v>88.634999999999991</v>
      </c>
      <c r="X255" s="414">
        <f t="shared" si="37"/>
        <v>-22.730000000000004</v>
      </c>
    </row>
    <row r="256" spans="2:24" ht="20.100000000000001" customHeight="1" x14ac:dyDescent="0.2">
      <c r="B256" s="595"/>
      <c r="C256" s="601"/>
      <c r="D256" s="602"/>
      <c r="E256" s="486" t="s">
        <v>279</v>
      </c>
      <c r="F256" s="90" t="s">
        <v>278</v>
      </c>
      <c r="G256" s="72" t="s">
        <v>277</v>
      </c>
      <c r="H256" s="71" t="s">
        <v>224</v>
      </c>
      <c r="I256" s="218" t="s">
        <v>6</v>
      </c>
      <c r="J256" s="82"/>
      <c r="K256" s="67">
        <v>2</v>
      </c>
      <c r="L256" s="69"/>
      <c r="M256" s="67"/>
      <c r="N256" s="69"/>
      <c r="O256" s="67"/>
      <c r="P256" s="69"/>
      <c r="Q256" s="67">
        <v>1</v>
      </c>
      <c r="R256" s="69"/>
      <c r="S256" s="67"/>
      <c r="T256" s="66"/>
      <c r="U256" s="223">
        <v>120</v>
      </c>
      <c r="V256" s="64">
        <v>92.72</v>
      </c>
      <c r="W256" s="63">
        <f t="shared" si="39"/>
        <v>106.36</v>
      </c>
      <c r="X256" s="414">
        <f t="shared" si="37"/>
        <v>-27.28</v>
      </c>
    </row>
    <row r="257" spans="2:24" ht="20.100000000000001" customHeight="1" x14ac:dyDescent="0.2">
      <c r="B257" s="596"/>
      <c r="C257" s="665" t="s">
        <v>276</v>
      </c>
      <c r="D257" s="666"/>
      <c r="E257" s="496" t="s">
        <v>275</v>
      </c>
      <c r="F257" s="175" t="s">
        <v>274</v>
      </c>
      <c r="G257" s="72" t="s">
        <v>21</v>
      </c>
      <c r="H257" s="71" t="s">
        <v>273</v>
      </c>
      <c r="I257" s="222" t="s">
        <v>6</v>
      </c>
      <c r="J257" s="82"/>
      <c r="K257" s="67">
        <v>2</v>
      </c>
      <c r="L257" s="69"/>
      <c r="M257" s="67">
        <v>1</v>
      </c>
      <c r="N257" s="69"/>
      <c r="O257" s="67"/>
      <c r="P257" s="69"/>
      <c r="Q257" s="67">
        <v>2</v>
      </c>
      <c r="R257" s="69"/>
      <c r="S257" s="67"/>
      <c r="T257" s="54"/>
      <c r="U257" s="53">
        <v>65</v>
      </c>
      <c r="V257" s="64">
        <v>113</v>
      </c>
      <c r="W257" s="63">
        <f t="shared" si="39"/>
        <v>89</v>
      </c>
      <c r="X257" s="414">
        <f t="shared" si="37"/>
        <v>48</v>
      </c>
    </row>
    <row r="258" spans="2:24" ht="20.100000000000001" customHeight="1" x14ac:dyDescent="0.2">
      <c r="B258" s="594" t="s">
        <v>272</v>
      </c>
      <c r="C258" s="637" t="s">
        <v>271</v>
      </c>
      <c r="D258" s="638"/>
      <c r="E258" s="495" t="s">
        <v>270</v>
      </c>
      <c r="F258" s="90" t="s">
        <v>269</v>
      </c>
      <c r="G258" s="201" t="s">
        <v>21</v>
      </c>
      <c r="H258" s="221" t="s">
        <v>245</v>
      </c>
      <c r="I258" s="220" t="s">
        <v>6</v>
      </c>
      <c r="J258" s="219">
        <v>0.03</v>
      </c>
      <c r="K258" s="181">
        <v>3</v>
      </c>
      <c r="L258" s="182"/>
      <c r="M258" s="181"/>
      <c r="N258" s="182"/>
      <c r="O258" s="181"/>
      <c r="P258" s="182">
        <v>1.2E-2</v>
      </c>
      <c r="Q258" s="181">
        <v>1</v>
      </c>
      <c r="R258" s="182"/>
      <c r="S258" s="181"/>
      <c r="T258" s="213"/>
      <c r="U258" s="65" cm="1">
        <f t="array" ref="U258">_xlfn.IFS(MAX(J258,L258,N258)=J258,K258/J258,MAX(J258,L258,N258)=L258,M258/L258,MAX(J258,L258,N258)=N258,O258/N258)</f>
        <v>100</v>
      </c>
      <c r="V258" s="198">
        <v>100</v>
      </c>
      <c r="W258" s="197">
        <f t="shared" si="39"/>
        <v>100</v>
      </c>
      <c r="X258" s="414">
        <f t="shared" si="37"/>
        <v>0</v>
      </c>
    </row>
    <row r="259" spans="2:24" ht="20.100000000000001" customHeight="1" x14ac:dyDescent="0.2">
      <c r="B259" s="595"/>
      <c r="C259" s="603" t="s">
        <v>268</v>
      </c>
      <c r="D259" s="604"/>
      <c r="E259" s="486" t="s">
        <v>267</v>
      </c>
      <c r="F259" s="73" t="s">
        <v>266</v>
      </c>
      <c r="G259" s="72" t="s">
        <v>2</v>
      </c>
      <c r="H259" s="71" t="s">
        <v>265</v>
      </c>
      <c r="I259" s="218" t="s">
        <v>6</v>
      </c>
      <c r="J259" s="82">
        <v>1.2E-2</v>
      </c>
      <c r="K259" s="67">
        <v>3</v>
      </c>
      <c r="L259" s="69"/>
      <c r="M259" s="67"/>
      <c r="N259" s="69"/>
      <c r="O259" s="67"/>
      <c r="P259" s="69">
        <v>4.0000000000000001E-3</v>
      </c>
      <c r="Q259" s="67">
        <v>1</v>
      </c>
      <c r="R259" s="69"/>
      <c r="S259" s="67"/>
      <c r="T259" s="66"/>
      <c r="U259" s="65" cm="1">
        <f t="array" ref="U259">_xlfn.IFS(MAX(J259,L259,N259)=J259,K259/J259,MAX(J259,L259,N259)=L259,M259/L259,MAX(J259,L259,N259)=N259,O259/N259)</f>
        <v>250</v>
      </c>
      <c r="V259" s="64">
        <v>272</v>
      </c>
      <c r="W259" s="63">
        <f t="shared" si="39"/>
        <v>261</v>
      </c>
      <c r="X259" s="414">
        <f t="shared" si="37"/>
        <v>22</v>
      </c>
    </row>
    <row r="260" spans="2:24" ht="20.100000000000001" customHeight="1" x14ac:dyDescent="0.2">
      <c r="B260" s="595"/>
      <c r="C260" s="599" t="s">
        <v>264</v>
      </c>
      <c r="D260" s="600"/>
      <c r="E260" s="486" t="s">
        <v>262</v>
      </c>
      <c r="F260" s="73" t="s">
        <v>263</v>
      </c>
      <c r="G260" s="72" t="s">
        <v>2</v>
      </c>
      <c r="H260" s="215" t="s">
        <v>245</v>
      </c>
      <c r="I260" s="217" t="s">
        <v>6</v>
      </c>
      <c r="J260" s="216">
        <v>1.4999999999999999E-2</v>
      </c>
      <c r="K260" s="67">
        <v>3</v>
      </c>
      <c r="L260" s="69"/>
      <c r="M260" s="67"/>
      <c r="N260" s="69"/>
      <c r="O260" s="67"/>
      <c r="P260" s="69">
        <v>8.9999999999999993E-3</v>
      </c>
      <c r="Q260" s="67">
        <v>1</v>
      </c>
      <c r="R260" s="69"/>
      <c r="S260" s="67"/>
      <c r="T260" s="66"/>
      <c r="U260" s="65" cm="1">
        <f t="array" ref="U260">_xlfn.IFS(MAX(J260,L260,N260)=J260,K260/J260,MAX(J260,L260,N260)=L260,M260/L260,MAX(J260,L260,N260)=N260,O260/N260)</f>
        <v>200</v>
      </c>
      <c r="V260" s="64">
        <v>200</v>
      </c>
      <c r="W260" s="63">
        <f t="shared" si="39"/>
        <v>200</v>
      </c>
      <c r="X260" s="414">
        <f t="shared" si="37"/>
        <v>0</v>
      </c>
    </row>
    <row r="261" spans="2:24" ht="20.100000000000001" customHeight="1" x14ac:dyDescent="0.2">
      <c r="B261" s="595"/>
      <c r="C261" s="601"/>
      <c r="D261" s="602"/>
      <c r="E261" s="486" t="s">
        <v>262</v>
      </c>
      <c r="F261" s="73" t="s">
        <v>261</v>
      </c>
      <c r="G261" s="72" t="s">
        <v>2</v>
      </c>
      <c r="H261" s="215" t="s">
        <v>245</v>
      </c>
      <c r="I261" s="214" t="s">
        <v>6</v>
      </c>
      <c r="J261" s="82">
        <v>0.02</v>
      </c>
      <c r="K261" s="67">
        <v>3</v>
      </c>
      <c r="L261" s="69"/>
      <c r="M261" s="67"/>
      <c r="N261" s="69"/>
      <c r="O261" s="67"/>
      <c r="P261" s="69">
        <v>1.2E-2</v>
      </c>
      <c r="Q261" s="67">
        <v>1</v>
      </c>
      <c r="R261" s="69"/>
      <c r="S261" s="67"/>
      <c r="T261" s="66"/>
      <c r="U261" s="65" cm="1">
        <f t="array" ref="U261">_xlfn.IFS(MAX(J261,L261,N261)=J261,K261/J261,MAX(J261,L261,N261)=L261,M261/L261,MAX(J261,L261,N261)=N261,O261/N261)</f>
        <v>150</v>
      </c>
      <c r="V261" s="64"/>
      <c r="W261" s="63">
        <f t="shared" si="39"/>
        <v>150</v>
      </c>
      <c r="X261" s="414"/>
    </row>
    <row r="262" spans="2:24" ht="20.100000000000001" customHeight="1" x14ac:dyDescent="0.2">
      <c r="B262" s="595"/>
      <c r="C262" s="603" t="s">
        <v>260</v>
      </c>
      <c r="D262" s="604"/>
      <c r="E262" s="486" t="s">
        <v>259</v>
      </c>
      <c r="F262" s="73" t="s">
        <v>258</v>
      </c>
      <c r="G262" s="72" t="s">
        <v>2</v>
      </c>
      <c r="H262" s="194" t="s">
        <v>245</v>
      </c>
      <c r="I262" s="195" t="s">
        <v>6</v>
      </c>
      <c r="J262" s="69">
        <v>7.4999999999999997E-2</v>
      </c>
      <c r="K262" s="67">
        <v>3</v>
      </c>
      <c r="L262" s="69"/>
      <c r="M262" s="67"/>
      <c r="N262" s="69"/>
      <c r="O262" s="67"/>
      <c r="P262" s="69">
        <v>0.04</v>
      </c>
      <c r="Q262" s="67">
        <v>1</v>
      </c>
      <c r="R262" s="69"/>
      <c r="S262" s="67"/>
      <c r="T262" s="66"/>
      <c r="U262" s="65" cm="1">
        <f t="array" ref="U262">_xlfn.IFS(MAX(J262,L262,N262)=J262,K262/J262,MAX(J262,L262,N262)=L262,M262/L262,MAX(J262,L262,N262)=N262,O262/N262)</f>
        <v>40</v>
      </c>
      <c r="V262" s="64">
        <v>40</v>
      </c>
      <c r="W262" s="63">
        <f t="shared" si="39"/>
        <v>40</v>
      </c>
      <c r="X262" s="414">
        <f t="shared" si="37"/>
        <v>0</v>
      </c>
    </row>
    <row r="263" spans="2:24" ht="20.100000000000001" customHeight="1" x14ac:dyDescent="0.2">
      <c r="B263" s="595"/>
      <c r="C263" s="603" t="s">
        <v>257</v>
      </c>
      <c r="D263" s="604"/>
      <c r="E263" s="486" t="s">
        <v>256</v>
      </c>
      <c r="F263" s="73" t="s">
        <v>255</v>
      </c>
      <c r="G263" s="72" t="s">
        <v>2</v>
      </c>
      <c r="H263" s="203" t="s">
        <v>245</v>
      </c>
      <c r="I263" s="59" t="s">
        <v>6</v>
      </c>
      <c r="J263" s="69">
        <v>3.4000000000000002E-2</v>
      </c>
      <c r="K263" s="67">
        <v>3</v>
      </c>
      <c r="L263" s="69"/>
      <c r="M263" s="67"/>
      <c r="N263" s="69"/>
      <c r="O263" s="67"/>
      <c r="P263" s="69">
        <v>0.02</v>
      </c>
      <c r="Q263" s="67">
        <v>1</v>
      </c>
      <c r="R263" s="69"/>
      <c r="S263" s="67"/>
      <c r="T263" s="66"/>
      <c r="U263" s="65" cm="1">
        <f t="array" ref="U263">_xlfn.IFS(MAX(J263,L263,N263)=J263,K263/J263,MAX(J263,L263,N263)=L263,M263/L263,MAX(J263,L263,N263)=N263,O263/N263)</f>
        <v>88.235294117647058</v>
      </c>
      <c r="V263" s="64">
        <v>88</v>
      </c>
      <c r="W263" s="63">
        <f t="shared" si="39"/>
        <v>88.117647058823536</v>
      </c>
      <c r="X263" s="414">
        <f t="shared" si="37"/>
        <v>-0.23529411764705799</v>
      </c>
    </row>
    <row r="264" spans="2:24" ht="20.100000000000001" customHeight="1" x14ac:dyDescent="0.2">
      <c r="B264" s="595"/>
      <c r="C264" s="603" t="s">
        <v>254</v>
      </c>
      <c r="D264" s="604"/>
      <c r="E264" s="486"/>
      <c r="F264" s="73" t="s">
        <v>253</v>
      </c>
      <c r="G264" s="72" t="s">
        <v>2</v>
      </c>
      <c r="H264" s="194"/>
      <c r="I264" s="195"/>
      <c r="J264" s="69"/>
      <c r="K264" s="67"/>
      <c r="L264" s="69"/>
      <c r="M264" s="67"/>
      <c r="N264" s="69"/>
      <c r="O264" s="67"/>
      <c r="P264" s="69"/>
      <c r="Q264" s="67"/>
      <c r="R264" s="69"/>
      <c r="S264" s="67"/>
      <c r="T264" s="66"/>
      <c r="U264" s="65">
        <v>62.5</v>
      </c>
      <c r="V264" s="64"/>
      <c r="W264" s="63">
        <f t="shared" si="39"/>
        <v>62.5</v>
      </c>
      <c r="X264" s="414"/>
    </row>
    <row r="265" spans="2:24" ht="20.100000000000001" customHeight="1" x14ac:dyDescent="0.2">
      <c r="B265" s="595"/>
      <c r="C265" s="603" t="s">
        <v>252</v>
      </c>
      <c r="D265" s="604"/>
      <c r="E265" s="486" t="s">
        <v>251</v>
      </c>
      <c r="F265" s="73" t="s">
        <v>250</v>
      </c>
      <c r="G265" s="72" t="s">
        <v>53</v>
      </c>
      <c r="H265" s="194" t="s">
        <v>249</v>
      </c>
      <c r="I265" s="195" t="s">
        <v>6</v>
      </c>
      <c r="J265" s="69">
        <v>2.5000000000000001E-2</v>
      </c>
      <c r="K265" s="67">
        <v>1</v>
      </c>
      <c r="L265" s="69"/>
      <c r="M265" s="67"/>
      <c r="N265" s="69"/>
      <c r="O265" s="67"/>
      <c r="P265" s="69"/>
      <c r="Q265" s="67"/>
      <c r="R265" s="69"/>
      <c r="S265" s="67"/>
      <c r="T265" s="66"/>
      <c r="U265" s="65" cm="1">
        <f t="array" ref="U265">_xlfn.IFS(MAX(J265,L265,N265)=J265,K265/J265,MAX(J265,L265,N265)=L265,M265/L265,MAX(J265,L265,N265)=N265,O265/N265)</f>
        <v>40</v>
      </c>
      <c r="V265" s="64"/>
      <c r="W265" s="63">
        <f t="shared" si="39"/>
        <v>40</v>
      </c>
      <c r="X265" s="414"/>
    </row>
    <row r="266" spans="2:24" ht="20.100000000000001" customHeight="1" x14ac:dyDescent="0.2">
      <c r="B266" s="595"/>
      <c r="C266" s="603" t="s">
        <v>248</v>
      </c>
      <c r="D266" s="604"/>
      <c r="E266" s="486" t="s">
        <v>247</v>
      </c>
      <c r="F266" s="73" t="s">
        <v>246</v>
      </c>
      <c r="G266" s="72" t="s">
        <v>53</v>
      </c>
      <c r="H266" s="203" t="s">
        <v>245</v>
      </c>
      <c r="I266" s="59" t="s">
        <v>6</v>
      </c>
      <c r="J266" s="69">
        <v>5.0000000000000001E-3</v>
      </c>
      <c r="K266" s="67">
        <v>1</v>
      </c>
      <c r="L266" s="69"/>
      <c r="M266" s="67"/>
      <c r="N266" s="69"/>
      <c r="O266" s="67"/>
      <c r="P266" s="69">
        <v>1E-3</v>
      </c>
      <c r="Q266" s="67">
        <v>1</v>
      </c>
      <c r="R266" s="69"/>
      <c r="S266" s="67"/>
      <c r="T266" s="66"/>
      <c r="U266" s="65" cm="1">
        <f t="array" ref="U266">_xlfn.IFS(MAX(J266,L266,N266)=J266,K266/J266,MAX(J266,L266,N266)=L266,M266/L266,MAX(J266,L266,N266)=N266,O266/N266)</f>
        <v>200</v>
      </c>
      <c r="V266" s="64"/>
      <c r="W266" s="63">
        <f t="shared" si="39"/>
        <v>200</v>
      </c>
      <c r="X266" s="414"/>
    </row>
    <row r="267" spans="2:24" ht="20.100000000000001" customHeight="1" x14ac:dyDescent="0.2">
      <c r="B267" s="596"/>
      <c r="C267" s="665" t="s">
        <v>244</v>
      </c>
      <c r="D267" s="666"/>
      <c r="E267" s="496" t="s">
        <v>243</v>
      </c>
      <c r="F267" s="122" t="s">
        <v>242</v>
      </c>
      <c r="G267" s="121" t="s">
        <v>241</v>
      </c>
      <c r="H267" s="191" t="s">
        <v>240</v>
      </c>
      <c r="I267" s="190" t="s">
        <v>6</v>
      </c>
      <c r="J267" s="118">
        <v>0.14000000000000001</v>
      </c>
      <c r="K267" s="117">
        <v>1</v>
      </c>
      <c r="L267" s="118"/>
      <c r="M267" s="117"/>
      <c r="N267" s="118"/>
      <c r="O267" s="117"/>
      <c r="P267" s="118">
        <v>0.04</v>
      </c>
      <c r="Q267" s="117">
        <v>1</v>
      </c>
      <c r="R267" s="118"/>
      <c r="S267" s="117"/>
      <c r="T267" s="189"/>
      <c r="U267" s="65" cm="1">
        <f t="array" ref="U267">_xlfn.IFS(MAX(J267,L267,N267)=J267,K267/J267,MAX(J267,L267,N267)=L267,M267/L267,MAX(J267,L267,N267)=N267,O267/N267)</f>
        <v>7.1428571428571423</v>
      </c>
      <c r="V267" s="116"/>
      <c r="W267" s="115">
        <f t="shared" si="39"/>
        <v>7.1428571428571423</v>
      </c>
      <c r="X267" s="414"/>
    </row>
    <row r="268" spans="2:24" ht="20.100000000000001" customHeight="1" x14ac:dyDescent="0.2">
      <c r="B268" s="594" t="s">
        <v>239</v>
      </c>
      <c r="C268" s="637" t="s">
        <v>238</v>
      </c>
      <c r="D268" s="638"/>
      <c r="E268" s="670" t="s">
        <v>237</v>
      </c>
      <c r="F268" s="186" t="s">
        <v>236</v>
      </c>
      <c r="G268" s="201" t="s">
        <v>2</v>
      </c>
      <c r="H268" s="184" t="s">
        <v>720</v>
      </c>
      <c r="I268" s="183" t="s">
        <v>6</v>
      </c>
      <c r="J268" s="182">
        <v>0.31</v>
      </c>
      <c r="K268" s="181">
        <v>1</v>
      </c>
      <c r="L268" s="182"/>
      <c r="M268" s="181"/>
      <c r="N268" s="182"/>
      <c r="O268" s="181"/>
      <c r="P268" s="182">
        <v>0.14000000000000001</v>
      </c>
      <c r="Q268" s="181">
        <v>1</v>
      </c>
      <c r="R268" s="182"/>
      <c r="S268" s="181"/>
      <c r="T268" s="213"/>
      <c r="U268" s="212">
        <v>12</v>
      </c>
      <c r="V268" s="198"/>
      <c r="W268" s="197">
        <f t="shared" si="39"/>
        <v>12</v>
      </c>
      <c r="X268" s="414"/>
    </row>
    <row r="269" spans="2:24" ht="20.100000000000001" customHeight="1" x14ac:dyDescent="0.2">
      <c r="B269" s="595"/>
      <c r="C269" s="599" t="s">
        <v>235</v>
      </c>
      <c r="D269" s="600"/>
      <c r="E269" s="588"/>
      <c r="F269" s="62" t="s">
        <v>234</v>
      </c>
      <c r="G269" s="61" t="s">
        <v>2</v>
      </c>
      <c r="H269" s="292" t="s">
        <v>720</v>
      </c>
      <c r="I269" s="193" t="s">
        <v>6</v>
      </c>
      <c r="J269" s="57">
        <v>0.26</v>
      </c>
      <c r="K269" s="55">
        <v>1</v>
      </c>
      <c r="L269" s="57"/>
      <c r="M269" s="55"/>
      <c r="N269" s="57"/>
      <c r="O269" s="55"/>
      <c r="P269" s="57">
        <v>0.12</v>
      </c>
      <c r="Q269" s="55">
        <v>1</v>
      </c>
      <c r="R269" s="57"/>
      <c r="S269" s="55"/>
      <c r="T269" s="54"/>
      <c r="U269" s="53">
        <v>15</v>
      </c>
      <c r="V269" s="52"/>
      <c r="W269" s="51">
        <f t="shared" si="39"/>
        <v>15</v>
      </c>
      <c r="X269" s="414"/>
    </row>
    <row r="270" spans="2:24" ht="20.100000000000001" customHeight="1" x14ac:dyDescent="0.2">
      <c r="B270" s="595"/>
      <c r="C270" s="610" t="s">
        <v>711</v>
      </c>
      <c r="D270" s="611"/>
      <c r="E270" s="614" t="s">
        <v>712</v>
      </c>
      <c r="F270" s="29" t="s">
        <v>717</v>
      </c>
      <c r="G270" s="28" t="s">
        <v>2</v>
      </c>
      <c r="H270" s="274" t="s">
        <v>721</v>
      </c>
      <c r="I270" s="217" t="s">
        <v>6</v>
      </c>
      <c r="J270" s="25"/>
      <c r="K270" s="24"/>
      <c r="L270" s="25"/>
      <c r="M270" s="24"/>
      <c r="N270" s="25"/>
      <c r="O270" s="24"/>
      <c r="P270" s="25"/>
      <c r="Q270" s="24"/>
      <c r="R270" s="25"/>
      <c r="S270" s="24"/>
      <c r="T270" s="23"/>
      <c r="U270" s="22">
        <v>10</v>
      </c>
      <c r="V270" s="21"/>
      <c r="W270" s="464"/>
      <c r="X270" s="414"/>
    </row>
    <row r="271" spans="2:24" ht="20.100000000000001" customHeight="1" x14ac:dyDescent="0.2">
      <c r="B271" s="595"/>
      <c r="C271" s="612"/>
      <c r="D271" s="613"/>
      <c r="E271" s="615"/>
      <c r="F271" s="29" t="s">
        <v>719</v>
      </c>
      <c r="G271" s="28" t="s">
        <v>2</v>
      </c>
      <c r="H271" s="274" t="s">
        <v>721</v>
      </c>
      <c r="I271" s="217" t="s">
        <v>6</v>
      </c>
      <c r="J271" s="25"/>
      <c r="K271" s="24"/>
      <c r="L271" s="25"/>
      <c r="M271" s="24"/>
      <c r="N271" s="25"/>
      <c r="O271" s="24"/>
      <c r="P271" s="25"/>
      <c r="Q271" s="24"/>
      <c r="R271" s="25"/>
      <c r="S271" s="24"/>
      <c r="T271" s="23"/>
      <c r="U271" s="22">
        <v>11</v>
      </c>
      <c r="V271" s="21"/>
      <c r="W271" s="464"/>
      <c r="X271" s="414"/>
    </row>
    <row r="272" spans="2:24" ht="20.100000000000001" customHeight="1" x14ac:dyDescent="0.2">
      <c r="B272" s="595"/>
      <c r="C272" s="610" t="s">
        <v>713</v>
      </c>
      <c r="D272" s="578" t="s">
        <v>715</v>
      </c>
      <c r="E272" s="614" t="s">
        <v>714</v>
      </c>
      <c r="F272" s="29" t="s">
        <v>717</v>
      </c>
      <c r="G272" s="28" t="s">
        <v>2</v>
      </c>
      <c r="H272" s="274" t="s">
        <v>723</v>
      </c>
      <c r="I272" s="217" t="s">
        <v>6</v>
      </c>
      <c r="J272" s="25"/>
      <c r="K272" s="24"/>
      <c r="L272" s="25"/>
      <c r="M272" s="24"/>
      <c r="N272" s="25"/>
      <c r="O272" s="24"/>
      <c r="P272" s="25"/>
      <c r="Q272" s="24"/>
      <c r="R272" s="25"/>
      <c r="S272" s="24"/>
      <c r="T272" s="23"/>
      <c r="U272" s="22">
        <v>11</v>
      </c>
      <c r="V272" s="21"/>
      <c r="W272" s="464"/>
      <c r="X272" s="414"/>
    </row>
    <row r="273" spans="2:24" ht="20.100000000000001" customHeight="1" x14ac:dyDescent="0.2">
      <c r="B273" s="595"/>
      <c r="C273" s="607"/>
      <c r="D273" s="579"/>
      <c r="E273" s="617"/>
      <c r="F273" s="29" t="s">
        <v>719</v>
      </c>
      <c r="G273" s="463" t="s">
        <v>2</v>
      </c>
      <c r="H273" s="469" t="s">
        <v>722</v>
      </c>
      <c r="I273" s="229" t="s">
        <v>6</v>
      </c>
      <c r="J273" s="470"/>
      <c r="K273" s="471"/>
      <c r="L273" s="470"/>
      <c r="M273" s="471"/>
      <c r="N273" s="470"/>
      <c r="O273" s="471"/>
      <c r="P273" s="470"/>
      <c r="Q273" s="471"/>
      <c r="R273" s="470"/>
      <c r="S273" s="471"/>
      <c r="T273" s="141"/>
      <c r="U273" s="472">
        <v>12</v>
      </c>
      <c r="V273" s="473"/>
      <c r="W273" s="474"/>
      <c r="X273" s="414"/>
    </row>
    <row r="274" spans="2:24" ht="20.100000000000001" customHeight="1" x14ac:dyDescent="0.2">
      <c r="B274" s="595"/>
      <c r="C274" s="607"/>
      <c r="D274" s="578" t="s">
        <v>716</v>
      </c>
      <c r="E274" s="617"/>
      <c r="F274" s="29" t="s">
        <v>717</v>
      </c>
      <c r="G274" s="463" t="s">
        <v>2</v>
      </c>
      <c r="H274" s="469" t="s">
        <v>720</v>
      </c>
      <c r="I274" s="229" t="s">
        <v>6</v>
      </c>
      <c r="J274" s="470"/>
      <c r="K274" s="471"/>
      <c r="L274" s="470"/>
      <c r="M274" s="471"/>
      <c r="N274" s="470"/>
      <c r="O274" s="471"/>
      <c r="P274" s="470"/>
      <c r="Q274" s="471"/>
      <c r="R274" s="470"/>
      <c r="S274" s="471"/>
      <c r="T274" s="141"/>
      <c r="U274" s="472">
        <v>13</v>
      </c>
      <c r="V274" s="473"/>
      <c r="W274" s="474"/>
      <c r="X274" s="414"/>
    </row>
    <row r="275" spans="2:24" ht="20.100000000000001" customHeight="1" x14ac:dyDescent="0.2">
      <c r="B275" s="609"/>
      <c r="C275" s="616"/>
      <c r="D275" s="619"/>
      <c r="E275" s="618"/>
      <c r="F275" s="465" t="s">
        <v>718</v>
      </c>
      <c r="G275" s="466" t="s">
        <v>2</v>
      </c>
      <c r="H275" s="467" t="s">
        <v>720</v>
      </c>
      <c r="I275" s="356" t="s">
        <v>6</v>
      </c>
      <c r="J275" s="354"/>
      <c r="K275" s="353"/>
      <c r="L275" s="354"/>
      <c r="M275" s="353"/>
      <c r="N275" s="354"/>
      <c r="O275" s="353"/>
      <c r="P275" s="354"/>
      <c r="Q275" s="353"/>
      <c r="R275" s="354"/>
      <c r="S275" s="353"/>
      <c r="T275" s="352"/>
      <c r="U275" s="460">
        <v>15</v>
      </c>
      <c r="V275" s="468"/>
      <c r="W275" s="461"/>
      <c r="X275" s="414"/>
    </row>
    <row r="276" spans="2:24" ht="20.100000000000001" customHeight="1" x14ac:dyDescent="0.2">
      <c r="B276" s="714" t="s">
        <v>233</v>
      </c>
      <c r="C276" s="601" t="s">
        <v>232</v>
      </c>
      <c r="D276" s="602"/>
      <c r="E276" s="478" t="s">
        <v>231</v>
      </c>
      <c r="F276" s="90" t="s">
        <v>230</v>
      </c>
      <c r="G276" s="89" t="s">
        <v>2</v>
      </c>
      <c r="H276" s="88" t="s">
        <v>224</v>
      </c>
      <c r="I276" s="26"/>
      <c r="J276" s="87"/>
      <c r="K276" s="86">
        <v>2</v>
      </c>
      <c r="L276" s="87"/>
      <c r="M276" s="86"/>
      <c r="N276" s="87"/>
      <c r="O276" s="86"/>
      <c r="P276" s="87"/>
      <c r="Q276" s="86">
        <v>1</v>
      </c>
      <c r="R276" s="87"/>
      <c r="S276" s="86"/>
      <c r="T276" s="85"/>
      <c r="U276" s="144">
        <v>45</v>
      </c>
      <c r="V276" s="84">
        <v>63</v>
      </c>
      <c r="W276" s="83">
        <f t="shared" si="39"/>
        <v>54</v>
      </c>
      <c r="X276" s="414">
        <f t="shared" ref="X276:X336" si="40">V276-U276</f>
        <v>18</v>
      </c>
    </row>
    <row r="277" spans="2:24" ht="20.100000000000001" customHeight="1" x14ac:dyDescent="0.2">
      <c r="B277" s="592"/>
      <c r="C277" s="603" t="s">
        <v>229</v>
      </c>
      <c r="D277" s="604"/>
      <c r="E277" s="491" t="s">
        <v>228</v>
      </c>
      <c r="F277" s="73" t="s">
        <v>221</v>
      </c>
      <c r="G277" s="72" t="s">
        <v>2</v>
      </c>
      <c r="H277" s="203" t="s">
        <v>224</v>
      </c>
      <c r="I277" s="59"/>
      <c r="J277" s="69"/>
      <c r="K277" s="67">
        <v>2</v>
      </c>
      <c r="L277" s="69"/>
      <c r="M277" s="67"/>
      <c r="N277" s="69"/>
      <c r="O277" s="67"/>
      <c r="P277" s="69"/>
      <c r="Q277" s="67">
        <v>1</v>
      </c>
      <c r="R277" s="69"/>
      <c r="S277" s="67"/>
      <c r="T277" s="66"/>
      <c r="U277" s="65">
        <v>15</v>
      </c>
      <c r="V277" s="64">
        <v>21</v>
      </c>
      <c r="W277" s="63">
        <f t="shared" si="39"/>
        <v>18</v>
      </c>
      <c r="X277" s="414">
        <f t="shared" si="40"/>
        <v>6</v>
      </c>
    </row>
    <row r="278" spans="2:24" ht="20.100000000000001" customHeight="1" x14ac:dyDescent="0.2">
      <c r="B278" s="592"/>
      <c r="C278" s="603" t="s">
        <v>227</v>
      </c>
      <c r="D278" s="604"/>
      <c r="E278" s="491" t="s">
        <v>226</v>
      </c>
      <c r="F278" s="73" t="s">
        <v>225</v>
      </c>
      <c r="G278" s="72" t="s">
        <v>2</v>
      </c>
      <c r="H278" s="203" t="s">
        <v>224</v>
      </c>
      <c r="I278" s="59"/>
      <c r="J278" s="69"/>
      <c r="K278" s="67">
        <v>2</v>
      </c>
      <c r="L278" s="69"/>
      <c r="M278" s="67"/>
      <c r="N278" s="69"/>
      <c r="O278" s="67"/>
      <c r="P278" s="69"/>
      <c r="Q278" s="67">
        <v>1</v>
      </c>
      <c r="R278" s="69"/>
      <c r="S278" s="67"/>
      <c r="T278" s="66"/>
      <c r="U278" s="66">
        <v>21</v>
      </c>
      <c r="V278" s="64">
        <v>27</v>
      </c>
      <c r="W278" s="63">
        <f t="shared" si="39"/>
        <v>24</v>
      </c>
      <c r="X278" s="414">
        <f t="shared" si="40"/>
        <v>6</v>
      </c>
    </row>
    <row r="279" spans="2:24" ht="20.100000000000001" customHeight="1" x14ac:dyDescent="0.2">
      <c r="B279" s="593"/>
      <c r="C279" s="665" t="s">
        <v>223</v>
      </c>
      <c r="D279" s="666"/>
      <c r="E279" s="494" t="s">
        <v>222</v>
      </c>
      <c r="F279" s="122" t="s">
        <v>221</v>
      </c>
      <c r="G279" s="121" t="s">
        <v>2</v>
      </c>
      <c r="H279" s="120" t="s">
        <v>220</v>
      </c>
      <c r="I279" s="119"/>
      <c r="J279" s="118"/>
      <c r="K279" s="117">
        <v>2</v>
      </c>
      <c r="L279" s="118"/>
      <c r="M279" s="117"/>
      <c r="N279" s="118"/>
      <c r="O279" s="117"/>
      <c r="P279" s="118"/>
      <c r="Q279" s="117">
        <v>1</v>
      </c>
      <c r="R279" s="118"/>
      <c r="S279" s="117"/>
      <c r="T279" s="189"/>
      <c r="U279" s="189">
        <v>26</v>
      </c>
      <c r="V279" s="116">
        <v>39</v>
      </c>
      <c r="W279" s="115">
        <f t="shared" si="39"/>
        <v>32.5</v>
      </c>
      <c r="X279" s="414">
        <f t="shared" si="40"/>
        <v>13</v>
      </c>
    </row>
    <row r="280" spans="2:24" ht="20.100000000000001" customHeight="1" x14ac:dyDescent="0.2">
      <c r="B280" s="591" t="s">
        <v>219</v>
      </c>
      <c r="C280" s="637" t="s">
        <v>218</v>
      </c>
      <c r="D280" s="638"/>
      <c r="E280" s="480" t="s">
        <v>217</v>
      </c>
      <c r="F280" s="186" t="s">
        <v>216</v>
      </c>
      <c r="G280" s="201" t="s">
        <v>44</v>
      </c>
      <c r="H280" s="184" t="s">
        <v>215</v>
      </c>
      <c r="I280" s="183" t="s">
        <v>6</v>
      </c>
      <c r="J280" s="182">
        <v>0.06</v>
      </c>
      <c r="K280" s="181">
        <v>1</v>
      </c>
      <c r="L280" s="182"/>
      <c r="M280" s="181"/>
      <c r="N280" s="182"/>
      <c r="O280" s="181"/>
      <c r="P280" s="182">
        <v>0.01</v>
      </c>
      <c r="Q280" s="181">
        <v>1</v>
      </c>
      <c r="R280" s="182"/>
      <c r="S280" s="181"/>
      <c r="T280" s="66"/>
      <c r="U280" s="65" cm="1">
        <f t="array" ref="U280">_xlfn.IFS(MAX(J280,L280,N280)=J280,K280/J280,MAX(J280,L280,N280)=L280,M280/L280,MAX(J280,L280,N280)=N280,O280/N280)</f>
        <v>16.666666666666668</v>
      </c>
      <c r="V280" s="198"/>
      <c r="W280" s="197">
        <f t="shared" si="39"/>
        <v>16.666666666666668</v>
      </c>
      <c r="X280" s="414"/>
    </row>
    <row r="281" spans="2:24" ht="20.100000000000001" customHeight="1" x14ac:dyDescent="0.2">
      <c r="B281" s="686"/>
      <c r="C281" s="603" t="s">
        <v>214</v>
      </c>
      <c r="D281" s="604"/>
      <c r="E281" s="491" t="s">
        <v>213</v>
      </c>
      <c r="F281" s="73" t="s">
        <v>212</v>
      </c>
      <c r="G281" s="72" t="s">
        <v>44</v>
      </c>
      <c r="H281" s="194" t="s">
        <v>204</v>
      </c>
      <c r="I281" s="195" t="s">
        <v>6</v>
      </c>
      <c r="J281" s="69">
        <v>0.09</v>
      </c>
      <c r="K281" s="67">
        <v>1</v>
      </c>
      <c r="L281" s="69"/>
      <c r="M281" s="67"/>
      <c r="N281" s="69"/>
      <c r="O281" s="67"/>
      <c r="P281" s="69">
        <v>0.02</v>
      </c>
      <c r="Q281" s="67">
        <v>1</v>
      </c>
      <c r="R281" s="69"/>
      <c r="S281" s="67"/>
      <c r="T281" s="66"/>
      <c r="U281" s="65" cm="1">
        <f t="array" ref="U281">_xlfn.IFS(MAX(J281,L281,N281)=J281,K281/J281,MAX(J281,L281,N281)=L281,M281/L281,MAX(J281,L281,N281)=N281,O281/N281)</f>
        <v>11.111111111111111</v>
      </c>
      <c r="V281" s="64"/>
      <c r="W281" s="63">
        <f t="shared" si="39"/>
        <v>11.111111111111111</v>
      </c>
      <c r="X281" s="414"/>
    </row>
    <row r="282" spans="2:24" ht="20.100000000000001" customHeight="1" x14ac:dyDescent="0.2">
      <c r="B282" s="686"/>
      <c r="C282" s="603" t="s">
        <v>211</v>
      </c>
      <c r="D282" s="604"/>
      <c r="E282" s="491" t="s">
        <v>210</v>
      </c>
      <c r="F282" s="73" t="s">
        <v>209</v>
      </c>
      <c r="G282" s="72" t="s">
        <v>208</v>
      </c>
      <c r="H282" s="194" t="s">
        <v>204</v>
      </c>
      <c r="I282" s="195" t="s">
        <v>6</v>
      </c>
      <c r="J282" s="69">
        <v>0.08</v>
      </c>
      <c r="K282" s="67">
        <v>1</v>
      </c>
      <c r="L282" s="69"/>
      <c r="M282" s="67"/>
      <c r="N282" s="69"/>
      <c r="O282" s="67"/>
      <c r="P282" s="69">
        <v>0.02</v>
      </c>
      <c r="Q282" s="67">
        <v>1</v>
      </c>
      <c r="R282" s="69"/>
      <c r="S282" s="67"/>
      <c r="T282" s="66"/>
      <c r="U282" s="65" cm="1">
        <f t="array" ref="U282">_xlfn.IFS(MAX(J282,L282,N282)=J282,K282/J282,MAX(J282,L282,N282)=L282,M282/L282,MAX(J282,L282,N282)=N282,O282/N282)</f>
        <v>12.5</v>
      </c>
      <c r="V282" s="64"/>
      <c r="W282" s="63">
        <f t="shared" ref="W282:W314" si="41">AVERAGE(U282,V282)</f>
        <v>12.5</v>
      </c>
      <c r="X282" s="414"/>
    </row>
    <row r="283" spans="2:24" ht="20.100000000000001" customHeight="1" x14ac:dyDescent="0.2">
      <c r="B283" s="593"/>
      <c r="C283" s="665" t="s">
        <v>207</v>
      </c>
      <c r="D283" s="666"/>
      <c r="E283" s="494" t="s">
        <v>206</v>
      </c>
      <c r="F283" s="122" t="s">
        <v>205</v>
      </c>
      <c r="G283" s="121" t="s">
        <v>179</v>
      </c>
      <c r="H283" s="191" t="s">
        <v>204</v>
      </c>
      <c r="I283" s="190" t="s">
        <v>6</v>
      </c>
      <c r="J283" s="118">
        <v>0.17</v>
      </c>
      <c r="K283" s="117">
        <v>1</v>
      </c>
      <c r="L283" s="118"/>
      <c r="M283" s="117"/>
      <c r="N283" s="118"/>
      <c r="O283" s="117"/>
      <c r="P283" s="118">
        <v>0.04</v>
      </c>
      <c r="Q283" s="117">
        <v>1</v>
      </c>
      <c r="R283" s="118"/>
      <c r="S283" s="117"/>
      <c r="T283" s="66"/>
      <c r="U283" s="65" cm="1">
        <f t="array" ref="U283">_xlfn.IFS(MAX(J283,L283,N283)=J283,K283/J283,MAX(J283,L283,N283)=L283,M283/L283,MAX(J283,L283,N283)=N283,O283/N283)</f>
        <v>5.8823529411764701</v>
      </c>
      <c r="V283" s="116"/>
      <c r="W283" s="115">
        <f t="shared" si="41"/>
        <v>5.8823529411764701</v>
      </c>
      <c r="X283" s="414"/>
    </row>
    <row r="284" spans="2:24" ht="20.100000000000001" customHeight="1" x14ac:dyDescent="0.2">
      <c r="B284" s="591" t="s">
        <v>203</v>
      </c>
      <c r="C284" s="637" t="s">
        <v>202</v>
      </c>
      <c r="D284" s="638"/>
      <c r="E284" s="480" t="s">
        <v>201</v>
      </c>
      <c r="F284" s="186" t="s">
        <v>200</v>
      </c>
      <c r="G284" s="201" t="s">
        <v>118</v>
      </c>
      <c r="H284" s="200" t="s">
        <v>199</v>
      </c>
      <c r="I284" s="199" t="s">
        <v>6</v>
      </c>
      <c r="J284" s="182"/>
      <c r="K284" s="181">
        <v>3</v>
      </c>
      <c r="L284" s="182"/>
      <c r="M284" s="181">
        <v>1</v>
      </c>
      <c r="N284" s="182"/>
      <c r="O284" s="181"/>
      <c r="P284" s="182"/>
      <c r="Q284" s="181">
        <v>1</v>
      </c>
      <c r="R284" s="182"/>
      <c r="S284" s="181"/>
      <c r="T284" s="211"/>
      <c r="U284" s="210">
        <v>0.4</v>
      </c>
      <c r="V284" s="198">
        <v>0.9</v>
      </c>
      <c r="W284" s="197">
        <f t="shared" si="41"/>
        <v>0.65</v>
      </c>
      <c r="X284" s="414">
        <f t="shared" si="40"/>
        <v>0.5</v>
      </c>
    </row>
    <row r="285" spans="2:24" ht="20.100000000000001" customHeight="1" x14ac:dyDescent="0.2">
      <c r="B285" s="592"/>
      <c r="C285" s="603" t="s">
        <v>198</v>
      </c>
      <c r="D285" s="604"/>
      <c r="E285" s="491" t="s">
        <v>197</v>
      </c>
      <c r="F285" s="73" t="s">
        <v>196</v>
      </c>
      <c r="G285" s="72" t="s">
        <v>2</v>
      </c>
      <c r="H285" s="203" t="s">
        <v>195</v>
      </c>
      <c r="I285" s="59" t="s">
        <v>6</v>
      </c>
      <c r="J285" s="69"/>
      <c r="K285" s="67">
        <v>3</v>
      </c>
      <c r="L285" s="69"/>
      <c r="M285" s="67"/>
      <c r="N285" s="69"/>
      <c r="O285" s="67"/>
      <c r="P285" s="69"/>
      <c r="Q285" s="67">
        <v>1</v>
      </c>
      <c r="R285" s="69"/>
      <c r="S285" s="67"/>
      <c r="T285" s="202"/>
      <c r="U285" s="65">
        <v>18</v>
      </c>
      <c r="V285" s="64">
        <v>17</v>
      </c>
      <c r="W285" s="63">
        <f t="shared" si="41"/>
        <v>17.5</v>
      </c>
      <c r="X285" s="414">
        <f t="shared" si="40"/>
        <v>-1</v>
      </c>
    </row>
    <row r="286" spans="2:24" ht="20.100000000000001" customHeight="1" x14ac:dyDescent="0.2">
      <c r="B286" s="592"/>
      <c r="C286" s="603" t="s">
        <v>194</v>
      </c>
      <c r="D286" s="604"/>
      <c r="E286" s="491" t="s">
        <v>193</v>
      </c>
      <c r="F286" s="73" t="s">
        <v>192</v>
      </c>
      <c r="G286" s="72" t="s">
        <v>2</v>
      </c>
      <c r="H286" s="203" t="s">
        <v>188</v>
      </c>
      <c r="I286" s="59" t="s">
        <v>6</v>
      </c>
      <c r="J286" s="69"/>
      <c r="K286" s="67">
        <v>2</v>
      </c>
      <c r="L286" s="69"/>
      <c r="M286" s="67"/>
      <c r="N286" s="69"/>
      <c r="O286" s="67"/>
      <c r="P286" s="69"/>
      <c r="Q286" s="67">
        <v>1</v>
      </c>
      <c r="R286" s="69"/>
      <c r="S286" s="67"/>
      <c r="T286" s="66"/>
      <c r="U286" s="65">
        <v>20</v>
      </c>
      <c r="V286" s="64">
        <v>20</v>
      </c>
      <c r="W286" s="63">
        <f t="shared" si="41"/>
        <v>20</v>
      </c>
      <c r="X286" s="414">
        <f t="shared" si="40"/>
        <v>0</v>
      </c>
    </row>
    <row r="287" spans="2:24" ht="20.100000000000001" customHeight="1" x14ac:dyDescent="0.2">
      <c r="B287" s="592"/>
      <c r="C287" s="603" t="s">
        <v>191</v>
      </c>
      <c r="D287" s="604"/>
      <c r="E287" s="491" t="s">
        <v>190</v>
      </c>
      <c r="F287" s="73" t="s">
        <v>189</v>
      </c>
      <c r="G287" s="72" t="s">
        <v>2</v>
      </c>
      <c r="H287" s="203" t="s">
        <v>188</v>
      </c>
      <c r="I287" s="59" t="s">
        <v>6</v>
      </c>
      <c r="J287" s="69"/>
      <c r="K287" s="67">
        <v>2</v>
      </c>
      <c r="L287" s="69"/>
      <c r="M287" s="67"/>
      <c r="N287" s="69"/>
      <c r="O287" s="67"/>
      <c r="P287" s="69"/>
      <c r="Q287" s="67">
        <v>1</v>
      </c>
      <c r="R287" s="69"/>
      <c r="S287" s="67"/>
      <c r="T287" s="66"/>
      <c r="U287" s="65">
        <v>40</v>
      </c>
      <c r="V287" s="64">
        <v>40</v>
      </c>
      <c r="W287" s="63">
        <f t="shared" si="41"/>
        <v>40</v>
      </c>
      <c r="X287" s="414">
        <f t="shared" si="40"/>
        <v>0</v>
      </c>
    </row>
    <row r="288" spans="2:24" ht="20.100000000000001" customHeight="1" x14ac:dyDescent="0.2">
      <c r="B288" s="593"/>
      <c r="C288" s="665" t="s">
        <v>187</v>
      </c>
      <c r="D288" s="666"/>
      <c r="E288" s="494" t="s">
        <v>186</v>
      </c>
      <c r="F288" s="122" t="s">
        <v>185</v>
      </c>
      <c r="G288" s="121" t="s">
        <v>2</v>
      </c>
      <c r="H288" s="203" t="s">
        <v>184</v>
      </c>
      <c r="I288" s="207" t="s">
        <v>6</v>
      </c>
      <c r="J288" s="118"/>
      <c r="K288" s="117">
        <v>2</v>
      </c>
      <c r="L288" s="118"/>
      <c r="M288" s="117"/>
      <c r="N288" s="118"/>
      <c r="O288" s="117"/>
      <c r="P288" s="118"/>
      <c r="Q288" s="117">
        <v>1</v>
      </c>
      <c r="R288" s="118"/>
      <c r="S288" s="117"/>
      <c r="T288" s="189"/>
      <c r="U288" s="189">
        <v>37</v>
      </c>
      <c r="V288" s="116">
        <v>37</v>
      </c>
      <c r="W288" s="115">
        <f t="shared" si="41"/>
        <v>37</v>
      </c>
      <c r="X288" s="414">
        <f t="shared" si="40"/>
        <v>0</v>
      </c>
    </row>
    <row r="289" spans="2:24" ht="20.100000000000001" customHeight="1" x14ac:dyDescent="0.2">
      <c r="B289" s="594" t="s">
        <v>183</v>
      </c>
      <c r="C289" s="597" t="s">
        <v>182</v>
      </c>
      <c r="D289" s="598"/>
      <c r="E289" s="493" t="s">
        <v>181</v>
      </c>
      <c r="F289" s="186" t="s">
        <v>180</v>
      </c>
      <c r="G289" s="201" t="s">
        <v>179</v>
      </c>
      <c r="H289" s="200" t="s">
        <v>169</v>
      </c>
      <c r="I289" s="199" t="s">
        <v>6</v>
      </c>
      <c r="J289" s="182">
        <v>0.47599999999999998</v>
      </c>
      <c r="K289" s="181">
        <v>4</v>
      </c>
      <c r="L289" s="182"/>
      <c r="M289" s="181"/>
      <c r="N289" s="182"/>
      <c r="O289" s="181"/>
      <c r="P289" s="182">
        <v>0.106</v>
      </c>
      <c r="Q289" s="181">
        <v>1</v>
      </c>
      <c r="R289" s="182"/>
      <c r="S289" s="181"/>
      <c r="T289" s="180"/>
      <c r="U289" s="65" cm="1">
        <f t="array" ref="U289">_xlfn.IFS(MAX(J289,L289,N289)=J289,K289/J289,MAX(J289,L289,N289)=L289,M289/L289,MAX(J289,L289,N289)=N289,O289/N289)</f>
        <v>8.4033613445378155</v>
      </c>
      <c r="V289" s="198">
        <v>8</v>
      </c>
      <c r="W289" s="197">
        <f t="shared" si="41"/>
        <v>8.2016806722689068</v>
      </c>
      <c r="X289" s="414">
        <f t="shared" si="40"/>
        <v>-0.40336134453781547</v>
      </c>
    </row>
    <row r="290" spans="2:24" ht="20.100000000000001" customHeight="1" x14ac:dyDescent="0.2">
      <c r="B290" s="595"/>
      <c r="C290" s="599" t="s">
        <v>178</v>
      </c>
      <c r="D290" s="600"/>
      <c r="E290" s="630" t="s">
        <v>177</v>
      </c>
      <c r="F290" s="73" t="s">
        <v>176</v>
      </c>
      <c r="G290" s="72" t="s">
        <v>2</v>
      </c>
      <c r="H290" s="203" t="s">
        <v>172</v>
      </c>
      <c r="I290" s="59" t="s">
        <v>6</v>
      </c>
      <c r="J290" s="69">
        <v>0.11799999999999999</v>
      </c>
      <c r="K290" s="67">
        <v>5</v>
      </c>
      <c r="L290" s="69"/>
      <c r="M290" s="67"/>
      <c r="N290" s="69"/>
      <c r="O290" s="67"/>
      <c r="P290" s="69">
        <v>1.7999999999999999E-2</v>
      </c>
      <c r="Q290" s="67">
        <v>1</v>
      </c>
      <c r="R290" s="69"/>
      <c r="S290" s="67"/>
      <c r="T290" s="66"/>
      <c r="U290" s="65" cm="1">
        <f t="array" ref="U290">_xlfn.IFS(MAX(J290,L290,N290)=J290,K290/J290,MAX(J290,L290,N290)=L290,M290/L290,MAX(J290,L290,N290)=N290,O290/N290)</f>
        <v>42.372881355932208</v>
      </c>
      <c r="V290" s="64">
        <v>42</v>
      </c>
      <c r="W290" s="63">
        <f t="shared" si="41"/>
        <v>42.186440677966104</v>
      </c>
      <c r="X290" s="414">
        <f t="shared" si="40"/>
        <v>-0.37288135593220773</v>
      </c>
    </row>
    <row r="291" spans="2:24" ht="20.100000000000001" customHeight="1" x14ac:dyDescent="0.2">
      <c r="B291" s="595"/>
      <c r="C291" s="601"/>
      <c r="D291" s="602"/>
      <c r="E291" s="658"/>
      <c r="F291" s="73" t="s">
        <v>173</v>
      </c>
      <c r="G291" s="72" t="s">
        <v>2</v>
      </c>
      <c r="H291" s="203" t="s">
        <v>172</v>
      </c>
      <c r="I291" s="59" t="s">
        <v>6</v>
      </c>
      <c r="J291" s="69">
        <v>0.124</v>
      </c>
      <c r="K291" s="67">
        <v>1</v>
      </c>
      <c r="L291" s="69"/>
      <c r="M291" s="67"/>
      <c r="N291" s="69"/>
      <c r="O291" s="67"/>
      <c r="P291" s="69">
        <v>0.02</v>
      </c>
      <c r="Q291" s="67">
        <v>1</v>
      </c>
      <c r="R291" s="69"/>
      <c r="S291" s="67"/>
      <c r="T291" s="66"/>
      <c r="U291" s="65" cm="1">
        <f t="array" ref="U291">_xlfn.IFS(MAX(J291,L291,N291)=J291,K291/J291,MAX(J291,L291,N291)=L291,M291/L291,MAX(J291,L291,N291)=N291,O291/N291)</f>
        <v>8.064516129032258</v>
      </c>
      <c r="V291" s="64"/>
      <c r="W291" s="63">
        <f t="shared" si="41"/>
        <v>8.064516129032258</v>
      </c>
      <c r="X291" s="414"/>
    </row>
    <row r="292" spans="2:24" ht="20.100000000000001" customHeight="1" x14ac:dyDescent="0.2">
      <c r="B292" s="595"/>
      <c r="C292" s="603" t="s">
        <v>175</v>
      </c>
      <c r="D292" s="604"/>
      <c r="E292" s="491" t="s">
        <v>174</v>
      </c>
      <c r="F292" s="73" t="s">
        <v>173</v>
      </c>
      <c r="G292" s="72" t="s">
        <v>2</v>
      </c>
      <c r="H292" s="203" t="s">
        <v>172</v>
      </c>
      <c r="I292" s="59" t="s">
        <v>6</v>
      </c>
      <c r="J292" s="69">
        <v>0.14499999999999999</v>
      </c>
      <c r="K292" s="67">
        <v>1</v>
      </c>
      <c r="L292" s="69"/>
      <c r="M292" s="67"/>
      <c r="N292" s="69"/>
      <c r="O292" s="67"/>
      <c r="P292" s="69">
        <v>2.4E-2</v>
      </c>
      <c r="Q292" s="67">
        <v>1</v>
      </c>
      <c r="R292" s="69"/>
      <c r="S292" s="67"/>
      <c r="T292" s="66"/>
      <c r="U292" s="65" cm="1">
        <f t="array" ref="U292">_xlfn.IFS(MAX(J292,L292,N292)=J292,K292/J292,MAX(J292,L292,N292)=L292,M292/L292,MAX(J292,L292,N292)=N292,O292/N292)</f>
        <v>6.8965517241379315</v>
      </c>
      <c r="V292" s="64"/>
      <c r="W292" s="63">
        <f t="shared" si="41"/>
        <v>6.8965517241379315</v>
      </c>
      <c r="X292" s="414"/>
    </row>
    <row r="293" spans="2:24" ht="20.100000000000001" customHeight="1" x14ac:dyDescent="0.2">
      <c r="B293" s="595"/>
      <c r="C293" s="599" t="s">
        <v>171</v>
      </c>
      <c r="D293" s="600"/>
      <c r="E293" s="640" t="s">
        <v>724</v>
      </c>
      <c r="F293" s="62" t="s">
        <v>729</v>
      </c>
      <c r="G293" s="61" t="s">
        <v>727</v>
      </c>
      <c r="H293" s="208" t="s">
        <v>725</v>
      </c>
      <c r="I293" s="207" t="s">
        <v>6</v>
      </c>
      <c r="J293" s="57"/>
      <c r="K293" s="55"/>
      <c r="L293" s="57"/>
      <c r="M293" s="55"/>
      <c r="N293" s="57"/>
      <c r="O293" s="55"/>
      <c r="P293" s="57"/>
      <c r="Q293" s="55"/>
      <c r="R293" s="57"/>
      <c r="S293" s="55"/>
      <c r="T293" s="54"/>
      <c r="U293" s="53">
        <v>130</v>
      </c>
      <c r="V293" s="52"/>
      <c r="W293" s="51"/>
      <c r="X293" s="414"/>
    </row>
    <row r="294" spans="2:24" ht="20.100000000000001" customHeight="1" x14ac:dyDescent="0.2">
      <c r="B294" s="596"/>
      <c r="C294" s="621"/>
      <c r="D294" s="622"/>
      <c r="E294" s="668"/>
      <c r="F294" s="122" t="s">
        <v>170</v>
      </c>
      <c r="G294" s="121" t="s">
        <v>728</v>
      </c>
      <c r="H294" s="120" t="s">
        <v>726</v>
      </c>
      <c r="I294" s="119" t="s">
        <v>6</v>
      </c>
      <c r="J294" s="118">
        <v>0.2</v>
      </c>
      <c r="K294" s="117">
        <v>1</v>
      </c>
      <c r="L294" s="118"/>
      <c r="M294" s="117"/>
      <c r="N294" s="118"/>
      <c r="O294" s="117"/>
      <c r="P294" s="118">
        <v>7.0000000000000007E-2</v>
      </c>
      <c r="Q294" s="117">
        <v>1</v>
      </c>
      <c r="R294" s="118"/>
      <c r="S294" s="117"/>
      <c r="T294" s="189"/>
      <c r="U294" s="168">
        <v>150</v>
      </c>
      <c r="V294" s="116"/>
      <c r="W294" s="115">
        <f t="shared" si="41"/>
        <v>150</v>
      </c>
      <c r="X294" s="414"/>
    </row>
    <row r="295" spans="2:24" ht="20.100000000000001" customHeight="1" x14ac:dyDescent="0.2">
      <c r="B295" s="594" t="s">
        <v>168</v>
      </c>
      <c r="C295" s="597" t="s">
        <v>167</v>
      </c>
      <c r="D295" s="209" t="s">
        <v>166</v>
      </c>
      <c r="E295" s="482" t="s">
        <v>165</v>
      </c>
      <c r="F295" s="62" t="s">
        <v>159</v>
      </c>
      <c r="G295" s="61" t="s">
        <v>2</v>
      </c>
      <c r="H295" s="208" t="s">
        <v>104</v>
      </c>
      <c r="I295" s="207" t="s">
        <v>6</v>
      </c>
      <c r="J295" s="57"/>
      <c r="K295" s="55">
        <v>2</v>
      </c>
      <c r="L295" s="57"/>
      <c r="M295" s="55"/>
      <c r="N295" s="57"/>
      <c r="O295" s="55"/>
      <c r="P295" s="57"/>
      <c r="Q295" s="55">
        <v>1</v>
      </c>
      <c r="R295" s="57"/>
      <c r="S295" s="55"/>
      <c r="T295" s="206"/>
      <c r="U295" s="205">
        <v>90</v>
      </c>
      <c r="V295" s="52"/>
      <c r="W295" s="51">
        <f t="shared" si="41"/>
        <v>90</v>
      </c>
      <c r="X295" s="414"/>
    </row>
    <row r="296" spans="2:24" ht="20.100000000000001" customHeight="1" x14ac:dyDescent="0.2">
      <c r="B296" s="595"/>
      <c r="C296" s="607"/>
      <c r="D296" s="204" t="s">
        <v>164</v>
      </c>
      <c r="E296" s="491" t="s">
        <v>163</v>
      </c>
      <c r="F296" s="73" t="s">
        <v>162</v>
      </c>
      <c r="G296" s="72" t="s">
        <v>2</v>
      </c>
      <c r="H296" s="194" t="s">
        <v>104</v>
      </c>
      <c r="I296" s="195" t="s">
        <v>6</v>
      </c>
      <c r="J296" s="69"/>
      <c r="K296" s="67">
        <v>2</v>
      </c>
      <c r="L296" s="69"/>
      <c r="M296" s="67"/>
      <c r="N296" s="69"/>
      <c r="O296" s="67"/>
      <c r="P296" s="69"/>
      <c r="Q296" s="67">
        <v>1</v>
      </c>
      <c r="R296" s="69"/>
      <c r="S296" s="67"/>
      <c r="T296" s="202"/>
      <c r="U296" s="65">
        <v>42</v>
      </c>
      <c r="V296" s="64">
        <v>70</v>
      </c>
      <c r="W296" s="63">
        <f t="shared" si="41"/>
        <v>56</v>
      </c>
      <c r="X296" s="414">
        <f t="shared" si="40"/>
        <v>28</v>
      </c>
    </row>
    <row r="297" spans="2:24" ht="20.100000000000001" customHeight="1" x14ac:dyDescent="0.2">
      <c r="B297" s="595"/>
      <c r="C297" s="607"/>
      <c r="D297" s="204" t="s">
        <v>161</v>
      </c>
      <c r="E297" s="491" t="s">
        <v>160</v>
      </c>
      <c r="F297" s="73" t="s">
        <v>159</v>
      </c>
      <c r="G297" s="72" t="s">
        <v>2</v>
      </c>
      <c r="H297" s="194" t="s">
        <v>104</v>
      </c>
      <c r="I297" s="195" t="s">
        <v>6</v>
      </c>
      <c r="J297" s="69"/>
      <c r="K297" s="67">
        <v>2</v>
      </c>
      <c r="L297" s="69"/>
      <c r="M297" s="67"/>
      <c r="N297" s="69"/>
      <c r="O297" s="67"/>
      <c r="P297" s="69"/>
      <c r="Q297" s="67">
        <v>1</v>
      </c>
      <c r="R297" s="69"/>
      <c r="S297" s="67"/>
      <c r="T297" s="202"/>
      <c r="U297" s="65">
        <v>70</v>
      </c>
      <c r="V297" s="64"/>
      <c r="W297" s="63">
        <f t="shared" si="41"/>
        <v>70</v>
      </c>
      <c r="X297" s="414"/>
    </row>
    <row r="298" spans="2:24" ht="20.100000000000001" customHeight="1" x14ac:dyDescent="0.2">
      <c r="B298" s="595"/>
      <c r="C298" s="607"/>
      <c r="D298" s="204" t="s">
        <v>158</v>
      </c>
      <c r="E298" s="491" t="s">
        <v>157</v>
      </c>
      <c r="F298" s="73" t="s">
        <v>156</v>
      </c>
      <c r="G298" s="72" t="s">
        <v>2</v>
      </c>
      <c r="H298" s="194" t="s">
        <v>104</v>
      </c>
      <c r="I298" s="195" t="s">
        <v>6</v>
      </c>
      <c r="J298" s="69"/>
      <c r="K298" s="67">
        <v>2</v>
      </c>
      <c r="L298" s="69"/>
      <c r="M298" s="67"/>
      <c r="N298" s="69"/>
      <c r="O298" s="67"/>
      <c r="P298" s="69"/>
      <c r="Q298" s="67">
        <v>1</v>
      </c>
      <c r="R298" s="69"/>
      <c r="S298" s="67"/>
      <c r="T298" s="202"/>
      <c r="U298" s="65">
        <v>260</v>
      </c>
      <c r="V298" s="64">
        <v>260</v>
      </c>
      <c r="W298" s="63">
        <f t="shared" si="41"/>
        <v>260</v>
      </c>
      <c r="X298" s="414">
        <f t="shared" si="40"/>
        <v>0</v>
      </c>
    </row>
    <row r="299" spans="2:24" ht="20.100000000000001" customHeight="1" x14ac:dyDescent="0.2">
      <c r="B299" s="595"/>
      <c r="C299" s="607"/>
      <c r="D299" s="632" t="s">
        <v>155</v>
      </c>
      <c r="E299" s="630" t="s">
        <v>154</v>
      </c>
      <c r="F299" s="73" t="s">
        <v>153</v>
      </c>
      <c r="G299" s="72" t="s">
        <v>2</v>
      </c>
      <c r="H299" s="194" t="s">
        <v>104</v>
      </c>
      <c r="I299" s="195" t="s">
        <v>6</v>
      </c>
      <c r="J299" s="69"/>
      <c r="K299" s="67">
        <v>2</v>
      </c>
      <c r="L299" s="69"/>
      <c r="M299" s="67"/>
      <c r="N299" s="69"/>
      <c r="O299" s="67"/>
      <c r="P299" s="69"/>
      <c r="Q299" s="67">
        <v>1</v>
      </c>
      <c r="R299" s="69"/>
      <c r="S299" s="67"/>
      <c r="T299" s="202"/>
      <c r="U299" s="65">
        <v>45</v>
      </c>
      <c r="V299" s="64"/>
      <c r="W299" s="63">
        <f t="shared" si="41"/>
        <v>45</v>
      </c>
      <c r="X299" s="414"/>
    </row>
    <row r="300" spans="2:24" ht="20.100000000000001" customHeight="1" x14ac:dyDescent="0.2">
      <c r="B300" s="595"/>
      <c r="C300" s="601"/>
      <c r="D300" s="641"/>
      <c r="E300" s="634"/>
      <c r="F300" s="73" t="s">
        <v>152</v>
      </c>
      <c r="G300" s="72" t="s">
        <v>2</v>
      </c>
      <c r="H300" s="194" t="s">
        <v>104</v>
      </c>
      <c r="I300" s="195" t="s">
        <v>6</v>
      </c>
      <c r="J300" s="69"/>
      <c r="K300" s="67">
        <v>2</v>
      </c>
      <c r="L300" s="69"/>
      <c r="M300" s="67"/>
      <c r="N300" s="69"/>
      <c r="O300" s="67"/>
      <c r="P300" s="69"/>
      <c r="Q300" s="67">
        <v>1</v>
      </c>
      <c r="R300" s="69"/>
      <c r="S300" s="67"/>
      <c r="T300" s="202"/>
      <c r="U300" s="65">
        <v>35</v>
      </c>
      <c r="V300" s="64"/>
      <c r="W300" s="63">
        <f t="shared" si="41"/>
        <v>35</v>
      </c>
      <c r="X300" s="414"/>
    </row>
    <row r="301" spans="2:24" ht="20.100000000000001" customHeight="1" x14ac:dyDescent="0.2">
      <c r="B301" s="595"/>
      <c r="C301" s="599" t="s">
        <v>151</v>
      </c>
      <c r="D301" s="632" t="s">
        <v>110</v>
      </c>
      <c r="E301" s="633" t="s">
        <v>150</v>
      </c>
      <c r="F301" s="73" t="s">
        <v>149</v>
      </c>
      <c r="G301" s="72" t="s">
        <v>2</v>
      </c>
      <c r="H301" s="203" t="s">
        <v>104</v>
      </c>
      <c r="I301" s="59" t="s">
        <v>6</v>
      </c>
      <c r="J301" s="69"/>
      <c r="K301" s="67">
        <v>2</v>
      </c>
      <c r="L301" s="69"/>
      <c r="M301" s="67"/>
      <c r="N301" s="69"/>
      <c r="O301" s="67"/>
      <c r="P301" s="69"/>
      <c r="Q301" s="67">
        <v>1</v>
      </c>
      <c r="R301" s="69"/>
      <c r="S301" s="67"/>
      <c r="T301" s="202"/>
      <c r="U301" s="65">
        <v>45</v>
      </c>
      <c r="V301" s="64">
        <v>45</v>
      </c>
      <c r="W301" s="63">
        <f t="shared" si="41"/>
        <v>45</v>
      </c>
      <c r="X301" s="414">
        <f t="shared" si="40"/>
        <v>0</v>
      </c>
    </row>
    <row r="302" spans="2:24" ht="20.100000000000001" customHeight="1" x14ac:dyDescent="0.2">
      <c r="B302" s="595"/>
      <c r="C302" s="607"/>
      <c r="D302" s="641"/>
      <c r="E302" s="634"/>
      <c r="F302" s="73" t="s">
        <v>148</v>
      </c>
      <c r="G302" s="72" t="s">
        <v>2</v>
      </c>
      <c r="H302" s="203" t="s">
        <v>104</v>
      </c>
      <c r="I302" s="59" t="s">
        <v>6</v>
      </c>
      <c r="J302" s="69"/>
      <c r="K302" s="67">
        <v>2</v>
      </c>
      <c r="L302" s="69"/>
      <c r="M302" s="67"/>
      <c r="N302" s="69"/>
      <c r="O302" s="67"/>
      <c r="P302" s="69"/>
      <c r="Q302" s="67">
        <v>1</v>
      </c>
      <c r="R302" s="69"/>
      <c r="S302" s="67"/>
      <c r="T302" s="202"/>
      <c r="U302" s="65">
        <v>60</v>
      </c>
      <c r="V302" s="64"/>
      <c r="W302" s="63">
        <f t="shared" si="41"/>
        <v>60</v>
      </c>
      <c r="X302" s="414"/>
    </row>
    <row r="303" spans="2:24" ht="20.100000000000001" customHeight="1" x14ac:dyDescent="0.2">
      <c r="B303" s="595"/>
      <c r="C303" s="607"/>
      <c r="D303" s="642" t="s">
        <v>147</v>
      </c>
      <c r="E303" s="633" t="s">
        <v>146</v>
      </c>
      <c r="F303" s="73" t="s">
        <v>145</v>
      </c>
      <c r="G303" s="72" t="s">
        <v>2</v>
      </c>
      <c r="H303" s="203" t="s">
        <v>104</v>
      </c>
      <c r="I303" s="59" t="s">
        <v>6</v>
      </c>
      <c r="J303" s="69"/>
      <c r="K303" s="67">
        <v>2</v>
      </c>
      <c r="L303" s="69"/>
      <c r="M303" s="67"/>
      <c r="N303" s="69"/>
      <c r="O303" s="67"/>
      <c r="P303" s="69"/>
      <c r="Q303" s="67">
        <v>1</v>
      </c>
      <c r="R303" s="69"/>
      <c r="S303" s="67"/>
      <c r="T303" s="202"/>
      <c r="U303" s="65">
        <v>35</v>
      </c>
      <c r="V303" s="64"/>
      <c r="W303" s="63">
        <f t="shared" si="41"/>
        <v>35</v>
      </c>
      <c r="X303" s="414"/>
    </row>
    <row r="304" spans="2:24" ht="20.100000000000001" customHeight="1" x14ac:dyDescent="0.2">
      <c r="B304" s="595"/>
      <c r="C304" s="601"/>
      <c r="D304" s="644"/>
      <c r="E304" s="634"/>
      <c r="F304" s="73" t="s">
        <v>144</v>
      </c>
      <c r="G304" s="72" t="s">
        <v>2</v>
      </c>
      <c r="H304" s="203" t="s">
        <v>104</v>
      </c>
      <c r="I304" s="59" t="s">
        <v>6</v>
      </c>
      <c r="J304" s="69"/>
      <c r="K304" s="67">
        <v>2</v>
      </c>
      <c r="L304" s="69"/>
      <c r="M304" s="67"/>
      <c r="N304" s="69"/>
      <c r="O304" s="67"/>
      <c r="P304" s="69"/>
      <c r="Q304" s="67">
        <v>1</v>
      </c>
      <c r="R304" s="69"/>
      <c r="S304" s="67"/>
      <c r="T304" s="202"/>
      <c r="U304" s="65">
        <v>45</v>
      </c>
      <c r="V304" s="64">
        <v>45</v>
      </c>
      <c r="W304" s="63">
        <f t="shared" si="41"/>
        <v>45</v>
      </c>
      <c r="X304" s="414">
        <f t="shared" si="40"/>
        <v>0</v>
      </c>
    </row>
    <row r="305" spans="2:24" ht="20.100000000000001" customHeight="1" x14ac:dyDescent="0.2">
      <c r="B305" s="595"/>
      <c r="C305" s="599" t="s">
        <v>143</v>
      </c>
      <c r="D305" s="600"/>
      <c r="E305" s="633" t="s">
        <v>142</v>
      </c>
      <c r="F305" s="73" t="s">
        <v>141</v>
      </c>
      <c r="G305" s="72" t="s">
        <v>21</v>
      </c>
      <c r="H305" s="203" t="s">
        <v>139</v>
      </c>
      <c r="I305" s="59" t="s">
        <v>6</v>
      </c>
      <c r="J305" s="69"/>
      <c r="K305" s="67">
        <v>2</v>
      </c>
      <c r="L305" s="69"/>
      <c r="M305" s="67"/>
      <c r="N305" s="69"/>
      <c r="O305" s="67"/>
      <c r="P305" s="69"/>
      <c r="Q305" s="67">
        <v>1</v>
      </c>
      <c r="R305" s="69"/>
      <c r="S305" s="67"/>
      <c r="T305" s="202"/>
      <c r="U305" s="65">
        <v>85</v>
      </c>
      <c r="V305" s="64">
        <v>85</v>
      </c>
      <c r="W305" s="63">
        <f t="shared" si="41"/>
        <v>85</v>
      </c>
      <c r="X305" s="414">
        <f t="shared" si="40"/>
        <v>0</v>
      </c>
    </row>
    <row r="306" spans="2:24" ht="20.100000000000001" customHeight="1" x14ac:dyDescent="0.2">
      <c r="B306" s="595"/>
      <c r="C306" s="601"/>
      <c r="D306" s="602"/>
      <c r="E306" s="634"/>
      <c r="F306" s="73" t="s">
        <v>140</v>
      </c>
      <c r="G306" s="72" t="s">
        <v>44</v>
      </c>
      <c r="H306" s="203" t="s">
        <v>139</v>
      </c>
      <c r="I306" s="59" t="s">
        <v>6</v>
      </c>
      <c r="J306" s="69"/>
      <c r="K306" s="67">
        <v>2</v>
      </c>
      <c r="L306" s="69"/>
      <c r="M306" s="67"/>
      <c r="N306" s="69"/>
      <c r="O306" s="67"/>
      <c r="P306" s="69"/>
      <c r="Q306" s="67">
        <v>1</v>
      </c>
      <c r="R306" s="69"/>
      <c r="S306" s="67"/>
      <c r="T306" s="202"/>
      <c r="U306" s="65">
        <f>95*77%</f>
        <v>73.150000000000006</v>
      </c>
      <c r="V306" s="64">
        <v>65</v>
      </c>
      <c r="W306" s="63">
        <f t="shared" si="41"/>
        <v>69.075000000000003</v>
      </c>
      <c r="X306" s="414">
        <f t="shared" si="40"/>
        <v>-8.1500000000000057</v>
      </c>
    </row>
    <row r="307" spans="2:24" ht="20.100000000000001" customHeight="1" x14ac:dyDescent="0.2">
      <c r="B307" s="595"/>
      <c r="C307" s="599" t="s">
        <v>138</v>
      </c>
      <c r="D307" s="600"/>
      <c r="E307" s="633" t="s">
        <v>137</v>
      </c>
      <c r="F307" s="73" t="s">
        <v>136</v>
      </c>
      <c r="G307" s="72" t="s">
        <v>21</v>
      </c>
      <c r="H307" s="203" t="s">
        <v>104</v>
      </c>
      <c r="I307" s="59" t="s">
        <v>6</v>
      </c>
      <c r="J307" s="69"/>
      <c r="K307" s="67">
        <v>2</v>
      </c>
      <c r="L307" s="69"/>
      <c r="M307" s="67"/>
      <c r="N307" s="69"/>
      <c r="O307" s="67"/>
      <c r="P307" s="69"/>
      <c r="Q307" s="67">
        <v>1</v>
      </c>
      <c r="R307" s="69"/>
      <c r="S307" s="67"/>
      <c r="T307" s="66"/>
      <c r="U307" s="65">
        <v>40</v>
      </c>
      <c r="V307" s="64">
        <v>40</v>
      </c>
      <c r="W307" s="63">
        <f t="shared" si="41"/>
        <v>40</v>
      </c>
      <c r="X307" s="414">
        <f t="shared" si="40"/>
        <v>0</v>
      </c>
    </row>
    <row r="308" spans="2:24" ht="20.100000000000001" customHeight="1" x14ac:dyDescent="0.2">
      <c r="B308" s="595"/>
      <c r="C308" s="607"/>
      <c r="D308" s="620"/>
      <c r="E308" s="634"/>
      <c r="F308" s="73" t="s">
        <v>135</v>
      </c>
      <c r="G308" s="72" t="s">
        <v>21</v>
      </c>
      <c r="H308" s="203" t="s">
        <v>104</v>
      </c>
      <c r="I308" s="59" t="s">
        <v>6</v>
      </c>
      <c r="J308" s="69"/>
      <c r="K308" s="67">
        <v>2</v>
      </c>
      <c r="L308" s="69"/>
      <c r="M308" s="67"/>
      <c r="N308" s="69"/>
      <c r="O308" s="67"/>
      <c r="P308" s="69"/>
      <c r="Q308" s="67">
        <v>1</v>
      </c>
      <c r="R308" s="69"/>
      <c r="S308" s="67"/>
      <c r="T308" s="66"/>
      <c r="U308" s="65">
        <v>100</v>
      </c>
      <c r="V308" s="64">
        <v>100</v>
      </c>
      <c r="W308" s="63">
        <f t="shared" si="41"/>
        <v>100</v>
      </c>
      <c r="X308" s="414">
        <f t="shared" si="40"/>
        <v>0</v>
      </c>
    </row>
    <row r="309" spans="2:24" ht="20.100000000000001" customHeight="1" x14ac:dyDescent="0.2">
      <c r="B309" s="595"/>
      <c r="C309" s="601"/>
      <c r="D309" s="602"/>
      <c r="E309" s="486" t="s">
        <v>134</v>
      </c>
      <c r="F309" s="73" t="s">
        <v>133</v>
      </c>
      <c r="G309" s="72" t="s">
        <v>21</v>
      </c>
      <c r="H309" s="203" t="s">
        <v>104</v>
      </c>
      <c r="I309" s="59" t="s">
        <v>6</v>
      </c>
      <c r="J309" s="69"/>
      <c r="K309" s="67">
        <v>2</v>
      </c>
      <c r="L309" s="69"/>
      <c r="M309" s="67"/>
      <c r="N309" s="69"/>
      <c r="O309" s="67"/>
      <c r="P309" s="69"/>
      <c r="Q309" s="67">
        <v>1</v>
      </c>
      <c r="R309" s="69"/>
      <c r="S309" s="67"/>
      <c r="T309" s="66"/>
      <c r="U309" s="65">
        <v>50</v>
      </c>
      <c r="V309" s="64">
        <v>50</v>
      </c>
      <c r="W309" s="63">
        <f t="shared" si="41"/>
        <v>50</v>
      </c>
      <c r="X309" s="414">
        <f t="shared" si="40"/>
        <v>0</v>
      </c>
    </row>
    <row r="310" spans="2:24" ht="20.100000000000001" customHeight="1" x14ac:dyDescent="0.2">
      <c r="B310" s="595"/>
      <c r="C310" s="603" t="s">
        <v>132</v>
      </c>
      <c r="D310" s="604"/>
      <c r="E310" s="491" t="s">
        <v>131</v>
      </c>
      <c r="F310" s="73" t="s">
        <v>130</v>
      </c>
      <c r="G310" s="72" t="s">
        <v>2</v>
      </c>
      <c r="H310" s="194" t="s">
        <v>104</v>
      </c>
      <c r="I310" s="195" t="s">
        <v>6</v>
      </c>
      <c r="J310" s="69"/>
      <c r="K310" s="67">
        <v>2</v>
      </c>
      <c r="L310" s="69"/>
      <c r="M310" s="67"/>
      <c r="N310" s="69"/>
      <c r="O310" s="67"/>
      <c r="P310" s="69"/>
      <c r="Q310" s="67">
        <v>1</v>
      </c>
      <c r="R310" s="69"/>
      <c r="S310" s="67"/>
      <c r="T310" s="202"/>
      <c r="U310" s="65">
        <v>45</v>
      </c>
      <c r="V310" s="64"/>
      <c r="W310" s="63">
        <f t="shared" si="41"/>
        <v>45</v>
      </c>
      <c r="X310" s="414"/>
    </row>
    <row r="311" spans="2:24" ht="20.100000000000001" customHeight="1" x14ac:dyDescent="0.2">
      <c r="B311" s="591" t="s">
        <v>129</v>
      </c>
      <c r="C311" s="637" t="s">
        <v>128</v>
      </c>
      <c r="D311" s="638"/>
      <c r="E311" s="480" t="s">
        <v>127</v>
      </c>
      <c r="F311" s="186" t="s">
        <v>126</v>
      </c>
      <c r="G311" s="201" t="s">
        <v>2</v>
      </c>
      <c r="H311" s="200" t="s">
        <v>125</v>
      </c>
      <c r="I311" s="199" t="s">
        <v>6</v>
      </c>
      <c r="J311" s="182"/>
      <c r="K311" s="181">
        <v>2</v>
      </c>
      <c r="L311" s="182"/>
      <c r="M311" s="181"/>
      <c r="N311" s="182"/>
      <c r="O311" s="181"/>
      <c r="P311" s="182"/>
      <c r="Q311" s="181">
        <v>1</v>
      </c>
      <c r="R311" s="182"/>
      <c r="S311" s="181"/>
      <c r="T311" s="180"/>
      <c r="U311" s="180">
        <v>65</v>
      </c>
      <c r="V311" s="198">
        <v>65</v>
      </c>
      <c r="W311" s="197">
        <f t="shared" si="41"/>
        <v>65</v>
      </c>
      <c r="X311" s="414">
        <f t="shared" si="40"/>
        <v>0</v>
      </c>
    </row>
    <row r="312" spans="2:24" ht="20.100000000000001" customHeight="1" x14ac:dyDescent="0.2">
      <c r="B312" s="686"/>
      <c r="C312" s="599" t="s">
        <v>124</v>
      </c>
      <c r="D312" s="642" t="s">
        <v>123</v>
      </c>
      <c r="E312" s="630" t="s">
        <v>122</v>
      </c>
      <c r="F312" s="73" t="s">
        <v>121</v>
      </c>
      <c r="G312" s="72" t="s">
        <v>118</v>
      </c>
      <c r="H312" s="194" t="s">
        <v>120</v>
      </c>
      <c r="I312" s="195" t="s">
        <v>6</v>
      </c>
      <c r="J312" s="69"/>
      <c r="K312" s="67">
        <v>2</v>
      </c>
      <c r="L312" s="69"/>
      <c r="M312" s="67">
        <v>2</v>
      </c>
      <c r="N312" s="69"/>
      <c r="O312" s="67"/>
      <c r="P312" s="69"/>
      <c r="Q312" s="67">
        <v>1</v>
      </c>
      <c r="R312" s="69"/>
      <c r="S312" s="67"/>
      <c r="T312" s="66"/>
      <c r="U312" s="65">
        <v>0.22</v>
      </c>
      <c r="V312" s="64"/>
      <c r="W312" s="63">
        <f t="shared" si="41"/>
        <v>0.22</v>
      </c>
      <c r="X312" s="414"/>
    </row>
    <row r="313" spans="2:24" ht="20.100000000000001" customHeight="1" x14ac:dyDescent="0.2">
      <c r="B313" s="686"/>
      <c r="C313" s="607"/>
      <c r="D313" s="644"/>
      <c r="E313" s="634"/>
      <c r="F313" s="73" t="s">
        <v>119</v>
      </c>
      <c r="G313" s="59" t="s">
        <v>118</v>
      </c>
      <c r="H313" s="194" t="s">
        <v>117</v>
      </c>
      <c r="I313" s="195" t="s">
        <v>6</v>
      </c>
      <c r="J313" s="69"/>
      <c r="K313" s="67">
        <v>2</v>
      </c>
      <c r="L313" s="69"/>
      <c r="M313" s="67">
        <v>1</v>
      </c>
      <c r="N313" s="69"/>
      <c r="O313" s="67"/>
      <c r="P313" s="69"/>
      <c r="Q313" s="67">
        <v>1</v>
      </c>
      <c r="R313" s="69"/>
      <c r="S313" s="67"/>
      <c r="T313" s="66"/>
      <c r="U313" s="65">
        <v>0.28000000000000003</v>
      </c>
      <c r="V313" s="192"/>
      <c r="W313" s="63">
        <f t="shared" si="41"/>
        <v>0.28000000000000003</v>
      </c>
      <c r="X313" s="414"/>
    </row>
    <row r="314" spans="2:24" ht="20.100000000000001" customHeight="1" x14ac:dyDescent="0.2">
      <c r="B314" s="686"/>
      <c r="C314" s="601"/>
      <c r="D314" s="196" t="s">
        <v>116</v>
      </c>
      <c r="E314" s="486" t="s">
        <v>115</v>
      </c>
      <c r="F314" s="73" t="s">
        <v>114</v>
      </c>
      <c r="G314" s="59" t="s">
        <v>44</v>
      </c>
      <c r="H314" s="194" t="s">
        <v>113</v>
      </c>
      <c r="I314" s="195" t="s">
        <v>6</v>
      </c>
      <c r="J314" s="69"/>
      <c r="K314" s="67">
        <v>2</v>
      </c>
      <c r="L314" s="69"/>
      <c r="M314" s="67"/>
      <c r="N314" s="69"/>
      <c r="O314" s="67"/>
      <c r="P314" s="69"/>
      <c r="Q314" s="67">
        <v>1</v>
      </c>
      <c r="R314" s="69"/>
      <c r="S314" s="67"/>
      <c r="T314" s="66"/>
      <c r="U314" s="65">
        <v>43</v>
      </c>
      <c r="V314" s="192"/>
      <c r="W314" s="63">
        <f t="shared" si="41"/>
        <v>43</v>
      </c>
      <c r="X314" s="414"/>
    </row>
    <row r="315" spans="2:24" ht="20.100000000000001" customHeight="1" x14ac:dyDescent="0.2">
      <c r="B315" s="686"/>
      <c r="C315" s="599" t="s">
        <v>112</v>
      </c>
      <c r="D315" s="642" t="s">
        <v>715</v>
      </c>
      <c r="E315" s="633" t="s">
        <v>731</v>
      </c>
      <c r="F315" s="73" t="s">
        <v>110</v>
      </c>
      <c r="G315" s="59" t="s">
        <v>108</v>
      </c>
      <c r="H315" s="194" t="s">
        <v>733</v>
      </c>
      <c r="I315" s="195" t="s">
        <v>6</v>
      </c>
      <c r="J315" s="69">
        <v>1.3</v>
      </c>
      <c r="K315" s="67">
        <v>1</v>
      </c>
      <c r="L315" s="69">
        <v>0.72</v>
      </c>
      <c r="M315" s="67">
        <v>1</v>
      </c>
      <c r="N315" s="69"/>
      <c r="O315" s="67"/>
      <c r="P315" s="69"/>
      <c r="Q315" s="67"/>
      <c r="R315" s="69"/>
      <c r="S315" s="67"/>
      <c r="T315" s="66"/>
      <c r="U315" s="65">
        <v>23</v>
      </c>
      <c r="V315" s="192"/>
      <c r="W315" s="63">
        <f t="shared" ref="W315:W321" si="42">AVERAGE(U315,V315)</f>
        <v>23</v>
      </c>
      <c r="X315" s="414"/>
    </row>
    <row r="316" spans="2:24" ht="20.100000000000001" customHeight="1" x14ac:dyDescent="0.2">
      <c r="B316" s="686"/>
      <c r="C316" s="607"/>
      <c r="D316" s="644"/>
      <c r="E316" s="588"/>
      <c r="F316" s="73" t="s">
        <v>111</v>
      </c>
      <c r="G316" s="59" t="s">
        <v>108</v>
      </c>
      <c r="H316" s="194" t="s">
        <v>732</v>
      </c>
      <c r="I316" s="195" t="s">
        <v>6</v>
      </c>
      <c r="J316" s="69">
        <v>1.56</v>
      </c>
      <c r="K316" s="67">
        <v>1</v>
      </c>
      <c r="L316" s="69">
        <v>0.86</v>
      </c>
      <c r="M316" s="67">
        <v>1</v>
      </c>
      <c r="N316" s="69"/>
      <c r="O316" s="67"/>
      <c r="P316" s="69"/>
      <c r="Q316" s="67"/>
      <c r="R316" s="69"/>
      <c r="S316" s="67"/>
      <c r="T316" s="66"/>
      <c r="U316" s="65">
        <v>20</v>
      </c>
      <c r="V316" s="192"/>
      <c r="W316" s="63">
        <f t="shared" si="42"/>
        <v>20</v>
      </c>
      <c r="X316" s="414"/>
    </row>
    <row r="317" spans="2:24" ht="20.100000000000001" customHeight="1" x14ac:dyDescent="0.2">
      <c r="B317" s="686"/>
      <c r="C317" s="607"/>
      <c r="D317" s="642" t="s">
        <v>730</v>
      </c>
      <c r="E317" s="588"/>
      <c r="F317" s="73" t="s">
        <v>110</v>
      </c>
      <c r="G317" s="59" t="s">
        <v>108</v>
      </c>
      <c r="H317" s="194" t="s">
        <v>735</v>
      </c>
      <c r="I317" s="195" t="s">
        <v>6</v>
      </c>
      <c r="J317" s="69"/>
      <c r="K317" s="67"/>
      <c r="L317" s="69">
        <v>0.39</v>
      </c>
      <c r="M317" s="67">
        <v>1</v>
      </c>
      <c r="N317" s="69"/>
      <c r="O317" s="67"/>
      <c r="P317" s="69">
        <v>0.24</v>
      </c>
      <c r="Q317" s="67">
        <v>1</v>
      </c>
      <c r="R317" s="69"/>
      <c r="S317" s="67"/>
      <c r="T317" s="66"/>
      <c r="U317" s="65">
        <v>65</v>
      </c>
      <c r="V317" s="192"/>
      <c r="W317" s="63">
        <f t="shared" si="42"/>
        <v>65</v>
      </c>
      <c r="X317" s="414"/>
    </row>
    <row r="318" spans="2:24" ht="20.100000000000001" customHeight="1" x14ac:dyDescent="0.2">
      <c r="B318" s="686"/>
      <c r="C318" s="601"/>
      <c r="D318" s="644"/>
      <c r="E318" s="658"/>
      <c r="F318" s="62" t="s">
        <v>109</v>
      </c>
      <c r="G318" s="59" t="s">
        <v>108</v>
      </c>
      <c r="H318" s="194" t="s">
        <v>734</v>
      </c>
      <c r="I318" s="193" t="s">
        <v>6</v>
      </c>
      <c r="J318" s="57"/>
      <c r="K318" s="55"/>
      <c r="L318" s="57">
        <v>0.47</v>
      </c>
      <c r="M318" s="55">
        <v>1</v>
      </c>
      <c r="N318" s="57"/>
      <c r="O318" s="55"/>
      <c r="P318" s="57">
        <v>0.28999999999999998</v>
      </c>
      <c r="Q318" s="55">
        <v>1</v>
      </c>
      <c r="R318" s="57"/>
      <c r="S318" s="55"/>
      <c r="T318" s="66"/>
      <c r="U318" s="65">
        <v>55</v>
      </c>
      <c r="V318" s="192"/>
      <c r="W318" s="63">
        <f t="shared" si="42"/>
        <v>55</v>
      </c>
      <c r="X318" s="414"/>
    </row>
    <row r="319" spans="2:24" ht="20.100000000000001" customHeight="1" x14ac:dyDescent="0.2">
      <c r="B319" s="593"/>
      <c r="C319" s="665" t="s">
        <v>107</v>
      </c>
      <c r="D319" s="666"/>
      <c r="E319" s="494" t="s">
        <v>106</v>
      </c>
      <c r="F319" s="122" t="s">
        <v>105</v>
      </c>
      <c r="G319" s="119" t="s">
        <v>2</v>
      </c>
      <c r="H319" s="191" t="s">
        <v>104</v>
      </c>
      <c r="I319" s="190" t="s">
        <v>6</v>
      </c>
      <c r="J319" s="118"/>
      <c r="K319" s="117">
        <v>2</v>
      </c>
      <c r="L319" s="118"/>
      <c r="M319" s="117"/>
      <c r="N319" s="118"/>
      <c r="O319" s="117"/>
      <c r="P319" s="118"/>
      <c r="Q319" s="117">
        <v>1</v>
      </c>
      <c r="R319" s="118"/>
      <c r="S319" s="117"/>
      <c r="T319" s="189"/>
      <c r="U319" s="188">
        <v>60</v>
      </c>
      <c r="V319" s="187"/>
      <c r="W319" s="115">
        <f t="shared" si="42"/>
        <v>60</v>
      </c>
      <c r="X319" s="414"/>
    </row>
    <row r="320" spans="2:24" ht="20.100000000000001" customHeight="1" x14ac:dyDescent="0.2">
      <c r="B320" s="687" t="s">
        <v>103</v>
      </c>
      <c r="C320" s="637" t="s">
        <v>102</v>
      </c>
      <c r="D320" s="638"/>
      <c r="E320" s="480" t="s">
        <v>101</v>
      </c>
      <c r="F320" s="186" t="s">
        <v>100</v>
      </c>
      <c r="G320" s="185" t="s">
        <v>2</v>
      </c>
      <c r="H320" s="184" t="s">
        <v>99</v>
      </c>
      <c r="I320" s="183" t="s">
        <v>6</v>
      </c>
      <c r="J320" s="182">
        <v>3.9E-2</v>
      </c>
      <c r="K320" s="181">
        <v>1</v>
      </c>
      <c r="L320" s="182"/>
      <c r="M320" s="181"/>
      <c r="N320" s="182"/>
      <c r="O320" s="181"/>
      <c r="P320" s="182">
        <v>8.0000000000000002E-3</v>
      </c>
      <c r="Q320" s="181">
        <v>1</v>
      </c>
      <c r="R320" s="182"/>
      <c r="S320" s="181"/>
      <c r="T320" s="180"/>
      <c r="U320" s="65" cm="1">
        <f t="array" ref="U320">_xlfn.IFS(MAX(J320,L320,N320)=J320,K320/J320,MAX(J320,L320,N320)=L320,M320/L320,MAX(J320,L320,N320)=N320,O320/N320)</f>
        <v>25.641025641025642</v>
      </c>
      <c r="V320" s="179"/>
      <c r="W320" s="178">
        <f t="shared" si="42"/>
        <v>25.641025641025642</v>
      </c>
      <c r="X320" s="414"/>
    </row>
    <row r="321" spans="2:24" ht="20.100000000000001" customHeight="1" x14ac:dyDescent="0.2">
      <c r="B321" s="688"/>
      <c r="C321" s="177" t="s">
        <v>98</v>
      </c>
      <c r="D321" s="176" t="s">
        <v>97</v>
      </c>
      <c r="E321" s="497" t="s">
        <v>96</v>
      </c>
      <c r="F321" s="175" t="s">
        <v>95</v>
      </c>
      <c r="G321" s="174" t="s">
        <v>2</v>
      </c>
      <c r="H321" s="173" t="s">
        <v>94</v>
      </c>
      <c r="I321" s="172" t="s">
        <v>6</v>
      </c>
      <c r="J321" s="171">
        <v>1.2E-2</v>
      </c>
      <c r="K321" s="170">
        <v>1</v>
      </c>
      <c r="L321" s="171"/>
      <c r="M321" s="170"/>
      <c r="N321" s="171"/>
      <c r="O321" s="170"/>
      <c r="P321" s="171">
        <v>2E-3</v>
      </c>
      <c r="Q321" s="170">
        <v>1</v>
      </c>
      <c r="R321" s="171"/>
      <c r="S321" s="170"/>
      <c r="T321" s="169"/>
      <c r="U321" s="168" cm="1">
        <f t="array" ref="U321">_xlfn.IFS(MAX(J321,L321,N321)=J321,K321/J321,MAX(J321,L321,N321)=L321,M321/L321,MAX(J321,L321,N321)=N321,O321/N321)</f>
        <v>83.333333333333329</v>
      </c>
      <c r="V321" s="167"/>
      <c r="W321" s="166">
        <f t="shared" si="42"/>
        <v>83.333333333333329</v>
      </c>
      <c r="X321" s="414"/>
    </row>
    <row r="322" spans="2:24" ht="20.100000000000001" customHeight="1" x14ac:dyDescent="0.2">
      <c r="B322" s="114" t="s">
        <v>93</v>
      </c>
      <c r="C322" s="165"/>
      <c r="D322" s="164"/>
      <c r="E322" s="498"/>
      <c r="F322" s="163"/>
      <c r="G322" s="162"/>
      <c r="H322" s="161"/>
      <c r="I322" s="160"/>
      <c r="J322" s="159"/>
      <c r="K322" s="158"/>
      <c r="L322" s="159"/>
      <c r="M322" s="158"/>
      <c r="N322" s="159"/>
      <c r="O322" s="158"/>
      <c r="P322" s="159"/>
      <c r="Q322" s="158"/>
      <c r="R322" s="159"/>
      <c r="S322" s="158"/>
      <c r="T322" s="157"/>
      <c r="U322" s="156"/>
      <c r="V322" s="155"/>
      <c r="W322" s="154"/>
      <c r="X322" s="414"/>
    </row>
    <row r="323" spans="2:24" ht="20.100000000000001" customHeight="1" x14ac:dyDescent="0.2">
      <c r="B323" s="689" t="s">
        <v>92</v>
      </c>
      <c r="C323" s="710" t="s">
        <v>91</v>
      </c>
      <c r="D323" s="711"/>
      <c r="E323" s="670" t="s">
        <v>90</v>
      </c>
      <c r="F323" s="153" t="s">
        <v>89</v>
      </c>
      <c r="G323" s="152" t="s">
        <v>44</v>
      </c>
      <c r="H323" s="151" t="s">
        <v>88</v>
      </c>
      <c r="I323" s="150" t="s">
        <v>6</v>
      </c>
      <c r="J323" s="149"/>
      <c r="K323" s="148">
        <v>3</v>
      </c>
      <c r="L323" s="149"/>
      <c r="M323" s="148"/>
      <c r="N323" s="149"/>
      <c r="O323" s="148"/>
      <c r="P323" s="149"/>
      <c r="Q323" s="148">
        <v>1</v>
      </c>
      <c r="R323" s="149"/>
      <c r="S323" s="148"/>
      <c r="T323" s="147"/>
      <c r="U323" s="146">
        <v>50</v>
      </c>
      <c r="V323" s="145"/>
      <c r="W323" s="93">
        <f t="shared" ref="W323:W336" si="43">AVERAGE(U323,V323)</f>
        <v>50</v>
      </c>
      <c r="X323" s="414"/>
    </row>
    <row r="324" spans="2:24" ht="20.100000000000001" customHeight="1" x14ac:dyDescent="0.2">
      <c r="B324" s="675"/>
      <c r="C324" s="607"/>
      <c r="D324" s="620"/>
      <c r="E324" s="588"/>
      <c r="F324" s="90" t="s">
        <v>87</v>
      </c>
      <c r="G324" s="89" t="s">
        <v>44</v>
      </c>
      <c r="H324" s="88" t="s">
        <v>64</v>
      </c>
      <c r="I324" s="26" t="s">
        <v>6</v>
      </c>
      <c r="J324" s="87"/>
      <c r="K324" s="86">
        <v>3</v>
      </c>
      <c r="L324" s="87"/>
      <c r="M324" s="86"/>
      <c r="N324" s="87"/>
      <c r="O324" s="86"/>
      <c r="P324" s="87"/>
      <c r="Q324" s="86">
        <v>1</v>
      </c>
      <c r="R324" s="87"/>
      <c r="S324" s="86"/>
      <c r="T324" s="23"/>
      <c r="U324" s="144">
        <v>37</v>
      </c>
      <c r="V324" s="84">
        <v>13.5</v>
      </c>
      <c r="W324" s="83">
        <f t="shared" si="43"/>
        <v>25.25</v>
      </c>
      <c r="X324" s="414">
        <f t="shared" si="40"/>
        <v>-23.5</v>
      </c>
    </row>
    <row r="325" spans="2:24" ht="20.100000000000001" customHeight="1" x14ac:dyDescent="0.2">
      <c r="B325" s="675"/>
      <c r="C325" s="607"/>
      <c r="D325" s="620"/>
      <c r="E325" s="634"/>
      <c r="F325" s="62" t="s">
        <v>86</v>
      </c>
      <c r="G325" s="61" t="s">
        <v>44</v>
      </c>
      <c r="H325" s="143" t="s">
        <v>64</v>
      </c>
      <c r="I325" s="142" t="s">
        <v>6</v>
      </c>
      <c r="J325" s="57"/>
      <c r="K325" s="55">
        <v>3</v>
      </c>
      <c r="L325" s="57"/>
      <c r="M325" s="55"/>
      <c r="N325" s="57"/>
      <c r="O325" s="55"/>
      <c r="P325" s="57"/>
      <c r="Q325" s="55">
        <v>1</v>
      </c>
      <c r="R325" s="57"/>
      <c r="S325" s="55"/>
      <c r="T325" s="141"/>
      <c r="U325" s="53">
        <v>18</v>
      </c>
      <c r="V325" s="52">
        <v>6.5</v>
      </c>
      <c r="W325" s="63">
        <f t="shared" si="43"/>
        <v>12.25</v>
      </c>
      <c r="X325" s="414">
        <f t="shared" si="40"/>
        <v>-11.5</v>
      </c>
    </row>
    <row r="326" spans="2:24" ht="20.100000000000001" customHeight="1" x14ac:dyDescent="0.2">
      <c r="B326" s="675"/>
      <c r="C326" s="607"/>
      <c r="D326" s="620"/>
      <c r="E326" s="475"/>
      <c r="F326" s="140" t="s">
        <v>85</v>
      </c>
      <c r="G326" s="19" t="s">
        <v>44</v>
      </c>
      <c r="H326" s="35"/>
      <c r="I326" s="34"/>
      <c r="J326" s="33"/>
      <c r="K326" s="32"/>
      <c r="L326" s="33"/>
      <c r="M326" s="32"/>
      <c r="N326" s="33"/>
      <c r="O326" s="32"/>
      <c r="P326" s="33"/>
      <c r="Q326" s="32"/>
      <c r="R326" s="33"/>
      <c r="S326" s="32"/>
      <c r="T326" s="31"/>
      <c r="U326" s="30"/>
      <c r="V326" s="139">
        <v>13.6</v>
      </c>
      <c r="W326" s="63">
        <f t="shared" si="43"/>
        <v>13.6</v>
      </c>
      <c r="X326" s="414"/>
    </row>
    <row r="327" spans="2:24" ht="20.100000000000001" customHeight="1" x14ac:dyDescent="0.2">
      <c r="B327" s="675"/>
      <c r="C327" s="601"/>
      <c r="D327" s="602"/>
      <c r="E327" s="475"/>
      <c r="F327" s="138" t="s">
        <v>84</v>
      </c>
      <c r="G327" s="137" t="s">
        <v>44</v>
      </c>
      <c r="H327" s="136"/>
      <c r="I327" s="135"/>
      <c r="J327" s="134"/>
      <c r="K327" s="133"/>
      <c r="L327" s="134"/>
      <c r="M327" s="133"/>
      <c r="N327" s="134"/>
      <c r="O327" s="133"/>
      <c r="P327" s="134"/>
      <c r="Q327" s="133"/>
      <c r="R327" s="134"/>
      <c r="S327" s="133"/>
      <c r="T327" s="132"/>
      <c r="U327" s="131"/>
      <c r="V327" s="130">
        <v>6.7</v>
      </c>
      <c r="W327" s="63">
        <f t="shared" si="43"/>
        <v>6.7</v>
      </c>
      <c r="X327" s="414"/>
    </row>
    <row r="328" spans="2:24" ht="20.100000000000001" customHeight="1" x14ac:dyDescent="0.2">
      <c r="B328" s="675"/>
      <c r="C328" s="599" t="s">
        <v>83</v>
      </c>
      <c r="D328" s="600"/>
      <c r="E328" s="633" t="s">
        <v>82</v>
      </c>
      <c r="F328" s="73" t="s">
        <v>81</v>
      </c>
      <c r="G328" s="72" t="s">
        <v>44</v>
      </c>
      <c r="H328" s="88" t="s">
        <v>64</v>
      </c>
      <c r="I328" s="26" t="s">
        <v>6</v>
      </c>
      <c r="J328" s="69"/>
      <c r="K328" s="67">
        <v>3</v>
      </c>
      <c r="L328" s="69"/>
      <c r="M328" s="67"/>
      <c r="N328" s="69"/>
      <c r="O328" s="67"/>
      <c r="P328" s="69"/>
      <c r="Q328" s="67">
        <v>1</v>
      </c>
      <c r="R328" s="69"/>
      <c r="S328" s="67"/>
      <c r="T328" s="66"/>
      <c r="U328" s="65">
        <v>58</v>
      </c>
      <c r="V328" s="64">
        <v>37.700000000000003</v>
      </c>
      <c r="W328" s="63">
        <f t="shared" si="43"/>
        <v>47.85</v>
      </c>
      <c r="X328" s="414">
        <f t="shared" si="40"/>
        <v>-20.299999999999997</v>
      </c>
    </row>
    <row r="329" spans="2:24" ht="20.100000000000001" customHeight="1" x14ac:dyDescent="0.2">
      <c r="B329" s="675"/>
      <c r="C329" s="607"/>
      <c r="D329" s="620"/>
      <c r="E329" s="588"/>
      <c r="F329" s="73" t="s">
        <v>80</v>
      </c>
      <c r="G329" s="72" t="s">
        <v>44</v>
      </c>
      <c r="H329" s="88" t="s">
        <v>64</v>
      </c>
      <c r="I329" s="26" t="s">
        <v>6</v>
      </c>
      <c r="J329" s="69"/>
      <c r="K329" s="67">
        <v>3</v>
      </c>
      <c r="L329" s="69"/>
      <c r="M329" s="67"/>
      <c r="N329" s="69"/>
      <c r="O329" s="67"/>
      <c r="P329" s="69"/>
      <c r="Q329" s="67">
        <v>1</v>
      </c>
      <c r="R329" s="69"/>
      <c r="S329" s="67"/>
      <c r="T329" s="66"/>
      <c r="U329" s="65">
        <v>35</v>
      </c>
      <c r="V329" s="64">
        <v>25.3</v>
      </c>
      <c r="W329" s="63">
        <f t="shared" si="43"/>
        <v>30.15</v>
      </c>
      <c r="X329" s="414">
        <f t="shared" si="40"/>
        <v>-9.6999999999999993</v>
      </c>
    </row>
    <row r="330" spans="2:24" ht="20.100000000000001" customHeight="1" x14ac:dyDescent="0.2">
      <c r="B330" s="675"/>
      <c r="C330" s="607"/>
      <c r="D330" s="620"/>
      <c r="E330" s="634"/>
      <c r="F330" s="73" t="s">
        <v>79</v>
      </c>
      <c r="G330" s="72" t="s">
        <v>44</v>
      </c>
      <c r="H330" s="88" t="s">
        <v>64</v>
      </c>
      <c r="I330" s="26" t="s">
        <v>6</v>
      </c>
      <c r="J330" s="69"/>
      <c r="K330" s="67">
        <v>3</v>
      </c>
      <c r="L330" s="69"/>
      <c r="M330" s="67"/>
      <c r="N330" s="69"/>
      <c r="O330" s="67"/>
      <c r="P330" s="69"/>
      <c r="Q330" s="67">
        <v>1</v>
      </c>
      <c r="R330" s="69"/>
      <c r="S330" s="67"/>
      <c r="T330" s="66"/>
      <c r="U330" s="65">
        <v>18</v>
      </c>
      <c r="V330" s="64">
        <v>12.6</v>
      </c>
      <c r="W330" s="63">
        <f t="shared" si="43"/>
        <v>15.3</v>
      </c>
      <c r="X330" s="414">
        <f t="shared" si="40"/>
        <v>-5.4</v>
      </c>
    </row>
    <row r="331" spans="2:24" ht="20.100000000000001" customHeight="1" x14ac:dyDescent="0.2">
      <c r="B331" s="675"/>
      <c r="C331" s="599" t="s">
        <v>78</v>
      </c>
      <c r="D331" s="600"/>
      <c r="E331" s="633" t="s">
        <v>77</v>
      </c>
      <c r="F331" s="73" t="s">
        <v>76</v>
      </c>
      <c r="G331" s="72" t="s">
        <v>74</v>
      </c>
      <c r="H331" s="88" t="s">
        <v>64</v>
      </c>
      <c r="I331" s="26" t="s">
        <v>6</v>
      </c>
      <c r="J331" s="69"/>
      <c r="K331" s="67">
        <v>3</v>
      </c>
      <c r="L331" s="69"/>
      <c r="M331" s="67"/>
      <c r="N331" s="69"/>
      <c r="O331" s="67"/>
      <c r="P331" s="69"/>
      <c r="Q331" s="67">
        <v>1</v>
      </c>
      <c r="R331" s="69"/>
      <c r="S331" s="67"/>
      <c r="T331" s="66"/>
      <c r="U331" s="65">
        <v>10</v>
      </c>
      <c r="V331" s="64">
        <v>10</v>
      </c>
      <c r="W331" s="63">
        <f t="shared" si="43"/>
        <v>10</v>
      </c>
      <c r="X331" s="414">
        <f t="shared" si="40"/>
        <v>0</v>
      </c>
    </row>
    <row r="332" spans="2:24" ht="20.100000000000001" customHeight="1" x14ac:dyDescent="0.2">
      <c r="B332" s="675"/>
      <c r="C332" s="601"/>
      <c r="D332" s="602"/>
      <c r="E332" s="634"/>
      <c r="F332" s="73" t="s">
        <v>75</v>
      </c>
      <c r="G332" s="72" t="s">
        <v>74</v>
      </c>
      <c r="H332" s="88" t="s">
        <v>64</v>
      </c>
      <c r="I332" s="26" t="s">
        <v>6</v>
      </c>
      <c r="J332" s="69"/>
      <c r="K332" s="67">
        <v>3</v>
      </c>
      <c r="L332" s="69"/>
      <c r="M332" s="67"/>
      <c r="N332" s="69"/>
      <c r="O332" s="67"/>
      <c r="P332" s="69"/>
      <c r="Q332" s="67">
        <v>1</v>
      </c>
      <c r="R332" s="69"/>
      <c r="S332" s="67"/>
      <c r="T332" s="66"/>
      <c r="U332" s="65">
        <v>6</v>
      </c>
      <c r="V332" s="64">
        <v>4</v>
      </c>
      <c r="W332" s="63">
        <f t="shared" si="43"/>
        <v>5</v>
      </c>
      <c r="X332" s="414">
        <f t="shared" si="40"/>
        <v>-2</v>
      </c>
    </row>
    <row r="333" spans="2:24" ht="20.100000000000001" customHeight="1" x14ac:dyDescent="0.2">
      <c r="B333" s="675"/>
      <c r="C333" s="599" t="s">
        <v>73</v>
      </c>
      <c r="D333" s="600"/>
      <c r="E333" s="633" t="s">
        <v>72</v>
      </c>
      <c r="F333" s="73" t="s">
        <v>71</v>
      </c>
      <c r="G333" s="72" t="s">
        <v>44</v>
      </c>
      <c r="H333" s="88" t="s">
        <v>64</v>
      </c>
      <c r="I333" s="26" t="s">
        <v>6</v>
      </c>
      <c r="J333" s="69"/>
      <c r="K333" s="67">
        <v>3</v>
      </c>
      <c r="L333" s="69"/>
      <c r="M333" s="67"/>
      <c r="N333" s="69"/>
      <c r="O333" s="67"/>
      <c r="P333" s="69"/>
      <c r="Q333" s="67">
        <v>1</v>
      </c>
      <c r="R333" s="69"/>
      <c r="S333" s="67"/>
      <c r="T333" s="66"/>
      <c r="U333" s="65">
        <v>31</v>
      </c>
      <c r="V333" s="64">
        <v>58.8</v>
      </c>
      <c r="W333" s="63">
        <f t="shared" si="43"/>
        <v>44.9</v>
      </c>
      <c r="X333" s="414">
        <f t="shared" si="40"/>
        <v>27.799999999999997</v>
      </c>
    </row>
    <row r="334" spans="2:24" ht="20.100000000000001" customHeight="1" x14ac:dyDescent="0.2">
      <c r="B334" s="675"/>
      <c r="C334" s="601"/>
      <c r="D334" s="602"/>
      <c r="E334" s="658"/>
      <c r="F334" s="73" t="s">
        <v>70</v>
      </c>
      <c r="G334" s="72" t="s">
        <v>44</v>
      </c>
      <c r="H334" s="88" t="s">
        <v>64</v>
      </c>
      <c r="I334" s="26" t="s">
        <v>6</v>
      </c>
      <c r="J334" s="69"/>
      <c r="K334" s="67">
        <v>3</v>
      </c>
      <c r="L334" s="69"/>
      <c r="M334" s="67"/>
      <c r="N334" s="69"/>
      <c r="O334" s="67"/>
      <c r="P334" s="69"/>
      <c r="Q334" s="67">
        <v>1</v>
      </c>
      <c r="R334" s="69"/>
      <c r="S334" s="67"/>
      <c r="T334" s="66"/>
      <c r="U334" s="65">
        <v>18</v>
      </c>
      <c r="V334" s="64">
        <v>31.2</v>
      </c>
      <c r="W334" s="63">
        <f t="shared" si="43"/>
        <v>24.6</v>
      </c>
      <c r="X334" s="414">
        <f t="shared" si="40"/>
        <v>13.2</v>
      </c>
    </row>
    <row r="335" spans="2:24" ht="20.100000000000001" customHeight="1" x14ac:dyDescent="0.2">
      <c r="B335" s="675"/>
      <c r="C335" s="712" t="s">
        <v>69</v>
      </c>
      <c r="D335" s="713"/>
      <c r="E335" s="481"/>
      <c r="F335" s="46" t="s">
        <v>68</v>
      </c>
      <c r="G335" s="80" t="s">
        <v>44</v>
      </c>
      <c r="H335" s="129"/>
      <c r="I335" s="128"/>
      <c r="J335" s="127"/>
      <c r="K335" s="126"/>
      <c r="L335" s="127"/>
      <c r="M335" s="126"/>
      <c r="N335" s="127"/>
      <c r="O335" s="126"/>
      <c r="P335" s="127"/>
      <c r="Q335" s="126"/>
      <c r="R335" s="127"/>
      <c r="S335" s="126"/>
      <c r="T335" s="125"/>
      <c r="U335" s="124"/>
      <c r="V335" s="123">
        <v>74.099999999999994</v>
      </c>
      <c r="W335" s="63">
        <f t="shared" si="43"/>
        <v>74.099999999999994</v>
      </c>
      <c r="X335" s="414"/>
    </row>
    <row r="336" spans="2:24" ht="20.100000000000001" customHeight="1" x14ac:dyDescent="0.2">
      <c r="B336" s="690"/>
      <c r="C336" s="599" t="s">
        <v>67</v>
      </c>
      <c r="D336" s="600"/>
      <c r="E336" s="494" t="s">
        <v>66</v>
      </c>
      <c r="F336" s="122" t="s">
        <v>65</v>
      </c>
      <c r="G336" s="121" t="s">
        <v>2</v>
      </c>
      <c r="H336" s="120" t="s">
        <v>64</v>
      </c>
      <c r="I336" s="119" t="s">
        <v>6</v>
      </c>
      <c r="J336" s="118"/>
      <c r="K336" s="117">
        <v>3</v>
      </c>
      <c r="L336" s="118"/>
      <c r="M336" s="117"/>
      <c r="N336" s="118"/>
      <c r="O336" s="117"/>
      <c r="P336" s="118"/>
      <c r="Q336" s="117">
        <v>1</v>
      </c>
      <c r="R336" s="118"/>
      <c r="S336" s="117"/>
      <c r="T336" s="54"/>
      <c r="U336" s="53">
        <v>20</v>
      </c>
      <c r="V336" s="116">
        <v>29.2</v>
      </c>
      <c r="W336" s="115">
        <f t="shared" si="43"/>
        <v>24.6</v>
      </c>
      <c r="X336" s="414">
        <f t="shared" si="40"/>
        <v>9.1999999999999993</v>
      </c>
    </row>
    <row r="337" spans="2:24" ht="20.100000000000001" customHeight="1" x14ac:dyDescent="0.2">
      <c r="B337" s="114" t="s">
        <v>63</v>
      </c>
      <c r="C337" s="113"/>
      <c r="D337" s="112"/>
      <c r="E337" s="499"/>
      <c r="F337" s="111"/>
      <c r="G337" s="110"/>
      <c r="H337" s="109"/>
      <c r="I337" s="108"/>
      <c r="J337" s="107"/>
      <c r="K337" s="106"/>
      <c r="L337" s="107"/>
      <c r="M337" s="106"/>
      <c r="N337" s="107"/>
      <c r="O337" s="106"/>
      <c r="P337" s="107"/>
      <c r="Q337" s="106"/>
      <c r="R337" s="107"/>
      <c r="S337" s="106"/>
      <c r="T337" s="105"/>
      <c r="U337" s="104"/>
      <c r="V337" s="103"/>
      <c r="W337" s="432"/>
      <c r="X337" s="414"/>
    </row>
    <row r="338" spans="2:24" ht="20.100000000000001" customHeight="1" x14ac:dyDescent="0.2">
      <c r="B338" s="675" t="s">
        <v>62</v>
      </c>
      <c r="C338" s="682" t="s">
        <v>61</v>
      </c>
      <c r="D338" s="683"/>
      <c r="E338" s="481"/>
      <c r="F338" s="373" t="s">
        <v>60</v>
      </c>
      <c r="G338" s="371" t="s">
        <v>39</v>
      </c>
      <c r="H338" s="415"/>
      <c r="I338" s="416"/>
      <c r="J338" s="368"/>
      <c r="K338" s="369"/>
      <c r="L338" s="368"/>
      <c r="M338" s="369"/>
      <c r="N338" s="368"/>
      <c r="O338" s="369"/>
      <c r="P338" s="368"/>
      <c r="Q338" s="369"/>
      <c r="R338" s="368"/>
      <c r="S338" s="369"/>
      <c r="T338" s="367"/>
      <c r="U338" s="366"/>
      <c r="V338" s="145">
        <v>42</v>
      </c>
      <c r="W338" s="433">
        <f t="shared" ref="W338:W371" si="44">AVERAGE(U338,V338)</f>
        <v>42</v>
      </c>
      <c r="X338" s="414"/>
    </row>
    <row r="339" spans="2:24" ht="20.100000000000001" customHeight="1" x14ac:dyDescent="0.2">
      <c r="B339" s="675"/>
      <c r="C339" s="678"/>
      <c r="D339" s="679"/>
      <c r="E339" s="481"/>
      <c r="F339" s="140" t="s">
        <v>59</v>
      </c>
      <c r="G339" s="19" t="s">
        <v>39</v>
      </c>
      <c r="H339" s="417"/>
      <c r="I339" s="418"/>
      <c r="J339" s="419"/>
      <c r="K339" s="420"/>
      <c r="L339" s="419"/>
      <c r="M339" s="420"/>
      <c r="N339" s="419"/>
      <c r="O339" s="420"/>
      <c r="P339" s="419"/>
      <c r="Q339" s="420"/>
      <c r="R339" s="419"/>
      <c r="S339" s="420"/>
      <c r="T339" s="421"/>
      <c r="U339" s="139"/>
      <c r="V339" s="21">
        <v>27</v>
      </c>
      <c r="W339" s="434">
        <f t="shared" si="44"/>
        <v>27</v>
      </c>
      <c r="X339" s="414"/>
    </row>
    <row r="340" spans="2:24" ht="20.100000000000001" customHeight="1" x14ac:dyDescent="0.2">
      <c r="B340" s="675"/>
      <c r="C340" s="680"/>
      <c r="D340" s="681"/>
      <c r="E340" s="481"/>
      <c r="F340" s="140" t="s">
        <v>58</v>
      </c>
      <c r="G340" s="19" t="s">
        <v>39</v>
      </c>
      <c r="H340" s="417"/>
      <c r="I340" s="418"/>
      <c r="J340" s="419"/>
      <c r="K340" s="420"/>
      <c r="L340" s="419"/>
      <c r="M340" s="420"/>
      <c r="N340" s="419"/>
      <c r="O340" s="420"/>
      <c r="P340" s="419"/>
      <c r="Q340" s="420"/>
      <c r="R340" s="419"/>
      <c r="S340" s="420"/>
      <c r="T340" s="421"/>
      <c r="U340" s="139"/>
      <c r="V340" s="21">
        <v>13</v>
      </c>
      <c r="W340" s="435">
        <f t="shared" si="44"/>
        <v>13</v>
      </c>
      <c r="X340" s="414"/>
    </row>
    <row r="341" spans="2:24" ht="20.100000000000001" customHeight="1" x14ac:dyDescent="0.2">
      <c r="B341" s="675"/>
      <c r="C341" s="676" t="s">
        <v>57</v>
      </c>
      <c r="D341" s="677"/>
      <c r="E341" s="481"/>
      <c r="F341" s="140" t="s">
        <v>56</v>
      </c>
      <c r="G341" s="19" t="s">
        <v>53</v>
      </c>
      <c r="H341" s="417"/>
      <c r="I341" s="418"/>
      <c r="J341" s="419"/>
      <c r="K341" s="420"/>
      <c r="L341" s="419"/>
      <c r="M341" s="420"/>
      <c r="N341" s="419"/>
      <c r="O341" s="420"/>
      <c r="P341" s="419"/>
      <c r="Q341" s="420"/>
      <c r="R341" s="419"/>
      <c r="S341" s="420"/>
      <c r="T341" s="421"/>
      <c r="U341" s="139"/>
      <c r="V341" s="21">
        <v>43</v>
      </c>
      <c r="W341" s="91">
        <f t="shared" si="44"/>
        <v>43</v>
      </c>
      <c r="X341" s="414"/>
    </row>
    <row r="342" spans="2:24" ht="20.100000000000001" customHeight="1" x14ac:dyDescent="0.2">
      <c r="B342" s="675"/>
      <c r="C342" s="678"/>
      <c r="D342" s="679"/>
      <c r="E342" s="481"/>
      <c r="F342" s="140" t="s">
        <v>55</v>
      </c>
      <c r="G342" s="19" t="s">
        <v>53</v>
      </c>
      <c r="H342" s="417"/>
      <c r="I342" s="418"/>
      <c r="J342" s="419"/>
      <c r="K342" s="420"/>
      <c r="L342" s="419"/>
      <c r="M342" s="420"/>
      <c r="N342" s="419"/>
      <c r="O342" s="420"/>
      <c r="P342" s="419"/>
      <c r="Q342" s="420"/>
      <c r="R342" s="419"/>
      <c r="S342" s="420"/>
      <c r="T342" s="421"/>
      <c r="U342" s="139"/>
      <c r="V342" s="21">
        <v>38</v>
      </c>
      <c r="W342" s="91">
        <f t="shared" si="44"/>
        <v>38</v>
      </c>
      <c r="X342" s="414"/>
    </row>
    <row r="343" spans="2:24" ht="20.100000000000001" customHeight="1" x14ac:dyDescent="0.2">
      <c r="B343" s="675"/>
      <c r="C343" s="680"/>
      <c r="D343" s="681"/>
      <c r="E343" s="481"/>
      <c r="F343" s="140" t="s">
        <v>54</v>
      </c>
      <c r="G343" s="19" t="s">
        <v>53</v>
      </c>
      <c r="H343" s="417"/>
      <c r="I343" s="418"/>
      <c r="J343" s="419"/>
      <c r="K343" s="420"/>
      <c r="L343" s="419"/>
      <c r="M343" s="420"/>
      <c r="N343" s="419"/>
      <c r="O343" s="420"/>
      <c r="P343" s="419"/>
      <c r="Q343" s="420"/>
      <c r="R343" s="419"/>
      <c r="S343" s="420"/>
      <c r="T343" s="421"/>
      <c r="U343" s="139"/>
      <c r="V343" s="21">
        <v>3</v>
      </c>
      <c r="W343" s="91">
        <f t="shared" si="44"/>
        <v>3</v>
      </c>
      <c r="X343" s="414"/>
    </row>
    <row r="344" spans="2:24" ht="20.100000000000001" customHeight="1" x14ac:dyDescent="0.2">
      <c r="B344" s="675"/>
      <c r="C344" s="607" t="s">
        <v>52</v>
      </c>
      <c r="D344" s="620"/>
      <c r="E344" s="478" t="s">
        <v>51</v>
      </c>
      <c r="F344" s="49" t="s">
        <v>50</v>
      </c>
      <c r="G344" s="422" t="s">
        <v>39</v>
      </c>
      <c r="H344" s="423"/>
      <c r="I344" s="422"/>
      <c r="J344" s="424"/>
      <c r="K344" s="425"/>
      <c r="L344" s="424"/>
      <c r="M344" s="425"/>
      <c r="N344" s="424"/>
      <c r="O344" s="425"/>
      <c r="P344" s="424"/>
      <c r="Q344" s="425"/>
      <c r="R344" s="424"/>
      <c r="S344" s="425"/>
      <c r="T344" s="426"/>
      <c r="U344" s="427"/>
      <c r="V344" s="84">
        <v>7.95</v>
      </c>
      <c r="W344" s="434">
        <f t="shared" si="44"/>
        <v>7.95</v>
      </c>
      <c r="X344" s="414"/>
    </row>
    <row r="345" spans="2:24" ht="20.100000000000001" customHeight="1" x14ac:dyDescent="0.2">
      <c r="B345" s="675"/>
      <c r="C345" s="601"/>
      <c r="D345" s="602"/>
      <c r="E345" s="500"/>
      <c r="F345" s="90" t="s">
        <v>49</v>
      </c>
      <c r="G345" s="89" t="s">
        <v>2</v>
      </c>
      <c r="H345" s="428" t="s">
        <v>48</v>
      </c>
      <c r="I345" s="72" t="s">
        <v>29</v>
      </c>
      <c r="J345" s="429"/>
      <c r="K345" s="430"/>
      <c r="L345" s="429"/>
      <c r="M345" s="430"/>
      <c r="N345" s="429">
        <v>0.21</v>
      </c>
      <c r="O345" s="430">
        <v>1</v>
      </c>
      <c r="P345" s="429">
        <v>0.09</v>
      </c>
      <c r="Q345" s="430">
        <v>1</v>
      </c>
      <c r="R345" s="429">
        <v>0.5</v>
      </c>
      <c r="S345" s="430">
        <v>1</v>
      </c>
      <c r="T345" s="431"/>
      <c r="U345" s="65" cm="1">
        <f t="array" ref="U345">_xlfn.IFS(MAX(J345,L345,N345)=J345,K345/J345,MAX(J345,L345,N345)=L345,M345/L345,MAX(J345,L345,N345)=N345,O345/N345)</f>
        <v>4.7619047619047619</v>
      </c>
      <c r="V345" s="84"/>
      <c r="W345" s="434">
        <f t="shared" si="44"/>
        <v>4.7619047619047619</v>
      </c>
      <c r="X345" s="414"/>
    </row>
    <row r="346" spans="2:24" ht="20.100000000000001" customHeight="1" x14ac:dyDescent="0.2">
      <c r="B346" s="675"/>
      <c r="C346" s="599" t="s">
        <v>47</v>
      </c>
      <c r="D346" s="600"/>
      <c r="E346" s="482" t="s">
        <v>46</v>
      </c>
      <c r="F346" s="73" t="s">
        <v>45</v>
      </c>
      <c r="G346" s="72" t="s">
        <v>44</v>
      </c>
      <c r="H346" s="71" t="s">
        <v>43</v>
      </c>
      <c r="I346" s="59" t="s">
        <v>29</v>
      </c>
      <c r="J346" s="82"/>
      <c r="K346" s="67">
        <v>3</v>
      </c>
      <c r="L346" s="69"/>
      <c r="M346" s="67"/>
      <c r="N346" s="69"/>
      <c r="O346" s="67"/>
      <c r="P346" s="69"/>
      <c r="Q346" s="67">
        <v>2</v>
      </c>
      <c r="R346" s="69"/>
      <c r="S346" s="67">
        <v>1</v>
      </c>
      <c r="T346" s="66"/>
      <c r="U346" s="66">
        <v>220</v>
      </c>
      <c r="V346" s="64"/>
      <c r="W346" s="63">
        <f t="shared" si="44"/>
        <v>220</v>
      </c>
      <c r="X346" s="414"/>
    </row>
    <row r="347" spans="2:24" ht="20.100000000000001" customHeight="1" x14ac:dyDescent="0.2">
      <c r="B347" s="675"/>
      <c r="C347" s="607"/>
      <c r="D347" s="620"/>
      <c r="E347" s="482"/>
      <c r="F347" s="20" t="s">
        <v>42</v>
      </c>
      <c r="G347" s="80" t="s">
        <v>39</v>
      </c>
      <c r="H347" s="78"/>
      <c r="I347" s="34"/>
      <c r="J347" s="77"/>
      <c r="K347" s="75"/>
      <c r="L347" s="76"/>
      <c r="M347" s="75"/>
      <c r="N347" s="76"/>
      <c r="O347" s="75"/>
      <c r="P347" s="76"/>
      <c r="Q347" s="75"/>
      <c r="R347" s="76"/>
      <c r="S347" s="75"/>
      <c r="T347" s="74"/>
      <c r="U347" s="74"/>
      <c r="V347" s="64">
        <v>8</v>
      </c>
      <c r="W347" s="63">
        <f t="shared" si="44"/>
        <v>8</v>
      </c>
      <c r="X347" s="414"/>
    </row>
    <row r="348" spans="2:24" ht="20.100000000000001" customHeight="1" x14ac:dyDescent="0.2">
      <c r="B348" s="675"/>
      <c r="C348" s="607"/>
      <c r="D348" s="620"/>
      <c r="E348" s="482"/>
      <c r="F348" s="20" t="s">
        <v>41</v>
      </c>
      <c r="G348" s="80" t="s">
        <v>39</v>
      </c>
      <c r="I348" s="81"/>
      <c r="J348" s="77"/>
      <c r="K348" s="75"/>
      <c r="L348" s="76"/>
      <c r="M348" s="75"/>
      <c r="N348" s="76"/>
      <c r="O348" s="75"/>
      <c r="P348" s="76"/>
      <c r="Q348" s="75"/>
      <c r="R348" s="76"/>
      <c r="S348" s="75"/>
      <c r="T348" s="74"/>
      <c r="U348" s="74"/>
      <c r="V348" s="64">
        <v>9</v>
      </c>
      <c r="W348" s="63">
        <f t="shared" si="44"/>
        <v>9</v>
      </c>
      <c r="X348" s="414"/>
    </row>
    <row r="349" spans="2:24" ht="20.100000000000001" customHeight="1" x14ac:dyDescent="0.2">
      <c r="B349" s="675"/>
      <c r="C349" s="607"/>
      <c r="D349" s="620"/>
      <c r="E349" s="482"/>
      <c r="F349" s="20" t="s">
        <v>40</v>
      </c>
      <c r="G349" s="80" t="s">
        <v>39</v>
      </c>
      <c r="H349" s="78"/>
      <c r="I349" s="34"/>
      <c r="J349" s="77"/>
      <c r="K349" s="75"/>
      <c r="L349" s="76"/>
      <c r="M349" s="75"/>
      <c r="N349" s="76"/>
      <c r="O349" s="75"/>
      <c r="P349" s="76"/>
      <c r="Q349" s="75"/>
      <c r="R349" s="76"/>
      <c r="S349" s="75"/>
      <c r="T349" s="74"/>
      <c r="U349" s="74"/>
      <c r="V349" s="64">
        <v>8</v>
      </c>
      <c r="W349" s="63">
        <f t="shared" si="44"/>
        <v>8</v>
      </c>
      <c r="X349" s="414"/>
    </row>
    <row r="350" spans="2:24" ht="20.100000000000001" customHeight="1" x14ac:dyDescent="0.2">
      <c r="B350" s="675"/>
      <c r="C350" s="601"/>
      <c r="D350" s="602"/>
      <c r="E350" s="482"/>
      <c r="F350" s="20" t="s">
        <v>38</v>
      </c>
      <c r="G350" s="79" t="s">
        <v>37</v>
      </c>
      <c r="H350" s="78"/>
      <c r="I350" s="34"/>
      <c r="J350" s="77"/>
      <c r="K350" s="75"/>
      <c r="L350" s="76"/>
      <c r="M350" s="75"/>
      <c r="N350" s="76"/>
      <c r="O350" s="75"/>
      <c r="P350" s="76"/>
      <c r="Q350" s="75"/>
      <c r="R350" s="76"/>
      <c r="S350" s="75"/>
      <c r="T350" s="74"/>
      <c r="U350" s="74"/>
      <c r="V350" s="64">
        <v>8</v>
      </c>
      <c r="W350" s="63">
        <f t="shared" si="44"/>
        <v>8</v>
      </c>
      <c r="X350" s="414"/>
    </row>
    <row r="351" spans="2:24" ht="20.100000000000001" customHeight="1" x14ac:dyDescent="0.2">
      <c r="B351" s="675"/>
      <c r="C351" s="599" t="s">
        <v>36</v>
      </c>
      <c r="D351" s="673" t="s">
        <v>35</v>
      </c>
      <c r="E351" s="630" t="s">
        <v>34</v>
      </c>
      <c r="F351" s="73" t="s">
        <v>33</v>
      </c>
      <c r="G351" s="72" t="s">
        <v>31</v>
      </c>
      <c r="H351" s="71" t="s">
        <v>30</v>
      </c>
      <c r="I351" s="59" t="s">
        <v>29</v>
      </c>
      <c r="J351" s="70"/>
      <c r="K351" s="67">
        <v>4</v>
      </c>
      <c r="L351" s="69"/>
      <c r="M351" s="67"/>
      <c r="N351" s="68"/>
      <c r="O351" s="67">
        <v>1</v>
      </c>
      <c r="P351" s="69"/>
      <c r="Q351" s="67"/>
      <c r="R351" s="68"/>
      <c r="S351" s="67">
        <v>1</v>
      </c>
      <c r="T351" s="66"/>
      <c r="U351" s="65">
        <v>4900</v>
      </c>
      <c r="V351" s="64"/>
      <c r="W351" s="63">
        <f t="shared" si="44"/>
        <v>4900</v>
      </c>
      <c r="X351" s="414"/>
    </row>
    <row r="352" spans="2:24" ht="20.100000000000001" customHeight="1" x14ac:dyDescent="0.2">
      <c r="B352" s="675"/>
      <c r="C352" s="607"/>
      <c r="D352" s="643"/>
      <c r="E352" s="588"/>
      <c r="F352" s="62" t="s">
        <v>32</v>
      </c>
      <c r="G352" s="61" t="s">
        <v>31</v>
      </c>
      <c r="H352" s="60" t="s">
        <v>30</v>
      </c>
      <c r="I352" s="59" t="s">
        <v>29</v>
      </c>
      <c r="J352" s="58"/>
      <c r="K352" s="55">
        <v>4</v>
      </c>
      <c r="L352" s="57"/>
      <c r="M352" s="55"/>
      <c r="N352" s="56"/>
      <c r="O352" s="55">
        <v>1</v>
      </c>
      <c r="P352" s="57"/>
      <c r="Q352" s="55"/>
      <c r="R352" s="56"/>
      <c r="S352" s="55">
        <v>1</v>
      </c>
      <c r="T352" s="54"/>
      <c r="U352" s="53">
        <v>4500</v>
      </c>
      <c r="V352" s="52"/>
      <c r="W352" s="51">
        <f t="shared" si="44"/>
        <v>4500</v>
      </c>
      <c r="X352" s="414"/>
    </row>
    <row r="353" spans="2:24" ht="20.100000000000001" customHeight="1" x14ac:dyDescent="0.2">
      <c r="B353" s="675"/>
      <c r="C353" s="607"/>
      <c r="D353" s="643"/>
      <c r="E353" s="486"/>
      <c r="F353" s="20" t="s">
        <v>24</v>
      </c>
      <c r="G353" s="34" t="s">
        <v>21</v>
      </c>
      <c r="H353" s="48"/>
      <c r="I353" s="47"/>
      <c r="J353" s="33"/>
      <c r="K353" s="32"/>
      <c r="L353" s="33"/>
      <c r="M353" s="32"/>
      <c r="N353" s="33"/>
      <c r="O353" s="32"/>
      <c r="P353" s="33"/>
      <c r="Q353" s="32"/>
      <c r="R353" s="33"/>
      <c r="S353" s="32"/>
      <c r="T353" s="31"/>
      <c r="U353" s="30"/>
      <c r="V353" s="15">
        <v>600</v>
      </c>
      <c r="W353" s="14">
        <f t="shared" si="44"/>
        <v>600</v>
      </c>
      <c r="X353" s="414"/>
    </row>
    <row r="354" spans="2:24" ht="20.100000000000001" customHeight="1" x14ac:dyDescent="0.2">
      <c r="B354" s="675"/>
      <c r="C354" s="607"/>
      <c r="D354" s="643"/>
      <c r="E354" s="486"/>
      <c r="F354" s="20" t="s">
        <v>28</v>
      </c>
      <c r="G354" s="34" t="s">
        <v>21</v>
      </c>
      <c r="H354" s="48"/>
      <c r="I354" s="47"/>
      <c r="J354" s="33"/>
      <c r="K354" s="32"/>
      <c r="L354" s="33"/>
      <c r="M354" s="32"/>
      <c r="N354" s="33"/>
      <c r="O354" s="32"/>
      <c r="P354" s="33"/>
      <c r="Q354" s="32"/>
      <c r="R354" s="33"/>
      <c r="S354" s="32"/>
      <c r="T354" s="31"/>
      <c r="U354" s="30"/>
      <c r="V354" s="15">
        <v>550</v>
      </c>
      <c r="W354" s="14">
        <f t="shared" si="44"/>
        <v>550</v>
      </c>
      <c r="X354" s="414"/>
    </row>
    <row r="355" spans="2:24" ht="20.100000000000001" customHeight="1" x14ac:dyDescent="0.2">
      <c r="B355" s="675"/>
      <c r="C355" s="607"/>
      <c r="D355" s="643"/>
      <c r="E355" s="486"/>
      <c r="F355" s="20" t="s">
        <v>27</v>
      </c>
      <c r="G355" s="34" t="s">
        <v>2</v>
      </c>
      <c r="H355" s="48"/>
      <c r="I355" s="47"/>
      <c r="J355" s="33"/>
      <c r="K355" s="32"/>
      <c r="L355" s="33"/>
      <c r="M355" s="32"/>
      <c r="N355" s="33"/>
      <c r="O355" s="32"/>
      <c r="P355" s="33"/>
      <c r="Q355" s="32"/>
      <c r="R355" s="33"/>
      <c r="S355" s="32"/>
      <c r="T355" s="31"/>
      <c r="U355" s="30"/>
      <c r="V355" s="15">
        <v>20000</v>
      </c>
      <c r="W355" s="14">
        <f t="shared" si="44"/>
        <v>20000</v>
      </c>
      <c r="X355" s="414"/>
    </row>
    <row r="356" spans="2:24" ht="20.100000000000001" customHeight="1" x14ac:dyDescent="0.2">
      <c r="B356" s="675"/>
      <c r="C356" s="607"/>
      <c r="D356" s="643"/>
      <c r="E356" s="486"/>
      <c r="F356" s="20" t="s">
        <v>26</v>
      </c>
      <c r="G356" s="34" t="s">
        <v>2</v>
      </c>
      <c r="H356" s="48"/>
      <c r="I356" s="47"/>
      <c r="J356" s="33"/>
      <c r="K356" s="32"/>
      <c r="L356" s="33"/>
      <c r="M356" s="32"/>
      <c r="N356" s="33"/>
      <c r="O356" s="32"/>
      <c r="P356" s="33"/>
      <c r="Q356" s="32"/>
      <c r="R356" s="33"/>
      <c r="S356" s="32"/>
      <c r="T356" s="31"/>
      <c r="U356" s="30"/>
      <c r="V356" s="15">
        <v>20000</v>
      </c>
      <c r="W356" s="14">
        <f t="shared" si="44"/>
        <v>20000</v>
      </c>
      <c r="X356" s="414"/>
    </row>
    <row r="357" spans="2:24" ht="20.100000000000001" customHeight="1" x14ac:dyDescent="0.2">
      <c r="B357" s="675"/>
      <c r="C357" s="607"/>
      <c r="D357" s="643"/>
      <c r="E357" s="486"/>
      <c r="F357" s="20" t="s">
        <v>27</v>
      </c>
      <c r="G357" s="34" t="s">
        <v>2</v>
      </c>
      <c r="H357" s="48"/>
      <c r="I357" s="47"/>
      <c r="J357" s="33"/>
      <c r="K357" s="32"/>
      <c r="L357" s="33"/>
      <c r="M357" s="32"/>
      <c r="N357" s="33"/>
      <c r="O357" s="32"/>
      <c r="P357" s="33"/>
      <c r="Q357" s="32"/>
      <c r="R357" s="33"/>
      <c r="S357" s="32"/>
      <c r="T357" s="31"/>
      <c r="U357" s="30"/>
      <c r="V357" s="15">
        <v>20000</v>
      </c>
      <c r="W357" s="14">
        <f t="shared" si="44"/>
        <v>20000</v>
      </c>
      <c r="X357" s="414"/>
    </row>
    <row r="358" spans="2:24" ht="20.100000000000001" customHeight="1" x14ac:dyDescent="0.2">
      <c r="B358" s="675"/>
      <c r="C358" s="607"/>
      <c r="D358" s="643"/>
      <c r="E358" s="486"/>
      <c r="F358" s="20" t="s">
        <v>26</v>
      </c>
      <c r="G358" s="34" t="s">
        <v>2</v>
      </c>
      <c r="H358" s="48"/>
      <c r="I358" s="47"/>
      <c r="J358" s="33"/>
      <c r="K358" s="32"/>
      <c r="L358" s="33"/>
      <c r="M358" s="32"/>
      <c r="N358" s="33"/>
      <c r="O358" s="32"/>
      <c r="P358" s="33"/>
      <c r="Q358" s="32"/>
      <c r="R358" s="33"/>
      <c r="S358" s="32"/>
      <c r="T358" s="31"/>
      <c r="U358" s="30"/>
      <c r="V358" s="15">
        <v>20000</v>
      </c>
      <c r="W358" s="14">
        <f t="shared" si="44"/>
        <v>20000</v>
      </c>
      <c r="X358" s="414"/>
    </row>
    <row r="359" spans="2:24" ht="20.100000000000001" customHeight="1" x14ac:dyDescent="0.2">
      <c r="B359" s="675"/>
      <c r="C359" s="607"/>
      <c r="D359" s="674"/>
      <c r="E359" s="486"/>
      <c r="F359" s="50" t="s">
        <v>18</v>
      </c>
      <c r="G359" s="34" t="s">
        <v>17</v>
      </c>
      <c r="H359" s="48"/>
      <c r="I359" s="47"/>
      <c r="J359" s="33"/>
      <c r="K359" s="32"/>
      <c r="L359" s="33"/>
      <c r="M359" s="32"/>
      <c r="N359" s="33"/>
      <c r="O359" s="32"/>
      <c r="P359" s="33"/>
      <c r="Q359" s="32"/>
      <c r="R359" s="33"/>
      <c r="S359" s="32"/>
      <c r="T359" s="31"/>
      <c r="U359" s="30"/>
      <c r="V359" s="15">
        <v>3</v>
      </c>
      <c r="W359" s="14">
        <f t="shared" si="44"/>
        <v>3</v>
      </c>
      <c r="X359" s="414"/>
    </row>
    <row r="360" spans="2:24" ht="20.100000000000001" customHeight="1" x14ac:dyDescent="0.2">
      <c r="B360" s="675"/>
      <c r="C360" s="607"/>
      <c r="D360" s="684" t="s">
        <v>25</v>
      </c>
      <c r="E360" s="486"/>
      <c r="F360" s="49" t="s">
        <v>24</v>
      </c>
      <c r="G360" s="34" t="s">
        <v>2</v>
      </c>
      <c r="H360" s="48"/>
      <c r="I360" s="47"/>
      <c r="J360" s="33"/>
      <c r="K360" s="32"/>
      <c r="L360" s="33"/>
      <c r="M360" s="32"/>
      <c r="N360" s="33"/>
      <c r="O360" s="32"/>
      <c r="P360" s="33"/>
      <c r="Q360" s="32"/>
      <c r="R360" s="33"/>
      <c r="S360" s="32"/>
      <c r="T360" s="31"/>
      <c r="U360" s="30"/>
      <c r="V360" s="15">
        <v>600</v>
      </c>
      <c r="W360" s="14">
        <f t="shared" si="44"/>
        <v>600</v>
      </c>
      <c r="X360" s="414"/>
    </row>
    <row r="361" spans="2:24" ht="20.100000000000001" customHeight="1" x14ac:dyDescent="0.2">
      <c r="B361" s="675"/>
      <c r="C361" s="607"/>
      <c r="D361" s="684"/>
      <c r="E361" s="486"/>
      <c r="F361" s="20" t="s">
        <v>23</v>
      </c>
      <c r="G361" s="34" t="s">
        <v>21</v>
      </c>
      <c r="H361" s="48"/>
      <c r="I361" s="47"/>
      <c r="J361" s="33"/>
      <c r="K361" s="32"/>
      <c r="L361" s="33"/>
      <c r="M361" s="32"/>
      <c r="N361" s="33"/>
      <c r="O361" s="32"/>
      <c r="P361" s="33"/>
      <c r="Q361" s="32"/>
      <c r="R361" s="33"/>
      <c r="S361" s="32"/>
      <c r="T361" s="31"/>
      <c r="U361" s="30"/>
      <c r="V361" s="15">
        <v>550</v>
      </c>
      <c r="W361" s="14">
        <f t="shared" si="44"/>
        <v>550</v>
      </c>
      <c r="X361" s="414"/>
    </row>
    <row r="362" spans="2:24" ht="20.100000000000001" customHeight="1" x14ac:dyDescent="0.2">
      <c r="B362" s="675"/>
      <c r="C362" s="607"/>
      <c r="D362" s="684"/>
      <c r="E362" s="486"/>
      <c r="F362" s="671" t="s">
        <v>22</v>
      </c>
      <c r="G362" s="34" t="s">
        <v>21</v>
      </c>
      <c r="H362" s="48"/>
      <c r="I362" s="47"/>
      <c r="J362" s="33"/>
      <c r="K362" s="32"/>
      <c r="L362" s="33"/>
      <c r="M362" s="32"/>
      <c r="N362" s="33"/>
      <c r="O362" s="32"/>
      <c r="P362" s="33"/>
      <c r="Q362" s="32"/>
      <c r="R362" s="33"/>
      <c r="S362" s="32"/>
      <c r="T362" s="31"/>
      <c r="U362" s="30"/>
      <c r="V362" s="15">
        <v>300</v>
      </c>
      <c r="W362" s="14">
        <f t="shared" si="44"/>
        <v>300</v>
      </c>
      <c r="X362" s="414"/>
    </row>
    <row r="363" spans="2:24" ht="20.100000000000001" customHeight="1" x14ac:dyDescent="0.2">
      <c r="B363" s="675"/>
      <c r="C363" s="607"/>
      <c r="D363" s="684"/>
      <c r="E363" s="486"/>
      <c r="F363" s="672"/>
      <c r="G363" s="34" t="s">
        <v>21</v>
      </c>
      <c r="H363" s="48"/>
      <c r="I363" s="47"/>
      <c r="J363" s="33"/>
      <c r="K363" s="32"/>
      <c r="L363" s="33"/>
      <c r="M363" s="32"/>
      <c r="N363" s="33"/>
      <c r="O363" s="32"/>
      <c r="P363" s="33"/>
      <c r="Q363" s="32"/>
      <c r="R363" s="33"/>
      <c r="S363" s="32"/>
      <c r="T363" s="31"/>
      <c r="U363" s="30"/>
      <c r="V363" s="15">
        <v>700</v>
      </c>
      <c r="W363" s="14">
        <f t="shared" si="44"/>
        <v>700</v>
      </c>
      <c r="X363" s="414"/>
    </row>
    <row r="364" spans="2:24" ht="20.100000000000001" customHeight="1" x14ac:dyDescent="0.2">
      <c r="B364" s="675"/>
      <c r="C364" s="607"/>
      <c r="D364" s="684"/>
      <c r="E364" s="486"/>
      <c r="F364" s="20" t="s">
        <v>20</v>
      </c>
      <c r="G364" s="34" t="s">
        <v>19</v>
      </c>
      <c r="H364" s="48"/>
      <c r="I364" s="47"/>
      <c r="J364" s="33"/>
      <c r="K364" s="32"/>
      <c r="L364" s="33"/>
      <c r="M364" s="32"/>
      <c r="N364" s="33"/>
      <c r="O364" s="32"/>
      <c r="P364" s="33"/>
      <c r="Q364" s="32"/>
      <c r="R364" s="33"/>
      <c r="S364" s="32"/>
      <c r="T364" s="31"/>
      <c r="U364" s="30"/>
      <c r="V364" s="15">
        <v>3</v>
      </c>
      <c r="W364" s="14">
        <f t="shared" si="44"/>
        <v>3</v>
      </c>
      <c r="X364" s="414"/>
    </row>
    <row r="365" spans="2:24" ht="20.100000000000001" customHeight="1" x14ac:dyDescent="0.2">
      <c r="B365" s="675"/>
      <c r="C365" s="607"/>
      <c r="D365" s="685"/>
      <c r="E365" s="487"/>
      <c r="F365" s="46" t="s">
        <v>18</v>
      </c>
      <c r="G365" s="45" t="s">
        <v>17</v>
      </c>
      <c r="H365" s="44"/>
      <c r="I365" s="43"/>
      <c r="J365" s="42"/>
      <c r="K365" s="41"/>
      <c r="L365" s="42"/>
      <c r="M365" s="41"/>
      <c r="N365" s="42"/>
      <c r="O365" s="41"/>
      <c r="P365" s="42"/>
      <c r="Q365" s="41"/>
      <c r="R365" s="42"/>
      <c r="S365" s="41"/>
      <c r="T365" s="40"/>
      <c r="U365" s="39"/>
      <c r="V365" s="38">
        <v>3</v>
      </c>
      <c r="W365" s="37">
        <f t="shared" si="44"/>
        <v>3</v>
      </c>
      <c r="X365" s="414"/>
    </row>
    <row r="366" spans="2:24" ht="20.100000000000001" customHeight="1" x14ac:dyDescent="0.2">
      <c r="B366" s="699" t="s">
        <v>16</v>
      </c>
      <c r="C366" s="701" t="s">
        <v>15</v>
      </c>
      <c r="D366" s="701"/>
      <c r="E366" s="669" t="s">
        <v>14</v>
      </c>
      <c r="F366" s="36" t="s">
        <v>13</v>
      </c>
      <c r="G366" s="19" t="s">
        <v>8</v>
      </c>
      <c r="H366" s="35"/>
      <c r="I366" s="34"/>
      <c r="J366" s="33"/>
      <c r="K366" s="32"/>
      <c r="L366" s="33"/>
      <c r="M366" s="32"/>
      <c r="N366" s="33"/>
      <c r="O366" s="32"/>
      <c r="P366" s="33"/>
      <c r="Q366" s="32"/>
      <c r="R366" s="33"/>
      <c r="S366" s="32"/>
      <c r="T366" s="31"/>
      <c r="U366" s="30"/>
      <c r="V366" s="21">
        <v>17</v>
      </c>
      <c r="W366" s="14">
        <f t="shared" si="44"/>
        <v>17</v>
      </c>
      <c r="X366" s="414"/>
    </row>
    <row r="367" spans="2:24" ht="20.100000000000001" customHeight="1" x14ac:dyDescent="0.2">
      <c r="B367" s="699"/>
      <c r="C367" s="701"/>
      <c r="D367" s="701"/>
      <c r="E367" s="669"/>
      <c r="F367" s="29" t="s">
        <v>12</v>
      </c>
      <c r="G367" s="28" t="s">
        <v>8</v>
      </c>
      <c r="H367" s="27" t="s">
        <v>10</v>
      </c>
      <c r="I367" s="26" t="s">
        <v>6</v>
      </c>
      <c r="J367" s="25"/>
      <c r="K367" s="24">
        <v>3</v>
      </c>
      <c r="L367" s="25"/>
      <c r="M367" s="24"/>
      <c r="N367" s="25"/>
      <c r="O367" s="24"/>
      <c r="P367" s="25"/>
      <c r="Q367" s="24">
        <v>1</v>
      </c>
      <c r="R367" s="25"/>
      <c r="S367" s="24"/>
      <c r="T367" s="23"/>
      <c r="U367" s="22">
        <v>12</v>
      </c>
      <c r="V367" s="21"/>
      <c r="W367" s="14">
        <f t="shared" si="44"/>
        <v>12</v>
      </c>
      <c r="X367" s="414"/>
    </row>
    <row r="368" spans="2:24" ht="20.100000000000001" customHeight="1" x14ac:dyDescent="0.2">
      <c r="B368" s="699"/>
      <c r="C368" s="701"/>
      <c r="D368" s="701"/>
      <c r="E368" s="669"/>
      <c r="F368" s="29" t="s">
        <v>11</v>
      </c>
      <c r="G368" s="28" t="s">
        <v>8</v>
      </c>
      <c r="H368" s="27" t="s">
        <v>10</v>
      </c>
      <c r="I368" s="26" t="s">
        <v>6</v>
      </c>
      <c r="J368" s="25"/>
      <c r="K368" s="24">
        <v>3</v>
      </c>
      <c r="L368" s="25"/>
      <c r="M368" s="24"/>
      <c r="N368" s="25"/>
      <c r="O368" s="24"/>
      <c r="P368" s="25"/>
      <c r="Q368" s="24">
        <v>1</v>
      </c>
      <c r="R368" s="25"/>
      <c r="S368" s="24"/>
      <c r="T368" s="23"/>
      <c r="U368" s="22">
        <v>9</v>
      </c>
      <c r="V368" s="21"/>
      <c r="W368" s="14">
        <f t="shared" si="44"/>
        <v>9</v>
      </c>
      <c r="X368" s="414"/>
    </row>
    <row r="369" spans="2:24" ht="20.100000000000001" customHeight="1" x14ac:dyDescent="0.2">
      <c r="B369" s="699"/>
      <c r="C369" s="701"/>
      <c r="D369" s="701"/>
      <c r="E369" s="501"/>
      <c r="F369" s="29" t="s">
        <v>9</v>
      </c>
      <c r="G369" s="28" t="s">
        <v>8</v>
      </c>
      <c r="H369" s="27" t="s">
        <v>7</v>
      </c>
      <c r="I369" s="26" t="s">
        <v>6</v>
      </c>
      <c r="J369" s="25"/>
      <c r="K369" s="24">
        <v>3</v>
      </c>
      <c r="L369" s="25"/>
      <c r="M369" s="24"/>
      <c r="N369" s="25"/>
      <c r="O369" s="24"/>
      <c r="P369" s="25"/>
      <c r="Q369" s="24">
        <v>1</v>
      </c>
      <c r="R369" s="25"/>
      <c r="S369" s="24"/>
      <c r="T369" s="23"/>
      <c r="U369" s="22">
        <v>7</v>
      </c>
      <c r="V369" s="21"/>
      <c r="W369" s="14">
        <f t="shared" si="44"/>
        <v>7</v>
      </c>
      <c r="X369" s="414"/>
    </row>
    <row r="370" spans="2:24" ht="20.100000000000001" customHeight="1" x14ac:dyDescent="0.2">
      <c r="B370" s="699"/>
      <c r="C370" s="704" t="s">
        <v>5</v>
      </c>
      <c r="D370" s="705"/>
      <c r="E370" s="502"/>
      <c r="F370" s="20" t="s">
        <v>3</v>
      </c>
      <c r="G370" s="19" t="s">
        <v>2</v>
      </c>
      <c r="H370" s="16"/>
      <c r="I370" s="18"/>
      <c r="J370" s="16"/>
      <c r="K370" s="16"/>
      <c r="L370" s="16"/>
      <c r="M370" s="17"/>
      <c r="N370" s="16"/>
      <c r="O370" s="17"/>
      <c r="P370" s="16"/>
      <c r="Q370" s="16"/>
      <c r="R370" s="16"/>
      <c r="S370" s="16"/>
      <c r="T370" s="16"/>
      <c r="U370" s="16"/>
      <c r="V370" s="15">
        <v>170</v>
      </c>
      <c r="W370" s="14">
        <f t="shared" si="44"/>
        <v>170</v>
      </c>
      <c r="X370" s="414"/>
    </row>
    <row r="371" spans="2:24" ht="20.100000000000001" customHeight="1" x14ac:dyDescent="0.2">
      <c r="B371" s="700"/>
      <c r="C371" s="702" t="s">
        <v>4</v>
      </c>
      <c r="D371" s="703"/>
      <c r="E371" s="503"/>
      <c r="F371" s="13" t="s">
        <v>3</v>
      </c>
      <c r="G371" s="12" t="s">
        <v>2</v>
      </c>
      <c r="H371" s="9"/>
      <c r="I371" s="11"/>
      <c r="J371" s="9"/>
      <c r="K371" s="9"/>
      <c r="L371" s="9"/>
      <c r="M371" s="10"/>
      <c r="N371" s="9"/>
      <c r="O371" s="10"/>
      <c r="P371" s="9"/>
      <c r="Q371" s="9"/>
      <c r="R371" s="9"/>
      <c r="S371" s="9"/>
      <c r="T371" s="9"/>
      <c r="U371" s="9"/>
      <c r="V371" s="8">
        <v>150</v>
      </c>
      <c r="W371" s="7">
        <f t="shared" si="44"/>
        <v>150</v>
      </c>
      <c r="X371" s="414"/>
    </row>
  </sheetData>
  <mergeCells count="303">
    <mergeCell ref="H188:H189"/>
    <mergeCell ref="H186:H187"/>
    <mergeCell ref="H184:H185"/>
    <mergeCell ref="H88:H89"/>
    <mergeCell ref="H86:H87"/>
    <mergeCell ref="H84:H85"/>
    <mergeCell ref="F143:F144"/>
    <mergeCell ref="F184:F185"/>
    <mergeCell ref="F182:F183"/>
    <mergeCell ref="F180:F181"/>
    <mergeCell ref="F178:F179"/>
    <mergeCell ref="H178:H179"/>
    <mergeCell ref="I94:I95"/>
    <mergeCell ref="I92:I93"/>
    <mergeCell ref="I90:I91"/>
    <mergeCell ref="I88:I89"/>
    <mergeCell ref="I86:I87"/>
    <mergeCell ref="I84:I85"/>
    <mergeCell ref="U2:W2"/>
    <mergeCell ref="E50:E52"/>
    <mergeCell ref="E53:E54"/>
    <mergeCell ref="F3:F4"/>
    <mergeCell ref="G3:G4"/>
    <mergeCell ref="H3:W3"/>
    <mergeCell ref="L4:M4"/>
    <mergeCell ref="N4:O4"/>
    <mergeCell ref="E74:E75"/>
    <mergeCell ref="F84:F85"/>
    <mergeCell ref="F86:F87"/>
    <mergeCell ref="F88:F89"/>
    <mergeCell ref="F90:F91"/>
    <mergeCell ref="F92:F93"/>
    <mergeCell ref="F94:F95"/>
    <mergeCell ref="H94:H95"/>
    <mergeCell ref="H92:H93"/>
    <mergeCell ref="H90:H91"/>
    <mergeCell ref="E31:E36"/>
    <mergeCell ref="E37:E38"/>
    <mergeCell ref="D50:D52"/>
    <mergeCell ref="D9:D10"/>
    <mergeCell ref="C70:D70"/>
    <mergeCell ref="E11:E14"/>
    <mergeCell ref="E25:E30"/>
    <mergeCell ref="D25:D36"/>
    <mergeCell ref="C39:C49"/>
    <mergeCell ref="D55:D62"/>
    <mergeCell ref="E55:E62"/>
    <mergeCell ref="D44:D49"/>
    <mergeCell ref="E44:E49"/>
    <mergeCell ref="B366:B371"/>
    <mergeCell ref="C366:D369"/>
    <mergeCell ref="C371:D371"/>
    <mergeCell ref="C370:D370"/>
    <mergeCell ref="B7:B38"/>
    <mergeCell ref="D120:D124"/>
    <mergeCell ref="B176:B211"/>
    <mergeCell ref="C323:D327"/>
    <mergeCell ref="C335:D335"/>
    <mergeCell ref="C279:D279"/>
    <mergeCell ref="C280:D280"/>
    <mergeCell ref="C267:D267"/>
    <mergeCell ref="C268:D268"/>
    <mergeCell ref="B276:B279"/>
    <mergeCell ref="B295:B310"/>
    <mergeCell ref="B280:B283"/>
    <mergeCell ref="C100:D105"/>
    <mergeCell ref="D131:D136"/>
    <mergeCell ref="C7:C10"/>
    <mergeCell ref="D53:D54"/>
    <mergeCell ref="D42:D43"/>
    <mergeCell ref="C37:D38"/>
    <mergeCell ref="B39:B62"/>
    <mergeCell ref="C50:C62"/>
    <mergeCell ref="E165:E170"/>
    <mergeCell ref="E178:E189"/>
    <mergeCell ref="C208:C209"/>
    <mergeCell ref="C211:D211"/>
    <mergeCell ref="D215:D216"/>
    <mergeCell ref="C217:C235"/>
    <mergeCell ref="B244:B252"/>
    <mergeCell ref="C244:D244"/>
    <mergeCell ref="B106:B175"/>
    <mergeCell ref="E141:E142"/>
    <mergeCell ref="E245:E250"/>
    <mergeCell ref="E251:E252"/>
    <mergeCell ref="D147:D150"/>
    <mergeCell ref="E107:E119"/>
    <mergeCell ref="E125:E136"/>
    <mergeCell ref="C155:D162"/>
    <mergeCell ref="B338:B365"/>
    <mergeCell ref="C341:D343"/>
    <mergeCell ref="C338:D340"/>
    <mergeCell ref="C286:D286"/>
    <mergeCell ref="C285:D285"/>
    <mergeCell ref="D360:D365"/>
    <mergeCell ref="B311:B319"/>
    <mergeCell ref="C311:D311"/>
    <mergeCell ref="B320:B321"/>
    <mergeCell ref="C320:D320"/>
    <mergeCell ref="B323:B336"/>
    <mergeCell ref="C328:D330"/>
    <mergeCell ref="C287:D287"/>
    <mergeCell ref="C288:D288"/>
    <mergeCell ref="C295:C300"/>
    <mergeCell ref="C292:D292"/>
    <mergeCell ref="C331:D332"/>
    <mergeCell ref="C333:D334"/>
    <mergeCell ref="C278:D278"/>
    <mergeCell ref="C276:D276"/>
    <mergeCell ref="C293:D294"/>
    <mergeCell ref="F362:F363"/>
    <mergeCell ref="D351:D359"/>
    <mergeCell ref="C351:C365"/>
    <mergeCell ref="E301:E302"/>
    <mergeCell ref="C282:D282"/>
    <mergeCell ref="C346:D350"/>
    <mergeCell ref="C344:D345"/>
    <mergeCell ref="E312:E313"/>
    <mergeCell ref="D301:D302"/>
    <mergeCell ref="D303:D304"/>
    <mergeCell ref="C305:D306"/>
    <mergeCell ref="C307:D309"/>
    <mergeCell ref="E299:E300"/>
    <mergeCell ref="E307:E308"/>
    <mergeCell ref="E305:E306"/>
    <mergeCell ref="E303:E304"/>
    <mergeCell ref="C269:D269"/>
    <mergeCell ref="C284:D284"/>
    <mergeCell ref="C277:D277"/>
    <mergeCell ref="E293:E294"/>
    <mergeCell ref="E366:E368"/>
    <mergeCell ref="E351:E352"/>
    <mergeCell ref="E333:E334"/>
    <mergeCell ref="E331:E332"/>
    <mergeCell ref="E328:E330"/>
    <mergeCell ref="E323:E325"/>
    <mergeCell ref="E268:E269"/>
    <mergeCell ref="E290:E291"/>
    <mergeCell ref="E155:E160"/>
    <mergeCell ref="E214:E216"/>
    <mergeCell ref="C210:D210"/>
    <mergeCell ref="E84:E95"/>
    <mergeCell ref="C336:D336"/>
    <mergeCell ref="D217:D224"/>
    <mergeCell ref="D225:D228"/>
    <mergeCell ref="E315:E318"/>
    <mergeCell ref="C312:C314"/>
    <mergeCell ref="D312:D313"/>
    <mergeCell ref="C315:C318"/>
    <mergeCell ref="D315:D316"/>
    <mergeCell ref="D317:D318"/>
    <mergeCell ref="C281:D281"/>
    <mergeCell ref="C319:D319"/>
    <mergeCell ref="C310:D310"/>
    <mergeCell ref="D299:D300"/>
    <mergeCell ref="C301:C304"/>
    <mergeCell ref="D236:D238"/>
    <mergeCell ref="C253:C254"/>
    <mergeCell ref="C283:D283"/>
    <mergeCell ref="E217:E224"/>
    <mergeCell ref="E225:E228"/>
    <mergeCell ref="C266:D266"/>
    <mergeCell ref="B3:B4"/>
    <mergeCell ref="C3:D4"/>
    <mergeCell ref="E3:E4"/>
    <mergeCell ref="D11:D14"/>
    <mergeCell ref="B64:B70"/>
    <mergeCell ref="C65:C69"/>
    <mergeCell ref="B71:B105"/>
    <mergeCell ref="J4:K4"/>
    <mergeCell ref="C98:D99"/>
    <mergeCell ref="E78:E79"/>
    <mergeCell ref="E98:E99"/>
    <mergeCell ref="E100:E105"/>
    <mergeCell ref="C71:C81"/>
    <mergeCell ref="E76:E77"/>
    <mergeCell ref="D78:D81"/>
    <mergeCell ref="E96:E97"/>
    <mergeCell ref="E82:E83"/>
    <mergeCell ref="D39:D41"/>
    <mergeCell ref="E65:E67"/>
    <mergeCell ref="D71:D73"/>
    <mergeCell ref="E9:E10"/>
    <mergeCell ref="E21:E24"/>
    <mergeCell ref="E39:E41"/>
    <mergeCell ref="E42:E43"/>
    <mergeCell ref="C96:D97"/>
    <mergeCell ref="P4:Q4"/>
    <mergeCell ref="R4:S4"/>
    <mergeCell ref="C6:D6"/>
    <mergeCell ref="D21:D24"/>
    <mergeCell ref="E236:E238"/>
    <mergeCell ref="D15:D20"/>
    <mergeCell ref="E147:E150"/>
    <mergeCell ref="D151:D152"/>
    <mergeCell ref="D153:D154"/>
    <mergeCell ref="C139:C154"/>
    <mergeCell ref="D139:D146"/>
    <mergeCell ref="E71:E73"/>
    <mergeCell ref="C64:D64"/>
    <mergeCell ref="E80:E81"/>
    <mergeCell ref="E15:E20"/>
    <mergeCell ref="C11:C36"/>
    <mergeCell ref="D65:D67"/>
    <mergeCell ref="D82:D83"/>
    <mergeCell ref="C82:C95"/>
    <mergeCell ref="D84:D95"/>
    <mergeCell ref="D74:D77"/>
    <mergeCell ref="E229:E231"/>
    <mergeCell ref="E232:E234"/>
    <mergeCell ref="E270:E271"/>
    <mergeCell ref="C272:C275"/>
    <mergeCell ref="E272:E275"/>
    <mergeCell ref="D272:D273"/>
    <mergeCell ref="D274:D275"/>
    <mergeCell ref="D180:D181"/>
    <mergeCell ref="D178:D179"/>
    <mergeCell ref="C163:D170"/>
    <mergeCell ref="C245:D250"/>
    <mergeCell ref="C251:D252"/>
    <mergeCell ref="C236:C238"/>
    <mergeCell ref="C263:D263"/>
    <mergeCell ref="C264:D264"/>
    <mergeCell ref="C265:D265"/>
    <mergeCell ref="C259:D259"/>
    <mergeCell ref="C258:D258"/>
    <mergeCell ref="C262:D262"/>
    <mergeCell ref="C260:D261"/>
    <mergeCell ref="C178:C189"/>
    <mergeCell ref="C239:C240"/>
    <mergeCell ref="C242:D242"/>
    <mergeCell ref="C257:D257"/>
    <mergeCell ref="C241:D241"/>
    <mergeCell ref="C213:C216"/>
    <mergeCell ref="D107:D109"/>
    <mergeCell ref="D110:D112"/>
    <mergeCell ref="D125:D127"/>
    <mergeCell ref="D128:D130"/>
    <mergeCell ref="C137:D138"/>
    <mergeCell ref="C171:D171"/>
    <mergeCell ref="C172:C175"/>
    <mergeCell ref="D229:D231"/>
    <mergeCell ref="D232:D234"/>
    <mergeCell ref="C106:C119"/>
    <mergeCell ref="D113:D119"/>
    <mergeCell ref="C120:C136"/>
    <mergeCell ref="B284:B288"/>
    <mergeCell ref="B289:B294"/>
    <mergeCell ref="C289:D289"/>
    <mergeCell ref="C290:D291"/>
    <mergeCell ref="D188:D189"/>
    <mergeCell ref="D186:D187"/>
    <mergeCell ref="D184:D185"/>
    <mergeCell ref="D182:D183"/>
    <mergeCell ref="D204:D207"/>
    <mergeCell ref="B258:B267"/>
    <mergeCell ref="B253:B257"/>
    <mergeCell ref="B268:B275"/>
    <mergeCell ref="C270:D271"/>
    <mergeCell ref="B239:B242"/>
    <mergeCell ref="B213:B238"/>
    <mergeCell ref="C255:D256"/>
    <mergeCell ref="H182:H183"/>
    <mergeCell ref="H180:H181"/>
    <mergeCell ref="I188:I189"/>
    <mergeCell ref="I186:I187"/>
    <mergeCell ref="I184:I185"/>
    <mergeCell ref="I182:I183"/>
    <mergeCell ref="I180:I181"/>
    <mergeCell ref="I178:I179"/>
    <mergeCell ref="C190:C207"/>
    <mergeCell ref="D190:D191"/>
    <mergeCell ref="E190:E207"/>
    <mergeCell ref="F190:F191"/>
    <mergeCell ref="H190:H191"/>
    <mergeCell ref="I190:I191"/>
    <mergeCell ref="D192:D193"/>
    <mergeCell ref="F192:F193"/>
    <mergeCell ref="H192:H193"/>
    <mergeCell ref="I192:I193"/>
    <mergeCell ref="D196:D199"/>
    <mergeCell ref="I196:I199"/>
    <mergeCell ref="D200:D203"/>
    <mergeCell ref="I200:I203"/>
    <mergeCell ref="F188:F189"/>
    <mergeCell ref="F186:F187"/>
    <mergeCell ref="I204:I207"/>
    <mergeCell ref="D194:D195"/>
    <mergeCell ref="F194:F195"/>
    <mergeCell ref="H194:H195"/>
    <mergeCell ref="I194:I195"/>
    <mergeCell ref="F196:F197"/>
    <mergeCell ref="F198:F199"/>
    <mergeCell ref="F200:F201"/>
    <mergeCell ref="F202:F203"/>
    <mergeCell ref="F204:F205"/>
    <mergeCell ref="F206:F207"/>
    <mergeCell ref="H202:H203"/>
    <mergeCell ref="H204:H205"/>
    <mergeCell ref="H206:H207"/>
    <mergeCell ref="H196:H197"/>
    <mergeCell ref="H198:H199"/>
    <mergeCell ref="H200:H20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3085-25D2-4263-A261-A9B159DA0857}">
  <dimension ref="A2:AA34"/>
  <sheetViews>
    <sheetView topLeftCell="F1" zoomScale="85" zoomScaleNormal="85" workbookViewId="0">
      <selection activeCell="T22" sqref="T22"/>
    </sheetView>
  </sheetViews>
  <sheetFormatPr defaultRowHeight="16.5" x14ac:dyDescent="0.3"/>
  <cols>
    <col min="2" max="2" width="11.375" customWidth="1"/>
    <col min="11" max="11" width="29" customWidth="1"/>
    <col min="12" max="12" width="10" customWidth="1"/>
    <col min="13" max="13" width="10.75" customWidth="1"/>
    <col min="14" max="19" width="9.875" customWidth="1"/>
    <col min="20" max="20" width="8.75" customWidth="1"/>
    <col min="21" max="21" width="9.75" customWidth="1"/>
    <col min="22" max="22" width="20.125" customWidth="1"/>
    <col min="23" max="24" width="8.375" customWidth="1"/>
    <col min="25" max="25" width="8.75" customWidth="1"/>
    <col min="26" max="26" width="18.875" customWidth="1"/>
    <col min="27" max="27" width="28" customWidth="1"/>
    <col min="32" max="33" width="7.25" customWidth="1"/>
  </cols>
  <sheetData>
    <row r="2" spans="1:27" ht="20.25" x14ac:dyDescent="0.3">
      <c r="A2" s="539" t="s">
        <v>799</v>
      </c>
    </row>
    <row r="5" spans="1:27" ht="20.25" x14ac:dyDescent="0.3">
      <c r="K5" s="744" t="s">
        <v>769</v>
      </c>
      <c r="L5" s="744"/>
    </row>
    <row r="6" spans="1:27" ht="16.5" customHeight="1" x14ac:dyDescent="0.3">
      <c r="K6" s="510" t="s">
        <v>751</v>
      </c>
      <c r="L6" s="510" t="s">
        <v>752</v>
      </c>
      <c r="M6" s="745" t="s">
        <v>753</v>
      </c>
      <c r="N6" s="745"/>
      <c r="O6" s="745"/>
      <c r="P6" s="745"/>
      <c r="Q6" s="745"/>
      <c r="R6" s="745"/>
      <c r="S6" s="745"/>
      <c r="T6" s="745"/>
      <c r="U6" s="745"/>
      <c r="V6" s="510" t="s">
        <v>754</v>
      </c>
      <c r="W6" s="745" t="s">
        <v>755</v>
      </c>
      <c r="X6" s="745"/>
      <c r="Y6" s="510" t="s">
        <v>756</v>
      </c>
      <c r="Z6" s="746" t="s">
        <v>787</v>
      </c>
      <c r="AA6" s="746" t="s">
        <v>780</v>
      </c>
    </row>
    <row r="7" spans="1:27" x14ac:dyDescent="0.3">
      <c r="K7" s="745" t="s">
        <v>757</v>
      </c>
      <c r="L7" s="745" t="s">
        <v>758</v>
      </c>
      <c r="M7" s="745" t="s">
        <v>803</v>
      </c>
      <c r="N7" s="745"/>
      <c r="O7" s="745"/>
      <c r="P7" s="745"/>
      <c r="Q7" s="745"/>
      <c r="R7" s="745"/>
      <c r="S7" s="745"/>
      <c r="T7" s="745"/>
      <c r="U7" s="745"/>
      <c r="V7" s="745" t="s">
        <v>760</v>
      </c>
      <c r="W7" s="745" t="s">
        <v>761</v>
      </c>
      <c r="X7" s="745"/>
      <c r="Y7" s="745" t="s">
        <v>762</v>
      </c>
      <c r="Z7" s="747"/>
      <c r="AA7" s="747"/>
    </row>
    <row r="8" spans="1:27" ht="16.5" customHeight="1" thickBot="1" x14ac:dyDescent="0.35">
      <c r="K8" s="746"/>
      <c r="L8" s="745"/>
      <c r="M8" s="510" t="s">
        <v>771</v>
      </c>
      <c r="N8" s="510" t="s">
        <v>763</v>
      </c>
      <c r="O8" s="510" t="s">
        <v>764</v>
      </c>
      <c r="P8" s="510" t="s">
        <v>765</v>
      </c>
      <c r="Q8" s="510" t="s">
        <v>766</v>
      </c>
      <c r="R8" s="510" t="s">
        <v>767</v>
      </c>
      <c r="S8" s="510" t="s">
        <v>768</v>
      </c>
      <c r="T8" s="510" t="s">
        <v>770</v>
      </c>
      <c r="U8" s="510" t="s">
        <v>774</v>
      </c>
      <c r="V8" s="745"/>
      <c r="W8" s="510" t="s">
        <v>772</v>
      </c>
      <c r="X8" s="511" t="s">
        <v>773</v>
      </c>
      <c r="Y8" s="745"/>
      <c r="Z8" s="748"/>
      <c r="AA8" s="748"/>
    </row>
    <row r="9" spans="1:27" x14ac:dyDescent="0.3">
      <c r="K9" s="528">
        <f>(L9+U9+V9+X9)/Y9</f>
        <v>26.150000000000002</v>
      </c>
      <c r="L9" s="513">
        <v>3</v>
      </c>
      <c r="M9" s="514">
        <v>500</v>
      </c>
      <c r="N9" s="515">
        <v>12</v>
      </c>
      <c r="O9" s="515"/>
      <c r="P9" s="515"/>
      <c r="Q9" s="515"/>
      <c r="R9" s="515"/>
      <c r="S9" s="515"/>
      <c r="T9" s="516">
        <f>SUM(N9:S9)</f>
        <v>12</v>
      </c>
      <c r="U9" s="517">
        <f>T9*D30</f>
        <v>10.92</v>
      </c>
      <c r="V9" s="513">
        <v>2</v>
      </c>
      <c r="W9" s="515">
        <f t="shared" ref="W9:W19" si="0">T9</f>
        <v>12</v>
      </c>
      <c r="X9" s="513" cm="1">
        <f t="array" ref="X9">_xlfn.IFS(W9&lt;10,3,W9&lt;20,5,W9&lt;30,7)</f>
        <v>5</v>
      </c>
      <c r="Y9" s="524">
        <v>0.8</v>
      </c>
      <c r="Z9" s="526" t="str">
        <f>"("&amp;L9&amp;"+"&amp;U9&amp;"+"&amp;V9&amp;"+"&amp;X9&amp;")/"&amp;Y9</f>
        <v>(3+10.92+2+5)/0.8</v>
      </c>
      <c r="AA9" s="737" t="s">
        <v>781</v>
      </c>
    </row>
    <row r="10" spans="1:27" ht="16.5" customHeight="1" thickBot="1" x14ac:dyDescent="0.35">
      <c r="K10" s="518" t="s">
        <v>788</v>
      </c>
      <c r="L10" s="739">
        <f>1/K9*60*8</f>
        <v>18.355640535372846</v>
      </c>
      <c r="M10" s="740"/>
      <c r="N10" s="741">
        <f>L10*T9</f>
        <v>220.26768642447416</v>
      </c>
      <c r="O10" s="742"/>
      <c r="P10" s="743"/>
      <c r="Q10" s="519"/>
      <c r="R10" s="519"/>
      <c r="S10" s="519"/>
      <c r="T10" s="520"/>
      <c r="U10" s="521"/>
      <c r="V10" s="522"/>
      <c r="W10" s="519"/>
      <c r="X10" s="522"/>
      <c r="Y10" s="525"/>
      <c r="Z10" s="527"/>
      <c r="AA10" s="738"/>
    </row>
    <row r="11" spans="1:27" ht="16.5" customHeight="1" x14ac:dyDescent="0.3">
      <c r="K11" s="528">
        <f>(L11+U11+V11+X11)/Y11</f>
        <v>30.2</v>
      </c>
      <c r="L11" s="513">
        <v>3</v>
      </c>
      <c r="M11" s="514">
        <v>500</v>
      </c>
      <c r="N11" s="515"/>
      <c r="O11" s="515">
        <v>12</v>
      </c>
      <c r="P11" s="515"/>
      <c r="Q11" s="515"/>
      <c r="R11" s="515"/>
      <c r="S11" s="515"/>
      <c r="T11" s="516">
        <f t="shared" ref="T11:T19" si="1">SUM(N11:S11)</f>
        <v>12</v>
      </c>
      <c r="U11" s="517">
        <f>T11*E30</f>
        <v>14.16</v>
      </c>
      <c r="V11" s="513">
        <v>2</v>
      </c>
      <c r="W11" s="515">
        <f t="shared" si="0"/>
        <v>12</v>
      </c>
      <c r="X11" s="513" cm="1">
        <f t="array" ref="X11">_xlfn.IFS(W11&lt;10,3,W11&lt;20,5,W11&lt;30,7)</f>
        <v>5</v>
      </c>
      <c r="Y11" s="524">
        <v>0.8</v>
      </c>
      <c r="Z11" s="526" t="str">
        <f>"("&amp;L11&amp;"+"&amp;U11&amp;"+"&amp;V11&amp;"+"&amp;X11&amp;")/"&amp;Y11</f>
        <v>(3+14.16+2+5)/0.8</v>
      </c>
      <c r="AA11" s="737" t="s">
        <v>782</v>
      </c>
    </row>
    <row r="12" spans="1:27" ht="17.25" thickBot="1" x14ac:dyDescent="0.35">
      <c r="K12" s="518" t="s">
        <v>788</v>
      </c>
      <c r="L12" s="739">
        <f>1/K11*60*8</f>
        <v>15.894039735099339</v>
      </c>
      <c r="M12" s="740"/>
      <c r="N12" s="741">
        <f>L12*T11</f>
        <v>190.72847682119206</v>
      </c>
      <c r="O12" s="742"/>
      <c r="P12" s="743"/>
      <c r="Q12" s="519"/>
      <c r="R12" s="519"/>
      <c r="S12" s="519"/>
      <c r="T12" s="520"/>
      <c r="U12" s="521"/>
      <c r="V12" s="522"/>
      <c r="W12" s="519"/>
      <c r="X12" s="522"/>
      <c r="Y12" s="525"/>
      <c r="Z12" s="527"/>
      <c r="AA12" s="738"/>
    </row>
    <row r="13" spans="1:27" ht="16.5" customHeight="1" x14ac:dyDescent="0.3">
      <c r="K13" s="528">
        <f>(L13+U13+V13+X13)/Y13</f>
        <v>81.650000000000006</v>
      </c>
      <c r="L13" s="513">
        <v>3</v>
      </c>
      <c r="M13" s="514">
        <v>500</v>
      </c>
      <c r="N13" s="515"/>
      <c r="O13" s="515"/>
      <c r="P13" s="515">
        <v>12</v>
      </c>
      <c r="Q13" s="515"/>
      <c r="R13" s="515"/>
      <c r="S13" s="515"/>
      <c r="T13" s="516">
        <f t="shared" si="1"/>
        <v>12</v>
      </c>
      <c r="U13" s="517">
        <f>T13*F32</f>
        <v>55.320000000000007</v>
      </c>
      <c r="V13" s="513">
        <v>2</v>
      </c>
      <c r="W13" s="515">
        <f t="shared" si="0"/>
        <v>12</v>
      </c>
      <c r="X13" s="513" cm="1">
        <f t="array" ref="X13">_xlfn.IFS(W13&lt;10,3,W13&lt;20,5,W13&lt;30,7)</f>
        <v>5</v>
      </c>
      <c r="Y13" s="524">
        <v>0.8</v>
      </c>
      <c r="Z13" s="526" t="str">
        <f t="shared" ref="Z13" si="2">"("&amp;L13&amp;"+"&amp;U13&amp;"+"&amp;V13&amp;"+"&amp;X13&amp;")/"&amp;Y13</f>
        <v>(3+55.32+2+5)/0.8</v>
      </c>
      <c r="AA13" s="737" t="s">
        <v>783</v>
      </c>
    </row>
    <row r="14" spans="1:27" ht="16.5" customHeight="1" thickBot="1" x14ac:dyDescent="0.35">
      <c r="K14" s="518" t="s">
        <v>788</v>
      </c>
      <c r="L14" s="739">
        <f>1/K13*60*8</f>
        <v>5.878750765462339</v>
      </c>
      <c r="M14" s="740"/>
      <c r="N14" s="741">
        <f>L14*T13</f>
        <v>70.545009185548068</v>
      </c>
      <c r="O14" s="742"/>
      <c r="P14" s="743"/>
      <c r="Q14" s="519"/>
      <c r="R14" s="519"/>
      <c r="S14" s="519"/>
      <c r="T14" s="520"/>
      <c r="U14" s="521"/>
      <c r="V14" s="522"/>
      <c r="W14" s="519"/>
      <c r="X14" s="522"/>
      <c r="Y14" s="525"/>
      <c r="Z14" s="527"/>
      <c r="AA14" s="738"/>
    </row>
    <row r="15" spans="1:27" ht="16.5" customHeight="1" x14ac:dyDescent="0.3">
      <c r="K15" s="528">
        <f>(L15+U15+V15+X15)/Y15</f>
        <v>169.7</v>
      </c>
      <c r="L15" s="513">
        <v>3</v>
      </c>
      <c r="M15" s="514">
        <v>500</v>
      </c>
      <c r="N15" s="515"/>
      <c r="O15" s="515"/>
      <c r="P15" s="515"/>
      <c r="Q15" s="515">
        <v>12</v>
      </c>
      <c r="R15" s="515"/>
      <c r="S15" s="515"/>
      <c r="T15" s="516">
        <f t="shared" si="1"/>
        <v>12</v>
      </c>
      <c r="U15" s="517">
        <f>T15*G34</f>
        <v>125.76</v>
      </c>
      <c r="V15" s="513">
        <v>2</v>
      </c>
      <c r="W15" s="515">
        <f t="shared" si="0"/>
        <v>12</v>
      </c>
      <c r="X15" s="513" cm="1">
        <f t="array" ref="X15">_xlfn.IFS(W15&lt;10,3,W15&lt;20,5,W15&lt;30,7)</f>
        <v>5</v>
      </c>
      <c r="Y15" s="524">
        <v>0.8</v>
      </c>
      <c r="Z15" s="526" t="str">
        <f t="shared" ref="Z15" si="3">"("&amp;L15&amp;"+"&amp;U15&amp;"+"&amp;V15&amp;"+"&amp;X15&amp;")/"&amp;Y15</f>
        <v>(3+125.76+2+5)/0.8</v>
      </c>
      <c r="AA15" s="737" t="s">
        <v>785</v>
      </c>
    </row>
    <row r="16" spans="1:27" ht="17.25" thickBot="1" x14ac:dyDescent="0.35">
      <c r="K16" s="518" t="s">
        <v>788</v>
      </c>
      <c r="L16" s="739">
        <f>1/K15*60*8</f>
        <v>2.8285209192692986</v>
      </c>
      <c r="M16" s="740"/>
      <c r="N16" s="741">
        <f>L16*T15</f>
        <v>33.942251031231585</v>
      </c>
      <c r="O16" s="742"/>
      <c r="P16" s="743"/>
      <c r="Q16" s="519"/>
      <c r="R16" s="519"/>
      <c r="S16" s="519"/>
      <c r="T16" s="520"/>
      <c r="U16" s="521"/>
      <c r="V16" s="522"/>
      <c r="W16" s="519"/>
      <c r="X16" s="522"/>
      <c r="Y16" s="525"/>
      <c r="Z16" s="527"/>
      <c r="AA16" s="738"/>
    </row>
    <row r="17" spans="2:27" ht="16.5" customHeight="1" x14ac:dyDescent="0.3">
      <c r="K17" s="528">
        <f>(L17+U17+V17+X17)/Y17</f>
        <v>231.64999999999998</v>
      </c>
      <c r="L17" s="513">
        <v>3</v>
      </c>
      <c r="M17" s="514">
        <v>500</v>
      </c>
      <c r="N17" s="515"/>
      <c r="O17" s="515"/>
      <c r="P17" s="515"/>
      <c r="Q17" s="515"/>
      <c r="R17" s="515">
        <v>12</v>
      </c>
      <c r="S17" s="515"/>
      <c r="T17" s="516">
        <f t="shared" si="1"/>
        <v>12</v>
      </c>
      <c r="U17" s="517">
        <f>T17*H34</f>
        <v>175.32</v>
      </c>
      <c r="V17" s="513">
        <v>2</v>
      </c>
      <c r="W17" s="515">
        <f t="shared" si="0"/>
        <v>12</v>
      </c>
      <c r="X17" s="513" cm="1">
        <f t="array" ref="X17">_xlfn.IFS(W17&lt;10,3,W17&lt;20,5,W17&lt;30,7)</f>
        <v>5</v>
      </c>
      <c r="Y17" s="524">
        <v>0.8</v>
      </c>
      <c r="Z17" s="526" t="str">
        <f t="shared" ref="Z17" si="4">"("&amp;L17&amp;"+"&amp;U17&amp;"+"&amp;V17&amp;"+"&amp;X17&amp;")/"&amp;Y17</f>
        <v>(3+175.32+2+5)/0.8</v>
      </c>
      <c r="AA17" s="737" t="s">
        <v>784</v>
      </c>
    </row>
    <row r="18" spans="2:27" ht="17.25" thickBot="1" x14ac:dyDescent="0.35">
      <c r="K18" s="518" t="s">
        <v>788</v>
      </c>
      <c r="L18" s="739">
        <f>1/K17*60*8</f>
        <v>2.0720915173753509</v>
      </c>
      <c r="M18" s="740"/>
      <c r="N18" s="741">
        <f>L18*T17</f>
        <v>24.865098208504211</v>
      </c>
      <c r="O18" s="742"/>
      <c r="P18" s="743"/>
      <c r="Q18" s="519"/>
      <c r="R18" s="519"/>
      <c r="S18" s="519"/>
      <c r="T18" s="520"/>
      <c r="U18" s="521"/>
      <c r="V18" s="522"/>
      <c r="W18" s="519"/>
      <c r="X18" s="522"/>
      <c r="Y18" s="525"/>
      <c r="Z18" s="527"/>
      <c r="AA18" s="738"/>
    </row>
    <row r="19" spans="2:27" ht="16.5" customHeight="1" x14ac:dyDescent="0.3">
      <c r="K19" s="528">
        <f>(L19+U19+V19+X19)/Y19</f>
        <v>72.649999999999991</v>
      </c>
      <c r="L19" s="513">
        <v>3</v>
      </c>
      <c r="M19" s="514">
        <v>500</v>
      </c>
      <c r="N19" s="515"/>
      <c r="O19" s="515"/>
      <c r="P19" s="515"/>
      <c r="Q19" s="515"/>
      <c r="R19" s="515"/>
      <c r="S19" s="515">
        <v>12</v>
      </c>
      <c r="T19" s="516">
        <f t="shared" si="1"/>
        <v>12</v>
      </c>
      <c r="U19" s="517">
        <f>T19*I32</f>
        <v>48.12</v>
      </c>
      <c r="V19" s="513">
        <v>2</v>
      </c>
      <c r="W19" s="515">
        <f t="shared" si="0"/>
        <v>12</v>
      </c>
      <c r="X19" s="513" cm="1">
        <f t="array" ref="X19">_xlfn.IFS(W19&lt;10,3,W19&lt;20,5,W19&lt;30,7)</f>
        <v>5</v>
      </c>
      <c r="Y19" s="524">
        <v>0.8</v>
      </c>
      <c r="Z19" s="526" t="str">
        <f t="shared" ref="Z19" si="5">"("&amp;L19&amp;"+"&amp;U19&amp;"+"&amp;V19&amp;"+"&amp;X19&amp;")/"&amp;Y19</f>
        <v>(3+48.12+2+5)/0.8</v>
      </c>
      <c r="AA19" s="737" t="s">
        <v>786</v>
      </c>
    </row>
    <row r="20" spans="2:27" ht="17.25" thickBot="1" x14ac:dyDescent="0.35">
      <c r="K20" s="518" t="s">
        <v>788</v>
      </c>
      <c r="L20" s="739">
        <f>1/K19*60*8</f>
        <v>6.6070199587061262</v>
      </c>
      <c r="M20" s="740"/>
      <c r="N20" s="741">
        <f>L20*T19</f>
        <v>79.284239504473518</v>
      </c>
      <c r="O20" s="742"/>
      <c r="P20" s="743"/>
      <c r="Q20" s="519"/>
      <c r="R20" s="519"/>
      <c r="S20" s="519"/>
      <c r="T20" s="520"/>
      <c r="U20" s="521"/>
      <c r="V20" s="522"/>
      <c r="W20" s="519"/>
      <c r="X20" s="522"/>
      <c r="Y20" s="525"/>
      <c r="Z20" s="527"/>
      <c r="AA20" s="738"/>
    </row>
    <row r="21" spans="2:27" ht="16.5" customHeight="1" x14ac:dyDescent="0.3">
      <c r="K21" s="506"/>
      <c r="L21" s="508"/>
      <c r="M21" s="505"/>
      <c r="N21" s="505"/>
      <c r="O21" s="505"/>
      <c r="P21" s="505"/>
      <c r="Q21" s="505"/>
      <c r="R21" s="505"/>
      <c r="S21" s="505"/>
      <c r="T21" s="509"/>
      <c r="U21" s="506"/>
      <c r="V21" s="508"/>
      <c r="W21" s="505"/>
      <c r="X21" s="507"/>
    </row>
    <row r="22" spans="2:27" x14ac:dyDescent="0.3">
      <c r="K22" s="506"/>
      <c r="L22" s="508"/>
      <c r="M22" s="505"/>
      <c r="N22" s="505"/>
      <c r="O22" s="505"/>
      <c r="P22" s="505"/>
      <c r="Q22" s="505"/>
      <c r="R22" s="505"/>
      <c r="S22" s="505"/>
      <c r="T22" s="509"/>
      <c r="U22" s="506"/>
      <c r="V22" s="508"/>
      <c r="W22" s="505"/>
      <c r="X22" s="507"/>
    </row>
    <row r="23" spans="2:27" x14ac:dyDescent="0.3">
      <c r="K23" s="506"/>
      <c r="L23" s="508"/>
      <c r="M23" s="760" t="s">
        <v>779</v>
      </c>
      <c r="N23" s="759" t="s">
        <v>823</v>
      </c>
      <c r="O23" s="759"/>
      <c r="P23" s="759"/>
      <c r="Q23" s="759"/>
      <c r="R23" s="759"/>
      <c r="S23" s="759"/>
      <c r="T23" s="759"/>
      <c r="U23" s="762" t="s">
        <v>827</v>
      </c>
      <c r="V23" s="749" t="s">
        <v>828</v>
      </c>
      <c r="W23" s="505"/>
      <c r="X23" s="507"/>
    </row>
    <row r="24" spans="2:27" ht="16.5" customHeight="1" thickBot="1" x14ac:dyDescent="0.35">
      <c r="K24" s="506"/>
      <c r="L24" s="508"/>
      <c r="M24" s="761"/>
      <c r="N24" s="562" t="s">
        <v>763</v>
      </c>
      <c r="O24" s="562" t="s">
        <v>764</v>
      </c>
      <c r="P24" s="562" t="s">
        <v>765</v>
      </c>
      <c r="Q24" s="562" t="s">
        <v>766</v>
      </c>
      <c r="R24" s="562" t="s">
        <v>767</v>
      </c>
      <c r="S24" s="562" t="s">
        <v>768</v>
      </c>
      <c r="T24" s="560" t="s">
        <v>770</v>
      </c>
      <c r="U24" s="762"/>
      <c r="V24" s="749"/>
      <c r="W24" s="505"/>
      <c r="X24" s="507"/>
    </row>
    <row r="25" spans="2:27" x14ac:dyDescent="0.3">
      <c r="K25" s="506"/>
      <c r="L25" s="569" t="s">
        <v>830</v>
      </c>
      <c r="M25" s="757" t="s">
        <v>831</v>
      </c>
      <c r="N25" s="565"/>
      <c r="O25" s="565">
        <v>6</v>
      </c>
      <c r="P25" s="565">
        <v>1</v>
      </c>
      <c r="Q25" s="565">
        <v>2</v>
      </c>
      <c r="R25" s="565">
        <v>3</v>
      </c>
      <c r="S25" s="566"/>
      <c r="T25" s="750">
        <f>SUM(N25:S25)</f>
        <v>12</v>
      </c>
      <c r="U25" s="752" cm="1">
        <f t="array" ref="U25">(3+T27+2+_xlfn.IFS(T25&lt;10,3,T25&lt;20,5,T25&lt;30,7))/0.8</f>
        <v>107.93749999999999</v>
      </c>
      <c r="V25" s="561">
        <f>1/U25*60*8</f>
        <v>4.4470179502026639</v>
      </c>
      <c r="W25" s="505"/>
      <c r="X25" s="507"/>
    </row>
    <row r="26" spans="2:27" ht="17.25" thickBot="1" x14ac:dyDescent="0.35">
      <c r="K26" s="506"/>
      <c r="L26" s="508"/>
      <c r="M26" s="758"/>
      <c r="N26" s="567"/>
      <c r="O26" s="567" t="s">
        <v>825</v>
      </c>
      <c r="P26" s="567" t="s">
        <v>826</v>
      </c>
      <c r="Q26" s="567" t="s">
        <v>826</v>
      </c>
      <c r="R26" s="567" t="s">
        <v>826</v>
      </c>
      <c r="S26" s="568"/>
      <c r="T26" s="751"/>
      <c r="U26" s="753"/>
      <c r="V26" s="755">
        <f>V25*T25</f>
        <v>53.364215402431967</v>
      </c>
      <c r="W26" s="505"/>
      <c r="X26" s="507"/>
    </row>
    <row r="27" spans="2:27" x14ac:dyDescent="0.3">
      <c r="K27" s="506"/>
      <c r="L27" s="508"/>
      <c r="M27" s="563"/>
      <c r="N27" s="564" t="str" cm="1">
        <f t="array" ref="N27">IFERROR(INDEX($D$29:$I$34, MATCH(1, ($B$29:$B$34=N26)*($C$29:$C$34=$M$25), 0), MATCH(N24, $D$28:$I$28, 0))*N25,"-")</f>
        <v>-</v>
      </c>
      <c r="O27" s="564" cm="1">
        <f t="array" ref="O27">IFERROR(INDEX($D$29:$I$34, MATCH(1, ($B$29:$B$34=O26)*($C$29:$C$34=$M$25), 0), MATCH(O24, $D$28:$I$28, 0))*O25,"-")</f>
        <v>7.08</v>
      </c>
      <c r="P27" s="564" cm="1">
        <f t="array" ref="P27">IFERROR(INDEX($D$29:$I$34, MATCH(1, ($B$29:$B$34=P26)*($C$29:$C$34=$M$25), 0), MATCH(P24, $D$28:$I$28, 0))*P25,"-")</f>
        <v>4.4800000000000004</v>
      </c>
      <c r="Q27" s="564" cm="1">
        <f t="array" ref="Q27">IFERROR(INDEX($D$29:$I$34, MATCH(1, ($B$29:$B$34=Q26)*($C$29:$C$34=$M$25), 0), MATCH(Q24, $D$28:$I$28, 0))*Q25,"-")</f>
        <v>20.96</v>
      </c>
      <c r="R27" s="564" cm="1">
        <f t="array" ref="R27">IFERROR(INDEX($D$29:$I$34, MATCH(1, ($B$29:$B$34=R26)*($C$29:$C$34=$M$25), 0), MATCH(R24, $D$28:$I$28, 0))*R25,"-")</f>
        <v>43.83</v>
      </c>
      <c r="S27" s="564" t="str" cm="1">
        <f t="array" ref="S27">IFERROR(INDEX($D$29:$I$34, MATCH(1, ($B$29:$B$34=S26)*($C$29:$C$34=$M$25), 0), MATCH(S24, $D$28:$I$28, 0))*S25,"-")</f>
        <v>-</v>
      </c>
      <c r="T27" s="558">
        <f>SUM(N27:S27)</f>
        <v>76.349999999999994</v>
      </c>
      <c r="U27" s="754"/>
      <c r="V27" s="756"/>
      <c r="W27" s="505"/>
      <c r="X27" s="507"/>
    </row>
    <row r="28" spans="2:27" ht="32.25" customHeight="1" x14ac:dyDescent="0.3">
      <c r="B28" s="556" t="s">
        <v>778</v>
      </c>
      <c r="C28" s="557" t="s">
        <v>779</v>
      </c>
      <c r="D28" s="556" t="s">
        <v>763</v>
      </c>
      <c r="E28" s="556" t="s">
        <v>764</v>
      </c>
      <c r="F28" s="556" t="s">
        <v>765</v>
      </c>
      <c r="G28" s="556" t="s">
        <v>766</v>
      </c>
      <c r="H28" s="556" t="s">
        <v>767</v>
      </c>
      <c r="I28" s="556" t="s">
        <v>768</v>
      </c>
      <c r="K28" s="506"/>
      <c r="L28" s="508"/>
      <c r="M28" s="505"/>
      <c r="N28" s="505"/>
      <c r="O28" s="505"/>
      <c r="P28" s="505"/>
      <c r="Q28" s="505"/>
      <c r="R28" s="505"/>
      <c r="S28" s="505"/>
      <c r="T28" s="509"/>
      <c r="U28" s="506"/>
      <c r="V28" s="508"/>
      <c r="W28" s="505"/>
      <c r="X28" s="507"/>
    </row>
    <row r="29" spans="2:27" ht="16.5" customHeight="1" x14ac:dyDescent="0.3">
      <c r="B29" s="552" t="s">
        <v>829</v>
      </c>
      <c r="C29" s="529" t="s">
        <v>775</v>
      </c>
      <c r="D29" s="529">
        <v>0.74</v>
      </c>
      <c r="E29" s="529">
        <v>0.96</v>
      </c>
      <c r="F29" s="529">
        <v>4.08</v>
      </c>
      <c r="G29" s="529"/>
      <c r="H29" s="529"/>
      <c r="I29" s="529"/>
    </row>
    <row r="30" spans="2:27" x14ac:dyDescent="0.3">
      <c r="B30" s="553" t="s">
        <v>824</v>
      </c>
      <c r="C30" s="533" t="s">
        <v>776</v>
      </c>
      <c r="D30" s="533">
        <v>0.91</v>
      </c>
      <c r="E30" s="533">
        <v>1.18</v>
      </c>
      <c r="F30" s="533">
        <v>4.99</v>
      </c>
      <c r="G30" s="533"/>
      <c r="H30" s="533"/>
      <c r="I30" s="533"/>
    </row>
    <row r="31" spans="2:27" ht="16.5" customHeight="1" x14ac:dyDescent="0.3">
      <c r="B31" s="570" t="s">
        <v>743</v>
      </c>
      <c r="C31" s="529" t="s">
        <v>775</v>
      </c>
      <c r="D31" s="529">
        <v>0.74</v>
      </c>
      <c r="E31" s="529">
        <v>0.96</v>
      </c>
      <c r="F31" s="529">
        <v>3.8</v>
      </c>
      <c r="G31" s="529"/>
      <c r="H31" s="529"/>
      <c r="I31" s="529">
        <v>3.28</v>
      </c>
    </row>
    <row r="32" spans="2:27" x14ac:dyDescent="0.3">
      <c r="B32" s="571" t="s">
        <v>825</v>
      </c>
      <c r="C32" s="530" t="s">
        <v>777</v>
      </c>
      <c r="D32" s="530">
        <v>0.91</v>
      </c>
      <c r="E32" s="530">
        <v>1.18</v>
      </c>
      <c r="F32" s="530">
        <v>4.6100000000000003</v>
      </c>
      <c r="G32" s="530"/>
      <c r="H32" s="530"/>
      <c r="I32" s="530">
        <v>4.01</v>
      </c>
    </row>
    <row r="33" spans="2:9" ht="16.5" customHeight="1" x14ac:dyDescent="0.3">
      <c r="B33" s="570" t="s">
        <v>744</v>
      </c>
      <c r="C33" s="529" t="s">
        <v>775</v>
      </c>
      <c r="D33" s="529"/>
      <c r="E33" s="529"/>
      <c r="F33" s="529">
        <v>3.66</v>
      </c>
      <c r="G33" s="529">
        <v>8.56</v>
      </c>
      <c r="H33" s="529">
        <v>11.93</v>
      </c>
      <c r="I33" s="529"/>
    </row>
    <row r="34" spans="2:9" x14ac:dyDescent="0.3">
      <c r="B34" s="571" t="s">
        <v>826</v>
      </c>
      <c r="C34" s="530" t="s">
        <v>777</v>
      </c>
      <c r="D34" s="530"/>
      <c r="E34" s="530"/>
      <c r="F34" s="530">
        <v>4.4800000000000004</v>
      </c>
      <c r="G34" s="530">
        <v>10.48</v>
      </c>
      <c r="H34" s="530">
        <v>14.61</v>
      </c>
      <c r="I34" s="530"/>
    </row>
  </sheetData>
  <mergeCells count="37">
    <mergeCell ref="V23:V24"/>
    <mergeCell ref="T25:T26"/>
    <mergeCell ref="U25:U27"/>
    <mergeCell ref="V26:V27"/>
    <mergeCell ref="M25:M26"/>
    <mergeCell ref="N23:T23"/>
    <mergeCell ref="M23:M24"/>
    <mergeCell ref="U23:U24"/>
    <mergeCell ref="K5:L5"/>
    <mergeCell ref="M6:U6"/>
    <mergeCell ref="W6:X6"/>
    <mergeCell ref="AA6:AA8"/>
    <mergeCell ref="K7:K8"/>
    <mergeCell ref="L7:L8"/>
    <mergeCell ref="M7:U7"/>
    <mergeCell ref="V7:V8"/>
    <mergeCell ref="W7:X7"/>
    <mergeCell ref="Y7:Y8"/>
    <mergeCell ref="Z6:Z8"/>
    <mergeCell ref="AA9:AA10"/>
    <mergeCell ref="L10:M10"/>
    <mergeCell ref="AA11:AA12"/>
    <mergeCell ref="L12:M12"/>
    <mergeCell ref="AA13:AA14"/>
    <mergeCell ref="L14:M14"/>
    <mergeCell ref="N10:P10"/>
    <mergeCell ref="N12:P12"/>
    <mergeCell ref="N14:P14"/>
    <mergeCell ref="AA15:AA16"/>
    <mergeCell ref="L16:M16"/>
    <mergeCell ref="AA17:AA18"/>
    <mergeCell ref="L18:M18"/>
    <mergeCell ref="AA19:AA20"/>
    <mergeCell ref="L20:M20"/>
    <mergeCell ref="N16:P16"/>
    <mergeCell ref="N18:P18"/>
    <mergeCell ref="N20:P20"/>
  </mergeCells>
  <phoneticPr fontId="2" type="noConversion"/>
  <dataValidations count="5">
    <dataValidation type="list" allowBlank="1" showInputMessage="1" showErrorMessage="1" sqref="Q26:R26" xr:uid="{E44E2725-F5CD-4865-A227-22895404E95E}">
      <formula1>"해머비트,-"</formula1>
    </dataValidation>
    <dataValidation type="list" allowBlank="1" showInputMessage="1" showErrorMessage="1" sqref="S26" xr:uid="{9510F54E-1B9D-4256-B6DA-0134D081DFC1}">
      <formula1>"개량형비트,-"</formula1>
    </dataValidation>
    <dataValidation type="list" allowBlank="1" showInputMessage="1" showErrorMessage="1" sqref="N26:O26" xr:uid="{CDF9E3DC-72F5-4541-8167-4E18978A73BF}">
      <formula1>"오거비트,개량형비트,-"</formula1>
    </dataValidation>
    <dataValidation type="list" allowBlank="1" showInputMessage="1" showErrorMessage="1" sqref="P26" xr:uid="{32356F49-5A23-4BD6-BD72-4C04D4D56A8B}">
      <formula1>"오거비트,개량형비트,해머비트,-"</formula1>
    </dataValidation>
    <dataValidation type="list" allowBlank="1" showInputMessage="1" showErrorMessage="1" sqref="M25:M26" xr:uid="{5EAA968D-A5AE-4F2C-9FC0-AB05B152045E}">
      <formula1>"500미만,500이상,500~600"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A147-489D-4721-8C7E-0FFCDD76ABB0}">
  <dimension ref="B2:AB46"/>
  <sheetViews>
    <sheetView topLeftCell="F1" zoomScale="85" zoomScaleNormal="85" workbookViewId="0">
      <selection activeCell="S25" sqref="S25"/>
    </sheetView>
  </sheetViews>
  <sheetFormatPr defaultRowHeight="16.5" x14ac:dyDescent="0.3"/>
  <cols>
    <col min="2" max="2" width="11" customWidth="1"/>
    <col min="11" max="11" width="29" customWidth="1"/>
    <col min="12" max="12" width="10" customWidth="1"/>
    <col min="13" max="13" width="10.75" customWidth="1"/>
    <col min="14" max="19" width="9.625" customWidth="1"/>
    <col min="20" max="20" width="9.125" customWidth="1"/>
    <col min="21" max="21" width="9.75" customWidth="1"/>
    <col min="22" max="22" width="20.125" customWidth="1"/>
    <col min="23" max="23" width="10.625" customWidth="1"/>
    <col min="24" max="25" width="8.375" customWidth="1"/>
    <col min="26" max="26" width="8.75" customWidth="1"/>
    <col min="27" max="27" width="22.25" customWidth="1"/>
    <col min="28" max="28" width="28" customWidth="1"/>
    <col min="33" max="34" width="7.25" customWidth="1"/>
  </cols>
  <sheetData>
    <row r="2" spans="4:28" ht="20.25" x14ac:dyDescent="0.3">
      <c r="D2" s="539" t="s">
        <v>798</v>
      </c>
      <c r="E2" s="539"/>
      <c r="F2" s="539"/>
      <c r="G2" s="539"/>
      <c r="H2" s="539"/>
    </row>
    <row r="5" spans="4:28" ht="20.25" x14ac:dyDescent="0.3">
      <c r="K5" s="744" t="s">
        <v>800</v>
      </c>
      <c r="L5" s="744"/>
    </row>
    <row r="6" spans="4:28" ht="16.5" customHeight="1" x14ac:dyDescent="0.3">
      <c r="K6" s="510" t="s">
        <v>751</v>
      </c>
      <c r="L6" s="510" t="s">
        <v>752</v>
      </c>
      <c r="M6" s="745" t="s">
        <v>753</v>
      </c>
      <c r="N6" s="745"/>
      <c r="O6" s="745"/>
      <c r="P6" s="745"/>
      <c r="Q6" s="745"/>
      <c r="R6" s="745"/>
      <c r="S6" s="745"/>
      <c r="T6" s="745"/>
      <c r="U6" s="745"/>
      <c r="V6" s="510" t="s">
        <v>754</v>
      </c>
      <c r="W6" s="745" t="s">
        <v>755</v>
      </c>
      <c r="X6" s="745"/>
      <c r="Y6" s="510" t="s">
        <v>801</v>
      </c>
      <c r="Z6" s="510" t="s">
        <v>756</v>
      </c>
      <c r="AA6" s="746" t="s">
        <v>787</v>
      </c>
      <c r="AB6" s="746" t="s">
        <v>780</v>
      </c>
    </row>
    <row r="7" spans="4:28" x14ac:dyDescent="0.3">
      <c r="K7" s="745" t="s">
        <v>757</v>
      </c>
      <c r="L7" s="745" t="s">
        <v>758</v>
      </c>
      <c r="M7" s="745" t="s">
        <v>803</v>
      </c>
      <c r="N7" s="745"/>
      <c r="O7" s="745"/>
      <c r="P7" s="745"/>
      <c r="Q7" s="745"/>
      <c r="R7" s="745"/>
      <c r="S7" s="745"/>
      <c r="T7" s="745"/>
      <c r="U7" s="745"/>
      <c r="V7" s="745" t="s">
        <v>796</v>
      </c>
      <c r="W7" s="765" t="s">
        <v>797</v>
      </c>
      <c r="X7" s="766"/>
      <c r="Y7" s="746" t="s">
        <v>802</v>
      </c>
      <c r="Z7" s="745" t="s">
        <v>762</v>
      </c>
      <c r="AA7" s="747"/>
      <c r="AB7" s="747"/>
    </row>
    <row r="8" spans="4:28" ht="16.5" customHeight="1" thickBot="1" x14ac:dyDescent="0.35">
      <c r="K8" s="746"/>
      <c r="L8" s="745"/>
      <c r="M8" s="510" t="s">
        <v>771</v>
      </c>
      <c r="N8" s="510" t="s">
        <v>763</v>
      </c>
      <c r="O8" s="510" t="s">
        <v>764</v>
      </c>
      <c r="P8" s="510" t="s">
        <v>765</v>
      </c>
      <c r="Q8" s="510" t="s">
        <v>766</v>
      </c>
      <c r="R8" s="510" t="s">
        <v>767</v>
      </c>
      <c r="S8" s="510" t="s">
        <v>768</v>
      </c>
      <c r="T8" s="510" t="s">
        <v>770</v>
      </c>
      <c r="U8" s="510" t="s">
        <v>774</v>
      </c>
      <c r="V8" s="745"/>
      <c r="W8" s="510" t="s">
        <v>772</v>
      </c>
      <c r="X8" s="548" t="s">
        <v>773</v>
      </c>
      <c r="Y8" s="747"/>
      <c r="Z8" s="746"/>
      <c r="AA8" s="748"/>
      <c r="AB8" s="748"/>
    </row>
    <row r="9" spans="4:28" x14ac:dyDescent="0.3">
      <c r="K9" s="528">
        <f>SUM(L9,U9,V9,X9,_xlfn.SWITCH(M9,400,15,450,16,500,18,600,22,700,25,800,29,0))/Z9</f>
        <v>54.023529411764706</v>
      </c>
      <c r="L9" s="512">
        <v>5</v>
      </c>
      <c r="M9" s="514">
        <v>500</v>
      </c>
      <c r="N9" s="515">
        <v>12</v>
      </c>
      <c r="O9" s="515"/>
      <c r="P9" s="515"/>
      <c r="Q9" s="515"/>
      <c r="R9" s="515"/>
      <c r="S9" s="515"/>
      <c r="T9" s="516">
        <f>SUM(N9:S9)</f>
        <v>12</v>
      </c>
      <c r="U9" s="517">
        <f>T9*D39</f>
        <v>10.92</v>
      </c>
      <c r="V9" s="513">
        <v>8</v>
      </c>
      <c r="W9" s="515">
        <f t="shared" ref="W9:W19" si="0">T9</f>
        <v>12</v>
      </c>
      <c r="X9" s="513" cm="1">
        <f t="array" ref="X9">_xlfn.IFS(AND(M9&gt;=400,M9&lt;=600), _xlfn.IFS(W9&lt;10,2,W9&lt;20,4,W9&lt;30,6), AND(M9&gt;=700,M9&lt;=800), _xlfn.IFS(W9&lt;10,4,W9&lt;20,6,W9&lt;30,8), TRUE, "")</f>
        <v>4</v>
      </c>
      <c r="Y9" s="513" cm="1">
        <f t="array" ref="Y9">_xlfn.SWITCH(M9,400,15,450,16,500,18,600,22,700,25,800,29,"0")</f>
        <v>18</v>
      </c>
      <c r="Z9" s="538">
        <v>0.85</v>
      </c>
      <c r="AA9" s="526" t="str" cm="1">
        <f t="array" ref="AA9">"("&amp;L9&amp;"+"&amp;U9&amp;"+"&amp;V9&amp;"+"&amp;X9&amp;"+"&amp;_xlfn.SWITCH(M9,400,15,450,16,500,18,600,22,700,25,800,29,"0")&amp;")/"&amp;Z9</f>
        <v>(5+10.92+8+4+18)/0.85</v>
      </c>
      <c r="AB9" s="763" t="s">
        <v>790</v>
      </c>
    </row>
    <row r="10" spans="4:28" ht="16.5" customHeight="1" thickBot="1" x14ac:dyDescent="0.35">
      <c r="K10" s="518" t="s">
        <v>788</v>
      </c>
      <c r="L10" s="739">
        <f>1/K9*60*8</f>
        <v>8.8850174216027877</v>
      </c>
      <c r="M10" s="740"/>
      <c r="N10" s="741">
        <f>L10*T9</f>
        <v>106.62020905923345</v>
      </c>
      <c r="O10" s="742"/>
      <c r="P10" s="743"/>
      <c r="Q10" s="519"/>
      <c r="R10" s="519"/>
      <c r="S10" s="519"/>
      <c r="T10" s="520"/>
      <c r="U10" s="521"/>
      <c r="V10" s="522"/>
      <c r="W10" s="519"/>
      <c r="X10" s="522"/>
      <c r="Y10" s="522"/>
      <c r="Z10" s="536"/>
      <c r="AA10" s="527"/>
      <c r="AB10" s="764"/>
    </row>
    <row r="11" spans="4:28" ht="16.5" customHeight="1" x14ac:dyDescent="0.3">
      <c r="K11" s="528">
        <f>SUM(L11,U11,V11,X11,_xlfn.SWITCH(M11,400,15,450,16,500,18,600,22,700,25,800,29,0))/Z11</f>
        <v>57.835294117647059</v>
      </c>
      <c r="L11" s="512">
        <v>5</v>
      </c>
      <c r="M11" s="514">
        <v>500</v>
      </c>
      <c r="N11" s="515"/>
      <c r="O11" s="515">
        <v>12</v>
      </c>
      <c r="P11" s="515"/>
      <c r="Q11" s="515"/>
      <c r="R11" s="515"/>
      <c r="S11" s="515"/>
      <c r="T11" s="516">
        <f t="shared" ref="T11:T19" si="1">SUM(N11:S11)</f>
        <v>12</v>
      </c>
      <c r="U11" s="517">
        <f>T11*E39</f>
        <v>14.16</v>
      </c>
      <c r="V11" s="535">
        <v>8</v>
      </c>
      <c r="W11" s="515">
        <f t="shared" si="0"/>
        <v>12</v>
      </c>
      <c r="X11" s="535" cm="1">
        <f t="array" ref="X11">_xlfn.IFS(AND(M11&gt;=400,M11&lt;600), _xlfn.IFS(W11&lt;10,2,W11&lt;20,4,W11&lt;30,6), AND(M11&gt;=700,M11&lt;800), _xlfn.IFS(W11&lt;10,4,W11&lt;20,6,W11&lt;30,8), TRUE, "")</f>
        <v>4</v>
      </c>
      <c r="Y11" s="540" cm="1">
        <f t="array" ref="Y11">_xlfn.SWITCH(M11,400,15,450,16,500,18,600,22,700,25,800,29,"0")</f>
        <v>18</v>
      </c>
      <c r="Z11" s="537">
        <v>0.85</v>
      </c>
      <c r="AA11" s="526" t="str" cm="1">
        <f t="array" ref="AA11">"("&amp;L11&amp;"+"&amp;U11&amp;"+"&amp;V11&amp;"+"&amp;X11&amp;"+"&amp;_xlfn.SWITCH(M11,400,15,450,16,500,18,600,22,700,25,800,29,"0")&amp;")/"&amp;Z11</f>
        <v>(5+14.16+8+4+18)/0.85</v>
      </c>
      <c r="AB11" s="763" t="s">
        <v>791</v>
      </c>
    </row>
    <row r="12" spans="4:28" ht="17.25" thickBot="1" x14ac:dyDescent="0.35">
      <c r="K12" s="518" t="s">
        <v>788</v>
      </c>
      <c r="L12" s="739">
        <f>1/K11*60*8</f>
        <v>8.2994304312449145</v>
      </c>
      <c r="M12" s="740"/>
      <c r="N12" s="741">
        <f>L12*T11</f>
        <v>99.593165174938974</v>
      </c>
      <c r="O12" s="742"/>
      <c r="P12" s="743"/>
      <c r="Q12" s="519"/>
      <c r="R12" s="519"/>
      <c r="S12" s="519"/>
      <c r="T12" s="520"/>
      <c r="U12" s="521"/>
      <c r="V12" s="522"/>
      <c r="W12" s="519"/>
      <c r="X12" s="522"/>
      <c r="Y12" s="522"/>
      <c r="Z12" s="536"/>
      <c r="AA12" s="527"/>
      <c r="AB12" s="764"/>
    </row>
    <row r="13" spans="4:28" ht="16.5" customHeight="1" x14ac:dyDescent="0.3">
      <c r="K13" s="528">
        <f>SUM(L13,U13,V13,X13,_xlfn.SWITCH(M13,400,15,450,16,500,18,600,22,700,25,800,29,0))/Z13</f>
        <v>106.25882352941177</v>
      </c>
      <c r="L13" s="512">
        <v>5</v>
      </c>
      <c r="M13" s="514">
        <v>500</v>
      </c>
      <c r="N13" s="515"/>
      <c r="O13" s="515"/>
      <c r="P13" s="515">
        <v>12</v>
      </c>
      <c r="Q13" s="515"/>
      <c r="R13" s="515"/>
      <c r="S13" s="515"/>
      <c r="T13" s="516">
        <f t="shared" si="1"/>
        <v>12</v>
      </c>
      <c r="U13" s="517">
        <f>T13*F42</f>
        <v>55.320000000000007</v>
      </c>
      <c r="V13" s="535">
        <v>8</v>
      </c>
      <c r="W13" s="515">
        <f t="shared" si="0"/>
        <v>12</v>
      </c>
      <c r="X13" s="535" cm="1">
        <f t="array" ref="X13">_xlfn.IFS(AND(M13&gt;=400,M13&lt;600), _xlfn.IFS(W13&lt;10,2,W13&lt;20,4,W13&lt;30,6), AND(M13&gt;=700,M13&lt;800), _xlfn.IFS(W13&lt;10,4,W13&lt;20,6,W13&lt;30,8), TRUE, "")</f>
        <v>4</v>
      </c>
      <c r="Y13" s="540" cm="1">
        <f t="array" ref="Y13">_xlfn.SWITCH(M13,400,15,450,16,500,18,600,22,700,25,800,29,"0")</f>
        <v>18</v>
      </c>
      <c r="Z13" s="537">
        <v>0.85</v>
      </c>
      <c r="AA13" s="526" t="str" cm="1">
        <f t="array" ref="AA13">"("&amp;L13&amp;"+"&amp;U13&amp;"+"&amp;V13&amp;"+"&amp;X13&amp;"+"&amp;_xlfn.SWITCH(M13,400,15,450,16,500,18,600,22,700,25,800,29,"0")&amp;")/"&amp;Z13</f>
        <v>(5+55.32+8+4+18)/0.85</v>
      </c>
      <c r="AB13" s="763" t="s">
        <v>792</v>
      </c>
    </row>
    <row r="14" spans="4:28" ht="16.5" customHeight="1" thickBot="1" x14ac:dyDescent="0.35">
      <c r="K14" s="518" t="s">
        <v>788</v>
      </c>
      <c r="L14" s="739">
        <f>1/K13*60*8</f>
        <v>4.517271922054916</v>
      </c>
      <c r="M14" s="740"/>
      <c r="N14" s="741">
        <f>L14*T13</f>
        <v>54.207263064658989</v>
      </c>
      <c r="O14" s="742"/>
      <c r="P14" s="743"/>
      <c r="Q14" s="519"/>
      <c r="R14" s="519"/>
      <c r="S14" s="519"/>
      <c r="T14" s="520"/>
      <c r="U14" s="521"/>
      <c r="V14" s="522"/>
      <c r="W14" s="519"/>
      <c r="X14" s="522"/>
      <c r="Y14" s="522"/>
      <c r="Z14" s="536"/>
      <c r="AA14" s="527"/>
      <c r="AB14" s="764"/>
    </row>
    <row r="15" spans="4:28" ht="16.5" customHeight="1" x14ac:dyDescent="0.3">
      <c r="K15" s="528">
        <f>SUM(L15,U15,V15,X15,_xlfn.SWITCH(M15,400,15,450,16,500,18,600,22,700,25,800,29,0))/Z15</f>
        <v>189.12941176470588</v>
      </c>
      <c r="L15" s="512">
        <v>5</v>
      </c>
      <c r="M15" s="514">
        <v>500</v>
      </c>
      <c r="N15" s="515"/>
      <c r="O15" s="515"/>
      <c r="P15" s="515"/>
      <c r="Q15" s="515">
        <v>12</v>
      </c>
      <c r="R15" s="515"/>
      <c r="S15" s="515"/>
      <c r="T15" s="516">
        <f t="shared" si="1"/>
        <v>12</v>
      </c>
      <c r="U15" s="517">
        <f>T15*G45</f>
        <v>125.76</v>
      </c>
      <c r="V15" s="535">
        <v>8</v>
      </c>
      <c r="W15" s="515">
        <f t="shared" si="0"/>
        <v>12</v>
      </c>
      <c r="X15" s="535" cm="1">
        <f t="array" ref="X15">_xlfn.IFS(AND(M15&gt;=400,M15&lt;600), _xlfn.IFS(W15&lt;10,2,W15&lt;20,4,W15&lt;30,6), AND(M15&gt;=700,M15&lt;800), _xlfn.IFS(W15&lt;10,4,W15&lt;20,6,W15&lt;30,8), TRUE, "")</f>
        <v>4</v>
      </c>
      <c r="Y15" s="540" cm="1">
        <f t="array" ref="Y15">_xlfn.SWITCH(M15,400,15,450,16,500,18,600,22,700,25,800,29,"0")</f>
        <v>18</v>
      </c>
      <c r="Z15" s="537">
        <v>0.85</v>
      </c>
      <c r="AA15" s="526" t="str" cm="1">
        <f t="array" ref="AA15">"("&amp;L15&amp;"+"&amp;U15&amp;"+"&amp;V15&amp;"+"&amp;X15&amp;"+"&amp;_xlfn.SWITCH(M15,400,15,450,16,500,18,600,22,700,25,800,29,"0")&amp;")/"&amp;Z15</f>
        <v>(5+125.76+8+4+18)/0.85</v>
      </c>
      <c r="AB15" s="763" t="s">
        <v>793</v>
      </c>
    </row>
    <row r="16" spans="4:28" ht="17.25" thickBot="1" x14ac:dyDescent="0.35">
      <c r="K16" s="518" t="s">
        <v>788</v>
      </c>
      <c r="L16" s="739">
        <f>1/K15*60*8</f>
        <v>2.537944762378701</v>
      </c>
      <c r="M16" s="740"/>
      <c r="N16" s="741">
        <f>L16*T15</f>
        <v>30.455337148544412</v>
      </c>
      <c r="O16" s="742"/>
      <c r="P16" s="743"/>
      <c r="Q16" s="519"/>
      <c r="R16" s="519"/>
      <c r="S16" s="519"/>
      <c r="T16" s="520"/>
      <c r="U16" s="521"/>
      <c r="V16" s="522"/>
      <c r="W16" s="519"/>
      <c r="X16" s="522"/>
      <c r="Y16" s="522"/>
      <c r="Z16" s="536"/>
      <c r="AA16" s="527"/>
      <c r="AB16" s="764"/>
    </row>
    <row r="17" spans="11:28" ht="16.5" customHeight="1" x14ac:dyDescent="0.3">
      <c r="K17" s="528">
        <f>SUM(L17,U17,V17,X17,_xlfn.SWITCH(M17,400,15,450,16,500,18,600,22,700,25,800,29,0))/Z17</f>
        <v>247.43529411764706</v>
      </c>
      <c r="L17" s="512">
        <v>5</v>
      </c>
      <c r="M17" s="514">
        <v>500</v>
      </c>
      <c r="N17" s="515"/>
      <c r="O17" s="515"/>
      <c r="P17" s="515"/>
      <c r="Q17" s="515"/>
      <c r="R17" s="515">
        <v>12</v>
      </c>
      <c r="S17" s="515"/>
      <c r="T17" s="516">
        <f t="shared" si="1"/>
        <v>12</v>
      </c>
      <c r="U17" s="517">
        <f>T17*H45</f>
        <v>175.32</v>
      </c>
      <c r="V17" s="535">
        <v>8</v>
      </c>
      <c r="W17" s="515">
        <f t="shared" si="0"/>
        <v>12</v>
      </c>
      <c r="X17" s="535" cm="1">
        <f t="array" ref="X17">_xlfn.IFS(AND(M17&gt;=400,M17&lt;600), _xlfn.IFS(W17&lt;10,2,W17&lt;20,4,W17&lt;30,6), AND(M17&gt;=700,M17&lt;800), _xlfn.IFS(W17&lt;10,4,W17&lt;20,6,W17&lt;30,8), TRUE, "")</f>
        <v>4</v>
      </c>
      <c r="Y17" s="540" cm="1">
        <f t="array" ref="Y17">_xlfn.SWITCH(M17,400,15,450,16,500,18,600,22,700,25,800,29,"0")</f>
        <v>18</v>
      </c>
      <c r="Z17" s="537">
        <v>0.85</v>
      </c>
      <c r="AA17" s="526" t="str" cm="1">
        <f t="array" ref="AA17">"("&amp;L17&amp;"+"&amp;U17&amp;"+"&amp;V17&amp;"+"&amp;X17&amp;"+"&amp;_xlfn.SWITCH(M17,400,15,450,16,500,18,600,22,700,25,800,29,"0")&amp;")/"&amp;Z17</f>
        <v>(5+175.32+8+4+18)/0.85</v>
      </c>
      <c r="AB17" s="763" t="s">
        <v>794</v>
      </c>
    </row>
    <row r="18" spans="11:28" ht="17.25" thickBot="1" x14ac:dyDescent="0.35">
      <c r="K18" s="518" t="s">
        <v>788</v>
      </c>
      <c r="L18" s="739">
        <f>1/K17*60*8</f>
        <v>1.9399011030810196</v>
      </c>
      <c r="M18" s="740"/>
      <c r="N18" s="741">
        <f>L18*T17</f>
        <v>23.278813236972233</v>
      </c>
      <c r="O18" s="742"/>
      <c r="P18" s="743"/>
      <c r="Q18" s="519"/>
      <c r="R18" s="519"/>
      <c r="S18" s="519"/>
      <c r="T18" s="520"/>
      <c r="U18" s="521"/>
      <c r="V18" s="522"/>
      <c r="W18" s="519"/>
      <c r="X18" s="522"/>
      <c r="Y18" s="522"/>
      <c r="Z18" s="536"/>
      <c r="AA18" s="527"/>
      <c r="AB18" s="764"/>
    </row>
    <row r="19" spans="11:28" ht="16.5" customHeight="1" x14ac:dyDescent="0.3">
      <c r="K19" s="528">
        <f>SUM(L19,U19,V19,X19,_xlfn.SWITCH(M19,400,15,450,16,500,18,600,22,700,25,800,29,0))/Z19</f>
        <v>97.788235294117655</v>
      </c>
      <c r="L19" s="512">
        <v>5</v>
      </c>
      <c r="M19" s="514">
        <v>500</v>
      </c>
      <c r="N19" s="515"/>
      <c r="O19" s="515"/>
      <c r="P19" s="515"/>
      <c r="Q19" s="515"/>
      <c r="R19" s="515"/>
      <c r="S19" s="515">
        <v>12</v>
      </c>
      <c r="T19" s="516">
        <f t="shared" si="1"/>
        <v>12</v>
      </c>
      <c r="U19" s="517">
        <f>T19*I42</f>
        <v>48.12</v>
      </c>
      <c r="V19" s="535">
        <v>8</v>
      </c>
      <c r="W19" s="515">
        <f t="shared" si="0"/>
        <v>12</v>
      </c>
      <c r="X19" s="535" cm="1">
        <f t="array" ref="X19">_xlfn.IFS(AND(M19&gt;=400,M19&lt;600), _xlfn.IFS(W19&lt;10,2,W19&lt;20,4,W19&lt;30,6), AND(M19&gt;=700,M19&lt;800), _xlfn.IFS(W19&lt;10,4,W19&lt;20,6,W19&lt;30,8), TRUE, "")</f>
        <v>4</v>
      </c>
      <c r="Y19" s="540" cm="1">
        <f t="array" ref="Y19">_xlfn.SWITCH(M19,400,15,450,16,500,18,600,22,700,25,800,29,"0")</f>
        <v>18</v>
      </c>
      <c r="Z19" s="537">
        <v>0.85</v>
      </c>
      <c r="AA19" s="526" t="str" cm="1">
        <f t="array" ref="AA19">"("&amp;L19&amp;"+"&amp;U19&amp;"+"&amp;V19&amp;"+"&amp;X19&amp;"+"&amp;_xlfn.SWITCH(M19,400,15,450,16,500,18,600,22,700,25,800,29,"0")&amp;")/"&amp;Z19</f>
        <v>(5+48.12+8+4+18)/0.85</v>
      </c>
      <c r="AB19" s="737" t="s">
        <v>795</v>
      </c>
    </row>
    <row r="20" spans="11:28" ht="17.25" thickBot="1" x14ac:dyDescent="0.35">
      <c r="K20" s="518" t="s">
        <v>788</v>
      </c>
      <c r="L20" s="739">
        <f>1/K19*60*8</f>
        <v>4.9085659287776702</v>
      </c>
      <c r="M20" s="740"/>
      <c r="N20" s="741">
        <f>L20*T19</f>
        <v>58.902791145332046</v>
      </c>
      <c r="O20" s="742"/>
      <c r="P20" s="743"/>
      <c r="Q20" s="519"/>
      <c r="R20" s="519"/>
      <c r="S20" s="519"/>
      <c r="T20" s="520"/>
      <c r="U20" s="521"/>
      <c r="V20" s="522"/>
      <c r="W20" s="519"/>
      <c r="X20" s="522"/>
      <c r="Y20" s="522"/>
      <c r="Z20" s="536"/>
      <c r="AA20" s="527"/>
      <c r="AB20" s="738"/>
    </row>
    <row r="21" spans="11:28" ht="16.5" customHeight="1" x14ac:dyDescent="0.3">
      <c r="K21" s="506"/>
      <c r="L21" s="508"/>
      <c r="M21" s="505"/>
      <c r="N21" s="505"/>
      <c r="O21" s="505"/>
      <c r="P21" s="505"/>
      <c r="Q21" s="505"/>
      <c r="R21" s="505"/>
      <c r="S21" s="505"/>
      <c r="T21" s="509"/>
      <c r="U21" s="506"/>
      <c r="V21" s="508"/>
      <c r="W21" s="505"/>
      <c r="X21" s="507"/>
      <c r="Y21" s="507"/>
    </row>
    <row r="22" spans="11:28" x14ac:dyDescent="0.3">
      <c r="K22" s="506"/>
      <c r="L22" s="508"/>
      <c r="M22" s="505"/>
      <c r="N22" s="505"/>
      <c r="O22" s="505"/>
      <c r="P22" s="505"/>
      <c r="Q22" s="505"/>
      <c r="R22" s="505"/>
      <c r="S22" s="505"/>
      <c r="T22" s="509"/>
      <c r="U22" s="506"/>
      <c r="V22" s="508"/>
      <c r="W22" s="505"/>
      <c r="X22" s="507"/>
      <c r="Y22" s="507"/>
    </row>
    <row r="23" spans="11:28" x14ac:dyDescent="0.3">
      <c r="K23" s="506"/>
      <c r="L23" s="508"/>
      <c r="M23" s="760" t="s">
        <v>779</v>
      </c>
      <c r="N23" s="759" t="s">
        <v>823</v>
      </c>
      <c r="O23" s="759"/>
      <c r="P23" s="759"/>
      <c r="Q23" s="759"/>
      <c r="R23" s="759"/>
      <c r="S23" s="759"/>
      <c r="T23" s="759"/>
      <c r="U23" s="559" t="s">
        <v>832</v>
      </c>
      <c r="V23" s="762" t="s">
        <v>827</v>
      </c>
      <c r="W23" s="749" t="s">
        <v>828</v>
      </c>
      <c r="X23" s="505"/>
      <c r="Y23" s="507"/>
      <c r="Z23" s="507"/>
    </row>
    <row r="24" spans="11:28" ht="17.25" thickBot="1" x14ac:dyDescent="0.35">
      <c r="K24" s="506"/>
      <c r="L24" s="508"/>
      <c r="M24" s="761"/>
      <c r="N24" s="562" t="s">
        <v>763</v>
      </c>
      <c r="O24" s="562" t="s">
        <v>764</v>
      </c>
      <c r="P24" s="562" t="s">
        <v>765</v>
      </c>
      <c r="Q24" s="562" t="s">
        <v>766</v>
      </c>
      <c r="R24" s="562" t="s">
        <v>767</v>
      </c>
      <c r="S24" s="562" t="s">
        <v>768</v>
      </c>
      <c r="T24" s="560" t="s">
        <v>770</v>
      </c>
      <c r="U24" s="560" t="s">
        <v>833</v>
      </c>
      <c r="V24" s="762"/>
      <c r="W24" s="749"/>
      <c r="X24" s="505"/>
      <c r="Y24" s="507"/>
      <c r="Z24" s="507"/>
    </row>
    <row r="25" spans="11:28" x14ac:dyDescent="0.3">
      <c r="K25" s="506"/>
      <c r="L25" s="569" t="s">
        <v>830</v>
      </c>
      <c r="M25" s="757" t="s">
        <v>831</v>
      </c>
      <c r="N25" s="565"/>
      <c r="O25" s="565"/>
      <c r="P25" s="565"/>
      <c r="Q25" s="565"/>
      <c r="R25" s="565">
        <v>12</v>
      </c>
      <c r="S25" s="566"/>
      <c r="T25" s="750">
        <f>SUM(N25:S25)</f>
        <v>12</v>
      </c>
      <c r="U25" s="767">
        <v>500</v>
      </c>
      <c r="V25" s="752" cm="1">
        <f t="array" ref="V25">(5+T27+8+_xlfn.IFS((T25&lt;10)*(M25="500미만"),2,(T25&lt;10)*(M25="500~600"),2,(T25&lt;10)*(M25="700~800"),4,(T25&lt;20)*(M25="500미만"),4,(T25&lt;20)*(M25="500~600"),4,(T25&lt;20)*(M25="700~800"),6,(T25&lt;30)*(M25="500미만"),6,(T25&lt;30)*(M25="500~600"),6,(T25&lt;30)*(M25="700~800"),8)+U27)/0.85</f>
        <v>247.43529411764706</v>
      </c>
      <c r="W25" s="561">
        <f>1/V25*60*8</f>
        <v>1.9399011030810196</v>
      </c>
      <c r="X25" s="505"/>
      <c r="Y25" s="507"/>
      <c r="Z25" s="507"/>
    </row>
    <row r="26" spans="11:28" ht="17.25" thickBot="1" x14ac:dyDescent="0.35">
      <c r="K26" s="506"/>
      <c r="L26" s="508"/>
      <c r="M26" s="758"/>
      <c r="N26" s="567"/>
      <c r="O26" s="567"/>
      <c r="P26" s="567"/>
      <c r="Q26" s="567"/>
      <c r="R26" s="567" t="s">
        <v>826</v>
      </c>
      <c r="S26" s="568"/>
      <c r="T26" s="751"/>
      <c r="U26" s="768"/>
      <c r="V26" s="753"/>
      <c r="W26" s="755">
        <f>W25*T25</f>
        <v>23.278813236972233</v>
      </c>
      <c r="X26" s="505"/>
      <c r="Y26" s="507"/>
      <c r="Z26" s="507"/>
    </row>
    <row r="27" spans="11:28" x14ac:dyDescent="0.3">
      <c r="K27" s="506"/>
      <c r="L27" s="508"/>
      <c r="M27" s="563"/>
      <c r="N27" s="564" t="str" cm="1">
        <f t="array" ref="N27">IFERROR(INDEX($D$38:$I$46, MATCH(1, ($B$38:$B$46=N26)*($C$38:$C$46=$M$25), 0), MATCH(N24, $D$37:$I$37, 0))*N25,"-")</f>
        <v>-</v>
      </c>
      <c r="O27" s="564" t="str" cm="1">
        <f t="array" ref="O27">IFERROR(INDEX($D$38:$I$46, MATCH(1, ($B$38:$B$46=O26)*($C$38:$C$46=$M$25), 0), MATCH(O24, $D$37:$I$37, 0))*O25,"-")</f>
        <v>-</v>
      </c>
      <c r="P27" s="564" t="str" cm="1">
        <f t="array" ref="P27">IFERROR(INDEX($D$38:$I$46, MATCH(1, ($B$38:$B$46=P26)*($C$38:$C$46=$M$25), 0), MATCH(P24, $D$37:$I$37, 0))*P25,"-")</f>
        <v>-</v>
      </c>
      <c r="Q27" s="564" t="str" cm="1">
        <f t="array" ref="Q27">IFERROR(INDEX($D$38:$I$46, MATCH(1, ($B$38:$B$46=Q26)*($C$38:$C$46=$M$25), 0), MATCH(Q24, $D$37:$I$37, 0))*Q25,"-")</f>
        <v>-</v>
      </c>
      <c r="R27" s="564" cm="1">
        <f t="array" ref="R27">IFERROR(INDEX($D$38:$I$46, MATCH(1, ($B$38:$B$46=R26)*($C$38:$C$46=$M$25), 0), MATCH(R24, $D$37:$I$37, 0))*R25,"-")</f>
        <v>175.32</v>
      </c>
      <c r="S27" s="564" t="str" cm="1">
        <f t="array" ref="S27">IFERROR(INDEX($D$38:$I$46, MATCH(1, ($B$38:$B$46=S26)*($C$38:$C$46=$M$25), 0), MATCH(S24, $D$37:$I$37, 0))*S25,"-")</f>
        <v>-</v>
      </c>
      <c r="T27" s="558">
        <f>SUM(N27:S27)</f>
        <v>175.32</v>
      </c>
      <c r="U27" s="572" cm="1">
        <f t="array" ref="U27">_xlfn.IFS(U25=400,15,U25=450,16,U25=500,18,U25=600,22,U25=700,25,U25=800,29)</f>
        <v>18</v>
      </c>
      <c r="V27" s="754"/>
      <c r="W27" s="756"/>
      <c r="X27" s="505"/>
      <c r="Y27" s="507"/>
      <c r="Z27" s="507"/>
    </row>
    <row r="28" spans="11:28" x14ac:dyDescent="0.3">
      <c r="K28" s="506"/>
      <c r="L28" s="508"/>
      <c r="M28" s="505"/>
      <c r="N28" s="505"/>
      <c r="O28" s="505"/>
      <c r="P28" s="505"/>
      <c r="Q28" s="505"/>
      <c r="R28" s="505"/>
      <c r="S28" s="505"/>
      <c r="T28" s="509"/>
      <c r="U28" s="506"/>
      <c r="V28" s="508"/>
      <c r="W28" s="505"/>
      <c r="X28" s="507"/>
      <c r="Y28" s="507"/>
    </row>
    <row r="29" spans="11:28" ht="16.5" customHeight="1" x14ac:dyDescent="0.3">
      <c r="K29" s="506"/>
      <c r="L29" s="508"/>
      <c r="M29" s="505"/>
      <c r="N29" s="505"/>
      <c r="O29" s="505"/>
      <c r="P29" s="505"/>
      <c r="Q29" s="505"/>
      <c r="R29" s="505"/>
      <c r="S29" s="505"/>
      <c r="T29" s="509"/>
      <c r="U29" s="506"/>
      <c r="V29" s="508"/>
      <c r="W29" s="505"/>
      <c r="X29" s="507"/>
      <c r="Y29" s="507"/>
    </row>
    <row r="30" spans="11:28" x14ac:dyDescent="0.3">
      <c r="K30" s="506"/>
      <c r="L30" s="508"/>
      <c r="M30" s="505"/>
      <c r="N30" s="505"/>
      <c r="O30" s="505"/>
      <c r="P30" s="505"/>
      <c r="Q30" s="505"/>
      <c r="R30" s="505"/>
      <c r="S30" s="505"/>
      <c r="T30" s="509"/>
      <c r="U30" s="506"/>
      <c r="V30" s="508"/>
      <c r="W30" s="505"/>
      <c r="X30" s="507"/>
      <c r="Y30" s="507"/>
    </row>
    <row r="31" spans="11:28" ht="16.5" customHeight="1" x14ac:dyDescent="0.3">
      <c r="K31" s="506"/>
      <c r="L31" s="508"/>
      <c r="M31" s="505"/>
      <c r="N31" s="505"/>
      <c r="O31" s="505"/>
      <c r="P31" s="505"/>
      <c r="Q31" s="505"/>
      <c r="R31" s="505"/>
      <c r="S31" s="505"/>
      <c r="T31" s="509"/>
      <c r="U31" s="506"/>
      <c r="V31" s="508"/>
      <c r="W31" s="505"/>
      <c r="X31" s="507"/>
      <c r="Y31" s="507"/>
    </row>
    <row r="32" spans="11:28" x14ac:dyDescent="0.3">
      <c r="K32" s="506"/>
      <c r="L32" s="508"/>
      <c r="M32" s="505"/>
      <c r="N32" s="505"/>
      <c r="O32" s="505"/>
      <c r="P32" s="505"/>
      <c r="Q32" s="505"/>
      <c r="R32" s="505"/>
      <c r="S32" s="505"/>
      <c r="T32" s="509"/>
      <c r="U32" s="506"/>
      <c r="V32" s="508"/>
      <c r="W32" s="505"/>
      <c r="X32" s="507"/>
      <c r="Y32" s="507"/>
    </row>
    <row r="33" spans="2:25" ht="16.5" customHeight="1" x14ac:dyDescent="0.3">
      <c r="K33" s="506"/>
      <c r="L33" s="508"/>
      <c r="M33" s="505"/>
      <c r="N33" s="505"/>
      <c r="O33" s="505"/>
      <c r="P33" s="505"/>
      <c r="Q33" s="505"/>
      <c r="R33" s="505"/>
      <c r="S33" s="505"/>
      <c r="T33" s="509"/>
      <c r="U33" s="506"/>
      <c r="V33" s="508"/>
      <c r="W33" s="505"/>
      <c r="X33" s="507"/>
      <c r="Y33" s="507"/>
    </row>
    <row r="34" spans="2:25" x14ac:dyDescent="0.3">
      <c r="K34" s="506"/>
      <c r="L34" s="508"/>
      <c r="M34" s="505"/>
      <c r="N34" s="505"/>
      <c r="O34" s="505"/>
      <c r="P34" s="505"/>
      <c r="Q34" s="505"/>
      <c r="R34" s="505"/>
      <c r="S34" s="505"/>
      <c r="T34" s="509"/>
      <c r="U34" s="506"/>
      <c r="V34" s="508"/>
      <c r="W34" s="505"/>
      <c r="X34" s="507"/>
      <c r="Y34" s="507"/>
    </row>
    <row r="35" spans="2:25" ht="16.5" customHeight="1" x14ac:dyDescent="0.3">
      <c r="K35" s="506"/>
      <c r="L35" s="508"/>
      <c r="M35" s="505"/>
      <c r="N35" s="505"/>
      <c r="O35" s="505"/>
      <c r="P35" s="505"/>
      <c r="Q35" s="505"/>
      <c r="R35" s="505"/>
      <c r="S35" s="505"/>
      <c r="T35" s="509"/>
      <c r="U35" s="506"/>
      <c r="V35" s="508"/>
      <c r="W35" s="505"/>
      <c r="X35" s="507"/>
      <c r="Y35" s="507"/>
    </row>
    <row r="36" spans="2:25" x14ac:dyDescent="0.3">
      <c r="K36" s="506"/>
      <c r="L36" s="508"/>
      <c r="M36" s="505"/>
      <c r="N36" s="505"/>
      <c r="O36" s="505"/>
      <c r="P36" s="505"/>
      <c r="Q36" s="505"/>
      <c r="R36" s="505"/>
      <c r="S36" s="505"/>
      <c r="T36" s="509"/>
      <c r="U36" s="506"/>
      <c r="V36" s="508"/>
      <c r="W36" s="505"/>
      <c r="X36" s="507"/>
      <c r="Y36" s="507"/>
    </row>
    <row r="37" spans="2:25" ht="35.25" customHeight="1" x14ac:dyDescent="0.3">
      <c r="B37" s="532" t="s">
        <v>778</v>
      </c>
      <c r="C37" s="531" t="s">
        <v>779</v>
      </c>
      <c r="D37" s="556" t="s">
        <v>763</v>
      </c>
      <c r="E37" s="556" t="s">
        <v>764</v>
      </c>
      <c r="F37" s="532" t="s">
        <v>765</v>
      </c>
      <c r="G37" s="532" t="s">
        <v>766</v>
      </c>
      <c r="H37" s="532" t="s">
        <v>767</v>
      </c>
      <c r="I37" s="532" t="s">
        <v>768</v>
      </c>
      <c r="K37" s="506"/>
      <c r="L37" s="508"/>
      <c r="M37" s="505"/>
      <c r="N37" s="505"/>
      <c r="O37" s="505"/>
      <c r="P37" s="505"/>
      <c r="Q37" s="505"/>
      <c r="R37" s="505"/>
      <c r="S37" s="505"/>
      <c r="T37" s="509"/>
      <c r="U37" s="506"/>
      <c r="V37" s="508"/>
      <c r="W37" s="505"/>
      <c r="X37" s="507"/>
      <c r="Y37" s="507"/>
    </row>
    <row r="38" spans="2:25" ht="16.5" customHeight="1" x14ac:dyDescent="0.3">
      <c r="B38" s="552" t="s">
        <v>829</v>
      </c>
      <c r="C38" s="529" t="s">
        <v>775</v>
      </c>
      <c r="D38" s="529">
        <v>0.74</v>
      </c>
      <c r="E38" s="529">
        <v>0.96</v>
      </c>
      <c r="F38" s="529">
        <v>4.08</v>
      </c>
      <c r="G38" s="529"/>
      <c r="H38" s="529"/>
      <c r="I38" s="529"/>
    </row>
    <row r="39" spans="2:25" x14ac:dyDescent="0.3">
      <c r="B39" s="553" t="s">
        <v>824</v>
      </c>
      <c r="C39" s="533" t="s">
        <v>777</v>
      </c>
      <c r="D39" s="533">
        <v>0.91</v>
      </c>
      <c r="E39" s="533">
        <v>1.18</v>
      </c>
      <c r="F39" s="533">
        <v>4.99</v>
      </c>
      <c r="G39" s="533"/>
      <c r="H39" s="533"/>
      <c r="I39" s="533"/>
    </row>
    <row r="40" spans="2:25" ht="16.5" customHeight="1" x14ac:dyDescent="0.3">
      <c r="B40" s="554" t="s">
        <v>824</v>
      </c>
      <c r="C40" s="530" t="s">
        <v>789</v>
      </c>
      <c r="D40" s="530">
        <v>1.24</v>
      </c>
      <c r="E40" s="530">
        <v>1.61</v>
      </c>
      <c r="F40" s="530">
        <v>6.8</v>
      </c>
      <c r="G40" s="530"/>
      <c r="H40" s="530"/>
      <c r="I40" s="530"/>
    </row>
    <row r="41" spans="2:25" ht="16.5" customHeight="1" x14ac:dyDescent="0.3">
      <c r="B41" s="552" t="s">
        <v>743</v>
      </c>
      <c r="C41" s="529" t="s">
        <v>775</v>
      </c>
      <c r="D41" s="529">
        <v>0.74</v>
      </c>
      <c r="E41" s="529">
        <v>0.96</v>
      </c>
      <c r="F41" s="529">
        <v>3.8</v>
      </c>
      <c r="G41" s="529"/>
      <c r="H41" s="529"/>
      <c r="I41" s="529">
        <v>3.28</v>
      </c>
    </row>
    <row r="42" spans="2:25" ht="16.5" customHeight="1" x14ac:dyDescent="0.3">
      <c r="B42" s="553" t="s">
        <v>825</v>
      </c>
      <c r="C42" s="533" t="s">
        <v>777</v>
      </c>
      <c r="D42" s="533">
        <v>0.91</v>
      </c>
      <c r="E42" s="533">
        <v>1.18</v>
      </c>
      <c r="F42" s="533">
        <v>4.6100000000000003</v>
      </c>
      <c r="G42" s="533"/>
      <c r="H42" s="533"/>
      <c r="I42" s="533">
        <v>4.01</v>
      </c>
    </row>
    <row r="43" spans="2:25" x14ac:dyDescent="0.3">
      <c r="B43" s="555" t="s">
        <v>825</v>
      </c>
      <c r="C43" s="530" t="s">
        <v>789</v>
      </c>
      <c r="D43" s="530">
        <v>1.24</v>
      </c>
      <c r="E43" s="530">
        <v>1.61</v>
      </c>
      <c r="F43" s="530">
        <v>6.32</v>
      </c>
      <c r="G43" s="530"/>
      <c r="H43" s="530"/>
      <c r="I43" s="530">
        <v>5.46</v>
      </c>
    </row>
    <row r="44" spans="2:25" ht="16.5" customHeight="1" x14ac:dyDescent="0.3">
      <c r="B44" s="552" t="s">
        <v>744</v>
      </c>
      <c r="C44" s="534" t="s">
        <v>775</v>
      </c>
      <c r="D44" s="534"/>
      <c r="E44" s="534"/>
      <c r="F44" s="534">
        <v>3.66</v>
      </c>
      <c r="G44" s="534">
        <v>8.56</v>
      </c>
      <c r="H44" s="534">
        <v>11.93</v>
      </c>
      <c r="I44" s="534"/>
    </row>
    <row r="45" spans="2:25" x14ac:dyDescent="0.3">
      <c r="B45" s="553" t="s">
        <v>826</v>
      </c>
      <c r="C45" s="533" t="s">
        <v>777</v>
      </c>
      <c r="D45" s="533"/>
      <c r="E45" s="533"/>
      <c r="F45" s="533">
        <v>4.4800000000000004</v>
      </c>
      <c r="G45" s="533">
        <v>10.48</v>
      </c>
      <c r="H45" s="533">
        <v>14.61</v>
      </c>
      <c r="I45" s="533"/>
    </row>
    <row r="46" spans="2:25" x14ac:dyDescent="0.3">
      <c r="B46" s="554" t="s">
        <v>826</v>
      </c>
      <c r="C46" s="530" t="s">
        <v>789</v>
      </c>
      <c r="D46" s="530"/>
      <c r="E46" s="530"/>
      <c r="F46" s="530">
        <v>6.12</v>
      </c>
      <c r="G46" s="530">
        <v>14.32</v>
      </c>
      <c r="H46" s="530">
        <v>19.96</v>
      </c>
      <c r="I46" s="530"/>
    </row>
  </sheetData>
  <mergeCells count="39">
    <mergeCell ref="N23:T23"/>
    <mergeCell ref="V23:V24"/>
    <mergeCell ref="W23:W24"/>
    <mergeCell ref="M25:M26"/>
    <mergeCell ref="T25:T26"/>
    <mergeCell ref="V25:V27"/>
    <mergeCell ref="W26:W27"/>
    <mergeCell ref="U25:U26"/>
    <mergeCell ref="M23:M24"/>
    <mergeCell ref="Y7:Y8"/>
    <mergeCell ref="AB11:AB12"/>
    <mergeCell ref="L12:M12"/>
    <mergeCell ref="N12:P12"/>
    <mergeCell ref="K5:L5"/>
    <mergeCell ref="M6:U6"/>
    <mergeCell ref="W6:X6"/>
    <mergeCell ref="AA6:AA8"/>
    <mergeCell ref="AB6:AB8"/>
    <mergeCell ref="K7:K8"/>
    <mergeCell ref="L7:L8"/>
    <mergeCell ref="M7:U7"/>
    <mergeCell ref="V7:V8"/>
    <mergeCell ref="W7:X7"/>
    <mergeCell ref="Z7:Z8"/>
    <mergeCell ref="AB13:AB14"/>
    <mergeCell ref="L14:M14"/>
    <mergeCell ref="N14:P14"/>
    <mergeCell ref="AB9:AB10"/>
    <mergeCell ref="AB15:AB16"/>
    <mergeCell ref="L16:M16"/>
    <mergeCell ref="N16:P16"/>
    <mergeCell ref="L10:M10"/>
    <mergeCell ref="N10:P10"/>
    <mergeCell ref="AB17:AB18"/>
    <mergeCell ref="L18:M18"/>
    <mergeCell ref="N18:P18"/>
    <mergeCell ref="AB19:AB20"/>
    <mergeCell ref="L20:M20"/>
    <mergeCell ref="N20:P20"/>
  </mergeCells>
  <phoneticPr fontId="2" type="noConversion"/>
  <dataValidations count="7">
    <dataValidation type="list" allowBlank="1" showInputMessage="1" showErrorMessage="1" sqref="M25:M26" xr:uid="{8A3635D4-0D5E-4D4C-B71E-07E5C97313E3}">
      <formula1>"500미만,500~600,700~800"</formula1>
    </dataValidation>
    <dataValidation type="list" allowBlank="1" showInputMessage="1" showErrorMessage="1" sqref="R26" xr:uid="{7ABF84B5-F4F9-4C16-96A5-38692A240B6C}">
      <formula1>"해머비트"</formula1>
    </dataValidation>
    <dataValidation type="list" allowBlank="1" showInputMessage="1" showErrorMessage="1" sqref="P26" xr:uid="{9A702F9B-AE69-48EC-9C59-7B10A53452B1}">
      <formula1>"오거비트,개량형비트,해머비트,-"</formula1>
    </dataValidation>
    <dataValidation type="list" allowBlank="1" showInputMessage="1" showErrorMessage="1" sqref="N26:O26" xr:uid="{A7AE609B-A2D0-4B68-8C13-962DFF3C2123}">
      <formula1>"오거비트,개량형비트,-"</formula1>
    </dataValidation>
    <dataValidation type="list" allowBlank="1" showInputMessage="1" showErrorMessage="1" sqref="S26" xr:uid="{A12C3DC1-C68B-4999-8FE6-173244F326A0}">
      <formula1>"개량형비트,-"</formula1>
    </dataValidation>
    <dataValidation type="list" allowBlank="1" showInputMessage="1" showErrorMessage="1" sqref="Q26" xr:uid="{36AA6254-2892-4CD5-BDF7-4D917B5E8CCC}">
      <formula1>"해머비트,-"</formula1>
    </dataValidation>
    <dataValidation type="list" allowBlank="1" showInputMessage="1" showErrorMessage="1" sqref="U25:U26" xr:uid="{1CCBAFC8-8E38-4F4D-9F0C-C48781CB0B82}">
      <formula1>"400,450,500,600,700,800"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9063-BA01-4646-9A91-FCE6E7156B6C}">
  <dimension ref="B2:X49"/>
  <sheetViews>
    <sheetView zoomScale="85" zoomScaleNormal="85" workbookViewId="0">
      <selection activeCell="N29" sqref="N29:T29"/>
    </sheetView>
  </sheetViews>
  <sheetFormatPr defaultRowHeight="16.5" x14ac:dyDescent="0.3"/>
  <cols>
    <col min="11" max="11" width="29" customWidth="1"/>
    <col min="12" max="12" width="10" customWidth="1"/>
    <col min="13" max="20" width="10.75" customWidth="1"/>
    <col min="21" max="21" width="9.75" customWidth="1"/>
    <col min="22" max="22" width="10.5" customWidth="1"/>
    <col min="23" max="23" width="22.25" customWidth="1"/>
    <col min="24" max="24" width="28" customWidth="1"/>
    <col min="29" max="30" width="7.25" customWidth="1"/>
  </cols>
  <sheetData>
    <row r="2" spans="4:24" ht="20.25" x14ac:dyDescent="0.3">
      <c r="D2" s="539" t="s">
        <v>798</v>
      </c>
      <c r="E2" s="539"/>
      <c r="F2" s="539"/>
      <c r="G2" s="539"/>
      <c r="H2" s="539"/>
    </row>
    <row r="5" spans="4:24" ht="20.25" x14ac:dyDescent="0.3">
      <c r="K5" s="744" t="s">
        <v>800</v>
      </c>
      <c r="L5" s="744"/>
    </row>
    <row r="6" spans="4:24" ht="16.5" customHeight="1" x14ac:dyDescent="0.3">
      <c r="K6" s="510" t="s">
        <v>751</v>
      </c>
      <c r="L6" s="510" t="s">
        <v>752</v>
      </c>
      <c r="M6" s="745" t="s">
        <v>753</v>
      </c>
      <c r="N6" s="745"/>
      <c r="O6" s="745"/>
      <c r="P6" s="745"/>
      <c r="Q6" s="745"/>
      <c r="R6" s="745"/>
      <c r="S6" s="745"/>
      <c r="T6" s="745"/>
      <c r="U6" s="745"/>
      <c r="V6" s="523" t="s">
        <v>756</v>
      </c>
      <c r="W6" s="746" t="s">
        <v>787</v>
      </c>
      <c r="X6" s="746" t="s">
        <v>780</v>
      </c>
    </row>
    <row r="7" spans="4:24" x14ac:dyDescent="0.3">
      <c r="K7" s="745" t="s">
        <v>757</v>
      </c>
      <c r="L7" s="746" t="s">
        <v>758</v>
      </c>
      <c r="M7" s="745" t="s">
        <v>759</v>
      </c>
      <c r="N7" s="745"/>
      <c r="O7" s="745"/>
      <c r="P7" s="745"/>
      <c r="Q7" s="745"/>
      <c r="R7" s="745"/>
      <c r="S7" s="745"/>
      <c r="T7" s="745"/>
      <c r="U7" s="745"/>
      <c r="V7" s="747" t="s">
        <v>762</v>
      </c>
      <c r="W7" s="747"/>
      <c r="X7" s="747"/>
    </row>
    <row r="8" spans="4:24" ht="16.5" customHeight="1" thickBot="1" x14ac:dyDescent="0.35">
      <c r="K8" s="746"/>
      <c r="L8" s="747"/>
      <c r="M8" s="523" t="s">
        <v>771</v>
      </c>
      <c r="N8" s="510" t="s">
        <v>763</v>
      </c>
      <c r="O8" s="510" t="s">
        <v>764</v>
      </c>
      <c r="P8" s="510" t="s">
        <v>765</v>
      </c>
      <c r="Q8" s="510" t="s">
        <v>766</v>
      </c>
      <c r="R8" s="510" t="s">
        <v>767</v>
      </c>
      <c r="S8" s="510" t="s">
        <v>768</v>
      </c>
      <c r="T8" s="510" t="s">
        <v>770</v>
      </c>
      <c r="U8" s="510" t="s">
        <v>774</v>
      </c>
      <c r="V8" s="748"/>
      <c r="W8" s="748"/>
      <c r="X8" s="748"/>
    </row>
    <row r="9" spans="4:24" x14ac:dyDescent="0.3">
      <c r="K9" s="549">
        <f>SUM(L9,U9)/V9</f>
        <v>7.2941176470588243</v>
      </c>
      <c r="L9" s="551">
        <v>2</v>
      </c>
      <c r="M9" s="514">
        <v>500</v>
      </c>
      <c r="N9" s="515">
        <v>20</v>
      </c>
      <c r="O9" s="515"/>
      <c r="P9" s="515"/>
      <c r="Q9" s="515"/>
      <c r="R9" s="515"/>
      <c r="S9" s="515"/>
      <c r="T9" s="516">
        <f>SUM(N9:S9)</f>
        <v>20</v>
      </c>
      <c r="U9" s="547">
        <f>T9*D40</f>
        <v>4.2</v>
      </c>
      <c r="V9" s="538">
        <v>0.85</v>
      </c>
      <c r="W9" s="526" t="str">
        <f>"("&amp;L9&amp;"+"&amp;U9&amp;")/"&amp;V9</f>
        <v>(2+4.2)/0.85</v>
      </c>
      <c r="X9" s="737" t="s">
        <v>814</v>
      </c>
    </row>
    <row r="10" spans="4:24" ht="16.5" customHeight="1" thickBot="1" x14ac:dyDescent="0.35">
      <c r="K10" s="518" t="s">
        <v>788</v>
      </c>
      <c r="L10" s="769">
        <f>1/K9*8</f>
        <v>1.096774193548387</v>
      </c>
      <c r="M10" s="770"/>
      <c r="N10" s="741">
        <f>L10*T9</f>
        <v>21.93548387096774</v>
      </c>
      <c r="O10" s="742"/>
      <c r="P10" s="743"/>
      <c r="Q10" s="519"/>
      <c r="R10" s="519"/>
      <c r="S10" s="519"/>
      <c r="T10" s="520"/>
      <c r="U10" s="546"/>
      <c r="V10" s="536"/>
      <c r="W10" s="527"/>
      <c r="X10" s="738"/>
    </row>
    <row r="11" spans="4:24" ht="16.5" customHeight="1" x14ac:dyDescent="0.3">
      <c r="K11" s="549">
        <f>SUM(L11,U11)/V11</f>
        <v>9.4117647058823533</v>
      </c>
      <c r="L11" s="550">
        <v>2</v>
      </c>
      <c r="M11" s="514">
        <v>500</v>
      </c>
      <c r="N11" s="515"/>
      <c r="O11" s="515">
        <v>20</v>
      </c>
      <c r="P11" s="515"/>
      <c r="Q11" s="515"/>
      <c r="R11" s="515"/>
      <c r="S11" s="515"/>
      <c r="T11" s="516">
        <f>SUM(N11:S11)</f>
        <v>20</v>
      </c>
      <c r="U11" s="547">
        <f>T11*E40</f>
        <v>6</v>
      </c>
      <c r="V11" s="538">
        <v>0.85</v>
      </c>
      <c r="W11" s="526" t="str">
        <f>"("&amp;L11&amp;"+"&amp;U11&amp;")/"&amp;V11</f>
        <v>(2+6)/0.85</v>
      </c>
      <c r="X11" s="737" t="s">
        <v>815</v>
      </c>
    </row>
    <row r="12" spans="4:24" ht="17.25" thickBot="1" x14ac:dyDescent="0.35">
      <c r="K12" s="518" t="s">
        <v>788</v>
      </c>
      <c r="L12" s="769">
        <f>1/K11*8</f>
        <v>0.85</v>
      </c>
      <c r="M12" s="769"/>
      <c r="N12" s="741">
        <f>L12*T11</f>
        <v>17</v>
      </c>
      <c r="O12" s="742"/>
      <c r="P12" s="743"/>
      <c r="Q12" s="519"/>
      <c r="R12" s="519"/>
      <c r="S12" s="519"/>
      <c r="T12" s="520"/>
      <c r="U12" s="546"/>
      <c r="V12" s="536"/>
      <c r="W12" s="527"/>
      <c r="X12" s="738"/>
    </row>
    <row r="13" spans="4:24" ht="16.5" customHeight="1" x14ac:dyDescent="0.3">
      <c r="K13" s="549">
        <f>SUM(L13,U13)/V13</f>
        <v>16.235294117647058</v>
      </c>
      <c r="L13" s="550">
        <v>2</v>
      </c>
      <c r="M13" s="514">
        <v>500</v>
      </c>
      <c r="N13" s="515"/>
      <c r="O13" s="515"/>
      <c r="P13" s="515">
        <v>20</v>
      </c>
      <c r="Q13" s="515"/>
      <c r="R13" s="515"/>
      <c r="S13" s="515"/>
      <c r="T13" s="516">
        <f t="shared" ref="T13" si="0">SUM(N13:S13)</f>
        <v>20</v>
      </c>
      <c r="U13" s="547">
        <f>T13*F40</f>
        <v>11.799999999999999</v>
      </c>
      <c r="V13" s="538">
        <v>0.85</v>
      </c>
      <c r="W13" s="526" t="str">
        <f>"("&amp;L13&amp;"+"&amp;U13&amp;")/"&amp;V13</f>
        <v>(2+11.8)/0.85</v>
      </c>
      <c r="X13" s="737" t="s">
        <v>816</v>
      </c>
    </row>
    <row r="14" spans="4:24" ht="16.5" customHeight="1" thickBot="1" x14ac:dyDescent="0.35">
      <c r="K14" s="518" t="s">
        <v>788</v>
      </c>
      <c r="L14" s="769">
        <f>1/K13*8</f>
        <v>0.49275362318840582</v>
      </c>
      <c r="M14" s="769"/>
      <c r="N14" s="741">
        <f>L14*T13</f>
        <v>9.8550724637681171</v>
      </c>
      <c r="O14" s="742"/>
      <c r="P14" s="743"/>
      <c r="Q14" s="519"/>
      <c r="R14" s="519"/>
      <c r="S14" s="519"/>
      <c r="T14" s="520"/>
      <c r="U14" s="546"/>
      <c r="V14" s="536"/>
      <c r="W14" s="527"/>
      <c r="X14" s="738"/>
    </row>
    <row r="15" spans="4:24" ht="16.5" customHeight="1" x14ac:dyDescent="0.3">
      <c r="K15" s="549">
        <f>SUM(L15,U15)/V15</f>
        <v>26.823529411764707</v>
      </c>
      <c r="L15" s="550">
        <v>2</v>
      </c>
      <c r="M15" s="514">
        <v>500</v>
      </c>
      <c r="N15" s="515"/>
      <c r="O15" s="515"/>
      <c r="P15" s="515"/>
      <c r="Q15" s="515">
        <v>20</v>
      </c>
      <c r="R15" s="515"/>
      <c r="S15" s="515"/>
      <c r="T15" s="516">
        <f t="shared" ref="T15" si="1">SUM(N15:S15)</f>
        <v>20</v>
      </c>
      <c r="U15" s="547">
        <f>T15*G35</f>
        <v>20.8</v>
      </c>
      <c r="V15" s="538">
        <v>0.85</v>
      </c>
      <c r="W15" s="526" t="str">
        <f>"("&amp;L15&amp;"+"&amp;U15&amp;")/"&amp;V15</f>
        <v>(2+20.8)/0.85</v>
      </c>
      <c r="X15" s="737" t="s">
        <v>817</v>
      </c>
    </row>
    <row r="16" spans="4:24" ht="17.25" thickBot="1" x14ac:dyDescent="0.35">
      <c r="K16" s="518" t="s">
        <v>788</v>
      </c>
      <c r="L16" s="769">
        <f>1/K15*8</f>
        <v>0.2982456140350877</v>
      </c>
      <c r="M16" s="769"/>
      <c r="N16" s="741">
        <f>L16*T15</f>
        <v>5.9649122807017543</v>
      </c>
      <c r="O16" s="742"/>
      <c r="P16" s="743"/>
      <c r="Q16" s="519"/>
      <c r="R16" s="519"/>
      <c r="S16" s="519"/>
      <c r="T16" s="520"/>
      <c r="U16" s="546"/>
      <c r="V16" s="536"/>
      <c r="W16" s="527"/>
      <c r="X16" s="738"/>
    </row>
    <row r="17" spans="11:24" ht="16.5" customHeight="1" x14ac:dyDescent="0.3">
      <c r="K17" s="549">
        <f>SUM(L17,U17)/V17</f>
        <v>17.411764705882355</v>
      </c>
      <c r="L17" s="550">
        <v>2</v>
      </c>
      <c r="M17" s="514">
        <v>500</v>
      </c>
      <c r="N17" s="515"/>
      <c r="O17" s="515"/>
      <c r="P17" s="515"/>
      <c r="Q17" s="515"/>
      <c r="R17" s="515">
        <v>20</v>
      </c>
      <c r="S17" s="515"/>
      <c r="T17" s="516">
        <f t="shared" ref="T17" si="2">SUM(N17:S17)</f>
        <v>20</v>
      </c>
      <c r="U17" s="547">
        <f>T17*G45</f>
        <v>12.8</v>
      </c>
      <c r="V17" s="538">
        <v>0.85</v>
      </c>
      <c r="W17" s="526" t="str">
        <f>"("&amp;L17&amp;"+"&amp;U17&amp;")/"&amp;V17</f>
        <v>(2+12.8)/0.85</v>
      </c>
      <c r="X17" s="737" t="s">
        <v>818</v>
      </c>
    </row>
    <row r="18" spans="11:24" ht="17.25" thickBot="1" x14ac:dyDescent="0.35">
      <c r="K18" s="518" t="s">
        <v>788</v>
      </c>
      <c r="L18" s="769">
        <f>1/K17*8</f>
        <v>0.45945945945945943</v>
      </c>
      <c r="M18" s="769"/>
      <c r="N18" s="741">
        <f>L18*T17</f>
        <v>9.1891891891891895</v>
      </c>
      <c r="O18" s="742"/>
      <c r="P18" s="743"/>
      <c r="Q18" s="519"/>
      <c r="R18" s="519"/>
      <c r="S18" s="519"/>
      <c r="T18" s="520"/>
      <c r="U18" s="546"/>
      <c r="V18" s="536"/>
      <c r="W18" s="527"/>
      <c r="X18" s="738"/>
    </row>
    <row r="19" spans="11:24" ht="16.5" customHeight="1" x14ac:dyDescent="0.3">
      <c r="K19" s="549">
        <f>SUM(L19,U19)/V19</f>
        <v>35.764705882352942</v>
      </c>
      <c r="L19" s="550">
        <v>2</v>
      </c>
      <c r="M19" s="514">
        <v>500</v>
      </c>
      <c r="N19" s="515"/>
      <c r="O19" s="515"/>
      <c r="P19" s="515"/>
      <c r="Q19" s="515"/>
      <c r="R19" s="515"/>
      <c r="S19" s="515">
        <v>20</v>
      </c>
      <c r="T19" s="516">
        <f t="shared" ref="T19" si="3">SUM(N19:S19)</f>
        <v>20</v>
      </c>
      <c r="U19" s="547">
        <f>T19*H35</f>
        <v>28.4</v>
      </c>
      <c r="V19" s="538">
        <v>0.85</v>
      </c>
      <c r="W19" s="526" t="str">
        <f>"("&amp;L19&amp;"+"&amp;U19&amp;")/"&amp;V19</f>
        <v>(2+28.4)/0.85</v>
      </c>
      <c r="X19" s="737" t="s">
        <v>819</v>
      </c>
    </row>
    <row r="20" spans="11:24" ht="17.25" thickBot="1" x14ac:dyDescent="0.35">
      <c r="K20" s="518" t="s">
        <v>788</v>
      </c>
      <c r="L20" s="769">
        <f>1/K19*8</f>
        <v>0.22368421052631579</v>
      </c>
      <c r="M20" s="770"/>
      <c r="N20" s="741">
        <f>L20*T19</f>
        <v>4.4736842105263159</v>
      </c>
      <c r="O20" s="742"/>
      <c r="P20" s="743"/>
      <c r="Q20" s="519"/>
      <c r="R20" s="519"/>
      <c r="S20" s="519"/>
      <c r="T20" s="520"/>
      <c r="U20" s="546"/>
      <c r="V20" s="536"/>
      <c r="W20" s="527"/>
      <c r="X20" s="738"/>
    </row>
    <row r="21" spans="11:24" ht="16.5" customHeight="1" x14ac:dyDescent="0.3">
      <c r="K21" s="549">
        <f>SUM(L21,U21)/V21</f>
        <v>30.117647058823529</v>
      </c>
      <c r="L21" s="550">
        <v>2</v>
      </c>
      <c r="M21" s="514">
        <v>500</v>
      </c>
      <c r="N21" s="515"/>
      <c r="O21" s="515"/>
      <c r="P21" s="515"/>
      <c r="Q21" s="515">
        <v>20</v>
      </c>
      <c r="R21" s="515"/>
      <c r="S21" s="515"/>
      <c r="T21" s="516">
        <f t="shared" ref="T21" si="4">SUM(N21:S21)</f>
        <v>20</v>
      </c>
      <c r="U21" s="547">
        <f>T21*H45</f>
        <v>23.599999999999998</v>
      </c>
      <c r="V21" s="538">
        <v>0.85</v>
      </c>
      <c r="W21" s="526" t="str">
        <f>"("&amp;L21&amp;"+"&amp;U21&amp;")/"&amp;V21</f>
        <v>(2+23.6)/0.85</v>
      </c>
      <c r="X21" s="737" t="s">
        <v>820</v>
      </c>
    </row>
    <row r="22" spans="11:24" ht="17.25" thickBot="1" x14ac:dyDescent="0.35">
      <c r="K22" s="518" t="s">
        <v>788</v>
      </c>
      <c r="L22" s="769">
        <f>1/K21*8</f>
        <v>0.265625</v>
      </c>
      <c r="M22" s="769"/>
      <c r="N22" s="741">
        <f>L22*T21</f>
        <v>5.3125</v>
      </c>
      <c r="O22" s="742"/>
      <c r="P22" s="743"/>
      <c r="Q22" s="519"/>
      <c r="R22" s="519"/>
      <c r="S22" s="519"/>
      <c r="T22" s="520"/>
      <c r="U22" s="546"/>
      <c r="V22" s="536"/>
      <c r="W22" s="527"/>
      <c r="X22" s="738"/>
    </row>
    <row r="23" spans="11:24" ht="16.5" customHeight="1" x14ac:dyDescent="0.3">
      <c r="K23" s="549">
        <f>SUM(L23,U23)/V23</f>
        <v>60.705882352941181</v>
      </c>
      <c r="L23" s="550">
        <v>2</v>
      </c>
      <c r="M23" s="514">
        <v>500</v>
      </c>
      <c r="N23" s="515"/>
      <c r="O23" s="515"/>
      <c r="P23" s="515"/>
      <c r="Q23" s="515"/>
      <c r="R23" s="515">
        <v>20</v>
      </c>
      <c r="S23" s="515"/>
      <c r="T23" s="516">
        <f t="shared" ref="T23" si="5">SUM(N23:S23)</f>
        <v>20</v>
      </c>
      <c r="U23" s="547">
        <f>T23*I35</f>
        <v>49.6</v>
      </c>
      <c r="V23" s="538">
        <v>0.85</v>
      </c>
      <c r="W23" s="526" t="str">
        <f>"("&amp;L23&amp;"+"&amp;U23&amp;")/"&amp;V23</f>
        <v>(2+49.6)/0.85</v>
      </c>
      <c r="X23" s="737" t="s">
        <v>821</v>
      </c>
    </row>
    <row r="24" spans="11:24" ht="17.25" thickBot="1" x14ac:dyDescent="0.35">
      <c r="K24" s="518" t="s">
        <v>788</v>
      </c>
      <c r="L24" s="769">
        <f>1/K23*8</f>
        <v>0.13178294573643409</v>
      </c>
      <c r="M24" s="769"/>
      <c r="N24" s="741">
        <f>L24*T23</f>
        <v>2.635658914728682</v>
      </c>
      <c r="O24" s="742"/>
      <c r="P24" s="743"/>
      <c r="Q24" s="519"/>
      <c r="R24" s="519"/>
      <c r="S24" s="519"/>
      <c r="T24" s="520"/>
      <c r="U24" s="546"/>
      <c r="V24" s="536"/>
      <c r="W24" s="527"/>
      <c r="X24" s="738"/>
    </row>
    <row r="25" spans="11:24" ht="16.5" customHeight="1" x14ac:dyDescent="0.3">
      <c r="K25" s="549">
        <f>SUM(L25,U25)/V25</f>
        <v>46.588235294117645</v>
      </c>
      <c r="L25" s="550">
        <v>2</v>
      </c>
      <c r="M25" s="514">
        <v>500</v>
      </c>
      <c r="N25" s="515"/>
      <c r="O25" s="515"/>
      <c r="P25" s="515"/>
      <c r="Q25" s="515"/>
      <c r="R25" s="515"/>
      <c r="S25" s="515">
        <v>20</v>
      </c>
      <c r="T25" s="516">
        <f t="shared" ref="T25" si="6">SUM(N25:S25)</f>
        <v>20</v>
      </c>
      <c r="U25" s="547">
        <f>T25*I45</f>
        <v>37.599999999999994</v>
      </c>
      <c r="V25" s="538">
        <v>0.85</v>
      </c>
      <c r="W25" s="526" t="str">
        <f>"("&amp;L25&amp;"+"&amp;U25&amp;")/"&amp;V25</f>
        <v>(2+37.6)/0.85</v>
      </c>
      <c r="X25" s="737" t="s">
        <v>822</v>
      </c>
    </row>
    <row r="26" spans="11:24" ht="17.25" thickBot="1" x14ac:dyDescent="0.35">
      <c r="K26" s="518" t="s">
        <v>788</v>
      </c>
      <c r="L26" s="769">
        <f>1/K25*8</f>
        <v>0.17171717171717171</v>
      </c>
      <c r="M26" s="769"/>
      <c r="N26" s="741">
        <f>L26*T25</f>
        <v>3.4343434343434343</v>
      </c>
      <c r="O26" s="742"/>
      <c r="P26" s="743"/>
      <c r="Q26" s="519"/>
      <c r="R26" s="519"/>
      <c r="S26" s="519"/>
      <c r="T26" s="520"/>
      <c r="U26" s="546"/>
      <c r="V26" s="536"/>
      <c r="W26" s="527"/>
      <c r="X26" s="738"/>
    </row>
    <row r="27" spans="11:24" ht="16.5" customHeight="1" x14ac:dyDescent="0.3">
      <c r="K27" s="506"/>
      <c r="L27" s="508"/>
      <c r="M27" s="505"/>
      <c r="N27" s="505"/>
      <c r="O27" s="505"/>
      <c r="P27" s="505"/>
      <c r="Q27" s="505"/>
      <c r="R27" s="505"/>
      <c r="S27" s="505"/>
      <c r="T27" s="509"/>
      <c r="U27" s="506"/>
      <c r="V27" s="506"/>
    </row>
    <row r="28" spans="11:24" x14ac:dyDescent="0.3">
      <c r="K28" s="506"/>
      <c r="L28" s="508"/>
      <c r="M28" s="505"/>
      <c r="N28" s="505"/>
      <c r="O28" s="505"/>
      <c r="P28" s="505"/>
      <c r="Q28" s="505"/>
      <c r="R28" s="505"/>
      <c r="S28" s="505"/>
      <c r="T28" s="509"/>
      <c r="U28" s="506"/>
      <c r="V28" s="506"/>
    </row>
    <row r="29" spans="11:24" x14ac:dyDescent="0.3">
      <c r="K29" s="506"/>
      <c r="L29" s="508"/>
      <c r="M29" s="760" t="s">
        <v>779</v>
      </c>
      <c r="N29" s="759" t="s">
        <v>823</v>
      </c>
      <c r="O29" s="759"/>
      <c r="P29" s="759"/>
      <c r="Q29" s="759"/>
      <c r="R29" s="759"/>
      <c r="S29" s="759"/>
      <c r="T29" s="759"/>
      <c r="U29" s="762" t="s">
        <v>827</v>
      </c>
      <c r="V29" s="749" t="s">
        <v>828</v>
      </c>
    </row>
    <row r="30" spans="11:24" ht="17.25" thickBot="1" x14ac:dyDescent="0.35">
      <c r="K30" s="506"/>
      <c r="L30" s="508"/>
      <c r="M30" s="761"/>
      <c r="N30" s="562" t="s">
        <v>763</v>
      </c>
      <c r="O30" s="562" t="s">
        <v>764</v>
      </c>
      <c r="P30" s="562" t="s">
        <v>810</v>
      </c>
      <c r="Q30" s="562" t="s">
        <v>765</v>
      </c>
      <c r="R30" s="562" t="s">
        <v>766</v>
      </c>
      <c r="S30" s="562" t="s">
        <v>767</v>
      </c>
      <c r="T30" s="560" t="s">
        <v>770</v>
      </c>
      <c r="U30" s="762"/>
      <c r="V30" s="749"/>
    </row>
    <row r="31" spans="11:24" x14ac:dyDescent="0.3">
      <c r="K31" s="506"/>
      <c r="L31" s="569" t="s">
        <v>830</v>
      </c>
      <c r="M31" s="757">
        <v>1000</v>
      </c>
      <c r="N31" s="565"/>
      <c r="O31" s="565"/>
      <c r="P31" s="565"/>
      <c r="Q31" s="565"/>
      <c r="R31" s="565">
        <v>20</v>
      </c>
      <c r="S31" s="566"/>
      <c r="T31" s="750">
        <f>SUM(N31:S31)</f>
        <v>20</v>
      </c>
      <c r="U31" s="771">
        <f>(2+T33)/0.85</f>
        <v>35.764705882352942</v>
      </c>
      <c r="V31" s="561">
        <f>1/U31*8</f>
        <v>0.22368421052631579</v>
      </c>
    </row>
    <row r="32" spans="11:24" ht="17.25" thickBot="1" x14ac:dyDescent="0.35">
      <c r="K32" s="506"/>
      <c r="L32" s="508"/>
      <c r="M32" s="758"/>
      <c r="N32" s="567"/>
      <c r="O32" s="567"/>
      <c r="P32" s="567"/>
      <c r="Q32" s="567"/>
      <c r="R32" s="567" t="s">
        <v>804</v>
      </c>
      <c r="S32" s="568"/>
      <c r="T32" s="751"/>
      <c r="U32" s="772"/>
      <c r="V32" s="755">
        <f>V31*T31</f>
        <v>4.4736842105263159</v>
      </c>
    </row>
    <row r="33" spans="2:22" x14ac:dyDescent="0.3">
      <c r="K33" s="506"/>
      <c r="L33" s="508"/>
      <c r="M33" s="563"/>
      <c r="N33" s="573" t="str" cm="1">
        <f t="array" ref="N33">IFERROR(INDEX($D$35:$I$49, MATCH(1, ($B$35:$B$49=N32)*($C$35:$C$49=$M$31), 0), MATCH(N30, $D$34:$I$34, 0))*N31,"-")</f>
        <v>-</v>
      </c>
      <c r="O33" s="573" t="str" cm="1">
        <f t="array" ref="O33">IFERROR(INDEX($D$35:$I$49, MATCH(1, ($B$35:$B$49=O32)*($C$35:$C$49=$M$31), 0), MATCH(O30, $D$34:$I$34, 0))*O31,"-")</f>
        <v>-</v>
      </c>
      <c r="P33" s="573" t="str" cm="1">
        <f t="array" ref="P33">IFERROR(INDEX($D$35:$I$49, MATCH(1, ($B$35:$B$49=P32)*($C$35:$C$49=$M$31), 0), MATCH(P30, $D$34:$I$34, 0))*P31,"-")</f>
        <v>-</v>
      </c>
      <c r="Q33" s="573" t="str" cm="1">
        <f t="array" ref="Q33">IFERROR(INDEX($D$35:$I$49, MATCH(1, ($B$35:$B$49=Q32)*($C$35:$C$49=$M$31), 0), MATCH(Q30, $D$34:$I$34, 0))*Q31,"-")</f>
        <v>-</v>
      </c>
      <c r="R33" s="573" cm="1">
        <f t="array" ref="R33">IFERROR(INDEX($D$35:$I$49, MATCH(1, ($B$35:$B$49=R32)*($C$35:$C$49=$M$31), 0), MATCH(R30, $D$34:$I$34, 0))*R31,"-")</f>
        <v>28.4</v>
      </c>
      <c r="S33" s="573" t="str" cm="1">
        <f t="array" ref="S33">IFERROR(INDEX($D$35:$I$49, MATCH(1, ($B$35:$B$49=S32)*($C$35:$C$49=$M$31), 0), MATCH(S30, $D$34:$I$34, 0))*S31,"-")</f>
        <v>-</v>
      </c>
      <c r="T33" s="574">
        <f>SUM(N33:S33)</f>
        <v>28.4</v>
      </c>
      <c r="U33" s="773"/>
      <c r="V33" s="756"/>
    </row>
    <row r="34" spans="2:22" ht="33" customHeight="1" x14ac:dyDescent="0.3">
      <c r="B34" s="532" t="s">
        <v>778</v>
      </c>
      <c r="C34" s="531" t="s">
        <v>779</v>
      </c>
      <c r="D34" s="556" t="s">
        <v>763</v>
      </c>
      <c r="E34" s="556" t="s">
        <v>764</v>
      </c>
      <c r="F34" s="556" t="s">
        <v>810</v>
      </c>
      <c r="G34" s="532" t="s">
        <v>765</v>
      </c>
      <c r="H34" s="532" t="s">
        <v>766</v>
      </c>
      <c r="I34" s="532" t="s">
        <v>767</v>
      </c>
      <c r="K34" s="506"/>
      <c r="L34" s="508"/>
      <c r="M34" s="505"/>
      <c r="N34" s="505"/>
      <c r="O34" s="505"/>
      <c r="P34" s="505"/>
      <c r="Q34" s="505"/>
      <c r="R34" s="505"/>
      <c r="S34" s="505"/>
      <c r="T34" s="509"/>
      <c r="U34" s="506"/>
      <c r="V34" s="506"/>
    </row>
    <row r="35" spans="2:22" ht="16.5" customHeight="1" x14ac:dyDescent="0.3">
      <c r="B35" s="552" t="s">
        <v>805</v>
      </c>
      <c r="C35" s="542">
        <v>1000</v>
      </c>
      <c r="D35" s="529"/>
      <c r="E35" s="529"/>
      <c r="F35" s="529"/>
      <c r="G35" s="529">
        <v>1.04</v>
      </c>
      <c r="H35" s="529">
        <v>1.42</v>
      </c>
      <c r="I35" s="529">
        <v>2.48</v>
      </c>
    </row>
    <row r="36" spans="2:22" x14ac:dyDescent="0.3">
      <c r="B36" s="553" t="s">
        <v>804</v>
      </c>
      <c r="C36" s="543">
        <v>1500</v>
      </c>
      <c r="D36" s="533"/>
      <c r="E36" s="533"/>
      <c r="F36" s="533"/>
      <c r="G36" s="533">
        <v>1.23</v>
      </c>
      <c r="H36" s="533">
        <v>1.71</v>
      </c>
      <c r="I36" s="533">
        <v>2.97</v>
      </c>
    </row>
    <row r="37" spans="2:22" x14ac:dyDescent="0.3">
      <c r="B37" s="553" t="s">
        <v>804</v>
      </c>
      <c r="C37" s="543">
        <v>2000</v>
      </c>
      <c r="D37" s="533"/>
      <c r="E37" s="533"/>
      <c r="F37" s="533"/>
      <c r="G37" s="533">
        <v>1.29</v>
      </c>
      <c r="H37" s="533">
        <v>1.82</v>
      </c>
      <c r="I37" s="533">
        <v>3.17</v>
      </c>
    </row>
    <row r="38" spans="2:22" x14ac:dyDescent="0.3">
      <c r="B38" s="553" t="s">
        <v>804</v>
      </c>
      <c r="C38" s="543">
        <v>2500</v>
      </c>
      <c r="D38" s="533"/>
      <c r="E38" s="533"/>
      <c r="F38" s="533"/>
      <c r="G38" s="533">
        <v>1.35</v>
      </c>
      <c r="H38" s="533">
        <v>1.95</v>
      </c>
      <c r="I38" s="533">
        <v>3.38</v>
      </c>
    </row>
    <row r="39" spans="2:22" ht="16.5" customHeight="1" x14ac:dyDescent="0.3">
      <c r="B39" s="554" t="s">
        <v>804</v>
      </c>
      <c r="C39" s="544">
        <v>3000</v>
      </c>
      <c r="D39" s="530"/>
      <c r="E39" s="530"/>
      <c r="F39" s="530"/>
      <c r="G39" s="530">
        <v>1.41</v>
      </c>
      <c r="H39" s="530">
        <v>2.0699999999999998</v>
      </c>
      <c r="I39" s="530">
        <v>3.61</v>
      </c>
    </row>
    <row r="40" spans="2:22" x14ac:dyDescent="0.3">
      <c r="B40" s="552" t="s">
        <v>807</v>
      </c>
      <c r="C40" s="542">
        <v>1000</v>
      </c>
      <c r="D40" s="529">
        <v>0.21</v>
      </c>
      <c r="E40" s="529">
        <v>0.3</v>
      </c>
      <c r="F40" s="529">
        <v>0.59</v>
      </c>
      <c r="G40" s="529">
        <v>0.67</v>
      </c>
      <c r="H40" s="529"/>
      <c r="I40" s="529"/>
    </row>
    <row r="41" spans="2:22" x14ac:dyDescent="0.3">
      <c r="B41" s="553" t="s">
        <v>806</v>
      </c>
      <c r="C41" s="543">
        <v>1500</v>
      </c>
      <c r="D41" s="545">
        <v>0.26</v>
      </c>
      <c r="E41" s="545">
        <v>0.35</v>
      </c>
      <c r="F41" s="545">
        <v>0.62</v>
      </c>
      <c r="G41" s="545">
        <v>0.69</v>
      </c>
      <c r="H41" s="545"/>
      <c r="I41" s="545"/>
    </row>
    <row r="42" spans="2:22" x14ac:dyDescent="0.3">
      <c r="B42" s="553" t="s">
        <v>806</v>
      </c>
      <c r="C42" s="543">
        <v>2000</v>
      </c>
      <c r="D42" s="545">
        <v>0.31</v>
      </c>
      <c r="E42" s="545">
        <v>0.4</v>
      </c>
      <c r="F42" s="545">
        <v>0.64</v>
      </c>
      <c r="G42" s="545">
        <v>0.83</v>
      </c>
      <c r="H42" s="545"/>
      <c r="I42" s="545"/>
    </row>
    <row r="43" spans="2:22" ht="16.5" customHeight="1" x14ac:dyDescent="0.3">
      <c r="B43" s="553" t="s">
        <v>806</v>
      </c>
      <c r="C43" s="543">
        <v>2500</v>
      </c>
      <c r="D43" s="533">
        <v>0.36</v>
      </c>
      <c r="E43" s="533">
        <v>0.45</v>
      </c>
      <c r="F43" s="533">
        <v>0.67</v>
      </c>
      <c r="G43" s="533">
        <v>0.97</v>
      </c>
      <c r="H43" s="533"/>
      <c r="I43" s="533"/>
    </row>
    <row r="44" spans="2:22" x14ac:dyDescent="0.3">
      <c r="B44" s="555" t="s">
        <v>806</v>
      </c>
      <c r="C44" s="544">
        <v>3000</v>
      </c>
      <c r="D44" s="530">
        <v>0.41</v>
      </c>
      <c r="E44" s="530">
        <v>0.5</v>
      </c>
      <c r="F44" s="530">
        <v>0.69</v>
      </c>
      <c r="G44" s="530">
        <v>1.1000000000000001</v>
      </c>
      <c r="H44" s="530"/>
      <c r="I44" s="530"/>
    </row>
    <row r="45" spans="2:22" x14ac:dyDescent="0.3">
      <c r="B45" s="552" t="s">
        <v>809</v>
      </c>
      <c r="C45" s="542">
        <v>1000</v>
      </c>
      <c r="D45" s="534">
        <v>0.2</v>
      </c>
      <c r="E45" s="534">
        <v>0.28999999999999998</v>
      </c>
      <c r="F45" s="534">
        <v>0.56999999999999995</v>
      </c>
      <c r="G45" s="534">
        <v>0.64</v>
      </c>
      <c r="H45" s="534">
        <v>1.18</v>
      </c>
      <c r="I45" s="534">
        <v>1.88</v>
      </c>
    </row>
    <row r="46" spans="2:22" x14ac:dyDescent="0.3">
      <c r="B46" s="553" t="s">
        <v>808</v>
      </c>
      <c r="C46" s="543">
        <v>1500</v>
      </c>
      <c r="D46" s="541">
        <v>0.25</v>
      </c>
      <c r="E46" s="541">
        <v>0.34</v>
      </c>
      <c r="F46" s="541">
        <v>0.59</v>
      </c>
      <c r="G46" s="541">
        <v>0.67</v>
      </c>
      <c r="H46" s="541">
        <v>1.6</v>
      </c>
      <c r="I46" s="541">
        <v>2.5499999999999998</v>
      </c>
    </row>
    <row r="47" spans="2:22" x14ac:dyDescent="0.3">
      <c r="B47" s="553" t="s">
        <v>808</v>
      </c>
      <c r="C47" s="543">
        <v>2000</v>
      </c>
      <c r="D47" s="541">
        <v>0.28999999999999998</v>
      </c>
      <c r="E47" s="541">
        <v>0.39</v>
      </c>
      <c r="F47" s="541">
        <v>0.62</v>
      </c>
      <c r="G47" s="541">
        <v>0.8</v>
      </c>
      <c r="H47" s="541">
        <v>2.02</v>
      </c>
      <c r="I47" s="541">
        <v>3.23</v>
      </c>
    </row>
    <row r="48" spans="2:22" x14ac:dyDescent="0.3">
      <c r="B48" s="553" t="s">
        <v>808</v>
      </c>
      <c r="C48" s="543">
        <v>2500</v>
      </c>
      <c r="D48" s="533">
        <v>0.34</v>
      </c>
      <c r="E48" s="533">
        <v>0.44</v>
      </c>
      <c r="F48" s="533">
        <v>0.64</v>
      </c>
      <c r="G48" s="533">
        <v>0.93</v>
      </c>
      <c r="H48" s="533">
        <v>2.44</v>
      </c>
      <c r="I48" s="533">
        <v>3.9</v>
      </c>
    </row>
    <row r="49" spans="2:9" x14ac:dyDescent="0.3">
      <c r="B49" s="554" t="s">
        <v>808</v>
      </c>
      <c r="C49" s="544">
        <v>3000</v>
      </c>
      <c r="D49" s="530">
        <v>0.39</v>
      </c>
      <c r="E49" s="530">
        <v>0.48</v>
      </c>
      <c r="F49" s="530">
        <v>0.66</v>
      </c>
      <c r="G49" s="530">
        <v>1.06</v>
      </c>
      <c r="H49" s="530">
        <v>2.86</v>
      </c>
      <c r="I49" s="530">
        <v>4.57</v>
      </c>
    </row>
  </sheetData>
  <mergeCells count="43">
    <mergeCell ref="V29:V30"/>
    <mergeCell ref="M31:M32"/>
    <mergeCell ref="T31:T32"/>
    <mergeCell ref="U31:U33"/>
    <mergeCell ref="V32:V33"/>
    <mergeCell ref="M29:M30"/>
    <mergeCell ref="N29:T29"/>
    <mergeCell ref="L18:M18"/>
    <mergeCell ref="L16:M16"/>
    <mergeCell ref="L14:M14"/>
    <mergeCell ref="L12:M12"/>
    <mergeCell ref="U29:U30"/>
    <mergeCell ref="K5:L5"/>
    <mergeCell ref="M6:U6"/>
    <mergeCell ref="W6:W8"/>
    <mergeCell ref="X6:X8"/>
    <mergeCell ref="K7:K8"/>
    <mergeCell ref="L7:L8"/>
    <mergeCell ref="M7:U7"/>
    <mergeCell ref="V7:V8"/>
    <mergeCell ref="X9:X10"/>
    <mergeCell ref="L10:M10"/>
    <mergeCell ref="N10:P10"/>
    <mergeCell ref="X11:X12"/>
    <mergeCell ref="N12:P12"/>
    <mergeCell ref="X13:X14"/>
    <mergeCell ref="N14:P14"/>
    <mergeCell ref="X15:X16"/>
    <mergeCell ref="N16:P16"/>
    <mergeCell ref="X17:X18"/>
    <mergeCell ref="N18:P18"/>
    <mergeCell ref="X19:X20"/>
    <mergeCell ref="L20:M20"/>
    <mergeCell ref="N20:P20"/>
    <mergeCell ref="L26:M26"/>
    <mergeCell ref="L24:M24"/>
    <mergeCell ref="X25:X26"/>
    <mergeCell ref="N26:P26"/>
    <mergeCell ref="X21:X22"/>
    <mergeCell ref="N22:P22"/>
    <mergeCell ref="X23:X24"/>
    <mergeCell ref="N24:P24"/>
    <mergeCell ref="L22:M22"/>
  </mergeCells>
  <phoneticPr fontId="2" type="noConversion"/>
  <dataValidations disablePrompts="1" count="4">
    <dataValidation type="list" allowBlank="1" showInputMessage="1" showErrorMessage="1" sqref="M31:M32" xr:uid="{D58EA7DF-C991-499D-ADC9-E7BFADC87B1E}">
      <formula1>"1000,1500,2000,2500,3000"</formula1>
    </dataValidation>
    <dataValidation type="list" allowBlank="1" showInputMessage="1" showErrorMessage="1" sqref="Q32" xr:uid="{E606F272-5951-4070-8988-B23DF3A8474E}">
      <formula1>"R.C.D,요동식,전회전식,-"</formula1>
    </dataValidation>
    <dataValidation type="list" allowBlank="1" showInputMessage="1" showErrorMessage="1" sqref="N32:P32" xr:uid="{E13F36A5-8D63-448C-9F96-0C2C4CE2D068}">
      <formula1>"요동식,전회전식,-"</formula1>
    </dataValidation>
    <dataValidation type="list" allowBlank="1" showInputMessage="1" showErrorMessage="1" sqref="R32:S32" xr:uid="{44BE54F0-C944-4FF0-9170-7F730AA46FD3}">
      <formula1>"R.C.D,전회전식,-"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51DB-9DF3-4828-9A52-9547D029A328}">
  <dimension ref="B2:J14"/>
  <sheetViews>
    <sheetView workbookViewId="0">
      <selection activeCell="Q12" sqref="Q12"/>
    </sheetView>
  </sheetViews>
  <sheetFormatPr defaultRowHeight="16.5" x14ac:dyDescent="0.3"/>
  <sheetData>
    <row r="2" spans="2:10" x14ac:dyDescent="0.3">
      <c r="E2" t="s">
        <v>847</v>
      </c>
      <c r="F2" t="s">
        <v>848</v>
      </c>
      <c r="G2" t="s">
        <v>849</v>
      </c>
      <c r="H2" t="s">
        <v>850</v>
      </c>
      <c r="I2" t="s">
        <v>851</v>
      </c>
      <c r="J2" t="s">
        <v>852</v>
      </c>
    </row>
    <row r="3" spans="2:10" x14ac:dyDescent="0.3">
      <c r="B3" t="s">
        <v>837</v>
      </c>
      <c r="C3" t="s">
        <v>835</v>
      </c>
      <c r="E3">
        <v>250</v>
      </c>
      <c r="F3">
        <v>200</v>
      </c>
    </row>
    <row r="4" spans="2:10" x14ac:dyDescent="0.3">
      <c r="C4" t="s">
        <v>836</v>
      </c>
      <c r="E4">
        <v>200</v>
      </c>
      <c r="F4">
        <v>200</v>
      </c>
    </row>
    <row r="5" spans="2:10" x14ac:dyDescent="0.3">
      <c r="C5" t="s">
        <v>839</v>
      </c>
      <c r="D5" t="s">
        <v>845</v>
      </c>
      <c r="F5">
        <v>51.82745098039215</v>
      </c>
      <c r="I5">
        <v>180</v>
      </c>
    </row>
    <row r="6" spans="2:10" x14ac:dyDescent="0.3">
      <c r="D6" t="s">
        <v>765</v>
      </c>
      <c r="I6">
        <v>65</v>
      </c>
    </row>
    <row r="7" spans="2:10" x14ac:dyDescent="0.3">
      <c r="D7" t="s">
        <v>846</v>
      </c>
      <c r="I7">
        <v>50</v>
      </c>
    </row>
    <row r="8" spans="2:10" x14ac:dyDescent="0.3">
      <c r="C8" t="s">
        <v>840</v>
      </c>
      <c r="F8">
        <v>38.870588235294107</v>
      </c>
    </row>
    <row r="9" spans="2:10" x14ac:dyDescent="0.3">
      <c r="C9" t="s">
        <v>853</v>
      </c>
      <c r="J9">
        <v>500</v>
      </c>
    </row>
    <row r="10" spans="2:10" x14ac:dyDescent="0.3">
      <c r="B10" t="s">
        <v>838</v>
      </c>
      <c r="C10" t="s">
        <v>834</v>
      </c>
      <c r="E10">
        <v>133.33333333333329</v>
      </c>
    </row>
    <row r="11" spans="2:10" x14ac:dyDescent="0.3">
      <c r="C11" t="s">
        <v>841</v>
      </c>
      <c r="F11">
        <v>133.33333333333329</v>
      </c>
    </row>
    <row r="12" spans="2:10" x14ac:dyDescent="0.3">
      <c r="C12" t="s">
        <v>854</v>
      </c>
    </row>
    <row r="13" spans="2:10" x14ac:dyDescent="0.3">
      <c r="B13" t="s">
        <v>842</v>
      </c>
      <c r="C13" t="s">
        <v>843</v>
      </c>
      <c r="G13">
        <v>350</v>
      </c>
      <c r="J13">
        <v>350</v>
      </c>
    </row>
    <row r="14" spans="2:10" x14ac:dyDescent="0.3">
      <c r="C14" t="s">
        <v>844</v>
      </c>
      <c r="H14">
        <v>250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국토교통부표준+표준품셈</vt:lpstr>
      <vt:lpstr>CIP 생산성 근거</vt:lpstr>
      <vt:lpstr>기성말뚝 기초 생산성 근거</vt:lpstr>
      <vt:lpstr>현장타설말뚝 생산성 근거</vt:lpstr>
      <vt:lpstr>P6 실적 기반 생산성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민준</dc:creator>
  <cp:lastModifiedBy>남영 조</cp:lastModifiedBy>
  <cp:lastPrinted>2025-12-28T23:45:12Z</cp:lastPrinted>
  <dcterms:created xsi:type="dcterms:W3CDTF">2025-09-02T04:56:21Z</dcterms:created>
  <dcterms:modified xsi:type="dcterms:W3CDTF">2026-03-31T04:38:26Z</dcterms:modified>
</cp:coreProperties>
</file>