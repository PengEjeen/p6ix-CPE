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P6CLOUD3\01_PM_Project\208_하동군청_하동군 보건의료원 건립공사_공기적정성\04_작업\02_공기산정근거\"/>
    </mc:Choice>
  </mc:AlternateContent>
  <xr:revisionPtr revIDLastSave="0" documentId="13_ncr:1_{9467B3FA-47D9-43E6-B307-41DBDDB565F4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산정기준(적정)" sheetId="2" r:id="rId1"/>
    <sheet name="산정기준 (18개월)" sheetId="9" r:id="rId2"/>
    <sheet name="공사예정공정표" sheetId="1" r:id="rId3"/>
    <sheet name="층별총집계표" sheetId="8" r:id="rId4"/>
    <sheet name="토공기간 검토" sheetId="4" r:id="rId5"/>
    <sheet name="발파암(표준발파)" sheetId="5" r:id="rId6"/>
    <sheet name="철골공사, 데크플레이트" sheetId="6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" localSheetId="5" hidden="1">[1]CTEMCOST!#REF!</definedName>
    <definedName name="_" localSheetId="6" hidden="1">[1]CTEMCOST!#REF!</definedName>
    <definedName name="_" localSheetId="4" hidden="1">[1]CTEMCOST!#REF!</definedName>
    <definedName name="_" hidden="1">[1]CTEMCOST!#REF!</definedName>
    <definedName name="__EE1" localSheetId="5" hidden="1">{#N/A,#N/A,FALSE,"단가표지"}</definedName>
    <definedName name="__EE1" localSheetId="6" hidden="1">{#N/A,#N/A,FALSE,"단가표지"}</definedName>
    <definedName name="__EE1" localSheetId="4" hidden="1">{#N/A,#N/A,FALSE,"단가표지"}</definedName>
    <definedName name="__EE1" hidden="1">{#N/A,#N/A,FALSE,"단가표지"}</definedName>
    <definedName name="__IntlFixup" hidden="1">TRUE</definedName>
    <definedName name="__QQ1" localSheetId="5" hidden="1">{#N/A,#N/A,FALSE,"단가표지"}</definedName>
    <definedName name="__QQ1" localSheetId="6" hidden="1">{#N/A,#N/A,FALSE,"단가표지"}</definedName>
    <definedName name="__QQ1" localSheetId="4" hidden="1">{#N/A,#N/A,FALSE,"단가표지"}</definedName>
    <definedName name="__QQ1" hidden="1">{#N/A,#N/A,FALSE,"단가표지"}</definedName>
    <definedName name="__QW1" localSheetId="5" hidden="1">{#N/A,#N/A,FALSE,"단가표지"}</definedName>
    <definedName name="__QW1" localSheetId="6" hidden="1">{#N/A,#N/A,FALSE,"단가표지"}</definedName>
    <definedName name="__QW1" localSheetId="4" hidden="1">{#N/A,#N/A,FALSE,"단가표지"}</definedName>
    <definedName name="__QW1" hidden="1">{#N/A,#N/A,FALSE,"단가표지"}</definedName>
    <definedName name="__SS1" localSheetId="5" hidden="1">{#N/A,#N/A,FALSE,"운반시간"}</definedName>
    <definedName name="__SS1" localSheetId="6" hidden="1">{#N/A,#N/A,FALSE,"운반시간"}</definedName>
    <definedName name="__SS1" localSheetId="4" hidden="1">{#N/A,#N/A,FALSE,"운반시간"}</definedName>
    <definedName name="__SS1" hidden="1">{#N/A,#N/A,FALSE,"운반시간"}</definedName>
    <definedName name="_Dist_Bin" localSheetId="6" hidden="1">#REF!</definedName>
    <definedName name="_Dist_Bin" hidden="1">#REF!</definedName>
    <definedName name="_Dist_Values" localSheetId="6" hidden="1">#REF!</definedName>
    <definedName name="_Dist_Values" hidden="1">#REF!</definedName>
    <definedName name="_Fill" localSheetId="5" hidden="1">[2]대비!#REF!</definedName>
    <definedName name="_Fill" localSheetId="4" hidden="1">[2]대비!#REF!</definedName>
    <definedName name="_Fill" hidden="1">[2]대비!#REF!</definedName>
    <definedName name="_xlnm._FilterDatabase" localSheetId="2" hidden="1">공사예정공정표!$A$5:$E$47</definedName>
    <definedName name="_xlnm._FilterDatabase" localSheetId="1" hidden="1">'산정기준 (18개월)'!$A$5:$N$85</definedName>
    <definedName name="_xlnm._FilterDatabase" localSheetId="0" hidden="1">'산정기준(적정)'!$A$5:$N$85</definedName>
    <definedName name="_Key1" localSheetId="5" hidden="1">'[2]#REF'!#REF!</definedName>
    <definedName name="_Key1" localSheetId="6" hidden="1">'[2]#REF'!#REF!</definedName>
    <definedName name="_Key1" localSheetId="4" hidden="1">'[2]#REF'!#REF!</definedName>
    <definedName name="_Key1" hidden="1">'[2]#REF'!#REF!</definedName>
    <definedName name="_Key2" localSheetId="5" hidden="1">[3]프랜트면허!#REF!</definedName>
    <definedName name="_Key2" localSheetId="6" hidden="1">[3]프랜트면허!#REF!</definedName>
    <definedName name="_Key2" localSheetId="4" hidden="1">[3]프랜트면허!#REF!</definedName>
    <definedName name="_Key2" hidden="1">[3]프랜트면허!#REF!</definedName>
    <definedName name="_Order1" hidden="1">255</definedName>
    <definedName name="_Order2" hidden="1">255</definedName>
    <definedName name="_Parse_Out" localSheetId="6" hidden="1">'[4]갑지(추정)'!#REF!</definedName>
    <definedName name="_Parse_Out" localSheetId="4" hidden="1">'[4]갑지(추정)'!#REF!</definedName>
    <definedName name="_Parse_Out" hidden="1">'[4]갑지(추정)'!#REF!</definedName>
    <definedName name="_Regression_Int" hidden="1">1</definedName>
    <definedName name="_Sort" hidden="1">[5]시가지우회도로공내역서!$S$34:$S$134</definedName>
    <definedName name="_Table1_In1" localSheetId="5" hidden="1">#REF!</definedName>
    <definedName name="_Table1_In1" localSheetId="6" hidden="1">#REF!</definedName>
    <definedName name="_Table1_In1" localSheetId="4" hidden="1">#REF!</definedName>
    <definedName name="_Table1_In1" hidden="1">#REF!</definedName>
    <definedName name="_Table1_Out" localSheetId="6" hidden="1">#REF!</definedName>
    <definedName name="_Table1_Out" localSheetId="4" hidden="1">#REF!</definedName>
    <definedName name="_Table1_Out" hidden="1">#REF!</definedName>
    <definedName name="AAAA" localSheetId="5" hidden="1">[6]입찰안!#REF!</definedName>
    <definedName name="AAAA" localSheetId="6" hidden="1">[6]입찰안!#REF!</definedName>
    <definedName name="AAAA" localSheetId="4" hidden="1">[6]입찰안!#REF!</definedName>
    <definedName name="AAAA" hidden="1">[6]입찰안!#REF!</definedName>
    <definedName name="anscount" hidden="1">1</definedName>
    <definedName name="_xlnm.Database" localSheetId="6">#REF!</definedName>
    <definedName name="_xlnm.Database" localSheetId="4">#REF!</definedName>
    <definedName name="_xlnm.Database">#REF!</definedName>
    <definedName name="DE" localSheetId="5" hidden="1">'[4]갑지(추정)'!#REF!</definedName>
    <definedName name="DE" localSheetId="6" hidden="1">'[4]갑지(추정)'!#REF!</definedName>
    <definedName name="DE" localSheetId="4" hidden="1">'[4]갑지(추정)'!#REF!</definedName>
    <definedName name="DE" hidden="1">'[4]갑지(추정)'!#REF!</definedName>
    <definedName name="dn" localSheetId="5" hidden="1">{#N/A,#N/A,FALSE,"혼합골재"}</definedName>
    <definedName name="dn" localSheetId="6" hidden="1">{#N/A,#N/A,FALSE,"혼합골재"}</definedName>
    <definedName name="dn" localSheetId="4" hidden="1">{#N/A,#N/A,FALSE,"혼합골재"}</definedName>
    <definedName name="dn" hidden="1">{#N/A,#N/A,FALSE,"혼합골재"}</definedName>
    <definedName name="ee" localSheetId="5" hidden="1">{#N/A,#N/A,FALSE,"단가표지"}</definedName>
    <definedName name="ee" localSheetId="6" hidden="1">{#N/A,#N/A,FALSE,"단가표지"}</definedName>
    <definedName name="ee" localSheetId="4" hidden="1">{#N/A,#N/A,FALSE,"단가표지"}</definedName>
    <definedName name="ee" hidden="1">{#N/A,#N/A,FALSE,"단가표지"}</definedName>
    <definedName name="ff" localSheetId="5" hidden="1">{#N/A,#N/A,FALSE,"운반시간"}</definedName>
    <definedName name="ff" localSheetId="6" hidden="1">{#N/A,#N/A,FALSE,"운반시간"}</definedName>
    <definedName name="ff" localSheetId="4" hidden="1">{#N/A,#N/A,FALSE,"운반시간"}</definedName>
    <definedName name="ff" hidden="1">{#N/A,#N/A,FALSE,"운반시간"}</definedName>
    <definedName name="gfgdfg" hidden="1">[7]차액보증!#REF!</definedName>
    <definedName name="gg" localSheetId="5" hidden="1">{#N/A,#N/A,FALSE,"운반시간"}</definedName>
    <definedName name="gg" localSheetId="6" hidden="1">{#N/A,#N/A,FALSE,"운반시간"}</definedName>
    <definedName name="gg" localSheetId="4" hidden="1">{#N/A,#N/A,FALSE,"운반시간"}</definedName>
    <definedName name="gg" hidden="1">{#N/A,#N/A,FALSE,"운반시간"}</definedName>
    <definedName name="grew" localSheetId="6" hidden="1">#REF!</definedName>
    <definedName name="grew" hidden="1">#REF!</definedName>
    <definedName name="han" localSheetId="6" hidden="1">#REF!</definedName>
    <definedName name="han" hidden="1">#REF!</definedName>
    <definedName name="HH" localSheetId="6" hidden="1">'[8]갑지(추정)'!#REF!</definedName>
    <definedName name="HH" hidden="1">'[8]갑지(추정)'!#REF!</definedName>
    <definedName name="MAINTABLE">[9]적정심사!$D$5:$AS$34</definedName>
    <definedName name="n" hidden="1">[10]실행철강하도!$A$1:$A$4</definedName>
    <definedName name="_xlnm.Print_Area" localSheetId="5">'발파암(표준발파)'!$A$1:$K$28</definedName>
    <definedName name="_xlnm.Print_Area" localSheetId="1">'산정기준 (18개월)'!$A$1:$N$85</definedName>
    <definedName name="_xlnm.Print_Area" localSheetId="0">'산정기준(적정)'!$A$1:$N$85</definedName>
    <definedName name="_xlnm.Print_Area" localSheetId="3">층별총집계표!$A$1:$T$23</definedName>
    <definedName name="_xlnm.Print_Area" localSheetId="4">'토공기간 검토'!$A$1:$L$27</definedName>
    <definedName name="_xlnm.Print_Titles" localSheetId="2">공사예정공정표!$1:$2</definedName>
    <definedName name="_xlnm.Print_Titles" localSheetId="1">'산정기준 (18개월)'!$1:$3</definedName>
    <definedName name="_xlnm.Print_Titles" localSheetId="0">'산정기준(적정)'!$1:$3</definedName>
    <definedName name="_xlnm.Print_Titles" localSheetId="3">층별총집계표!$A:$A,층별총집계표!$1:$4</definedName>
    <definedName name="q" localSheetId="5" hidden="1">#REF!</definedName>
    <definedName name="q" localSheetId="6" hidden="1">#REF!</definedName>
    <definedName name="q" localSheetId="4" hidden="1">#REF!</definedName>
    <definedName name="q" hidden="1">#REF!</definedName>
    <definedName name="qor" hidden="1">[11]실행철강하도!$A$1:$A$4</definedName>
    <definedName name="qq" localSheetId="5" hidden="1">{#N/A,#N/A,FALSE,"단가표지"}</definedName>
    <definedName name="qq" localSheetId="6" hidden="1">{#N/A,#N/A,FALSE,"단가표지"}</definedName>
    <definedName name="qq" localSheetId="4" hidden="1">{#N/A,#N/A,FALSE,"단가표지"}</definedName>
    <definedName name="qq" hidden="1">{#N/A,#N/A,FALSE,"단가표지"}</definedName>
    <definedName name="qw" localSheetId="5" hidden="1">{#N/A,#N/A,FALSE,"단가표지"}</definedName>
    <definedName name="qw" localSheetId="6" hidden="1">{#N/A,#N/A,FALSE,"단가표지"}</definedName>
    <definedName name="qw" localSheetId="4" hidden="1">{#N/A,#N/A,FALSE,"단가표지"}</definedName>
    <definedName name="qw" hidden="1">{#N/A,#N/A,FALSE,"단가표지"}</definedName>
    <definedName name="RRR" localSheetId="5" hidden="1">{#N/A,#N/A,FALSE,"포장2"}</definedName>
    <definedName name="RRR" localSheetId="6" hidden="1">{#N/A,#N/A,FALSE,"포장2"}</definedName>
    <definedName name="RRR" localSheetId="4" hidden="1">{#N/A,#N/A,FALSE,"포장2"}</definedName>
    <definedName name="RRR" hidden="1">{#N/A,#N/A,FALSE,"포장2"}</definedName>
    <definedName name="SDCFG\" localSheetId="5" hidden="1">{#N/A,#N/A,FALSE,"운반시간"}</definedName>
    <definedName name="SDCFG\" localSheetId="6" hidden="1">{#N/A,#N/A,FALSE,"운반시간"}</definedName>
    <definedName name="SDCFG\" localSheetId="4" hidden="1">{#N/A,#N/A,FALSE,"운반시간"}</definedName>
    <definedName name="SDCFG\" hidden="1">{#N/A,#N/A,FALSE,"운반시간"}</definedName>
    <definedName name="SDF" localSheetId="5" hidden="1">{#N/A,#N/A,FALSE,"혼합골재"}</definedName>
    <definedName name="SDF" localSheetId="6" hidden="1">{#N/A,#N/A,FALSE,"혼합골재"}</definedName>
    <definedName name="SDF" localSheetId="4" hidden="1">{#N/A,#N/A,FALSE,"혼합골재"}</definedName>
    <definedName name="SDF" hidden="1">{#N/A,#N/A,FALSE,"혼합골재"}</definedName>
    <definedName name="sdg" localSheetId="6" hidden="1">#REF!</definedName>
    <definedName name="sdg" hidden="1">#REF!</definedName>
    <definedName name="sss" localSheetId="5" hidden="1">{#N/A,#N/A,FALSE,"전력간선"}</definedName>
    <definedName name="sss" localSheetId="6" hidden="1">{#N/A,#N/A,FALSE,"전력간선"}</definedName>
    <definedName name="sss" localSheetId="4" hidden="1">{#N/A,#N/A,FALSE,"전력간선"}</definedName>
    <definedName name="sss" hidden="1">{#N/A,#N/A,FALSE,"전력간선"}</definedName>
    <definedName name="tr" localSheetId="6" hidden="1">#REF!</definedName>
    <definedName name="tr" hidden="1">#REF!</definedName>
    <definedName name="tt" localSheetId="5" hidden="1">{#N/A,#N/A,FALSE,"단가표지"}</definedName>
    <definedName name="tt" localSheetId="6" hidden="1">{#N/A,#N/A,FALSE,"단가표지"}</definedName>
    <definedName name="tt" localSheetId="4" hidden="1">{#N/A,#N/A,FALSE,"단가표지"}</definedName>
    <definedName name="tt" hidden="1">{#N/A,#N/A,FALSE,"단가표지"}</definedName>
    <definedName name="wm.조골재1" localSheetId="5" hidden="1">{#N/A,#N/A,FALSE,"조골재"}</definedName>
    <definedName name="wm.조골재1" localSheetId="6" hidden="1">{#N/A,#N/A,FALSE,"조골재"}</definedName>
    <definedName name="wm.조골재1" localSheetId="4" hidden="1">{#N/A,#N/A,FALSE,"조골재"}</definedName>
    <definedName name="wm.조골재1" hidden="1">{#N/A,#N/A,FALSE,"조골재"}</definedName>
    <definedName name="wrn.2번." localSheetId="5" hidden="1">{#N/A,#N/A,FALSE,"2~8번"}</definedName>
    <definedName name="wrn.2번." localSheetId="6" hidden="1">{#N/A,#N/A,FALSE,"2~8번"}</definedName>
    <definedName name="wrn.2번." localSheetId="4" hidden="1">{#N/A,#N/A,FALSE,"2~8번"}</definedName>
    <definedName name="wrn.2번." hidden="1">{#N/A,#N/A,FALSE,"2~8번"}</definedName>
    <definedName name="wrn.97년._.사업계획._.및._.예산지침." localSheetId="5" hidden="1">{#N/A,#N/A,TRUE,"1";#N/A,#N/A,TRUE,"2";#N/A,#N/A,TRUE,"3";#N/A,#N/A,TRUE,"4";#N/A,#N/A,TRUE,"5";#N/A,#N/A,TRUE,"6";#N/A,#N/A,TRUE,"7"}</definedName>
    <definedName name="wrn.97년._.사업계획._.및._.예산지침." localSheetId="6" hidden="1">{#N/A,#N/A,TRUE,"1";#N/A,#N/A,TRUE,"2";#N/A,#N/A,TRUE,"3";#N/A,#N/A,TRUE,"4";#N/A,#N/A,TRUE,"5";#N/A,#N/A,TRUE,"6";#N/A,#N/A,TRUE,"7"}</definedName>
    <definedName name="wrn.97년._.사업계획._.및._.예산지침." localSheetId="4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골재소요량." localSheetId="5" hidden="1">{#N/A,#N/A,FALSE,"골재소요량";#N/A,#N/A,FALSE,"골재소요량"}</definedName>
    <definedName name="wrn.골재소요량." localSheetId="6" hidden="1">{#N/A,#N/A,FALSE,"골재소요량";#N/A,#N/A,FALSE,"골재소요량"}</definedName>
    <definedName name="wrn.골재소요량." localSheetId="4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5" hidden="1">{#N/A,#N/A,FALSE,"전력간선"}</definedName>
    <definedName name="wrn.교육청." localSheetId="6" hidden="1">{#N/A,#N/A,FALSE,"전력간선"}</definedName>
    <definedName name="wrn.교육청." localSheetId="4" hidden="1">{#N/A,#N/A,FALSE,"전력간선"}</definedName>
    <definedName name="wrn.교육청." hidden="1">{#N/A,#N/A,FALSE,"전력간선"}</definedName>
    <definedName name="wrn.구조2." localSheetId="5" hidden="1">{#N/A,#N/A,FALSE,"구조2"}</definedName>
    <definedName name="wrn.구조2." localSheetId="6" hidden="1">{#N/A,#N/A,FALSE,"구조2"}</definedName>
    <definedName name="wrn.구조2." localSheetId="4" hidden="1">{#N/A,#N/A,FALSE,"구조2"}</definedName>
    <definedName name="wrn.구조2." hidden="1">{#N/A,#N/A,FALSE,"구조2"}</definedName>
    <definedName name="wrn.단가표지." localSheetId="5" hidden="1">{#N/A,#N/A,FALSE,"단가표지"}</definedName>
    <definedName name="wrn.단가표지." localSheetId="6" hidden="1">{#N/A,#N/A,FALSE,"단가표지"}</definedName>
    <definedName name="wrn.단가표지." localSheetId="4" hidden="1">{#N/A,#N/A,FALSE,"단가표지"}</definedName>
    <definedName name="wrn.단가표지." hidden="1">{#N/A,#N/A,FALSE,"단가표지"}</definedName>
    <definedName name="wrn.배수1." localSheetId="5" hidden="1">{#N/A,#N/A,FALSE,"배수1"}</definedName>
    <definedName name="wrn.배수1." localSheetId="6" hidden="1">{#N/A,#N/A,FALSE,"배수1"}</definedName>
    <definedName name="wrn.배수1." localSheetId="4" hidden="1">{#N/A,#N/A,FALSE,"배수1"}</definedName>
    <definedName name="wrn.배수1." hidden="1">{#N/A,#N/A,FALSE,"배수1"}</definedName>
    <definedName name="wrn.배수2." localSheetId="5" hidden="1">{#N/A,#N/A,FALSE,"배수2"}</definedName>
    <definedName name="wrn.배수2." localSheetId="6" hidden="1">{#N/A,#N/A,FALSE,"배수2"}</definedName>
    <definedName name="wrn.배수2." localSheetId="4" hidden="1">{#N/A,#N/A,FALSE,"배수2"}</definedName>
    <definedName name="wrn.배수2." hidden="1">{#N/A,#N/A,FALSE,"배수2"}</definedName>
    <definedName name="wrn.부대1." localSheetId="5" hidden="1">{#N/A,#N/A,FALSE,"부대1"}</definedName>
    <definedName name="wrn.부대1." localSheetId="6" hidden="1">{#N/A,#N/A,FALSE,"부대1"}</definedName>
    <definedName name="wrn.부대1." localSheetId="4" hidden="1">{#N/A,#N/A,FALSE,"부대1"}</definedName>
    <definedName name="wrn.부대1." hidden="1">{#N/A,#N/A,FALSE,"부대1"}</definedName>
    <definedName name="wrn.부대2." localSheetId="5" hidden="1">{#N/A,#N/A,FALSE,"부대2"}</definedName>
    <definedName name="wrn.부대2." localSheetId="6" hidden="1">{#N/A,#N/A,FALSE,"부대2"}</definedName>
    <definedName name="wrn.부대2." localSheetId="4" hidden="1">{#N/A,#N/A,FALSE,"부대2"}</definedName>
    <definedName name="wrn.부대2." hidden="1">{#N/A,#N/A,FALSE,"부대2"}</definedName>
    <definedName name="wrn.속도." localSheetId="5" hidden="1">{#N/A,#N/A,FALSE,"속도"}</definedName>
    <definedName name="wrn.속도." localSheetId="6" hidden="1">{#N/A,#N/A,FALSE,"속도"}</definedName>
    <definedName name="wrn.속도." localSheetId="4" hidden="1">{#N/A,#N/A,FALSE,"속도"}</definedName>
    <definedName name="wrn.속도." hidden="1">{#N/A,#N/A,FALSE,"속도"}</definedName>
    <definedName name="wrn.운반시간." localSheetId="5" hidden="1">{#N/A,#N/A,FALSE,"운반시간"}</definedName>
    <definedName name="wrn.운반시간." localSheetId="6" hidden="1">{#N/A,#N/A,FALSE,"운반시간"}</definedName>
    <definedName name="wrn.운반시간." localSheetId="4" hidden="1">{#N/A,#N/A,FALSE,"운반시간"}</definedName>
    <definedName name="wrn.운반시간." hidden="1">{#N/A,#N/A,FALSE,"운반시간"}</definedName>
    <definedName name="wrn.이정표." localSheetId="5" hidden="1">{#N/A,#N/A,FALSE,"이정표"}</definedName>
    <definedName name="wrn.이정표." localSheetId="6" hidden="1">{#N/A,#N/A,FALSE,"이정표"}</definedName>
    <definedName name="wrn.이정표." localSheetId="4" hidden="1">{#N/A,#N/A,FALSE,"이정표"}</definedName>
    <definedName name="wrn.이정표." hidden="1">{#N/A,#N/A,FALSE,"이정표"}</definedName>
    <definedName name="wrn.조골재." localSheetId="5" hidden="1">{#N/A,#N/A,FALSE,"조골재"}</definedName>
    <definedName name="wrn.조골재." localSheetId="6" hidden="1">{#N/A,#N/A,FALSE,"조골재"}</definedName>
    <definedName name="wrn.조골재." localSheetId="4" hidden="1">{#N/A,#N/A,FALSE,"조골재"}</definedName>
    <definedName name="wrn.조골재." hidden="1">{#N/A,#N/A,FALSE,"조골재"}</definedName>
    <definedName name="wrn.지수1." localSheetId="5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지수1." localSheetId="6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지수1." localSheetId="4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지수1.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토공1." localSheetId="5" hidden="1">{#N/A,#N/A,FALSE,"구조1"}</definedName>
    <definedName name="wrn.토공1." localSheetId="6" hidden="1">{#N/A,#N/A,FALSE,"구조1"}</definedName>
    <definedName name="wrn.토공1." localSheetId="4" hidden="1">{#N/A,#N/A,FALSE,"구조1"}</definedName>
    <definedName name="wrn.토공1." hidden="1">{#N/A,#N/A,FALSE,"구조1"}</definedName>
    <definedName name="wrn.토공2." localSheetId="5" hidden="1">{#N/A,#N/A,FALSE,"토공2"}</definedName>
    <definedName name="wrn.토공2." localSheetId="6" hidden="1">{#N/A,#N/A,FALSE,"토공2"}</definedName>
    <definedName name="wrn.토공2." localSheetId="4" hidden="1">{#N/A,#N/A,FALSE,"토공2"}</definedName>
    <definedName name="wrn.토공2." hidden="1">{#N/A,#N/A,FALSE,"토공2"}</definedName>
    <definedName name="wrn.통신지." localSheetId="5" hidden="1">{#N/A,#N/A,FALSE,"기안지";#N/A,#N/A,FALSE,"통신지"}</definedName>
    <definedName name="wrn.통신지." localSheetId="6" hidden="1">{#N/A,#N/A,FALSE,"기안지";#N/A,#N/A,FALSE,"통신지"}</definedName>
    <definedName name="wrn.통신지." localSheetId="4" hidden="1">{#N/A,#N/A,FALSE,"기안지";#N/A,#N/A,FALSE,"통신지"}</definedName>
    <definedName name="wrn.통신지." hidden="1">{#N/A,#N/A,FALSE,"기안지";#N/A,#N/A,FALSE,"통신지"}</definedName>
    <definedName name="wrn.포장1." localSheetId="5" hidden="1">{#N/A,#N/A,FALSE,"포장1";#N/A,#N/A,FALSE,"포장1"}</definedName>
    <definedName name="wrn.포장1." localSheetId="6" hidden="1">{#N/A,#N/A,FALSE,"포장1";#N/A,#N/A,FALSE,"포장1"}</definedName>
    <definedName name="wrn.포장1." localSheetId="4" hidden="1">{#N/A,#N/A,FALSE,"포장1";#N/A,#N/A,FALSE,"포장1"}</definedName>
    <definedName name="wrn.포장1." hidden="1">{#N/A,#N/A,FALSE,"포장1";#N/A,#N/A,FALSE,"포장1"}</definedName>
    <definedName name="wrn.포장2." localSheetId="5" hidden="1">{#N/A,#N/A,FALSE,"포장2"}</definedName>
    <definedName name="wrn.포장2." localSheetId="6" hidden="1">{#N/A,#N/A,FALSE,"포장2"}</definedName>
    <definedName name="wrn.포장2." localSheetId="4" hidden="1">{#N/A,#N/A,FALSE,"포장2"}</definedName>
    <definedName name="wrn.포장2." hidden="1">{#N/A,#N/A,FALSE,"포장2"}</definedName>
    <definedName name="wrn.표지." localSheetId="5" hidden="1">{#N/A,#N/A,FALSE,"표지"}</definedName>
    <definedName name="wrn.표지." localSheetId="6" hidden="1">{#N/A,#N/A,FALSE,"표지"}</definedName>
    <definedName name="wrn.표지." localSheetId="4" hidden="1">{#N/A,#N/A,FALSE,"표지"}</definedName>
    <definedName name="wrn.표지." hidden="1">{#N/A,#N/A,FALSE,"표지"}</definedName>
    <definedName name="wrn.표지목차." localSheetId="5" hidden="1">{#N/A,#N/A,FALSE,"표지목차"}</definedName>
    <definedName name="wrn.표지목차." localSheetId="6" hidden="1">{#N/A,#N/A,FALSE,"표지목차"}</definedName>
    <definedName name="wrn.표지목차." localSheetId="4" hidden="1">{#N/A,#N/A,FALSE,"표지목차"}</definedName>
    <definedName name="wrn.표지목차." hidden="1">{#N/A,#N/A,FALSE,"표지목차"}</definedName>
    <definedName name="wrn.현장._.NCR._.분석." localSheetId="5" hidden="1">{#N/A,#N/A,FALSE,"현장 NCR 분석";#N/A,#N/A,FALSE,"현장품질감사";#N/A,#N/A,FALSE,"현장품질감사"}</definedName>
    <definedName name="wrn.현장._.NCR._.분석." localSheetId="6" hidden="1">{#N/A,#N/A,FALSE,"현장 NCR 분석";#N/A,#N/A,FALSE,"현장품질감사";#N/A,#N/A,FALSE,"현장품질감사"}</definedName>
    <definedName name="wrn.현장._.NCR._.분석." localSheetId="4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5" hidden="1">{#N/A,#N/A,FALSE,"혼합골재"}</definedName>
    <definedName name="wrn.혼합골재." localSheetId="6" hidden="1">{#N/A,#N/A,FALSE,"혼합골재"}</definedName>
    <definedName name="wrn.혼합골재." localSheetId="4" hidden="1">{#N/A,#N/A,FALSE,"혼합골재"}</definedName>
    <definedName name="wrn.혼합골재." hidden="1">{#N/A,#N/A,FALSE,"혼합골재"}</definedName>
    <definedName name="xx" localSheetId="6" hidden="1">#REF!</definedName>
    <definedName name="xx" hidden="1">#REF!</definedName>
    <definedName name="xxx" localSheetId="6" hidden="1">#REF!</definedName>
    <definedName name="xxx" hidden="1">#REF!</definedName>
    <definedName name="Y" localSheetId="6" hidden="1">'[4]갑지(추정)'!#REF!</definedName>
    <definedName name="Y" hidden="1">'[4]갑지(추정)'!#REF!</definedName>
    <definedName name="za" hidden="1">[10]실행철강하도!$A$1:$A$4</definedName>
    <definedName name="ㄱㅈㅎ" localSheetId="5" hidden="1">#REF!</definedName>
    <definedName name="ㄱㅈㅎ" localSheetId="6" hidden="1">#REF!</definedName>
    <definedName name="ㄱㅈㅎ" localSheetId="4" hidden="1">#REF!</definedName>
    <definedName name="ㄱㅈㅎ" hidden="1">#REF!</definedName>
    <definedName name="가나다라마" localSheetId="5" hidden="1">{#N/A,#N/A,FALSE,"배수2"}</definedName>
    <definedName name="가나다라마" localSheetId="6" hidden="1">{#N/A,#N/A,FALSE,"배수2"}</definedName>
    <definedName name="가나다라마" localSheetId="4" hidden="1">{#N/A,#N/A,FALSE,"배수2"}</definedName>
    <definedName name="가나다라마" hidden="1">{#N/A,#N/A,FALSE,"배수2"}</definedName>
    <definedName name="구산갑지" localSheetId="6" hidden="1">#REF!</definedName>
    <definedName name="구산갑지" hidden="1">#REF!</definedName>
    <definedName name="ㄴㄱㄹ" localSheetId="6" hidden="1">#REF!</definedName>
    <definedName name="ㄴㄱㄹ" hidden="1">#REF!</definedName>
    <definedName name="ㄴㅁ" localSheetId="6" hidden="1">#REF!</definedName>
    <definedName name="ㄴㅁ" hidden="1">#REF!</definedName>
    <definedName name="단ㄱ" localSheetId="5" hidden="1">{#N/A,#N/A,FALSE,"전력간선"}</definedName>
    <definedName name="단ㄱ" localSheetId="6" hidden="1">{#N/A,#N/A,FALSE,"전력간선"}</definedName>
    <definedName name="단ㄱ" localSheetId="4" hidden="1">{#N/A,#N/A,FALSE,"전력간선"}</definedName>
    <definedName name="단ㄱ" hidden="1">{#N/A,#N/A,FALSE,"전력간선"}</definedName>
    <definedName name="단가내부코드">[9]단가!$D$15:$D$2646</definedName>
    <definedName name="단가코드">[9]단가!$A$15:$A$2646</definedName>
    <definedName name="동구연숩" localSheetId="5" hidden="1">{#N/A,#N/A,FALSE,"전력간선"}</definedName>
    <definedName name="동구연숩" localSheetId="6" hidden="1">{#N/A,#N/A,FALSE,"전력간선"}</definedName>
    <definedName name="동구연숩" localSheetId="4" hidden="1">{#N/A,#N/A,FALSE,"전력간선"}</definedName>
    <definedName name="동구연숩" hidden="1">{#N/A,#N/A,FALSE,"전력간선"}</definedName>
    <definedName name="ㄹ호" localSheetId="6" hidden="1">#REF!</definedName>
    <definedName name="ㄹ호" hidden="1">#REF!</definedName>
    <definedName name="ㅁㄴ" localSheetId="6" hidden="1">#REF!</definedName>
    <definedName name="ㅁㄴ" hidden="1">#REF!</definedName>
    <definedName name="ㅁㄴㅇ" localSheetId="5" hidden="1">{#N/A,#N/A,FALSE,"배수1"}</definedName>
    <definedName name="ㅁㄴㅇ" localSheetId="6" hidden="1">{#N/A,#N/A,FALSE,"배수1"}</definedName>
    <definedName name="ㅁㄴㅇ" localSheetId="4" hidden="1">{#N/A,#N/A,FALSE,"배수1"}</definedName>
    <definedName name="ㅁㄴㅇ" hidden="1">{#N/A,#N/A,FALSE,"배수1"}</definedName>
    <definedName name="ㅁㅁㅁㅁㅁㅁ" localSheetId="6" hidden="1">#REF!</definedName>
    <definedName name="ㅁㅁㅁㅁㅁㅁ" hidden="1">#REF!</definedName>
    <definedName name="ㅂㅂ" localSheetId="5" hidden="1">{#N/A,#N/A,FALSE,"표지"}</definedName>
    <definedName name="ㅂㅂ" localSheetId="6" hidden="1">{#N/A,#N/A,FALSE,"표지"}</definedName>
    <definedName name="ㅂㅂ" localSheetId="4" hidden="1">{#N/A,#N/A,FALSE,"표지"}</definedName>
    <definedName name="ㅂㅂ" hidden="1">{#N/A,#N/A,FALSE,"표지"}</definedName>
    <definedName name="ㅂㅈ" localSheetId="5" hidden="1">{#N/A,#N/A,TRUE,"1";#N/A,#N/A,TRUE,"2";#N/A,#N/A,TRUE,"3";#N/A,#N/A,TRUE,"4";#N/A,#N/A,TRUE,"5";#N/A,#N/A,TRUE,"6";#N/A,#N/A,TRUE,"7"}</definedName>
    <definedName name="ㅂㅈ" localSheetId="6" hidden="1">{#N/A,#N/A,TRUE,"1";#N/A,#N/A,TRUE,"2";#N/A,#N/A,TRUE,"3";#N/A,#N/A,TRUE,"4";#N/A,#N/A,TRUE,"5";#N/A,#N/A,TRUE,"6";#N/A,#N/A,TRUE,"7"}</definedName>
    <definedName name="ㅂㅈ" localSheetId="4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바붕" localSheetId="5" hidden="1">{#N/A,#N/A,FALSE,"전력간선"}</definedName>
    <definedName name="바붕" localSheetId="6" hidden="1">{#N/A,#N/A,FALSE,"전력간선"}</definedName>
    <definedName name="바붕" localSheetId="4" hidden="1">{#N/A,#N/A,FALSE,"전력간선"}</definedName>
    <definedName name="바붕" hidden="1">{#N/A,#N/A,FALSE,"전력간선"}</definedName>
    <definedName name="방음벽" localSheetId="5" hidden="1">{#N/A,#N/A,FALSE,"배수2"}</definedName>
    <definedName name="방음벽" localSheetId="6" hidden="1">{#N/A,#N/A,FALSE,"배수2"}</definedName>
    <definedName name="방음벽" localSheetId="4" hidden="1">{#N/A,#N/A,FALSE,"배수2"}</definedName>
    <definedName name="방음벽" hidden="1">{#N/A,#N/A,FALSE,"배수2"}</definedName>
    <definedName name="부대입찰서류작성" hidden="1">'[8]갑지(추정)'!#REF!</definedName>
    <definedName name="사" localSheetId="5" hidden="1">#REF!</definedName>
    <definedName name="사" localSheetId="6" hidden="1">#REF!</definedName>
    <definedName name="사" localSheetId="4" hidden="1">#REF!</definedName>
    <definedName name="사" hidden="1">#REF!</definedName>
    <definedName name="ㅇㄴㅁ" hidden="1">[12]실행철강하도!$A$1:$A$4</definedName>
    <definedName name="ㅇㄹ" localSheetId="5" hidden="1">#REF!</definedName>
    <definedName name="ㅇㄹ" localSheetId="6" hidden="1">#REF!</definedName>
    <definedName name="ㅇㄹ" localSheetId="4" hidden="1">#REF!</definedName>
    <definedName name="ㅇㄹ" hidden="1">#REF!</definedName>
    <definedName name="억이상" localSheetId="5" hidden="1">{#N/A,#N/A,FALSE,"2~8번"}</definedName>
    <definedName name="억이상" localSheetId="6" hidden="1">{#N/A,#N/A,FALSE,"2~8번"}</definedName>
    <definedName name="억이상" localSheetId="4" hidden="1">{#N/A,#N/A,FALSE,"2~8번"}</definedName>
    <definedName name="억이상" hidden="1">{#N/A,#N/A,FALSE,"2~8번"}</definedName>
    <definedName name="업체" localSheetId="6" hidden="1">#REF!</definedName>
    <definedName name="업체" hidden="1">#REF!</definedName>
    <definedName name="오" hidden="1">[11]실행철강하도!$A$1:$A$4</definedName>
    <definedName name="원가" localSheetId="5" hidden="1">{#N/A,#N/A,FALSE,"운반시간"}</definedName>
    <definedName name="원가" localSheetId="6" hidden="1">{#N/A,#N/A,FALSE,"운반시간"}</definedName>
    <definedName name="원가" localSheetId="4" hidden="1">{#N/A,#N/A,FALSE,"운반시간"}</definedName>
    <definedName name="원가" hidden="1">{#N/A,#N/A,FALSE,"운반시간"}</definedName>
    <definedName name="원남내역" hidden="1">[13]실행철강하도!$A$1:$A$4</definedName>
    <definedName name="을지1" localSheetId="5" hidden="1">{#N/A,#N/A,TRUE,"1";#N/A,#N/A,TRUE,"2";#N/A,#N/A,TRUE,"3";#N/A,#N/A,TRUE,"4";#N/A,#N/A,TRUE,"5";#N/A,#N/A,TRUE,"6";#N/A,#N/A,TRUE,"7"}</definedName>
    <definedName name="을지1" localSheetId="6" hidden="1">{#N/A,#N/A,TRUE,"1";#N/A,#N/A,TRUE,"2";#N/A,#N/A,TRUE,"3";#N/A,#N/A,TRUE,"4";#N/A,#N/A,TRUE,"5";#N/A,#N/A,TRUE,"6";#N/A,#N/A,TRUE,"7"}</definedName>
    <definedName name="을지1" localSheetId="4" hidden="1">{#N/A,#N/A,TRUE,"1";#N/A,#N/A,TRUE,"2";#N/A,#N/A,TRUE,"3";#N/A,#N/A,TRUE,"4";#N/A,#N/A,TRUE,"5";#N/A,#N/A,TRUE,"6";#N/A,#N/A,TRUE,"7"}</definedName>
    <definedName name="을지1" hidden="1">{#N/A,#N/A,TRUE,"1";#N/A,#N/A,TRUE,"2";#N/A,#N/A,TRUE,"3";#N/A,#N/A,TRUE,"4";#N/A,#N/A,TRUE,"5";#N/A,#N/A,TRUE,"6";#N/A,#N/A,TRUE,"7"}</definedName>
    <definedName name="의" localSheetId="5" hidden="1">{#N/A,#N/A,FALSE,"운반시간"}</definedName>
    <definedName name="의" localSheetId="6" hidden="1">{#N/A,#N/A,FALSE,"운반시간"}</definedName>
    <definedName name="의" localSheetId="4" hidden="1">{#N/A,#N/A,FALSE,"운반시간"}</definedName>
    <definedName name="의" hidden="1">{#N/A,#N/A,FALSE,"운반시간"}</definedName>
    <definedName name="이정" localSheetId="5" hidden="1">{#N/A,#N/A,FALSE,"2~8번"}</definedName>
    <definedName name="이정" localSheetId="6" hidden="1">{#N/A,#N/A,FALSE,"2~8번"}</definedName>
    <definedName name="이정" localSheetId="4" hidden="1">{#N/A,#N/A,FALSE,"2~8번"}</definedName>
    <definedName name="이정" hidden="1">{#N/A,#N/A,FALSE,"2~8번"}</definedName>
    <definedName name="일" hidden="1">[11]실행철강하도!$A$1:$A$4</definedName>
    <definedName name="입찰금액안" localSheetId="6" hidden="1">[14]집계표!#REF!</definedName>
    <definedName name="입찰금액안" hidden="1">[14]집계표!#REF!</definedName>
    <definedName name="ㅈㅈ" localSheetId="5" hidden="1">{#N/A,#N/A,FALSE,"표지목차"}</definedName>
    <definedName name="ㅈㅈ" localSheetId="6" hidden="1">{#N/A,#N/A,FALSE,"표지목차"}</definedName>
    <definedName name="ㅈㅈ" localSheetId="4" hidden="1">{#N/A,#N/A,FALSE,"표지목차"}</definedName>
    <definedName name="ㅈㅈ" hidden="1">{#N/A,#N/A,FALSE,"표지목차"}</definedName>
    <definedName name="전기특기조건" localSheetId="5" hidden="1">{#N/A,#N/A,FALSE,"현장 NCR 분석";#N/A,#N/A,FALSE,"현장품질감사";#N/A,#N/A,FALSE,"현장품질감사"}</definedName>
    <definedName name="전기특기조건" localSheetId="6" hidden="1">{#N/A,#N/A,FALSE,"현장 NCR 분석";#N/A,#N/A,FALSE,"현장품질감사";#N/A,#N/A,FALSE,"현장품질감사"}</definedName>
    <definedName name="전기특기조건" localSheetId="4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정산표" localSheetId="5" hidden="1">{#N/A,#N/A,FALSE,"현장 NCR 분석";#N/A,#N/A,FALSE,"현장품질감사";#N/A,#N/A,FALSE,"현장품질감사"}</definedName>
    <definedName name="정산표" localSheetId="6" hidden="1">{#N/A,#N/A,FALSE,"현장 NCR 분석";#N/A,#N/A,FALSE,"현장품질감사";#N/A,#N/A,FALSE,"현장품질감사"}</definedName>
    <definedName name="정산표" localSheetId="4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조사가" hidden="1">[15]입찰안!#REF!</definedName>
    <definedName name="철콘공사" localSheetId="5" hidden="1">{#N/A,#N/A,FALSE,"운반시간"}</definedName>
    <definedName name="철콘공사" localSheetId="6" hidden="1">{#N/A,#N/A,FALSE,"운반시간"}</definedName>
    <definedName name="철콘공사" localSheetId="4" hidden="1">{#N/A,#N/A,FALSE,"운반시간"}</definedName>
    <definedName name="철콘공사" hidden="1">{#N/A,#N/A,FALSE,"운반시간"}</definedName>
    <definedName name="토" localSheetId="6" hidden="1">#REF!</definedName>
    <definedName name="토" hidden="1">#REF!</definedName>
    <definedName name="토목견적" localSheetId="5" hidden="1">{#N/A,#N/A,FALSE,"골재소요량";#N/A,#N/A,FALSE,"골재소요량"}</definedName>
    <definedName name="토목견적" localSheetId="6" hidden="1">{#N/A,#N/A,FALSE,"골재소요량";#N/A,#N/A,FALSE,"골재소요량"}</definedName>
    <definedName name="토목견적" localSheetId="4" hidden="1">{#N/A,#N/A,FALSE,"골재소요량";#N/A,#N/A,FALSE,"골재소요량"}</definedName>
    <definedName name="토목견적" hidden="1">{#N/A,#N/A,FALSE,"골재소요량";#N/A,#N/A,FALSE,"골재소요량"}</definedName>
    <definedName name="토목설계" localSheetId="5" hidden="1">{#N/A,#N/A,FALSE,"골재소요량";#N/A,#N/A,FALSE,"골재소요량"}</definedName>
    <definedName name="토목설계" localSheetId="6" hidden="1">{#N/A,#N/A,FALSE,"골재소요량";#N/A,#N/A,FALSE,"골재소요량"}</definedName>
    <definedName name="토목설계" localSheetId="4" hidden="1">{#N/A,#N/A,FALSE,"골재소요량";#N/A,#N/A,FALSE,"골재소요량"}</definedName>
    <definedName name="토목설계" hidden="1">{#N/A,#N/A,FALSE,"골재소요량";#N/A,#N/A,FALSE,"골재소요량"}</definedName>
    <definedName name="토목실행" localSheetId="5" hidden="1">{#N/A,#N/A,FALSE,"골재소요량";#N/A,#N/A,FALSE,"골재소요량"}</definedName>
    <definedName name="토목실행" localSheetId="6" hidden="1">{#N/A,#N/A,FALSE,"골재소요량";#N/A,#N/A,FALSE,"골재소요량"}</definedName>
    <definedName name="토목실행" localSheetId="4" hidden="1">{#N/A,#N/A,FALSE,"골재소요량";#N/A,#N/A,FALSE,"골재소요량"}</definedName>
    <definedName name="토목실행" hidden="1">{#N/A,#N/A,FALSE,"골재소요량";#N/A,#N/A,FALSE,"골재소요량"}</definedName>
    <definedName name="팔" localSheetId="6" hidden="1">#REF!</definedName>
    <definedName name="팔" hidden="1">#REF!</definedName>
    <definedName name="풍2" localSheetId="5" hidden="1">{#N/A,#N/A,FALSE,"골재소요량";#N/A,#N/A,FALSE,"골재소요량"}</definedName>
    <definedName name="풍2" localSheetId="6" hidden="1">{#N/A,#N/A,FALSE,"골재소요량";#N/A,#N/A,FALSE,"골재소요량"}</definedName>
    <definedName name="풍2" localSheetId="4" hidden="1">{#N/A,#N/A,FALSE,"골재소요량";#N/A,#N/A,FALSE,"골재소요량"}</definedName>
    <definedName name="풍2" hidden="1">{#N/A,#N/A,FALSE,"골재소요량";#N/A,#N/A,FALSE,"골재소요량"}</definedName>
    <definedName name="한" localSheetId="6" hidden="1">#REF!</definedName>
    <definedName name="한" hidden="1">#REF!</definedName>
    <definedName name="현조" localSheetId="6" hidden="1">#REF!</definedName>
    <definedName name="현조" hidden="1">#REF!</definedName>
    <definedName name="호ㅓㅕㅏ6ㅅ서ㅛㅓ" localSheetId="6" hidden="1">[16]입찰안!#REF!</definedName>
    <definedName name="호ㅓㅕㅏ6ㅅ서ㅛㅓ" hidden="1">[16]입찰안!#REF!</definedName>
    <definedName name="ㅓㄴㄱ" hidden="1">[12]실행철강하도!$A$1:$A$4</definedName>
    <definedName name="ㅔㅔ" localSheetId="6" hidden="1">[17]집계표!#REF!</definedName>
    <definedName name="ㅔㅔ" hidden="1">[17]집계표!#REF!</definedName>
    <definedName name="ㅕㅕㅕ" localSheetId="5" hidden="1">{#N/A,#N/A,FALSE,"표지"}</definedName>
    <definedName name="ㅕㅕㅕ" localSheetId="6" hidden="1">{#N/A,#N/A,FALSE,"표지"}</definedName>
    <definedName name="ㅕㅕㅕ" localSheetId="4" hidden="1">{#N/A,#N/A,FALSE,"표지"}</definedName>
    <definedName name="ㅕㅕㅕ" hidden="1">{#N/A,#N/A,FALSE,"표지"}</definedName>
    <definedName name="ㅣㅑㅑ" localSheetId="5" hidden="1">{#N/A,#N/A,FALSE,"단가표지"}</definedName>
    <definedName name="ㅣㅑㅑ" localSheetId="6" hidden="1">{#N/A,#N/A,FALSE,"단가표지"}</definedName>
    <definedName name="ㅣㅑㅑ" localSheetId="4" hidden="1">{#N/A,#N/A,FALSE,"단가표지"}</definedName>
    <definedName name="ㅣㅑㅑ" hidden="1">{#N/A,#N/A,FALSE,"단가표지"}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3" i="9" l="1"/>
  <c r="D81" i="1"/>
  <c r="E81" i="1" s="1"/>
  <c r="D57" i="1"/>
  <c r="D58" i="1"/>
  <c r="D59" i="1"/>
  <c r="D60" i="1"/>
  <c r="D61" i="1"/>
  <c r="D62" i="1"/>
  <c r="D63" i="1"/>
  <c r="D64" i="1"/>
  <c r="D65" i="1"/>
  <c r="D66" i="1"/>
  <c r="D67" i="1"/>
  <c r="D56" i="1"/>
  <c r="D19" i="1"/>
  <c r="D13" i="1"/>
  <c r="D14" i="1"/>
  <c r="D15" i="1"/>
  <c r="D16" i="1"/>
  <c r="D17" i="1"/>
  <c r="D18" i="1"/>
  <c r="E13" i="1"/>
  <c r="E15" i="1"/>
  <c r="D12" i="1"/>
  <c r="D9" i="1"/>
  <c r="E9" i="1" s="1"/>
  <c r="D46" i="1"/>
  <c r="D41" i="1"/>
  <c r="D36" i="1"/>
  <c r="E36" i="1" s="1"/>
  <c r="D31" i="1"/>
  <c r="E31" i="1" s="1"/>
  <c r="D26" i="1"/>
  <c r="D21" i="1"/>
  <c r="D20" i="1"/>
  <c r="E20" i="1" s="1"/>
  <c r="E8" i="1"/>
  <c r="D8" i="1"/>
  <c r="D55" i="1"/>
  <c r="E55" i="1" s="1"/>
  <c r="M86" i="9"/>
  <c r="S85" i="9"/>
  <c r="P57" i="9"/>
  <c r="P44" i="9"/>
  <c r="P39" i="9"/>
  <c r="P34" i="9"/>
  <c r="P29" i="9"/>
  <c r="P24" i="9"/>
  <c r="L9" i="9"/>
  <c r="P15" i="9"/>
  <c r="P10" i="9"/>
  <c r="BJ3" i="1"/>
  <c r="BG3" i="1"/>
  <c r="BD3" i="1"/>
  <c r="BA3" i="1"/>
  <c r="AX3" i="1"/>
  <c r="AR3" i="1"/>
  <c r="AO3" i="1"/>
  <c r="AL3" i="1"/>
  <c r="AI3" i="1"/>
  <c r="Z3" i="1"/>
  <c r="W3" i="1"/>
  <c r="T3" i="1"/>
  <c r="Q3" i="1"/>
  <c r="N3" i="1"/>
  <c r="F3" i="1"/>
  <c r="M6" i="2"/>
  <c r="M10" i="2"/>
  <c r="M58" i="2"/>
  <c r="E60" i="1"/>
  <c r="E58" i="1"/>
  <c r="E57" i="1"/>
  <c r="E41" i="1"/>
  <c r="E26" i="1"/>
  <c r="E21" i="1"/>
  <c r="E12" i="1"/>
  <c r="E59" i="1"/>
  <c r="E56" i="1"/>
  <c r="E53" i="1"/>
  <c r="E49" i="1"/>
  <c r="E45" i="1"/>
  <c r="E35" i="1"/>
  <c r="E30" i="1"/>
  <c r="E25" i="1"/>
  <c r="E18" i="1"/>
  <c r="E16" i="1"/>
  <c r="E52" i="1"/>
  <c r="E48" i="1"/>
  <c r="E43" i="1"/>
  <c r="E38" i="1"/>
  <c r="E33" i="1"/>
  <c r="E28" i="1"/>
  <c r="E23" i="1"/>
  <c r="E7" i="1"/>
  <c r="E14" i="1"/>
  <c r="E24" i="1"/>
  <c r="E27" i="1"/>
  <c r="E29" i="1"/>
  <c r="E32" i="1"/>
  <c r="E34" i="1"/>
  <c r="E37" i="1"/>
  <c r="E39" i="1"/>
  <c r="E40" i="1"/>
  <c r="E42" i="1"/>
  <c r="E44" i="1"/>
  <c r="E47" i="1"/>
  <c r="E50" i="1"/>
  <c r="E51" i="1"/>
  <c r="E61" i="1"/>
  <c r="E62" i="1"/>
  <c r="E63" i="1"/>
  <c r="E64" i="1"/>
  <c r="E65" i="1"/>
  <c r="E66" i="1"/>
  <c r="E67" i="1"/>
  <c r="E6" i="1"/>
  <c r="E75" i="1"/>
  <c r="E19" i="1" l="1"/>
  <c r="E22" i="1"/>
  <c r="E76" i="1" l="1"/>
  <c r="E77" i="1"/>
  <c r="E78" i="1"/>
  <c r="E79" i="1"/>
  <c r="E5" i="1"/>
  <c r="M83" i="9" l="1"/>
  <c r="M82" i="9"/>
  <c r="M81" i="9"/>
  <c r="M80" i="9"/>
  <c r="M79" i="9"/>
  <c r="M78" i="9"/>
  <c r="M77" i="9"/>
  <c r="M76" i="9"/>
  <c r="M75" i="9"/>
  <c r="M74" i="9"/>
  <c r="M73" i="9"/>
  <c r="M72" i="9"/>
  <c r="M71" i="9"/>
  <c r="I70" i="9"/>
  <c r="J70" i="9" s="1"/>
  <c r="L70" i="9" s="1"/>
  <c r="M70" i="9" s="1"/>
  <c r="I69" i="9"/>
  <c r="J69" i="9" s="1"/>
  <c r="L69" i="9" s="1"/>
  <c r="M69" i="9" s="1"/>
  <c r="I68" i="9"/>
  <c r="J68" i="9" s="1"/>
  <c r="L68" i="9" s="1"/>
  <c r="M68" i="9" s="1"/>
  <c r="I67" i="9"/>
  <c r="J67" i="9" s="1"/>
  <c r="L67" i="9" s="1"/>
  <c r="M67" i="9" s="1"/>
  <c r="I66" i="9"/>
  <c r="J66" i="9" s="1"/>
  <c r="L66" i="9" s="1"/>
  <c r="M66" i="9" s="1"/>
  <c r="I65" i="9"/>
  <c r="J65" i="9" s="1"/>
  <c r="L65" i="9" s="1"/>
  <c r="M65" i="9" s="1"/>
  <c r="I64" i="9"/>
  <c r="J64" i="9" s="1"/>
  <c r="L64" i="9" s="1"/>
  <c r="M64" i="9" s="1"/>
  <c r="I63" i="9"/>
  <c r="J63" i="9" s="1"/>
  <c r="L63" i="9" s="1"/>
  <c r="M63" i="9" s="1"/>
  <c r="I62" i="9"/>
  <c r="J62" i="9" s="1"/>
  <c r="L62" i="9" s="1"/>
  <c r="M62" i="9" s="1"/>
  <c r="I61" i="9"/>
  <c r="J61" i="9" s="1"/>
  <c r="L61" i="9" s="1"/>
  <c r="M61" i="9" s="1"/>
  <c r="I60" i="9"/>
  <c r="J60" i="9" s="1"/>
  <c r="L60" i="9" s="1"/>
  <c r="M60" i="9" s="1"/>
  <c r="I59" i="9"/>
  <c r="J59" i="9" s="1"/>
  <c r="L59" i="9" s="1"/>
  <c r="M59" i="9" s="1"/>
  <c r="M58" i="9"/>
  <c r="I57" i="9"/>
  <c r="J57" i="9" s="1"/>
  <c r="L57" i="9" s="1"/>
  <c r="M57" i="9" s="1"/>
  <c r="I55" i="9"/>
  <c r="J55" i="9" s="1"/>
  <c r="I54" i="9"/>
  <c r="J54" i="9" s="1"/>
  <c r="I53" i="9"/>
  <c r="F53" i="9"/>
  <c r="I51" i="9"/>
  <c r="J51" i="9" s="1"/>
  <c r="I50" i="9"/>
  <c r="J50" i="9" s="1"/>
  <c r="I49" i="9"/>
  <c r="F49" i="9"/>
  <c r="J49" i="9" s="1"/>
  <c r="L49" i="9" s="1"/>
  <c r="M49" i="9" s="1"/>
  <c r="I47" i="9"/>
  <c r="J47" i="9" s="1"/>
  <c r="I46" i="9"/>
  <c r="J46" i="9" s="1"/>
  <c r="I45" i="9"/>
  <c r="J45" i="9" s="1"/>
  <c r="I44" i="9"/>
  <c r="F44" i="9"/>
  <c r="I42" i="9"/>
  <c r="J42" i="9" s="1"/>
  <c r="I41" i="9"/>
  <c r="J41" i="9" s="1"/>
  <c r="I40" i="9"/>
  <c r="J40" i="9" s="1"/>
  <c r="I39" i="9"/>
  <c r="F39" i="9"/>
  <c r="I37" i="9"/>
  <c r="J37" i="9" s="1"/>
  <c r="I36" i="9"/>
  <c r="J36" i="9" s="1"/>
  <c r="I35" i="9"/>
  <c r="J35" i="9" s="1"/>
  <c r="I34" i="9"/>
  <c r="F34" i="9"/>
  <c r="J34" i="9" s="1"/>
  <c r="I32" i="9"/>
  <c r="J32" i="9" s="1"/>
  <c r="I31" i="9"/>
  <c r="J31" i="9" s="1"/>
  <c r="I30" i="9"/>
  <c r="F30" i="9"/>
  <c r="I29" i="9"/>
  <c r="J29" i="9" s="1"/>
  <c r="I27" i="9"/>
  <c r="J27" i="9" s="1"/>
  <c r="I26" i="9"/>
  <c r="J26" i="9" s="1"/>
  <c r="I25" i="9"/>
  <c r="J25" i="9" s="1"/>
  <c r="I24" i="9"/>
  <c r="F24" i="9"/>
  <c r="I22" i="9"/>
  <c r="J22" i="9" s="1"/>
  <c r="L22" i="9" s="1"/>
  <c r="M22" i="9" s="1"/>
  <c r="G21" i="9"/>
  <c r="I21" i="9" s="1"/>
  <c r="J21" i="9" s="1"/>
  <c r="L21" i="9" s="1"/>
  <c r="M21" i="9" s="1"/>
  <c r="I20" i="9"/>
  <c r="J20" i="9" s="1"/>
  <c r="L20" i="9" s="1"/>
  <c r="M20" i="9" s="1"/>
  <c r="I19" i="9"/>
  <c r="F19" i="9"/>
  <c r="I18" i="9"/>
  <c r="F18" i="9"/>
  <c r="J18" i="9" s="1"/>
  <c r="L18" i="9" s="1"/>
  <c r="M18" i="9" s="1"/>
  <c r="I17" i="9"/>
  <c r="J17" i="9" s="1"/>
  <c r="L17" i="9" s="1"/>
  <c r="M17" i="9" s="1"/>
  <c r="I16" i="9"/>
  <c r="J16" i="9" s="1"/>
  <c r="L16" i="9" s="1"/>
  <c r="M16" i="9" s="1"/>
  <c r="G15" i="9"/>
  <c r="I15" i="9" s="1"/>
  <c r="J15" i="9" s="1"/>
  <c r="L15" i="9" s="1"/>
  <c r="I14" i="9"/>
  <c r="J14" i="9" s="1"/>
  <c r="I13" i="9"/>
  <c r="J13" i="9" s="1"/>
  <c r="G12" i="9"/>
  <c r="I12" i="9" s="1"/>
  <c r="J12" i="9" s="1"/>
  <c r="G11" i="9"/>
  <c r="I11" i="9" s="1"/>
  <c r="J11" i="9" s="1"/>
  <c r="M10" i="9"/>
  <c r="G10" i="9"/>
  <c r="I10" i="9" s="1"/>
  <c r="J10" i="9" s="1"/>
  <c r="I8" i="9"/>
  <c r="J8" i="9" s="1"/>
  <c r="L8" i="9" s="1"/>
  <c r="M8" i="9" s="1"/>
  <c r="I7" i="9"/>
  <c r="J7" i="9" s="1"/>
  <c r="L7" i="9" s="1"/>
  <c r="M7" i="9" s="1"/>
  <c r="M6" i="9"/>
  <c r="M5" i="9"/>
  <c r="J53" i="9" l="1"/>
  <c r="J44" i="9"/>
  <c r="J39" i="9"/>
  <c r="J24" i="9"/>
  <c r="L53" i="9"/>
  <c r="M53" i="9" s="1"/>
  <c r="J30" i="9"/>
  <c r="L39" i="9"/>
  <c r="M39" i="9" s="1"/>
  <c r="J19" i="9"/>
  <c r="L19" i="9" s="1"/>
  <c r="M19" i="9" s="1"/>
  <c r="L29" i="9"/>
  <c r="M29" i="9" s="1"/>
  <c r="L34" i="9"/>
  <c r="M34" i="9" s="1"/>
  <c r="L44" i="9"/>
  <c r="M44" i="9" s="1"/>
  <c r="L24" i="9"/>
  <c r="M15" i="9"/>
  <c r="M24" i="9" l="1"/>
  <c r="M23" i="9"/>
  <c r="M9" i="9"/>
  <c r="L85" i="9"/>
  <c r="M85" i="9" s="1"/>
  <c r="L4" i="9" l="1"/>
  <c r="M4" i="9"/>
  <c r="F19" i="2" l="1"/>
  <c r="F18" i="2"/>
  <c r="I19" i="2"/>
  <c r="J19" i="2" l="1"/>
  <c r="L19" i="2" s="1"/>
  <c r="M19" i="2" s="1"/>
  <c r="I57" i="2"/>
  <c r="J57" i="2" s="1"/>
  <c r="L57" i="2" s="1"/>
  <c r="M57" i="2" s="1"/>
  <c r="G11" i="2" l="1"/>
  <c r="G10" i="2"/>
  <c r="F30" i="2" l="1"/>
  <c r="G15" i="2" l="1"/>
  <c r="G21" i="2"/>
  <c r="F53" i="2" l="1"/>
  <c r="F34" i="2"/>
  <c r="F39" i="2"/>
  <c r="F49" i="2"/>
  <c r="F44" i="2"/>
  <c r="I13" i="2"/>
  <c r="J13" i="2" s="1"/>
  <c r="I14" i="2"/>
  <c r="J14" i="2" s="1"/>
  <c r="G12" i="2"/>
  <c r="I12" i="2" s="1"/>
  <c r="J12" i="2" s="1"/>
  <c r="I11" i="2"/>
  <c r="J11" i="2" s="1"/>
  <c r="I17" i="2" l="1"/>
  <c r="I16" i="2"/>
  <c r="I46" i="2"/>
  <c r="J46" i="2" s="1"/>
  <c r="I41" i="2"/>
  <c r="J41" i="2" s="1"/>
  <c r="I36" i="2"/>
  <c r="J36" i="2" s="1"/>
  <c r="I31" i="2"/>
  <c r="J31" i="2" s="1"/>
  <c r="F24" i="2"/>
  <c r="I10" i="2"/>
  <c r="J10" i="2" s="1"/>
  <c r="J17" i="2" l="1"/>
  <c r="L17" i="2" s="1"/>
  <c r="M17" i="2" s="1"/>
  <c r="J16" i="2"/>
  <c r="L16" i="2" s="1"/>
  <c r="M16" i="2" s="1"/>
  <c r="I51" i="2"/>
  <c r="J51" i="2" s="1"/>
  <c r="I50" i="2"/>
  <c r="J50" i="2" s="1"/>
  <c r="I49" i="2"/>
  <c r="J49" i="2" s="1"/>
  <c r="L49" i="2" s="1"/>
  <c r="M49" i="2" s="1"/>
  <c r="I7" i="2" l="1"/>
  <c r="I22" i="2" l="1"/>
  <c r="J22" i="2" l="1"/>
  <c r="L22" i="2" s="1"/>
  <c r="M22" i="2" s="1"/>
  <c r="I21" i="2"/>
  <c r="J21" i="2" s="1"/>
  <c r="L21" i="2" s="1"/>
  <c r="M21" i="2" s="1"/>
  <c r="I20" i="2"/>
  <c r="J20" i="2" s="1"/>
  <c r="L20" i="2" s="1"/>
  <c r="M20" i="2" s="1"/>
  <c r="I18" i="2"/>
  <c r="J18" i="2" s="1"/>
  <c r="L18" i="2" s="1"/>
  <c r="M18" i="2" s="1"/>
  <c r="I15" i="2"/>
  <c r="J15" i="2" s="1"/>
  <c r="L15" i="2" s="1"/>
  <c r="I70" i="2"/>
  <c r="J70" i="2" s="1"/>
  <c r="L70" i="2" s="1"/>
  <c r="M70" i="2" s="1"/>
  <c r="I69" i="2"/>
  <c r="J69" i="2" s="1"/>
  <c r="L69" i="2" s="1"/>
  <c r="M69" i="2" s="1"/>
  <c r="I68" i="2"/>
  <c r="J68" i="2" s="1"/>
  <c r="L68" i="2" s="1"/>
  <c r="M68" i="2" s="1"/>
  <c r="I67" i="2"/>
  <c r="J67" i="2" s="1"/>
  <c r="L67" i="2" s="1"/>
  <c r="M67" i="2" s="1"/>
  <c r="I66" i="2"/>
  <c r="J66" i="2" s="1"/>
  <c r="L66" i="2" s="1"/>
  <c r="M66" i="2" s="1"/>
  <c r="I65" i="2"/>
  <c r="J65" i="2" s="1"/>
  <c r="L65" i="2" s="1"/>
  <c r="M65" i="2" s="1"/>
  <c r="I64" i="2"/>
  <c r="J64" i="2" s="1"/>
  <c r="L64" i="2" s="1"/>
  <c r="M64" i="2" s="1"/>
  <c r="I63" i="2"/>
  <c r="J63" i="2" s="1"/>
  <c r="L63" i="2" s="1"/>
  <c r="M63" i="2" s="1"/>
  <c r="I62" i="2"/>
  <c r="J62" i="2" s="1"/>
  <c r="L62" i="2" s="1"/>
  <c r="M62" i="2" s="1"/>
  <c r="I61" i="2"/>
  <c r="J61" i="2" s="1"/>
  <c r="L61" i="2" s="1"/>
  <c r="M61" i="2" s="1"/>
  <c r="I60" i="2"/>
  <c r="J60" i="2" s="1"/>
  <c r="L60" i="2" s="1"/>
  <c r="M60" i="2" s="1"/>
  <c r="I59" i="2"/>
  <c r="J59" i="2" s="1"/>
  <c r="L59" i="2" s="1"/>
  <c r="M59" i="2" s="1"/>
  <c r="I55" i="2"/>
  <c r="J55" i="2" s="1"/>
  <c r="I54" i="2"/>
  <c r="J54" i="2" s="1"/>
  <c r="I53" i="2"/>
  <c r="J53" i="2" s="1"/>
  <c r="I47" i="2"/>
  <c r="J47" i="2" s="1"/>
  <c r="I45" i="2"/>
  <c r="J45" i="2" s="1"/>
  <c r="I44" i="2"/>
  <c r="J44" i="2" s="1"/>
  <c r="L44" i="2" s="1"/>
  <c r="M44" i="2" s="1"/>
  <c r="I42" i="2"/>
  <c r="J42" i="2" s="1"/>
  <c r="I40" i="2"/>
  <c r="J40" i="2" s="1"/>
  <c r="I39" i="2"/>
  <c r="J39" i="2" s="1"/>
  <c r="I37" i="2"/>
  <c r="J37" i="2" s="1"/>
  <c r="I35" i="2"/>
  <c r="J35" i="2" s="1"/>
  <c r="I34" i="2"/>
  <c r="J34" i="2" s="1"/>
  <c r="L34" i="2" s="1"/>
  <c r="M34" i="2" s="1"/>
  <c r="I32" i="2"/>
  <c r="J32" i="2" s="1"/>
  <c r="I30" i="2"/>
  <c r="J30" i="2" s="1"/>
  <c r="I29" i="2"/>
  <c r="J29" i="2" s="1"/>
  <c r="M15" i="2" l="1"/>
  <c r="L9" i="2"/>
  <c r="M9" i="2" s="1"/>
  <c r="L53" i="2"/>
  <c r="M53" i="2" s="1"/>
  <c r="L29" i="2"/>
  <c r="M29" i="2" s="1"/>
  <c r="L39" i="2"/>
  <c r="M39" i="2" s="1"/>
  <c r="M81" i="2"/>
  <c r="M80" i="2"/>
  <c r="U21" i="8"/>
  <c r="U13" i="8"/>
  <c r="U20" i="8"/>
  <c r="U18" i="8"/>
  <c r="U16" i="8"/>
  <c r="U14" i="8"/>
  <c r="U12" i="8"/>
  <c r="U10" i="8"/>
  <c r="U8" i="8"/>
  <c r="P6" i="8"/>
  <c r="P22" i="8" s="1"/>
  <c r="Q6" i="8"/>
  <c r="Q22" i="8" s="1"/>
  <c r="R6" i="8"/>
  <c r="R22" i="8" s="1"/>
  <c r="S6" i="8"/>
  <c r="S22" i="8" s="1"/>
  <c r="T6" i="8"/>
  <c r="T22" i="8" s="1"/>
  <c r="U6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O6" i="8" s="1"/>
  <c r="O22" i="8" s="1"/>
  <c r="U19" i="8"/>
  <c r="U15" i="8"/>
  <c r="U17" i="8"/>
  <c r="U11" i="8"/>
  <c r="U9" i="8"/>
  <c r="U7" i="8"/>
  <c r="Q23" i="8"/>
  <c r="R23" i="8"/>
  <c r="S23" i="8"/>
  <c r="T23" i="8"/>
  <c r="P23" i="8"/>
  <c r="O23" i="8"/>
  <c r="C23" i="8"/>
  <c r="D23" i="8"/>
  <c r="E23" i="8"/>
  <c r="H23" i="8"/>
  <c r="I23" i="8"/>
  <c r="J23" i="8"/>
  <c r="K23" i="8"/>
  <c r="L23" i="8"/>
  <c r="M23" i="8"/>
  <c r="N23" i="8"/>
  <c r="B23" i="8"/>
  <c r="N22" i="8"/>
  <c r="M22" i="8"/>
  <c r="L22" i="8"/>
  <c r="K22" i="8"/>
  <c r="J22" i="8"/>
  <c r="I22" i="8"/>
  <c r="H22" i="8"/>
  <c r="E22" i="8"/>
  <c r="D22" i="8"/>
  <c r="B22" i="8"/>
  <c r="C22" i="8"/>
  <c r="U22" i="8" l="1"/>
  <c r="G22" i="8"/>
  <c r="G23" i="8"/>
  <c r="U23" i="8"/>
  <c r="M78" i="2" l="1"/>
  <c r="M79" i="2"/>
  <c r="M76" i="2" l="1"/>
  <c r="J3" i="1" l="1"/>
  <c r="K3" i="1" s="1"/>
  <c r="L3" i="1" s="1"/>
  <c r="M3" i="1" s="1"/>
  <c r="O3" i="1" l="1"/>
  <c r="P3" i="1" s="1"/>
  <c r="R3" i="1" s="1"/>
  <c r="S3" i="1" s="1"/>
  <c r="U3" i="1" s="1"/>
  <c r="V3" i="1" s="1"/>
  <c r="X3" i="1" s="1"/>
  <c r="Y3" i="1" l="1"/>
  <c r="AA3" i="1" s="1"/>
  <c r="AB3" i="1" s="1"/>
  <c r="AC3" i="1" s="1"/>
  <c r="AD3" i="1" s="1"/>
  <c r="AE3" i="1" s="1"/>
  <c r="AF3" i="1" s="1"/>
  <c r="AG3" i="1" s="1"/>
  <c r="AH3" i="1" s="1"/>
  <c r="AJ3" i="1" l="1"/>
  <c r="AK3" i="1" s="1"/>
  <c r="AM3" i="1" s="1"/>
  <c r="AN3" i="1" s="1"/>
  <c r="AP3" i="1" s="1"/>
  <c r="AQ3" i="1" s="1"/>
  <c r="M75" i="2"/>
  <c r="M74" i="2"/>
  <c r="M73" i="2"/>
  <c r="M72" i="2"/>
  <c r="AS3" i="1" l="1"/>
  <c r="AT3" i="1" s="1"/>
  <c r="AU3" i="1" s="1"/>
  <c r="AV3" i="1" s="1"/>
  <c r="AW3" i="1" s="1"/>
  <c r="AY3" i="1" s="1"/>
  <c r="AZ3" i="1" s="1"/>
  <c r="BB3" i="1" s="1"/>
  <c r="BC3" i="1" s="1"/>
  <c r="BE3" i="1" s="1"/>
  <c r="BF3" i="1" s="1"/>
  <c r="BH3" i="1" l="1"/>
  <c r="BI3" i="1" s="1"/>
  <c r="BK3" i="1" s="1"/>
  <c r="BL3" i="1" s="1"/>
  <c r="BM3" i="1" s="1"/>
  <c r="M77" i="2"/>
  <c r="M82" i="2"/>
  <c r="M71" i="2"/>
  <c r="M5" i="2"/>
  <c r="P17" i="5" l="1"/>
  <c r="D14" i="5" l="1"/>
  <c r="E14" i="5"/>
  <c r="F14" i="5"/>
  <c r="G14" i="5"/>
  <c r="H14" i="5"/>
  <c r="I14" i="5"/>
  <c r="D15" i="5"/>
  <c r="D19" i="5" s="1"/>
  <c r="Q14" i="5" s="1"/>
  <c r="R14" i="5" s="1"/>
  <c r="E15" i="5"/>
  <c r="F15" i="5"/>
  <c r="F19" i="5" s="1"/>
  <c r="G15" i="5"/>
  <c r="H15" i="5"/>
  <c r="I15" i="5"/>
  <c r="D16" i="5"/>
  <c r="E16" i="5"/>
  <c r="F16" i="5"/>
  <c r="G16" i="5"/>
  <c r="H16" i="5"/>
  <c r="I16" i="5"/>
  <c r="D17" i="5"/>
  <c r="E17" i="5"/>
  <c r="F17" i="5"/>
  <c r="G17" i="5"/>
  <c r="H17" i="5"/>
  <c r="I17" i="5"/>
  <c r="D18" i="5"/>
  <c r="E18" i="5"/>
  <c r="F18" i="5"/>
  <c r="G18" i="5"/>
  <c r="H18" i="5"/>
  <c r="I18" i="5"/>
  <c r="J20" i="5"/>
  <c r="D25" i="5"/>
  <c r="E25" i="5"/>
  <c r="F25" i="5"/>
  <c r="G25" i="5"/>
  <c r="H25" i="5"/>
  <c r="I25" i="5"/>
  <c r="D26" i="5"/>
  <c r="E26" i="5"/>
  <c r="F26" i="5"/>
  <c r="G26" i="5"/>
  <c r="H26" i="5"/>
  <c r="I26" i="5"/>
  <c r="D27" i="5"/>
  <c r="E27" i="5"/>
  <c r="F27" i="5"/>
  <c r="G27" i="5"/>
  <c r="H27" i="5"/>
  <c r="I27" i="5"/>
  <c r="D28" i="5"/>
  <c r="E28" i="5"/>
  <c r="F28" i="5"/>
  <c r="G28" i="5"/>
  <c r="H28" i="5"/>
  <c r="I28" i="5"/>
  <c r="I19" i="5" l="1"/>
  <c r="H19" i="5"/>
  <c r="D21" i="5"/>
  <c r="H21" i="5"/>
  <c r="E19" i="5"/>
  <c r="Q16" i="5"/>
  <c r="R16" i="5" s="1"/>
  <c r="G19" i="5"/>
  <c r="G21" i="5" s="1"/>
  <c r="I21" i="5"/>
  <c r="F21" i="5"/>
  <c r="Q15" i="5" l="1"/>
  <c r="R15" i="5" s="1"/>
  <c r="E21" i="5"/>
  <c r="H3" i="1" l="1"/>
  <c r="G3" i="1" l="1"/>
  <c r="I48" i="4"/>
  <c r="I53" i="4" s="1"/>
  <c r="I54" i="4" s="1"/>
  <c r="J54" i="4" s="1"/>
  <c r="J55" i="4" s="1"/>
  <c r="B48" i="4"/>
  <c r="B53" i="4" s="1"/>
  <c r="B54" i="4" s="1"/>
  <c r="C54" i="4" s="1"/>
  <c r="C55" i="4" s="1"/>
  <c r="D39" i="4"/>
  <c r="G37" i="4"/>
  <c r="H37" i="4" s="1"/>
  <c r="J37" i="4" s="1"/>
  <c r="K37" i="4" s="1"/>
  <c r="K39" i="4" s="1"/>
  <c r="J32" i="4"/>
  <c r="K32" i="4" s="1"/>
  <c r="E32" i="4"/>
  <c r="G32" i="4" s="1"/>
  <c r="E31" i="4"/>
  <c r="G31" i="4" s="1"/>
  <c r="F27" i="4"/>
  <c r="I27" i="4" s="1"/>
  <c r="F26" i="4"/>
  <c r="I26" i="4" s="1"/>
  <c r="F10" i="4" s="1"/>
  <c r="G10" i="4" s="1"/>
  <c r="F19" i="4"/>
  <c r="G19" i="4" s="1"/>
  <c r="I19" i="4" s="1"/>
  <c r="J19" i="4" s="1"/>
  <c r="H17" i="4"/>
  <c r="H16" i="4"/>
  <c r="F16" i="4"/>
  <c r="G16" i="4" s="1"/>
  <c r="H15" i="4"/>
  <c r="F15" i="4"/>
  <c r="G15" i="4" s="1"/>
  <c r="H14" i="4"/>
  <c r="F14" i="4"/>
  <c r="G14" i="4" s="1"/>
  <c r="H13" i="4"/>
  <c r="F13" i="4"/>
  <c r="G13" i="4" s="1"/>
  <c r="H12" i="4"/>
  <c r="F12" i="4"/>
  <c r="D12" i="4"/>
  <c r="H11" i="4"/>
  <c r="H10" i="4"/>
  <c r="F9" i="4"/>
  <c r="D9" i="4"/>
  <c r="M83" i="2"/>
  <c r="I27" i="2"/>
  <c r="J27" i="2" s="1"/>
  <c r="I26" i="2"/>
  <c r="J26" i="2" s="1"/>
  <c r="I25" i="2"/>
  <c r="J25" i="2" s="1"/>
  <c r="I24" i="2"/>
  <c r="J24" i="2" s="1"/>
  <c r="I8" i="2"/>
  <c r="J8" i="2" s="1"/>
  <c r="L8" i="2" s="1"/>
  <c r="M8" i="2" s="1"/>
  <c r="J7" i="2"/>
  <c r="L7" i="2" s="1"/>
  <c r="M7" i="2" s="1"/>
  <c r="L24" i="2" l="1"/>
  <c r="I13" i="4"/>
  <c r="J13" i="4" s="1"/>
  <c r="I16" i="4"/>
  <c r="J16" i="4" s="1"/>
  <c r="F20" i="4"/>
  <c r="G20" i="4" s="1"/>
  <c r="I20" i="4" s="1"/>
  <c r="J20" i="4" s="1"/>
  <c r="F17" i="4"/>
  <c r="I15" i="4"/>
  <c r="J15" i="4" s="1"/>
  <c r="I14" i="4"/>
  <c r="J14" i="4" s="1"/>
  <c r="G12" i="4"/>
  <c r="H31" i="4"/>
  <c r="J31" i="4" s="1"/>
  <c r="K31" i="4" s="1"/>
  <c r="K33" i="4" s="1"/>
  <c r="D33" i="4"/>
  <c r="I10" i="4"/>
  <c r="F11" i="4"/>
  <c r="G11" i="4" s="1"/>
  <c r="D17" i="4"/>
  <c r="M24" i="2" l="1"/>
  <c r="L23" i="2"/>
  <c r="M23" i="2" s="1"/>
  <c r="I11" i="4"/>
  <c r="J11" i="4" s="1"/>
  <c r="G9" i="4"/>
  <c r="G17" i="4" s="1"/>
  <c r="I12" i="4"/>
  <c r="J10" i="4"/>
  <c r="L85" i="2" l="1"/>
  <c r="I9" i="4"/>
  <c r="J9" i="4" s="1"/>
  <c r="J12" i="4"/>
  <c r="I17" i="4" l="1"/>
  <c r="J17" i="4"/>
  <c r="M85" i="2" l="1"/>
  <c r="M4" i="2" s="1"/>
  <c r="L4" i="2"/>
</calcChain>
</file>

<file path=xl/sharedStrings.xml><?xml version="1.0" encoding="utf-8"?>
<sst xmlns="http://schemas.openxmlformats.org/spreadsheetml/2006/main" count="1095" uniqueCount="421">
  <si>
    <t>M2</t>
  </si>
  <si>
    <t>M</t>
  </si>
  <si>
    <t>단위</t>
  </si>
  <si>
    <t>* 반출 : 덤프트럭(25ton), 12m3(평적)  기준</t>
  </si>
  <si>
    <t xml:space="preserve">* 주간 8hr, 적용(08:00~17:00, 점심 휴무) </t>
  </si>
  <si>
    <t>■ 버킷호이스트 일 작업량 (유사 PJT 영동대로 기준 반영)</t>
  </si>
  <si>
    <t>유리공사</t>
  </si>
  <si>
    <t>포장공사</t>
  </si>
  <si>
    <t>RC공사</t>
  </si>
  <si>
    <t>3. 골조공사</t>
  </si>
  <si>
    <t>지상2층</t>
  </si>
  <si>
    <t>공사준비</t>
  </si>
  <si>
    <t>지상1층</t>
  </si>
  <si>
    <t>창호공사</t>
  </si>
  <si>
    <t>1. 공사준비</t>
  </si>
  <si>
    <t>4. 마감공사</t>
  </si>
  <si>
    <t>기초공사</t>
  </si>
  <si>
    <t>공통가설</t>
  </si>
  <si>
    <t>소방설비</t>
  </si>
  <si>
    <t>생산량/일</t>
  </si>
  <si>
    <t>미장공사</t>
  </si>
  <si>
    <t>전기설비</t>
  </si>
  <si>
    <t>공사기간 산정</t>
  </si>
  <si>
    <t>소요개월</t>
  </si>
  <si>
    <t>조적공사</t>
  </si>
  <si>
    <t>금속공사</t>
  </si>
  <si>
    <t>* 공기산정</t>
  </si>
  <si>
    <t>리핑암 흙깎기</t>
  </si>
  <si>
    <t>방수공사</t>
  </si>
  <si>
    <t>천공기1대</t>
  </si>
  <si>
    <t>토 공 량</t>
  </si>
  <si>
    <t>기계설비</t>
  </si>
  <si>
    <t>준공준비</t>
  </si>
  <si>
    <t>통신설비</t>
  </si>
  <si>
    <t>타일공사</t>
  </si>
  <si>
    <t>도장공사</t>
  </si>
  <si>
    <t>토사 흙깎기</t>
  </si>
  <si>
    <t>공 종 명</t>
  </si>
  <si>
    <t>산 출 조 건</t>
  </si>
  <si>
    <t>일 반출량</t>
  </si>
  <si>
    <t>버킷 하향</t>
  </si>
  <si>
    <t>토사, 풍화암</t>
  </si>
  <si>
    <t>조경 및 식재</t>
  </si>
  <si>
    <t>덤프 적재</t>
  </si>
  <si>
    <t>버킷 계수</t>
  </si>
  <si>
    <t>세륜기 반영</t>
  </si>
  <si>
    <t>1대 단독</t>
  </si>
  <si>
    <t>싸이클 타임</t>
  </si>
  <si>
    <t>7. 정리기간</t>
  </si>
  <si>
    <t>2대 병렬</t>
  </si>
  <si>
    <t>버킷 인양</t>
  </si>
  <si>
    <t>시간당 반출량</t>
  </si>
  <si>
    <t>위   치</t>
  </si>
  <si>
    <t>백호우 2 대</t>
  </si>
  <si>
    <t>백호우 1 대</t>
  </si>
  <si>
    <t>30m/min</t>
  </si>
  <si>
    <t>버킷용적</t>
  </si>
  <si>
    <t>투입 조</t>
  </si>
  <si>
    <t>점질토/풍화암</t>
  </si>
  <si>
    <t>소요시간</t>
  </si>
  <si>
    <t>병행작업</t>
  </si>
  <si>
    <t>180도</t>
  </si>
  <si>
    <t>단위 생산량</t>
  </si>
  <si>
    <t>작업 효율</t>
  </si>
  <si>
    <t>체적환산계수</t>
  </si>
  <si>
    <t>중간관리일</t>
  </si>
  <si>
    <t>적정공기 계획</t>
  </si>
  <si>
    <t xml:space="preserve">공사명 : </t>
  </si>
  <si>
    <t>※ 백호우 Cm : 버킷13m3 채움횟수 17회 / 22sec  / 백호우 댓수 적용</t>
  </si>
  <si>
    <t>■ 세륜기 반영 작업량 _ 1.5분/대 적용 시 : (60min / 1.5min) * 8hr * 12m3 = 3,840m3/일 * 72.90% = 2,800m3 반영 가능</t>
  </si>
  <si>
    <t>M3</t>
  </si>
  <si>
    <t>규 격</t>
  </si>
  <si>
    <t>콘크리트 펌프차 타설(철근)</t>
  </si>
  <si>
    <t>[공기 산출근거] 토공</t>
  </si>
  <si>
    <t>가동율(%)
: 토공사</t>
  </si>
  <si>
    <t>철근 현장가공 및 조립</t>
  </si>
  <si>
    <t>일생산량
(8시간/일)</t>
  </si>
  <si>
    <t>인양속도 (m/min)</t>
  </si>
  <si>
    <t>12 m3 / 25ton</t>
  </si>
  <si>
    <t>유로폼, 합판, 경사 등</t>
  </si>
  <si>
    <t>-45.0M (평균30M)</t>
  </si>
  <si>
    <t>Calender
Day</t>
  </si>
  <si>
    <t>[ 조건 ] 일반 토사</t>
  </si>
  <si>
    <t>공 사 예 정 공 정 표</t>
  </si>
  <si>
    <t>■ 백호우 토사상차 일 작업량 _ 표준품셈</t>
  </si>
  <si>
    <t>* 세륜기 1대 운용 (통과시간 1.5분)</t>
  </si>
  <si>
    <t>수전, T.A.B Commissioning</t>
  </si>
  <si>
    <t>슬럼프 15cm 이상</t>
  </si>
  <si>
    <t>보통, 0-7m이하</t>
  </si>
  <si>
    <t>기계터파기/보통토사</t>
  </si>
  <si>
    <t>인양과 시간 동일</t>
  </si>
  <si>
    <t>2m ~ 45m</t>
  </si>
  <si>
    <t>인양높이 (m)</t>
  </si>
  <si>
    <t xml:space="preserve">버킷 13m3 </t>
  </si>
  <si>
    <t>50TON  크레인</t>
  </si>
  <si>
    <t>암발파  00조 적용</t>
  </si>
  <si>
    <t>평균 30m/min</t>
  </si>
  <si>
    <t>[ 작업시간 ]</t>
  </si>
  <si>
    <t>제작 - 15㎥</t>
  </si>
  <si>
    <t>대기 및 부가시간</t>
  </si>
  <si>
    <t>버킷 1.5m3</t>
  </si>
  <si>
    <t>공사기간 산정 기준</t>
  </si>
  <si>
    <t>일 반출량(M3)</t>
  </si>
  <si>
    <t>수량산출(개산)</t>
  </si>
  <si>
    <t>작업기간
(W.D)</t>
  </si>
  <si>
    <t>[ 기본조건 ]</t>
  </si>
  <si>
    <t>1.30 ~ 1.50</t>
  </si>
  <si>
    <t>1.25 ~ 1.35</t>
  </si>
  <si>
    <t>소규모 진동제어발파</t>
  </si>
  <si>
    <t>체적변화율(L)</t>
  </si>
  <si>
    <t>버킷 용량(㎥)</t>
  </si>
  <si>
    <t>정밀진동제어발파</t>
  </si>
  <si>
    <t>흐트러진상태
(보통)</t>
  </si>
  <si>
    <t>W.D (8시간/일)</t>
  </si>
  <si>
    <t>C.D(Day)</t>
  </si>
  <si>
    <t>작업량(㎥/hr)</t>
  </si>
  <si>
    <t>무진동 기계 암굴착</t>
  </si>
  <si>
    <t>일 작업량(Q)</t>
  </si>
  <si>
    <t>C.D(Month)</t>
  </si>
  <si>
    <t>중규모 진동제어발파</t>
  </si>
  <si>
    <t>적 용</t>
  </si>
  <si>
    <t>터파기</t>
  </si>
  <si>
    <t>양생</t>
  </si>
  <si>
    <t>MEP</t>
  </si>
  <si>
    <t>유로폼</t>
  </si>
  <si>
    <t>토공</t>
  </si>
  <si>
    <t>Q</t>
  </si>
  <si>
    <t>구분</t>
  </si>
  <si>
    <t>토사</t>
  </si>
  <si>
    <t>투입조</t>
  </si>
  <si>
    <t>비 고</t>
  </si>
  <si>
    <t>공종</t>
  </si>
  <si>
    <t>석공사</t>
  </si>
  <si>
    <t>공정</t>
  </si>
  <si>
    <t>TON</t>
  </si>
  <si>
    <t>1/L</t>
  </si>
  <si>
    <t>식</t>
  </si>
  <si>
    <t>비고</t>
  </si>
  <si>
    <t>Q값</t>
  </si>
  <si>
    <t>연암</t>
  </si>
  <si>
    <t>8hr</t>
  </si>
  <si>
    <t>순성토</t>
  </si>
  <si>
    <t>직상차</t>
  </si>
  <si>
    <t>발파암</t>
  </si>
  <si>
    <t>적용</t>
  </si>
  <si>
    <t>f</t>
  </si>
  <si>
    <t>E</t>
  </si>
  <si>
    <t>합 계</t>
  </si>
  <si>
    <t>Cm</t>
  </si>
  <si>
    <t>가동율</t>
  </si>
  <si>
    <t>q</t>
  </si>
  <si>
    <t>구 분</t>
  </si>
  <si>
    <t>리핑암</t>
  </si>
  <si>
    <t>k</t>
  </si>
  <si>
    <t>시운전</t>
  </si>
  <si>
    <t>공 종</t>
  </si>
  <si>
    <t>30m</t>
  </si>
  <si>
    <t>작업일수
Working Day</t>
  </si>
  <si>
    <t>■ 성토 일 작업량 _ 표준품셈</t>
  </si>
  <si>
    <t>■ 덤프트럭 일 작업량 _ 표준품셈</t>
  </si>
  <si>
    <t>일작업량(M3)
(8hr 기준)</t>
  </si>
  <si>
    <t>5. 기계, 전기, 소방, 통신</t>
  </si>
  <si>
    <t>3,600×q×k×f×E/Cm</t>
  </si>
  <si>
    <t>버킷 적재 / 백호우(0.7W)</t>
  </si>
  <si>
    <t>버킷 적재 / 백호우(0.8W)</t>
  </si>
  <si>
    <t>반출 일수
Calendar Day</t>
  </si>
  <si>
    <t>설계도서 검토, 하도급업체의 선정 및 가설공사</t>
  </si>
  <si>
    <t>고시 제2021-1080호 제12조(정리기간 산정) 기준</t>
  </si>
  <si>
    <t>■ 크람쉘 일 작업량 (유사 PJT 영동대로 기준 반영)</t>
  </si>
  <si>
    <t>경암</t>
    <phoneticPr fontId="32" type="noConversion"/>
  </si>
  <si>
    <t>보통암</t>
    <phoneticPr fontId="32" type="noConversion"/>
  </si>
  <si>
    <t>연암</t>
    <phoneticPr fontId="32" type="noConversion"/>
  </si>
  <si>
    <t>풍화암</t>
    <phoneticPr fontId="32" type="noConversion"/>
  </si>
  <si>
    <t>대발파</t>
    <phoneticPr fontId="32" type="noConversion"/>
  </si>
  <si>
    <t>일반발파</t>
    <phoneticPr fontId="32" type="noConversion"/>
  </si>
  <si>
    <t>중규모</t>
    <phoneticPr fontId="32" type="noConversion"/>
  </si>
  <si>
    <t>소규모</t>
    <phoneticPr fontId="32" type="noConversion"/>
  </si>
  <si>
    <t>정밀진동</t>
    <phoneticPr fontId="32" type="noConversion"/>
  </si>
  <si>
    <t>미진동</t>
    <phoneticPr fontId="32" type="noConversion"/>
  </si>
  <si>
    <t>단위</t>
    <phoneticPr fontId="32" type="noConversion"/>
  </si>
  <si>
    <t>구 분</t>
    <phoneticPr fontId="32" type="noConversion"/>
  </si>
  <si>
    <t>* 천공수(공)/일</t>
    <phoneticPr fontId="32" type="noConversion"/>
  </si>
  <si>
    <t>■ 천공기계의 천공속도</t>
    <phoneticPr fontId="32" type="noConversion"/>
  </si>
  <si>
    <t>일</t>
    <phoneticPr fontId="32" type="noConversion"/>
  </si>
  <si>
    <t>소요일수</t>
    <phoneticPr fontId="32" type="noConversion"/>
  </si>
  <si>
    <t>㎥</t>
  </si>
  <si>
    <t>발파암량</t>
    <phoneticPr fontId="32" type="noConversion"/>
  </si>
  <si>
    <t>일일 작업량</t>
    <phoneticPr fontId="32" type="noConversion"/>
  </si>
  <si>
    <t>소형브레이커, 연암</t>
    <phoneticPr fontId="32" type="noConversion"/>
  </si>
  <si>
    <t>공</t>
    <phoneticPr fontId="32" type="noConversion"/>
  </si>
  <si>
    <t>일일 천공수(4대)</t>
  </si>
  <si>
    <t>일일 천공수(3대)</t>
  </si>
  <si>
    <t>일일 천공수(2대)</t>
  </si>
  <si>
    <t>일일 천공수(1대)</t>
    <phoneticPr fontId="32" type="noConversion"/>
  </si>
  <si>
    <t>㎥</t>
    <phoneticPr fontId="32" type="noConversion"/>
  </si>
  <si>
    <t>공당 파쇄량</t>
    <phoneticPr fontId="32" type="noConversion"/>
  </si>
  <si>
    <t>Ø76 이상</t>
    <phoneticPr fontId="32" type="noConversion"/>
  </si>
  <si>
    <t>Ø76</t>
    <phoneticPr fontId="32" type="noConversion"/>
  </si>
  <si>
    <t>Ø51 이내</t>
    <phoneticPr fontId="32" type="noConversion"/>
  </si>
  <si>
    <t>mm</t>
    <phoneticPr fontId="32" type="noConversion"/>
  </si>
  <si>
    <t>천공경</t>
    <phoneticPr fontId="32" type="noConversion"/>
  </si>
  <si>
    <t>kg</t>
    <phoneticPr fontId="32" type="noConversion"/>
  </si>
  <si>
    <t>표준 지발당 장약량</t>
    <phoneticPr fontId="32" type="noConversion"/>
  </si>
  <si>
    <t>m</t>
    <phoneticPr fontId="32" type="noConversion"/>
  </si>
  <si>
    <t>천공간격</t>
    <phoneticPr fontId="32" type="noConversion"/>
  </si>
  <si>
    <t>최소저항선</t>
    <phoneticPr fontId="32" type="noConversion"/>
  </si>
  <si>
    <t>천공깊이</t>
    <phoneticPr fontId="32" type="noConversion"/>
  </si>
  <si>
    <t>비고</t>
    <phoneticPr fontId="36" type="noConversion"/>
  </si>
  <si>
    <t>합계</t>
    <phoneticPr fontId="32" type="noConversion"/>
  </si>
  <si>
    <t>진동제어발파</t>
    <phoneticPr fontId="32" type="noConversion"/>
  </si>
  <si>
    <t>정밀진동
제어발파</t>
    <phoneticPr fontId="32" type="noConversion"/>
  </si>
  <si>
    <t>미진동굴착</t>
    <phoneticPr fontId="32" type="noConversion"/>
  </si>
  <si>
    <t>구분</t>
    <phoneticPr fontId="32" type="noConversion"/>
  </si>
  <si>
    <t>국토부
표준발파</t>
    <phoneticPr fontId="32" type="noConversion"/>
  </si>
  <si>
    <t xml:space="preserve">* 작업시간 : 8시간/일 </t>
    <phoneticPr fontId="32" type="noConversion"/>
  </si>
  <si>
    <t xml:space="preserve">* 화약 사용량 : 200kg/일 </t>
    <phoneticPr fontId="32" type="noConversion"/>
  </si>
  <si>
    <t>* 천공기계 : 크롤러드릴 1~4대</t>
    <phoneticPr fontId="32" type="noConversion"/>
  </si>
  <si>
    <t>[ 기본조건 ]</t>
    <phoneticPr fontId="36" type="noConversion"/>
  </si>
  <si>
    <t>[공기 산출근거] 발파</t>
    <phoneticPr fontId="36" type="noConversion"/>
  </si>
  <si>
    <t xml:space="preserve">   흙깎기/발파암/미진동 굴착</t>
  </si>
  <si>
    <t xml:space="preserve">   흙깎기/발파암/정밀진동제어발파</t>
  </si>
  <si>
    <t xml:space="preserve">   흙깎기/발파암/소규모진동제어발파</t>
  </si>
  <si>
    <t>고시 제2021-1080호 제7조(준비기간 산정) 기준</t>
    <phoneticPr fontId="26" type="noConversion"/>
  </si>
  <si>
    <t>지정공사</t>
    <phoneticPr fontId="26" type="noConversion"/>
  </si>
  <si>
    <t>1.0W</t>
    <phoneticPr fontId="26" type="noConversion"/>
  </si>
  <si>
    <t>버림콘크리트(25-18-80)</t>
    <phoneticPr fontId="26" type="noConversion"/>
  </si>
  <si>
    <t>버림 60mm</t>
    <phoneticPr fontId="26" type="noConversion"/>
  </si>
  <si>
    <t>Q(시간당 다짐토량)=1000*V*W*D*E*f/N</t>
    <phoneticPr fontId="26" type="noConversion"/>
  </si>
  <si>
    <t>되메우기/토사(백호90%+인력10%)</t>
    <phoneticPr fontId="26" type="noConversion"/>
  </si>
  <si>
    <t>내부마감</t>
    <phoneticPr fontId="26" type="noConversion"/>
  </si>
  <si>
    <t>외부마감</t>
    <phoneticPr fontId="26" type="noConversion"/>
  </si>
  <si>
    <t>[공기 산출근거] 철골공사</t>
    <phoneticPr fontId="36" type="noConversion"/>
  </si>
  <si>
    <t>표준품셈</t>
    <phoneticPr fontId="32" type="noConversion"/>
  </si>
  <si>
    <t>1. 철골작업량 :  1-2-2 철골세우기 장비의 작업능력</t>
    <phoneticPr fontId="32" type="noConversion"/>
  </si>
  <si>
    <t xml:space="preserve">2. 데크플레이트 작업량 : 1-3-3 데크플레이트 설치 </t>
    <phoneticPr fontId="32" type="noConversion"/>
  </si>
  <si>
    <r>
      <t xml:space="preserve">* 철골공, 용접공, 특별인부  /  0.05인/m2  =  </t>
    </r>
    <r>
      <rPr>
        <b/>
        <sz val="11"/>
        <color rgb="FFFF0000"/>
        <rFont val="맑은 고딕"/>
        <family val="2"/>
        <charset val="129"/>
        <scheme val="minor"/>
      </rPr>
      <t>20.0</t>
    </r>
    <r>
      <rPr>
        <b/>
        <sz val="11"/>
        <color rgb="FFFF0000"/>
        <rFont val="맑은 고딕"/>
        <family val="3"/>
        <charset val="129"/>
        <scheme val="minor"/>
      </rPr>
      <t xml:space="preserve">m2/일 </t>
    </r>
    <r>
      <rPr>
        <sz val="11"/>
        <color rgb="FF000000"/>
        <rFont val="맑은 고딕"/>
        <family val="3"/>
        <charset val="129"/>
      </rPr>
      <t xml:space="preserve"> 적용</t>
    </r>
    <phoneticPr fontId="32" type="noConversion"/>
  </si>
  <si>
    <t>공사명 : 인천 뮤지엄파크 신축공사</t>
    <phoneticPr fontId="26" type="noConversion"/>
  </si>
  <si>
    <t>내역수량</t>
    <phoneticPr fontId="26" type="noConversion"/>
  </si>
  <si>
    <t>6. 부대토목 및 조경</t>
    <phoneticPr fontId="26" type="noConversion"/>
  </si>
  <si>
    <t>Calender Day</t>
    <phoneticPr fontId="26" type="noConversion"/>
  </si>
  <si>
    <t xml:space="preserve">2. 토공사 </t>
    <phoneticPr fontId="26" type="noConversion"/>
  </si>
  <si>
    <t>우수공사</t>
    <phoneticPr fontId="26" type="noConversion"/>
  </si>
  <si>
    <t>보도포장</t>
    <phoneticPr fontId="26" type="noConversion"/>
  </si>
  <si>
    <t>오수공사</t>
    <phoneticPr fontId="26" type="noConversion"/>
  </si>
  <si>
    <t>오수맨홀</t>
    <phoneticPr fontId="26" type="noConversion"/>
  </si>
  <si>
    <t>D900mm, D700mm(주철뚜껑포함), 사각 1.20*1.20</t>
    <phoneticPr fontId="26" type="noConversion"/>
  </si>
  <si>
    <t>개소</t>
    <phoneticPr fontId="26" type="noConversion"/>
  </si>
  <si>
    <t>인조화강석블록포장</t>
    <phoneticPr fontId="26" type="noConversion"/>
  </si>
  <si>
    <t>흄관접합및부설</t>
    <phoneticPr fontId="26" type="noConversion"/>
  </si>
  <si>
    <t>M</t>
    <phoneticPr fontId="26" type="noConversion"/>
  </si>
  <si>
    <t>D800mm/D600mm/D450mm</t>
    <phoneticPr fontId="26" type="noConversion"/>
  </si>
  <si>
    <t>발주처 준공 검사 및 품질향상</t>
    <phoneticPr fontId="26" type="noConversion"/>
  </si>
  <si>
    <t>공사명 : 과천 갈현초등학교 증축공사</t>
    <phoneticPr fontId="26" type="noConversion"/>
  </si>
  <si>
    <t>2025. 07. 01</t>
    <phoneticPr fontId="26" type="noConversion"/>
  </si>
  <si>
    <t>공사명 : 과천 갈현초등학교 증축공사</t>
    <phoneticPr fontId="32" type="noConversion"/>
  </si>
  <si>
    <t>생산성</t>
    <phoneticPr fontId="26" type="noConversion"/>
  </si>
  <si>
    <t>말뚝두부정리(콘크리트)</t>
  </si>
  <si>
    <t>본</t>
  </si>
  <si>
    <t>층별 총집계표</t>
    <phoneticPr fontId="53" type="noConversion"/>
  </si>
  <si>
    <t>층</t>
  </si>
  <si>
    <t>25-30-15</t>
  </si>
  <si>
    <t/>
  </si>
  <si>
    <t>D10</t>
  </si>
  <si>
    <t>D13</t>
  </si>
  <si>
    <t>D16</t>
  </si>
  <si>
    <t>D19</t>
  </si>
  <si>
    <t>D22</t>
  </si>
  <si>
    <t>D25</t>
  </si>
  <si>
    <t>유로폼간단</t>
  </si>
  <si>
    <t>유로폼복잡</t>
  </si>
  <si>
    <t>유로폼보통</t>
  </si>
  <si>
    <t>H10</t>
  </si>
  <si>
    <t>H13</t>
  </si>
  <si>
    <t>H16</t>
  </si>
  <si>
    <t>H19</t>
  </si>
  <si>
    <t>H22</t>
  </si>
  <si>
    <t>H25</t>
  </si>
  <si>
    <t>FT</t>
  </si>
  <si>
    <t>B1</t>
  </si>
  <si>
    <t>1</t>
  </si>
  <si>
    <t>2</t>
  </si>
  <si>
    <t>3</t>
  </si>
  <si>
    <t>PH1</t>
  </si>
  <si>
    <t>계</t>
  </si>
  <si>
    <t>동 명 : [ 신축동 ]</t>
    <phoneticPr fontId="26" type="noConversion"/>
  </si>
  <si>
    <t>25-27-15</t>
    <phoneticPr fontId="26" type="noConversion"/>
  </si>
  <si>
    <t>합판 2회</t>
    <phoneticPr fontId="26" type="noConversion"/>
  </si>
  <si>
    <t>보통, 0-7m이하</t>
    <phoneticPr fontId="26" type="noConversion"/>
  </si>
  <si>
    <t>소계</t>
  </si>
  <si>
    <t>지상3층</t>
    <phoneticPr fontId="26" type="noConversion"/>
  </si>
  <si>
    <t>PH1</t>
    <phoneticPr fontId="26" type="noConversion"/>
  </si>
  <si>
    <t>소계
(KG)</t>
    <phoneticPr fontId="26" type="noConversion"/>
  </si>
  <si>
    <t>화강석붙임(습식, 혼드)</t>
  </si>
  <si>
    <t>수장공사</t>
    <phoneticPr fontId="26" type="noConversion"/>
  </si>
  <si>
    <t>외장공사</t>
    <phoneticPr fontId="26" type="noConversion"/>
  </si>
  <si>
    <t>C.P에서 제외</t>
    <phoneticPr fontId="26" type="noConversion"/>
  </si>
  <si>
    <t>백호(0.7W)</t>
    <phoneticPr fontId="26" type="noConversion"/>
  </si>
  <si>
    <t>* 1조 : 흙깍기(백호, 0.7W) + 집토(도저) + 상차(백호, 0.7W) 운용</t>
    <phoneticPr fontId="26" type="noConversion"/>
  </si>
  <si>
    <t>* 직상차</t>
    <phoneticPr fontId="26" type="noConversion"/>
  </si>
  <si>
    <t>① 수량</t>
    <phoneticPr fontId="26" type="noConversion"/>
  </si>
  <si>
    <t>■ 1조 : 흙깍기(백호, 0.7W) + 집토(도저) + 상차(백호, 0.7W) 운용</t>
    <phoneticPr fontId="26" type="noConversion"/>
  </si>
  <si>
    <t>병행작업</t>
    <phoneticPr fontId="26" type="noConversion"/>
  </si>
  <si>
    <t>표준품셈</t>
    <phoneticPr fontId="26" type="noConversion"/>
  </si>
  <si>
    <t>3-2-4 터파기(기계)</t>
  </si>
  <si>
    <t>5-3-4 말뚝두부정리(콘크리트)</t>
  </si>
  <si>
    <t>6-2-3 현장조립</t>
  </si>
  <si>
    <t>6-1-4 콘크리트 펌프차 타설</t>
  </si>
  <si>
    <t>6-3-3 유로폼 설치 및 해체</t>
  </si>
  <si>
    <t>10-3-1 창호유리 설치</t>
  </si>
  <si>
    <t>10-1-4 합성수지창호 설치</t>
  </si>
  <si>
    <t>9-1-2 모르타르 바름</t>
  </si>
  <si>
    <t>8-2-4 경량천장철골틀 설치</t>
  </si>
  <si>
    <t>3-4-1 흙쌓기</t>
  </si>
  <si>
    <t>5-3-1 기성말뚝 기초</t>
  </si>
  <si>
    <t>2025년</t>
    <phoneticPr fontId="26" type="noConversion"/>
  </si>
  <si>
    <t>2026년</t>
    <phoneticPr fontId="26" type="noConversion"/>
  </si>
  <si>
    <t>2027년</t>
    <phoneticPr fontId="26" type="noConversion"/>
  </si>
  <si>
    <t>지하1층</t>
    <phoneticPr fontId="26" type="noConversion"/>
  </si>
  <si>
    <t>하동군 보건의료원 건립공사</t>
    <phoneticPr fontId="26" type="noConversion"/>
  </si>
  <si>
    <t>PH2</t>
    <phoneticPr fontId="26" type="noConversion"/>
  </si>
  <si>
    <t>25. 07. 03</t>
    <phoneticPr fontId="26" type="noConversion"/>
  </si>
  <si>
    <t>철거</t>
    <phoneticPr fontId="26" type="noConversion"/>
  </si>
  <si>
    <t>조립식가설울타리/E.G.I철판</t>
  </si>
  <si>
    <t>H=4.0, 18개월, 세륜기, 가설출입구, 가설방음벽</t>
    <phoneticPr fontId="26" type="noConversion"/>
  </si>
  <si>
    <t>콘크리트파일</t>
  </si>
  <si>
    <t>Φ500</t>
  </si>
  <si>
    <t>데크플레이트</t>
    <phoneticPr fontId="26" type="noConversion"/>
  </si>
  <si>
    <t>'TG35-150</t>
  </si>
  <si>
    <t>흙막이가시설</t>
    <phoneticPr fontId="26" type="noConversion"/>
  </si>
  <si>
    <t>H-300~500</t>
  </si>
  <si>
    <t>TypeⅠ(지반 및 현장조건이 일반적인 경우)</t>
  </si>
  <si>
    <t>무근콘크리트깨기</t>
  </si>
  <si>
    <t>철근콘크리트깨기</t>
  </si>
  <si>
    <t>아스팔트포장깨기</t>
  </si>
  <si>
    <t>T=30cm미만(양호)</t>
  </si>
  <si>
    <t>T=30cm미만</t>
  </si>
  <si>
    <t>되메우기/토사(소형장비)</t>
    <phoneticPr fontId="26" type="noConversion"/>
  </si>
  <si>
    <t>6-3-3 유로폼 설치 및 해체</t>
    <phoneticPr fontId="26" type="noConversion"/>
  </si>
  <si>
    <t>Type3, ℓ=16m이하, 100본 이상</t>
    <phoneticPr fontId="26" type="noConversion"/>
  </si>
  <si>
    <t>500mm미만, ℓ=20m이하, 50본 미만</t>
    <phoneticPr fontId="26" type="noConversion"/>
  </si>
  <si>
    <t>TG35-150</t>
    <phoneticPr fontId="26" type="noConversion"/>
  </si>
  <si>
    <t>유로폼, 합판, 경사 등</t>
    <phoneticPr fontId="26" type="noConversion"/>
  </si>
  <si>
    <t>H파일 천공 후 근입(굴착식)</t>
    <phoneticPr fontId="26" type="noConversion"/>
  </si>
  <si>
    <t>강널말뚝(쉬트파일) 항발(전동식)</t>
    <phoneticPr fontId="26" type="noConversion"/>
  </si>
  <si>
    <t>버팀보 설치(9~11M이하)</t>
    <phoneticPr fontId="26" type="noConversion"/>
  </si>
  <si>
    <t>콘크리트파일, PHC , Φ500*10.0M</t>
  </si>
  <si>
    <t>구조물터파기(토사)</t>
    <phoneticPr fontId="26" type="noConversion"/>
  </si>
  <si>
    <t>철골공사</t>
    <phoneticPr fontId="26" type="noConversion"/>
  </si>
  <si>
    <t>장식벽</t>
    <phoneticPr fontId="26" type="noConversion"/>
  </si>
  <si>
    <t>철골세우기</t>
    <phoneticPr fontId="26" type="noConversion"/>
  </si>
  <si>
    <t>6층 미만</t>
  </si>
  <si>
    <t>1-2-1 현장 세우기('08, '18년 보완)</t>
  </si>
  <si>
    <t>1-3-3 데크플레이트 설치('08, '18, '23년 보완)</t>
  </si>
  <si>
    <t>8-2-13 대형브레이커('14, '17, '25년 보완)</t>
  </si>
  <si>
    <t>8-2-13 대형브레이커('14, '17, '25년 보완)</t>
    <phoneticPr fontId="26" type="noConversion"/>
  </si>
  <si>
    <t>8-2-24 진동파일 해머('96년 보완)</t>
  </si>
  <si>
    <t>5-1-2 H-Beam 설치</t>
  </si>
  <si>
    <t>TG35-150</t>
    <phoneticPr fontId="26" type="noConversion"/>
  </si>
  <si>
    <t>바닥, 포천석 30mm, 모르타르 17mm</t>
  </si>
  <si>
    <t>도기질타일접착제붙임/타일관급</t>
  </si>
  <si>
    <t>벽, 300*600</t>
  </si>
  <si>
    <t>복합방수</t>
  </si>
  <si>
    <t>바닥,비노출</t>
  </si>
  <si>
    <t>모르타르 바름</t>
  </si>
  <si>
    <r>
      <t xml:space="preserve">* 크레인  /  트러스, 거더류 / </t>
    </r>
    <r>
      <rPr>
        <b/>
        <sz val="11"/>
        <color rgb="FFFF0000"/>
        <rFont val="맑은 고딕"/>
        <family val="3"/>
        <charset val="129"/>
        <scheme val="minor"/>
      </rPr>
      <t xml:space="preserve">15ton </t>
    </r>
    <r>
      <rPr>
        <sz val="11"/>
        <color rgb="FF000000"/>
        <rFont val="맑은 고딕"/>
        <family val="3"/>
        <charset val="129"/>
      </rPr>
      <t>적용</t>
    </r>
    <phoneticPr fontId="32" type="noConversion"/>
  </si>
  <si>
    <t>8인치 블록/H:3.6이하.양면마감</t>
    <phoneticPr fontId="26" type="noConversion"/>
  </si>
  <si>
    <t>석재단열패널(마천석)/관급</t>
  </si>
  <si>
    <t>석재패널</t>
    <phoneticPr fontId="26" type="noConversion"/>
  </si>
  <si>
    <t>바닥, 23mm</t>
  </si>
  <si>
    <t>AL복합패널(틀포함)/자재관급</t>
  </si>
  <si>
    <t>4mm,불소코팅</t>
  </si>
  <si>
    <t>T-BAR용,텍스붙임품포함</t>
  </si>
  <si>
    <t>내진천장틀(T-BAR)/1.0m이상</t>
    <phoneticPr fontId="26" type="noConversion"/>
  </si>
  <si>
    <t>칼라로이복층유리(일면반강화)</t>
  </si>
  <si>
    <t>24mm(5ECT149 H/S+14Ar(RTS)+5CL)</t>
  </si>
  <si>
    <t>친환경수성페인트(롤러칠)/GB면</t>
  </si>
  <si>
    <t>내부 2회</t>
  </si>
  <si>
    <t>비닐시트</t>
  </si>
  <si>
    <t>바닥 2mm</t>
  </si>
  <si>
    <t>100mm,80mm경질우레탄포함</t>
    <phoneticPr fontId="26" type="noConversion"/>
  </si>
  <si>
    <t>10-4-2 외벽 패널 설치('14, '20년 보완)</t>
  </si>
  <si>
    <t>2-2-2 블록 보강쌓기('13, '19, '25년 보완)</t>
  </si>
  <si>
    <t>7-4-1 습식공법('12, '19년 보완)</t>
  </si>
  <si>
    <t>3-2-3 접착 붙이기</t>
    <phoneticPr fontId="26" type="noConversion"/>
  </si>
  <si>
    <t>6-2-1 도막바름('23년 보완)</t>
  </si>
  <si>
    <t>6-3-2 접착식시트 붙임('18, '23년 보완)</t>
  </si>
  <si>
    <t>11-2-1 수성페인트 붓칠('15년 보완)</t>
  </si>
  <si>
    <t>24mm</t>
    <phoneticPr fontId="26" type="noConversion"/>
  </si>
  <si>
    <t>AGD 창호</t>
    <phoneticPr fontId="26" type="noConversion"/>
  </si>
  <si>
    <t>7-4-3 강재트러스 지지공법('19년 보완)</t>
    <phoneticPr fontId="26" type="noConversion"/>
  </si>
  <si>
    <t>190*190*390(블록,보강근,메쉬포함)</t>
    <phoneticPr fontId="26" type="noConversion"/>
  </si>
  <si>
    <t>직상차</t>
    <phoneticPr fontId="26" type="noConversion"/>
  </si>
  <si>
    <t>크람쉘</t>
    <phoneticPr fontId="26" type="noConversion"/>
  </si>
  <si>
    <t>구조물터파기(직상차)</t>
    <phoneticPr fontId="26" type="noConversion"/>
  </si>
  <si>
    <t>구조물터파기(크람쉘)</t>
    <phoneticPr fontId="26" type="noConversion"/>
  </si>
  <si>
    <t>PH1/2</t>
    <phoneticPr fontId="26" type="noConversion"/>
  </si>
  <si>
    <t>현장사무실, 안전관리계획서</t>
    <phoneticPr fontId="26" type="noConversion"/>
  </si>
  <si>
    <t>조립식가설사무소</t>
    <phoneticPr fontId="26" type="noConversion"/>
  </si>
  <si>
    <t>안전관리계획서, 착공계</t>
    <phoneticPr fontId="26" type="noConversion"/>
  </si>
  <si>
    <t>실적치, 복공판 없음</t>
    <phoneticPr fontId="26" type="noConversion"/>
  </si>
  <si>
    <t>기존 구조물 철거</t>
    <phoneticPr fontId="26" type="noConversion"/>
  </si>
  <si>
    <t>외부배관</t>
  </si>
  <si>
    <t>철거 및 포장</t>
  </si>
  <si>
    <t>준공청소</t>
  </si>
  <si>
    <t>폐기물처리</t>
  </si>
  <si>
    <t>중앙파일 천공 후 근입(굴착식)</t>
    <phoneticPr fontId="26" type="noConversion"/>
  </si>
  <si>
    <t>비고</t>
    <phoneticPr fontId="26" type="noConversion"/>
  </si>
  <si>
    <t>▣ 가동율(광양지역 / 주6일) : Cal-1(토목) -68.8%, Cal-2(골조) - 62.7%, Cal-3(외부마감) - 64.9%, Cal-4(내부마감) - 68.8%, Cal-5(골조타설) - 52.6%</t>
    <phoneticPr fontId="26" type="noConversion"/>
  </si>
  <si>
    <t>▣ 가동율(광양지역 / 주6일) : Cal-1(토목) -68.8%, Cal-2(골조) - 62.7%, Cal-3(외부마감) - 64.9%, Cal-4(내부마감) - 68.8%, Cal-5(골조타설) - 54.8%</t>
    <phoneticPr fontId="26" type="noConversion"/>
  </si>
  <si>
    <t>석재단열패널(마천석)</t>
    <phoneticPr fontId="26" type="noConversion"/>
  </si>
  <si>
    <t>AL복합패널(틀포함)</t>
    <phoneticPr fontId="26" type="noConversion"/>
  </si>
  <si>
    <t>도기질타일접착제붙임</t>
    <phoneticPr fontId="26" type="noConversion"/>
  </si>
  <si>
    <t>도기질타일 접착제 붙임</t>
    <phoneticPr fontId="26" type="noConversion"/>
  </si>
  <si>
    <t>급수, 우수, 오수, 전기</t>
    <phoneticPr fontId="26" type="noConversion"/>
  </si>
  <si>
    <t>철근, 거푸집, 콘크리트 타설</t>
  </si>
  <si>
    <t>철근, 거푸집, 콘크리트 타설</t>
    <phoneticPr fontId="26" type="noConversion"/>
  </si>
  <si>
    <t>병행</t>
    <phoneticPr fontId="26" type="noConversion"/>
  </si>
  <si>
    <t xml:space="preserve"> </t>
    <phoneticPr fontId="26" type="noConversion"/>
  </si>
  <si>
    <t>병행</t>
    <phoneticPr fontId="26" type="noConversion"/>
  </si>
  <si>
    <t>인조화강석블록포장</t>
  </si>
  <si>
    <t>보도포장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</si>
</sst>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176" formatCode="#,##0.00_);[Red]\(#,##0.00\)"/>
    <numFmt numFmtId="177" formatCode="#,##0.0_);[Red]\(#,##0.0\)"/>
    <numFmt numFmtId="178" formatCode="#,##0_);[Red]\(#,##0\)"/>
    <numFmt numFmtId="179" formatCode="#,##0.000_);[Red]\(#,##0.000\)"/>
    <numFmt numFmtId="180" formatCode="0.0&quot;개월&quot;"/>
    <numFmt numFmtId="181" formatCode="_(* #,##0_);_(* \(#,##0\);_(* &quot;-&quot;_);_(@_)"/>
    <numFmt numFmtId="182" formatCode="0.0\ &quot;일&quot;"/>
    <numFmt numFmtId="183" formatCode="#,##0.00_ "/>
    <numFmt numFmtId="184" formatCode="0.0%"/>
    <numFmt numFmtId="185" formatCode="#,##0_ ;[Red]\-#,##0\ "/>
    <numFmt numFmtId="186" formatCode="0,000.0&quot;m3&quot;"/>
    <numFmt numFmtId="187" formatCode="0&quot;일&quot;"/>
    <numFmt numFmtId="188" formatCode="_(&quot;₩&quot;* #,##0_);_(&quot;₩&quot;* \(#,##0\);_(&quot;₩&quot;* &quot;-&quot;_);_(@_)"/>
    <numFmt numFmtId="189" formatCode="0\ &quot;일&quot;"/>
    <numFmt numFmtId="190" formatCode="0\ &quot;대&quot;"/>
    <numFmt numFmtId="191" formatCode="0,000\ &quot;m3&quot;"/>
    <numFmt numFmtId="192" formatCode="0.0"/>
    <numFmt numFmtId="193" formatCode="0.000"/>
    <numFmt numFmtId="194" formatCode="#,##0_ "/>
    <numFmt numFmtId="195" formatCode="0.0&quot;m3&quot;"/>
    <numFmt numFmtId="196" formatCode="0.0&quot;㎥&quot;"/>
    <numFmt numFmtId="197" formatCode="0.0&quot;m&quot;"/>
    <numFmt numFmtId="198" formatCode="0.0&quot;min&quot;"/>
    <numFmt numFmtId="199" formatCode="0.00&quot;회&quot;"/>
    <numFmt numFmtId="200" formatCode="0.00&quot;㎥&quot;"/>
    <numFmt numFmtId="201" formatCode="#,##0.000_ "/>
    <numFmt numFmtId="202" formatCode="0\ &quot;cm/min&quot;"/>
    <numFmt numFmtId="203" formatCode="General;\-General\,&quot;&quot;;@"/>
    <numFmt numFmtId="204" formatCode="#,##0.0_ "/>
    <numFmt numFmtId="205" formatCode="0\ &quot;월&quot;"/>
    <numFmt numFmtId="206" formatCode="0&quot;년&quot;"/>
    <numFmt numFmtId="207" formatCode="0.00_ &quot;%&quot;"/>
    <numFmt numFmtId="208" formatCode="0.00&quot;개월&quot;"/>
    <numFmt numFmtId="209" formatCode="0&quot;개월&quot;"/>
  </numFmts>
  <fonts count="60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rgb="FF0563C1"/>
      <name val="맑은 고딕"/>
      <family val="3"/>
      <charset val="129"/>
    </font>
    <font>
      <sz val="8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9"/>
      <color rgb="FFFFC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9"/>
      <color rgb="FF0070C0"/>
      <name val="맑은 고딕"/>
      <family val="3"/>
      <charset val="129"/>
    </font>
    <font>
      <u/>
      <sz val="9"/>
      <color rgb="FF0563C1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굴림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color indexed="8"/>
      <name val="굴림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ajor"/>
    </font>
    <font>
      <b/>
      <sz val="18"/>
      <color indexed="8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b/>
      <u/>
      <sz val="14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indexed="8"/>
      <name val="Arial"/>
      <family val="2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sz val="10"/>
      <color rgb="FFFF0000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808080"/>
      </top>
      <bottom style="hair">
        <color rgb="FF80808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rgb="FF808080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rgb="FF80808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rgb="FF808080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rgb="FF808080"/>
      </right>
      <top/>
      <bottom style="hair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dashed">
        <color theme="0" tint="-0.34998626667073579"/>
      </right>
      <top style="thin">
        <color indexed="64"/>
      </top>
      <bottom style="thin">
        <color theme="1"/>
      </bottom>
      <diagonal/>
    </border>
    <border>
      <left style="dashed">
        <color theme="0" tint="-0.34998626667073579"/>
      </left>
      <right style="dashed">
        <color theme="0" tint="-0.34998626667073579"/>
      </right>
      <top style="thin">
        <color indexed="64"/>
      </top>
      <bottom style="thin">
        <color theme="1"/>
      </bottom>
      <diagonal/>
    </border>
    <border>
      <left style="dashed">
        <color theme="0" tint="-0.34998626667073579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hair">
        <color rgb="FF808080"/>
      </left>
      <right style="dashed">
        <color theme="0" tint="-0.34998626667073579"/>
      </right>
      <top/>
      <bottom style="dashed">
        <color theme="0" tint="-0.34998626667073579"/>
      </bottom>
      <diagonal/>
    </border>
    <border>
      <left style="dashed">
        <color theme="0" tint="-0.34998626667073579"/>
      </left>
      <right style="dashed">
        <color theme="0" tint="-0.34998626667073579"/>
      </right>
      <top/>
      <bottom style="dashed">
        <color theme="0" tint="-0.34998626667073579"/>
      </bottom>
      <diagonal/>
    </border>
    <border>
      <left style="dashed">
        <color theme="0" tint="-0.34998626667073579"/>
      </left>
      <right style="thin">
        <color indexed="64"/>
      </right>
      <top/>
      <bottom style="dashed">
        <color theme="0" tint="-0.34998626667073579"/>
      </bottom>
      <diagonal/>
    </border>
    <border>
      <left style="thin">
        <color theme="1"/>
      </left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dashed">
        <color theme="0" tint="-0.34998626667073579"/>
      </left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dashed">
        <color theme="0" tint="-0.34998626667073579"/>
      </left>
      <right style="thin">
        <color indexed="64"/>
      </right>
      <top style="dashed">
        <color theme="0" tint="-0.34998626667073579"/>
      </top>
      <bottom style="dashed">
        <color theme="0" tint="-0.34998626667073579"/>
      </bottom>
      <diagonal/>
    </border>
    <border>
      <left style="hair">
        <color rgb="FF808080"/>
      </left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thin">
        <color rgb="FF808080"/>
      </left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thin">
        <color rgb="FF808080"/>
      </left>
      <right style="dashed">
        <color theme="0" tint="-0.34998626667073579"/>
      </right>
      <top style="dashed">
        <color theme="0" tint="-0.34998626667073579"/>
      </top>
      <bottom/>
      <diagonal/>
    </border>
    <border>
      <left style="dashed">
        <color theme="0" tint="-0.34998626667073579"/>
      </left>
      <right style="dashed">
        <color theme="0" tint="-0.34998626667073579"/>
      </right>
      <top style="dashed">
        <color theme="0" tint="-0.34998626667073579"/>
      </top>
      <bottom/>
      <diagonal/>
    </border>
    <border>
      <left style="dashed">
        <color theme="0" tint="-0.34998626667073579"/>
      </left>
      <right style="thin">
        <color indexed="64"/>
      </right>
      <top style="dashed">
        <color theme="0" tint="-0.34998626667073579"/>
      </top>
      <bottom/>
      <diagonal/>
    </border>
    <border>
      <left style="thin">
        <color rgb="FF808080"/>
      </left>
      <right style="dashed">
        <color theme="0" tint="-0.34998626667073579"/>
      </right>
      <top style="thin">
        <color theme="1"/>
      </top>
      <bottom style="thin">
        <color indexed="64"/>
      </bottom>
      <diagonal/>
    </border>
    <border>
      <left style="dashed">
        <color theme="0" tint="-0.34998626667073579"/>
      </left>
      <right style="dashed">
        <color theme="0" tint="-0.34998626667073579"/>
      </right>
      <top style="thin">
        <color theme="1"/>
      </top>
      <bottom style="thin">
        <color indexed="64"/>
      </bottom>
      <diagonal/>
    </border>
    <border>
      <left style="dashed">
        <color theme="0" tint="-0.34998626667073579"/>
      </left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17">
    <xf numFmtId="0" fontId="0" fillId="0" borderId="0">
      <alignment vertical="center"/>
    </xf>
    <xf numFmtId="181" fontId="25" fillId="0" borderId="0">
      <alignment vertical="center"/>
    </xf>
    <xf numFmtId="0" fontId="4" fillId="0" borderId="0">
      <alignment vertical="center"/>
    </xf>
    <xf numFmtId="0" fontId="5" fillId="0" borderId="0"/>
    <xf numFmtId="0" fontId="25" fillId="0" borderId="0">
      <alignment vertical="center"/>
    </xf>
    <xf numFmtId="181" fontId="25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81" fontId="3" fillId="0" borderId="0" applyFont="0" applyFill="0" applyBorder="0" applyAlignment="0" applyProtection="0">
      <alignment vertical="center"/>
    </xf>
    <xf numFmtId="0" fontId="40" fillId="0" borderId="0"/>
    <xf numFmtId="0" fontId="2" fillId="0" borderId="0">
      <alignment vertical="center"/>
    </xf>
    <xf numFmtId="9" fontId="51" fillId="0" borderId="0"/>
    <xf numFmtId="0" fontId="30" fillId="0" borderId="0">
      <alignment vertical="center"/>
    </xf>
    <xf numFmtId="0" fontId="56" fillId="0" borderId="0"/>
    <xf numFmtId="9" fontId="57" fillId="0" borderId="0" applyFont="0" applyFill="0" applyBorder="0" applyAlignment="0" applyProtection="0"/>
    <xf numFmtId="41" fontId="57" fillId="0" borderId="0" applyFont="0" applyFill="0" applyBorder="0" applyAlignment="0" applyProtection="0"/>
    <xf numFmtId="0" fontId="57" fillId="0" borderId="0"/>
  </cellStyleXfs>
  <cellXfs count="710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78" fontId="6" fillId="0" borderId="0" xfId="0" applyNumberFormat="1" applyFont="1">
      <alignment vertical="center"/>
    </xf>
    <xf numFmtId="0" fontId="6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3" borderId="16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177" fontId="9" fillId="3" borderId="17" xfId="0" applyNumberFormat="1" applyFont="1" applyFill="1" applyBorder="1" applyAlignment="1">
      <alignment horizontal="center" vertical="center" wrapText="1"/>
    </xf>
    <xf numFmtId="176" fontId="9" fillId="3" borderId="17" xfId="0" applyNumberFormat="1" applyFont="1" applyFill="1" applyBorder="1" applyAlignment="1">
      <alignment horizontal="center" vertical="center" wrapText="1"/>
    </xf>
    <xf numFmtId="178" fontId="9" fillId="3" borderId="17" xfId="1" applyNumberFormat="1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6" fillId="0" borderId="18" xfId="0" applyFont="1" applyBorder="1" applyAlignment="1">
      <alignment horizontal="left" vertical="center" wrapText="1"/>
    </xf>
    <xf numFmtId="181" fontId="6" fillId="0" borderId="18" xfId="0" applyNumberFormat="1" applyFont="1" applyBorder="1" applyAlignment="1">
      <alignment vertical="center" wrapText="1"/>
    </xf>
    <xf numFmtId="0" fontId="6" fillId="0" borderId="18" xfId="0" applyFont="1" applyBorder="1" applyAlignment="1">
      <alignment horizontal="center" vertical="center" wrapText="1"/>
    </xf>
    <xf numFmtId="180" fontId="6" fillId="0" borderId="18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181" fontId="6" fillId="0" borderId="14" xfId="0" applyNumberFormat="1" applyFont="1" applyBorder="1" applyAlignment="1">
      <alignment vertical="center" wrapText="1"/>
    </xf>
    <xf numFmtId="0" fontId="10" fillId="0" borderId="0" xfId="3" applyFont="1" applyAlignment="1">
      <alignment vertical="center"/>
    </xf>
    <xf numFmtId="14" fontId="7" fillId="0" borderId="0" xfId="3" applyNumberFormat="1" applyFont="1" applyAlignment="1">
      <alignment horizontal="left" vertical="center"/>
    </xf>
    <xf numFmtId="0" fontId="7" fillId="0" borderId="0" xfId="3" applyFont="1" applyAlignment="1">
      <alignment horizontal="left" vertical="center"/>
    </xf>
    <xf numFmtId="185" fontId="11" fillId="0" borderId="0" xfId="3" applyNumberFormat="1" applyFont="1" applyAlignment="1">
      <alignment vertical="center"/>
    </xf>
    <xf numFmtId="0" fontId="11" fillId="0" borderId="0" xfId="3" applyFont="1" applyAlignment="1">
      <alignment vertical="center"/>
    </xf>
    <xf numFmtId="0" fontId="8" fillId="0" borderId="0" xfId="3" applyFont="1" applyAlignment="1">
      <alignment vertical="center"/>
    </xf>
    <xf numFmtId="14" fontId="8" fillId="0" borderId="0" xfId="3" applyNumberFormat="1" applyFont="1" applyAlignment="1">
      <alignment horizontal="left" vertical="center"/>
    </xf>
    <xf numFmtId="0" fontId="8" fillId="0" borderId="0" xfId="3" applyFont="1" applyAlignment="1">
      <alignment horizontal="left" vertical="center"/>
    </xf>
    <xf numFmtId="185" fontId="0" fillId="0" borderId="0" xfId="3" applyNumberFormat="1" applyFont="1" applyAlignment="1">
      <alignment vertical="center"/>
    </xf>
    <xf numFmtId="0" fontId="0" fillId="0" borderId="0" xfId="3" applyFont="1" applyAlignment="1">
      <alignment vertical="center"/>
    </xf>
    <xf numFmtId="0" fontId="9" fillId="0" borderId="0" xfId="3" applyFont="1" applyAlignment="1">
      <alignment vertical="center"/>
    </xf>
    <xf numFmtId="0" fontId="12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 wrapText="1"/>
    </xf>
    <xf numFmtId="0" fontId="11" fillId="0" borderId="0" xfId="3" applyFont="1" applyAlignment="1">
      <alignment horizontal="center" vertical="center"/>
    </xf>
    <xf numFmtId="0" fontId="11" fillId="4" borderId="26" xfId="3" applyFont="1" applyFill="1" applyBorder="1" applyAlignment="1">
      <alignment horizontal="left" vertical="center" indent="1"/>
    </xf>
    <xf numFmtId="0" fontId="11" fillId="4" borderId="27" xfId="3" applyFont="1" applyFill="1" applyBorder="1" applyAlignment="1">
      <alignment horizontal="left" vertical="center" indent="1"/>
    </xf>
    <xf numFmtId="0" fontId="13" fillId="4" borderId="27" xfId="3" applyFont="1" applyFill="1" applyBorder="1" applyAlignment="1">
      <alignment vertical="center"/>
    </xf>
    <xf numFmtId="0" fontId="11" fillId="4" borderId="27" xfId="3" applyFont="1" applyFill="1" applyBorder="1" applyAlignment="1">
      <alignment horizontal="center" vertical="center"/>
    </xf>
    <xf numFmtId="180" fontId="11" fillId="4" borderId="28" xfId="3" applyNumberFormat="1" applyFont="1" applyFill="1" applyBorder="1" applyAlignment="1">
      <alignment horizontal="center" vertical="center"/>
    </xf>
    <xf numFmtId="0" fontId="12" fillId="0" borderId="0" xfId="3" applyFont="1" applyAlignment="1">
      <alignment vertical="center"/>
    </xf>
    <xf numFmtId="0" fontId="14" fillId="4" borderId="29" xfId="3" applyFont="1" applyFill="1" applyBorder="1" applyAlignment="1">
      <alignment horizontal="left" vertical="center" indent="1"/>
    </xf>
    <xf numFmtId="0" fontId="11" fillId="4" borderId="30" xfId="3" applyFont="1" applyFill="1" applyBorder="1" applyAlignment="1">
      <alignment vertical="center"/>
    </xf>
    <xf numFmtId="0" fontId="11" fillId="4" borderId="30" xfId="3" applyFont="1" applyFill="1" applyBorder="1" applyAlignment="1">
      <alignment horizontal="left" vertical="center" indent="1"/>
    </xf>
    <xf numFmtId="0" fontId="11" fillId="4" borderId="30" xfId="3" applyFont="1" applyFill="1" applyBorder="1" applyAlignment="1">
      <alignment horizontal="center" vertical="center"/>
    </xf>
    <xf numFmtId="186" fontId="11" fillId="4" borderId="30" xfId="3" applyNumberFormat="1" applyFont="1" applyFill="1" applyBorder="1" applyAlignment="1">
      <alignment horizontal="center" vertical="center"/>
    </xf>
    <xf numFmtId="0" fontId="14" fillId="4" borderId="30" xfId="3" applyFont="1" applyFill="1" applyBorder="1" applyAlignment="1">
      <alignment horizontal="center" vertical="center"/>
    </xf>
    <xf numFmtId="180" fontId="14" fillId="4" borderId="31" xfId="3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left" vertical="center" indent="1"/>
    </xf>
    <xf numFmtId="0" fontId="15" fillId="0" borderId="0" xfId="3" applyFont="1" applyAlignment="1">
      <alignment horizontal="center" vertical="center"/>
    </xf>
    <xf numFmtId="186" fontId="15" fillId="0" borderId="0" xfId="3" applyNumberFormat="1" applyFont="1" applyAlignment="1">
      <alignment horizontal="center" vertical="center"/>
    </xf>
    <xf numFmtId="187" fontId="15" fillId="0" borderId="0" xfId="3" applyNumberFormat="1" applyFont="1" applyAlignment="1">
      <alignment horizontal="center" vertical="center"/>
    </xf>
    <xf numFmtId="0" fontId="12" fillId="0" borderId="8" xfId="3" applyFont="1" applyBorder="1" applyAlignment="1">
      <alignment horizontal="centerContinuous" vertical="center"/>
    </xf>
    <xf numFmtId="0" fontId="12" fillId="0" borderId="6" xfId="3" applyFont="1" applyBorder="1" applyAlignment="1">
      <alignment horizontal="centerContinuous" vertical="center"/>
    </xf>
    <xf numFmtId="0" fontId="16" fillId="0" borderId="6" xfId="3" applyFont="1" applyBorder="1" applyAlignment="1">
      <alignment horizontal="centerContinuous" vertical="center"/>
    </xf>
    <xf numFmtId="0" fontId="12" fillId="0" borderId="9" xfId="3" applyFont="1" applyBorder="1" applyAlignment="1">
      <alignment horizontal="centerContinuous" vertical="center"/>
    </xf>
    <xf numFmtId="0" fontId="16" fillId="0" borderId="9" xfId="3" applyFont="1" applyBorder="1" applyAlignment="1">
      <alignment horizontal="centerContinuous" vertical="center"/>
    </xf>
    <xf numFmtId="185" fontId="12" fillId="0" borderId="6" xfId="3" applyNumberFormat="1" applyFont="1" applyBorder="1" applyAlignment="1">
      <alignment horizontal="center" vertical="center"/>
    </xf>
    <xf numFmtId="0" fontId="12" fillId="0" borderId="15" xfId="3" applyFont="1" applyBorder="1" applyAlignment="1">
      <alignment horizontal="center" vertical="center" wrapText="1"/>
    </xf>
    <xf numFmtId="0" fontId="12" fillId="5" borderId="15" xfId="3" applyFont="1" applyFill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 wrapText="1"/>
    </xf>
    <xf numFmtId="0" fontId="12" fillId="6" borderId="6" xfId="3" applyFont="1" applyFill="1" applyBorder="1" applyAlignment="1">
      <alignment horizontal="center" vertical="center" wrapText="1"/>
    </xf>
    <xf numFmtId="188" fontId="12" fillId="0" borderId="8" xfId="3" applyNumberFormat="1" applyFont="1" applyBorder="1" applyAlignment="1">
      <alignment vertical="center"/>
    </xf>
    <xf numFmtId="0" fontId="12" fillId="0" borderId="6" xfId="3" applyFont="1" applyBorder="1" applyAlignment="1">
      <alignment horizontal="center" vertical="center"/>
    </xf>
    <xf numFmtId="185" fontId="12" fillId="0" borderId="6" xfId="3" applyNumberFormat="1" applyFont="1" applyBorder="1" applyAlignment="1">
      <alignment vertical="center"/>
    </xf>
    <xf numFmtId="185" fontId="12" fillId="5" borderId="6" xfId="3" applyNumberFormat="1" applyFont="1" applyFill="1" applyBorder="1" applyAlignment="1">
      <alignment vertical="center"/>
    </xf>
    <xf numFmtId="182" fontId="11" fillId="0" borderId="6" xfId="3" applyNumberFormat="1" applyFont="1" applyBorder="1" applyAlignment="1">
      <alignment horizontal="center" vertical="center"/>
    </xf>
    <xf numFmtId="10" fontId="12" fillId="0" borderId="6" xfId="3" applyNumberFormat="1" applyFont="1" applyBorder="1" applyAlignment="1">
      <alignment horizontal="center" vertical="center"/>
    </xf>
    <xf numFmtId="189" fontId="11" fillId="6" borderId="6" xfId="3" applyNumberFormat="1" applyFont="1" applyFill="1" applyBorder="1" applyAlignment="1">
      <alignment horizontal="center" vertical="center"/>
    </xf>
    <xf numFmtId="180" fontId="12" fillId="0" borderId="6" xfId="3" applyNumberFormat="1" applyFont="1" applyBorder="1" applyAlignment="1">
      <alignment horizontal="center" vertical="center"/>
    </xf>
    <xf numFmtId="0" fontId="12" fillId="0" borderId="6" xfId="3" applyFont="1" applyBorder="1" applyAlignment="1">
      <alignment vertical="center"/>
    </xf>
    <xf numFmtId="188" fontId="11" fillId="0" borderId="24" xfId="3" applyNumberFormat="1" applyFont="1" applyBorder="1" applyAlignment="1">
      <alignment vertical="center"/>
    </xf>
    <xf numFmtId="0" fontId="11" fillId="0" borderId="11" xfId="3" applyFont="1" applyBorder="1" applyAlignment="1">
      <alignment horizontal="center" vertical="center"/>
    </xf>
    <xf numFmtId="185" fontId="11" fillId="0" borderId="11" xfId="3" applyNumberFormat="1" applyFont="1" applyBorder="1" applyAlignment="1">
      <alignment vertical="center"/>
    </xf>
    <xf numFmtId="185" fontId="11" fillId="5" borderId="11" xfId="3" applyNumberFormat="1" applyFont="1" applyFill="1" applyBorder="1" applyAlignment="1">
      <alignment vertical="center"/>
    </xf>
    <xf numFmtId="182" fontId="11" fillId="0" borderId="11" xfId="3" applyNumberFormat="1" applyFont="1" applyBorder="1" applyAlignment="1">
      <alignment horizontal="center" vertical="center"/>
    </xf>
    <xf numFmtId="10" fontId="11" fillId="0" borderId="11" xfId="3" applyNumberFormat="1" applyFont="1" applyBorder="1" applyAlignment="1">
      <alignment horizontal="center" vertical="center"/>
    </xf>
    <xf numFmtId="189" fontId="11" fillId="6" borderId="11" xfId="3" applyNumberFormat="1" applyFont="1" applyFill="1" applyBorder="1" applyAlignment="1">
      <alignment horizontal="center" vertical="center"/>
    </xf>
    <xf numFmtId="180" fontId="11" fillId="0" borderId="11" xfId="3" applyNumberFormat="1" applyFont="1" applyBorder="1" applyAlignment="1">
      <alignment horizontal="center" vertical="center"/>
    </xf>
    <xf numFmtId="0" fontId="11" fillId="0" borderId="11" xfId="3" applyFont="1" applyBorder="1" applyAlignment="1">
      <alignment vertical="center"/>
    </xf>
    <xf numFmtId="188" fontId="11" fillId="0" borderId="21" xfId="3" applyNumberFormat="1" applyFont="1" applyBorder="1" applyAlignment="1">
      <alignment vertical="center"/>
    </xf>
    <xf numFmtId="0" fontId="11" fillId="0" borderId="10" xfId="3" applyFont="1" applyBorder="1" applyAlignment="1">
      <alignment horizontal="center" vertical="center"/>
    </xf>
    <xf numFmtId="185" fontId="11" fillId="0" borderId="10" xfId="3" applyNumberFormat="1" applyFont="1" applyBorder="1" applyAlignment="1">
      <alignment vertical="center"/>
    </xf>
    <xf numFmtId="185" fontId="11" fillId="5" borderId="10" xfId="3" applyNumberFormat="1" applyFont="1" applyFill="1" applyBorder="1" applyAlignment="1">
      <alignment vertical="center"/>
    </xf>
    <xf numFmtId="182" fontId="11" fillId="0" borderId="10" xfId="3" applyNumberFormat="1" applyFont="1" applyBorder="1" applyAlignment="1">
      <alignment horizontal="center" vertical="center"/>
    </xf>
    <xf numFmtId="10" fontId="11" fillId="0" borderId="10" xfId="3" applyNumberFormat="1" applyFont="1" applyBorder="1" applyAlignment="1">
      <alignment horizontal="center" vertical="center"/>
    </xf>
    <xf numFmtId="189" fontId="11" fillId="6" borderId="10" xfId="3" applyNumberFormat="1" applyFont="1" applyFill="1" applyBorder="1" applyAlignment="1">
      <alignment horizontal="center" vertical="center"/>
    </xf>
    <xf numFmtId="180" fontId="11" fillId="0" borderId="10" xfId="3" applyNumberFormat="1" applyFont="1" applyBorder="1" applyAlignment="1">
      <alignment horizontal="center" vertical="center"/>
    </xf>
    <xf numFmtId="188" fontId="11" fillId="0" borderId="32" xfId="3" applyNumberFormat="1" applyFont="1" applyBorder="1" applyAlignment="1">
      <alignment vertical="center"/>
    </xf>
    <xf numFmtId="0" fontId="11" fillId="0" borderId="18" xfId="3" applyFont="1" applyBorder="1" applyAlignment="1">
      <alignment horizontal="center" vertical="center"/>
    </xf>
    <xf numFmtId="185" fontId="11" fillId="0" borderId="18" xfId="3" applyNumberFormat="1" applyFont="1" applyBorder="1" applyAlignment="1">
      <alignment vertical="center"/>
    </xf>
    <xf numFmtId="182" fontId="11" fillId="0" borderId="14" xfId="3" applyNumberFormat="1" applyFont="1" applyBorder="1" applyAlignment="1">
      <alignment horizontal="center" vertical="center"/>
    </xf>
    <xf numFmtId="10" fontId="11" fillId="0" borderId="18" xfId="3" applyNumberFormat="1" applyFont="1" applyBorder="1" applyAlignment="1">
      <alignment horizontal="center" vertical="center"/>
    </xf>
    <xf numFmtId="189" fontId="11" fillId="6" borderId="14" xfId="3" applyNumberFormat="1" applyFont="1" applyFill="1" applyBorder="1" applyAlignment="1">
      <alignment horizontal="center" vertical="center"/>
    </xf>
    <xf numFmtId="0" fontId="11" fillId="0" borderId="18" xfId="3" applyFont="1" applyBorder="1" applyAlignment="1">
      <alignment vertical="center"/>
    </xf>
    <xf numFmtId="182" fontId="12" fillId="0" borderId="6" xfId="3" applyNumberFormat="1" applyFont="1" applyBorder="1" applyAlignment="1">
      <alignment horizontal="center" vertical="center"/>
    </xf>
    <xf numFmtId="189" fontId="12" fillId="6" borderId="6" xfId="3" applyNumberFormat="1" applyFont="1" applyFill="1" applyBorder="1" applyAlignment="1">
      <alignment horizontal="center" vertical="center"/>
    </xf>
    <xf numFmtId="180" fontId="11" fillId="0" borderId="13" xfId="3" applyNumberFormat="1" applyFont="1" applyBorder="1" applyAlignment="1">
      <alignment horizontal="left" vertical="center"/>
    </xf>
    <xf numFmtId="0" fontId="17" fillId="0" borderId="10" xfId="3" applyFont="1" applyBorder="1" applyAlignment="1">
      <alignment horizontal="left" vertical="center"/>
    </xf>
    <xf numFmtId="0" fontId="11" fillId="0" borderId="10" xfId="3" applyFont="1" applyBorder="1" applyAlignment="1">
      <alignment horizontal="left" vertical="center"/>
    </xf>
    <xf numFmtId="182" fontId="11" fillId="0" borderId="18" xfId="3" applyNumberFormat="1" applyFont="1" applyBorder="1" applyAlignment="1">
      <alignment horizontal="center" vertical="center"/>
    </xf>
    <xf numFmtId="189" fontId="11" fillId="6" borderId="18" xfId="3" applyNumberFormat="1" applyFont="1" applyFill="1" applyBorder="1" applyAlignment="1">
      <alignment horizontal="center" vertical="center"/>
    </xf>
    <xf numFmtId="180" fontId="11" fillId="0" borderId="18" xfId="3" applyNumberFormat="1" applyFont="1" applyBorder="1" applyAlignment="1">
      <alignment horizontal="center" vertical="center"/>
    </xf>
    <xf numFmtId="0" fontId="11" fillId="0" borderId="18" xfId="3" applyFont="1" applyBorder="1" applyAlignment="1">
      <alignment horizontal="left" vertical="center"/>
    </xf>
    <xf numFmtId="188" fontId="12" fillId="0" borderId="8" xfId="3" applyNumberFormat="1" applyFont="1" applyBorder="1" applyAlignment="1">
      <alignment horizontal="center" vertical="center"/>
    </xf>
    <xf numFmtId="180" fontId="14" fillId="0" borderId="6" xfId="3" applyNumberFormat="1" applyFont="1" applyBorder="1" applyAlignment="1">
      <alignment horizontal="center" vertical="center"/>
    </xf>
    <xf numFmtId="0" fontId="13" fillId="0" borderId="0" xfId="0" applyFont="1">
      <alignment vertical="center"/>
    </xf>
    <xf numFmtId="0" fontId="6" fillId="0" borderId="0" xfId="3" applyFont="1" applyAlignment="1">
      <alignment vertical="center"/>
    </xf>
    <xf numFmtId="0" fontId="6" fillId="0" borderId="0" xfId="3" applyFont="1" applyAlignment="1">
      <alignment horizontal="center" vertical="center"/>
    </xf>
    <xf numFmtId="189" fontId="13" fillId="0" borderId="0" xfId="3" applyNumberFormat="1" applyFont="1" applyAlignment="1">
      <alignment horizontal="center" vertical="center"/>
    </xf>
    <xf numFmtId="190" fontId="6" fillId="0" borderId="0" xfId="3" applyNumberFormat="1" applyFont="1" applyAlignment="1">
      <alignment horizontal="center" vertical="center"/>
    </xf>
    <xf numFmtId="191" fontId="6" fillId="0" borderId="0" xfId="4" applyNumberFormat="1" applyFont="1" applyAlignment="1">
      <alignment horizontal="center" vertical="center"/>
    </xf>
    <xf numFmtId="0" fontId="18" fillId="0" borderId="0" xfId="4" applyFont="1">
      <alignment vertical="center"/>
    </xf>
    <xf numFmtId="188" fontId="11" fillId="0" borderId="8" xfId="3" applyNumberFormat="1" applyFont="1" applyBorder="1" applyAlignment="1">
      <alignment vertical="center"/>
    </xf>
    <xf numFmtId="0" fontId="11" fillId="0" borderId="6" xfId="3" applyFont="1" applyBorder="1" applyAlignment="1">
      <alignment horizontal="center" vertical="center"/>
    </xf>
    <xf numFmtId="185" fontId="11" fillId="0" borderId="6" xfId="3" applyNumberFormat="1" applyFont="1" applyBorder="1" applyAlignment="1">
      <alignment vertical="center"/>
    </xf>
    <xf numFmtId="185" fontId="11" fillId="5" borderId="6" xfId="3" applyNumberFormat="1" applyFont="1" applyFill="1" applyBorder="1" applyAlignment="1">
      <alignment vertical="center"/>
    </xf>
    <xf numFmtId="10" fontId="11" fillId="0" borderId="6" xfId="3" applyNumberFormat="1" applyFont="1" applyBorder="1" applyAlignment="1">
      <alignment horizontal="center" vertical="center"/>
    </xf>
    <xf numFmtId="0" fontId="11" fillId="0" borderId="6" xfId="3" applyFont="1" applyBorder="1" applyAlignment="1">
      <alignment vertical="center"/>
    </xf>
    <xf numFmtId="189" fontId="14" fillId="0" borderId="0" xfId="3" applyNumberFormat="1" applyFont="1" applyAlignment="1">
      <alignment horizontal="center" vertical="center"/>
    </xf>
    <xf numFmtId="190" fontId="11" fillId="0" borderId="0" xfId="3" applyNumberFormat="1" applyFont="1" applyAlignment="1">
      <alignment horizontal="center" vertical="center"/>
    </xf>
    <xf numFmtId="191" fontId="11" fillId="0" borderId="0" xfId="4" applyNumberFormat="1" applyFont="1" applyAlignment="1">
      <alignment horizontal="center" vertical="center"/>
    </xf>
    <xf numFmtId="0" fontId="19" fillId="0" borderId="0" xfId="4" applyFont="1">
      <alignment vertical="center"/>
    </xf>
    <xf numFmtId="0" fontId="8" fillId="0" borderId="0" xfId="0" applyFont="1">
      <alignment vertical="center"/>
    </xf>
    <xf numFmtId="0" fontId="20" fillId="0" borderId="6" xfId="0" applyFont="1" applyBorder="1" applyAlignment="1">
      <alignment horizontal="center" vertical="center"/>
    </xf>
    <xf numFmtId="0" fontId="20" fillId="0" borderId="6" xfId="2" applyFont="1" applyBorder="1" applyAlignment="1">
      <alignment horizontal="center" vertical="center"/>
    </xf>
    <xf numFmtId="0" fontId="11" fillId="0" borderId="0" xfId="2" applyFont="1">
      <alignment vertical="center"/>
    </xf>
    <xf numFmtId="0" fontId="11" fillId="0" borderId="0" xfId="2" applyFont="1" applyAlignment="1">
      <alignment vertical="center" wrapText="1"/>
    </xf>
    <xf numFmtId="0" fontId="21" fillId="0" borderId="0" xfId="2" applyFont="1">
      <alignment vertical="center"/>
    </xf>
    <xf numFmtId="0" fontId="11" fillId="0" borderId="0" xfId="0" applyFont="1">
      <alignment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192" fontId="11" fillId="0" borderId="6" xfId="0" applyNumberFormat="1" applyFont="1" applyBorder="1" applyAlignment="1">
      <alignment horizontal="center" vertical="center"/>
    </xf>
    <xf numFmtId="183" fontId="11" fillId="0" borderId="6" xfId="0" applyNumberFormat="1" applyFont="1" applyBorder="1" applyAlignment="1">
      <alignment horizontal="center" vertical="center"/>
    </xf>
    <xf numFmtId="0" fontId="11" fillId="0" borderId="6" xfId="2" applyFont="1" applyBorder="1" applyAlignment="1">
      <alignment horizontal="center" vertical="center" wrapText="1"/>
    </xf>
    <xf numFmtId="194" fontId="11" fillId="7" borderId="6" xfId="0" applyNumberFormat="1" applyFont="1" applyFill="1" applyBorder="1" applyAlignment="1">
      <alignment horizontal="center" vertical="center"/>
    </xf>
    <xf numFmtId="181" fontId="11" fillId="0" borderId="6" xfId="5" applyFont="1" applyBorder="1" applyAlignment="1">
      <alignment horizontal="center" vertical="center"/>
    </xf>
    <xf numFmtId="183" fontId="11" fillId="0" borderId="6" xfId="5" applyNumberFormat="1" applyFont="1" applyBorder="1" applyAlignment="1">
      <alignment horizontal="center" vertical="center"/>
    </xf>
    <xf numFmtId="1" fontId="11" fillId="0" borderId="0" xfId="0" applyNumberFormat="1" applyFont="1">
      <alignment vertical="center"/>
    </xf>
    <xf numFmtId="0" fontId="11" fillId="0" borderId="0" xfId="0" applyFont="1" applyAlignment="1">
      <alignment horizontal="left" vertical="center"/>
    </xf>
    <xf numFmtId="181" fontId="11" fillId="0" borderId="0" xfId="5" applyFont="1">
      <alignment vertical="center"/>
    </xf>
    <xf numFmtId="0" fontId="22" fillId="0" borderId="0" xfId="0" applyFont="1">
      <alignment vertical="center"/>
    </xf>
    <xf numFmtId="0" fontId="11" fillId="0" borderId="6" xfId="3" applyFont="1" applyBorder="1" applyAlignment="1">
      <alignment horizontal="center" vertical="center" wrapText="1"/>
    </xf>
    <xf numFmtId="0" fontId="14" fillId="7" borderId="6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194" fontId="11" fillId="0" borderId="11" xfId="0" applyNumberFormat="1" applyFont="1" applyBorder="1">
      <alignment vertical="center"/>
    </xf>
    <xf numFmtId="195" fontId="11" fillId="0" borderId="11" xfId="0" applyNumberFormat="1" applyFont="1" applyBorder="1" applyAlignment="1">
      <alignment horizontal="center" vertical="center"/>
    </xf>
    <xf numFmtId="186" fontId="11" fillId="0" borderId="11" xfId="0" applyNumberFormat="1" applyFont="1" applyBorder="1" applyAlignment="1">
      <alignment horizontal="center" vertical="center"/>
    </xf>
    <xf numFmtId="189" fontId="11" fillId="0" borderId="11" xfId="3" applyNumberFormat="1" applyFont="1" applyBorder="1" applyAlignment="1">
      <alignment horizontal="center" vertical="center"/>
    </xf>
    <xf numFmtId="180" fontId="14" fillId="7" borderId="11" xfId="3" applyNumberFormat="1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194" fontId="11" fillId="0" borderId="18" xfId="0" applyNumberFormat="1" applyFont="1" applyBorder="1">
      <alignment vertical="center"/>
    </xf>
    <xf numFmtId="195" fontId="11" fillId="0" borderId="18" xfId="0" applyNumberFormat="1" applyFont="1" applyBorder="1" applyAlignment="1">
      <alignment horizontal="center" vertical="center"/>
    </xf>
    <xf numFmtId="186" fontId="11" fillId="0" borderId="18" xfId="0" applyNumberFormat="1" applyFont="1" applyBorder="1" applyAlignment="1">
      <alignment horizontal="center" vertical="center"/>
    </xf>
    <xf numFmtId="189" fontId="11" fillId="0" borderId="18" xfId="3" applyNumberFormat="1" applyFont="1" applyBorder="1" applyAlignment="1">
      <alignment horizontal="center" vertical="center"/>
    </xf>
    <xf numFmtId="180" fontId="14" fillId="7" borderId="18" xfId="3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94" fontId="11" fillId="0" borderId="6" xfId="0" applyNumberFormat="1" applyFont="1" applyBorder="1">
      <alignment vertical="center"/>
    </xf>
    <xf numFmtId="195" fontId="11" fillId="0" borderId="6" xfId="0" applyNumberFormat="1" applyFont="1" applyBorder="1" applyAlignment="1">
      <alignment horizontal="center" vertical="center"/>
    </xf>
    <xf numFmtId="186" fontId="11" fillId="0" borderId="6" xfId="0" applyNumberFormat="1" applyFont="1" applyBorder="1" applyAlignment="1">
      <alignment horizontal="center" vertical="center" wrapText="1"/>
    </xf>
    <xf numFmtId="180" fontId="14" fillId="7" borderId="6" xfId="3" applyNumberFormat="1" applyFont="1" applyFill="1" applyBorder="1" applyAlignment="1">
      <alignment horizontal="center" vertical="center"/>
    </xf>
    <xf numFmtId="180" fontId="11" fillId="0" borderId="6" xfId="3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94" fontId="11" fillId="0" borderId="0" xfId="0" applyNumberFormat="1" applyFont="1">
      <alignment vertical="center"/>
    </xf>
    <xf numFmtId="195" fontId="11" fillId="0" borderId="0" xfId="0" applyNumberFormat="1" applyFont="1" applyAlignment="1">
      <alignment horizontal="center" vertical="center"/>
    </xf>
    <xf numFmtId="183" fontId="11" fillId="0" borderId="0" xfId="0" applyNumberFormat="1" applyFont="1" applyAlignment="1">
      <alignment horizontal="center" vertical="center"/>
    </xf>
    <xf numFmtId="186" fontId="11" fillId="0" borderId="0" xfId="0" applyNumberFormat="1" applyFont="1" applyAlignment="1">
      <alignment horizontal="center" vertical="center" wrapText="1"/>
    </xf>
    <xf numFmtId="180" fontId="11" fillId="0" borderId="0" xfId="3" applyNumberFormat="1" applyFont="1" applyAlignment="1">
      <alignment horizontal="center" vertical="center"/>
    </xf>
    <xf numFmtId="0" fontId="16" fillId="0" borderId="0" xfId="3" applyFont="1" applyAlignment="1">
      <alignment vertical="center"/>
    </xf>
    <xf numFmtId="0" fontId="12" fillId="0" borderId="11" xfId="3" applyFont="1" applyBorder="1" applyAlignment="1">
      <alignment vertical="center"/>
    </xf>
    <xf numFmtId="195" fontId="11" fillId="0" borderId="11" xfId="3" applyNumberFormat="1" applyFont="1" applyBorder="1" applyAlignment="1">
      <alignment horizontal="center" vertical="center"/>
    </xf>
    <xf numFmtId="0" fontId="11" fillId="0" borderId="10" xfId="3" applyFont="1" applyBorder="1" applyAlignment="1">
      <alignment horizontal="left" vertical="center" indent="1"/>
    </xf>
    <xf numFmtId="196" fontId="11" fillId="0" borderId="10" xfId="3" applyNumberFormat="1" applyFont="1" applyBorder="1" applyAlignment="1">
      <alignment horizontal="center" vertical="center"/>
    </xf>
    <xf numFmtId="0" fontId="11" fillId="0" borderId="21" xfId="3" applyFont="1" applyBorder="1" applyAlignment="1">
      <alignment horizontal="left" vertical="center" indent="1"/>
    </xf>
    <xf numFmtId="0" fontId="11" fillId="0" borderId="33" xfId="3" applyFont="1" applyBorder="1" applyAlignment="1">
      <alignment horizontal="left" vertical="center" indent="1"/>
    </xf>
    <xf numFmtId="197" fontId="11" fillId="0" borderId="10" xfId="3" applyNumberFormat="1" applyFont="1" applyBorder="1" applyAlignment="1">
      <alignment horizontal="center" vertical="center"/>
    </xf>
    <xf numFmtId="0" fontId="11" fillId="0" borderId="18" xfId="3" applyFont="1" applyBorder="1" applyAlignment="1">
      <alignment horizontal="left" vertical="center" indent="1"/>
    </xf>
    <xf numFmtId="197" fontId="11" fillId="0" borderId="18" xfId="3" applyNumberFormat="1" applyFont="1" applyBorder="1" applyAlignment="1">
      <alignment horizontal="center" vertical="center"/>
    </xf>
    <xf numFmtId="0" fontId="11" fillId="0" borderId="11" xfId="3" applyFont="1" applyBorder="1" applyAlignment="1">
      <alignment horizontal="left" vertical="center" indent="1"/>
    </xf>
    <xf numFmtId="198" fontId="14" fillId="4" borderId="11" xfId="3" applyNumberFormat="1" applyFont="1" applyFill="1" applyBorder="1" applyAlignment="1">
      <alignment horizontal="center" vertical="center"/>
    </xf>
    <xf numFmtId="196" fontId="11" fillId="0" borderId="11" xfId="3" applyNumberFormat="1" applyFont="1" applyBorder="1" applyAlignment="1">
      <alignment horizontal="center" vertical="center"/>
    </xf>
    <xf numFmtId="0" fontId="11" fillId="0" borderId="24" xfId="3" applyFont="1" applyBorder="1" applyAlignment="1">
      <alignment horizontal="left" vertical="center" indent="1"/>
    </xf>
    <xf numFmtId="198" fontId="11" fillId="0" borderId="10" xfId="3" applyNumberFormat="1" applyFont="1" applyBorder="1" applyAlignment="1">
      <alignment horizontal="center" vertical="center"/>
    </xf>
    <xf numFmtId="198" fontId="11" fillId="0" borderId="18" xfId="3" applyNumberFormat="1" applyFont="1" applyBorder="1" applyAlignment="1">
      <alignment horizontal="center" vertical="center"/>
    </xf>
    <xf numFmtId="0" fontId="11" fillId="0" borderId="32" xfId="3" applyFont="1" applyBorder="1" applyAlignment="1">
      <alignment horizontal="left" vertical="center" indent="1"/>
    </xf>
    <xf numFmtId="0" fontId="11" fillId="0" borderId="34" xfId="3" applyFont="1" applyBorder="1" applyAlignment="1">
      <alignment horizontal="left" vertical="center" indent="1"/>
    </xf>
    <xf numFmtId="198" fontId="11" fillId="0" borderId="6" xfId="3" applyNumberFormat="1" applyFont="1" applyBorder="1" applyAlignment="1">
      <alignment horizontal="center" vertical="center"/>
    </xf>
    <xf numFmtId="199" fontId="12" fillId="0" borderId="6" xfId="3" applyNumberFormat="1" applyFont="1" applyBorder="1" applyAlignment="1">
      <alignment horizontal="center" vertical="center"/>
    </xf>
    <xf numFmtId="195" fontId="12" fillId="0" borderId="6" xfId="3" applyNumberFormat="1" applyFont="1" applyBorder="1" applyAlignment="1">
      <alignment horizontal="center" vertical="center"/>
    </xf>
    <xf numFmtId="195" fontId="14" fillId="0" borderId="6" xfId="3" applyNumberFormat="1" applyFont="1" applyBorder="1" applyAlignment="1">
      <alignment horizontal="center" vertical="center"/>
    </xf>
    <xf numFmtId="0" fontId="16" fillId="0" borderId="0" xfId="3" applyFont="1" applyAlignment="1">
      <alignment horizontal="center" vertical="center"/>
    </xf>
    <xf numFmtId="181" fontId="6" fillId="0" borderId="25" xfId="0" applyNumberFormat="1" applyFont="1" applyBorder="1" applyAlignment="1">
      <alignment vertical="center" wrapText="1"/>
    </xf>
    <xf numFmtId="2" fontId="6" fillId="0" borderId="10" xfId="0" applyNumberFormat="1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0" fontId="23" fillId="0" borderId="0" xfId="3" applyFont="1" applyAlignment="1">
      <alignment vertical="center"/>
    </xf>
    <xf numFmtId="177" fontId="6" fillId="0" borderId="11" xfId="0" applyNumberFormat="1" applyFont="1" applyBorder="1" applyAlignment="1">
      <alignment horizontal="center" vertical="center" wrapText="1"/>
    </xf>
    <xf numFmtId="10" fontId="6" fillId="0" borderId="11" xfId="0" applyNumberFormat="1" applyFont="1" applyBorder="1" applyAlignment="1">
      <alignment horizontal="center" vertical="center" wrapText="1"/>
    </xf>
    <xf numFmtId="182" fontId="6" fillId="0" borderId="11" xfId="0" applyNumberFormat="1" applyFont="1" applyBorder="1" applyAlignment="1">
      <alignment horizontal="center" vertical="center" wrapText="1"/>
    </xf>
    <xf numFmtId="180" fontId="6" fillId="0" borderId="11" xfId="0" applyNumberFormat="1" applyFont="1" applyBorder="1" applyAlignment="1">
      <alignment horizontal="center" vertical="center" wrapText="1"/>
    </xf>
    <xf numFmtId="177" fontId="6" fillId="0" borderId="10" xfId="0" applyNumberFormat="1" applyFont="1" applyBorder="1" applyAlignment="1">
      <alignment horizontal="center" vertical="center" wrapText="1"/>
    </xf>
    <xf numFmtId="10" fontId="6" fillId="0" borderId="10" xfId="0" applyNumberFormat="1" applyFont="1" applyBorder="1" applyAlignment="1">
      <alignment horizontal="center" vertical="center" wrapText="1"/>
    </xf>
    <xf numFmtId="182" fontId="6" fillId="0" borderId="10" xfId="0" applyNumberFormat="1" applyFont="1" applyBorder="1" applyAlignment="1">
      <alignment horizontal="center" vertical="center" wrapText="1"/>
    </xf>
    <xf numFmtId="180" fontId="6" fillId="0" borderId="10" xfId="0" applyNumberFormat="1" applyFont="1" applyBorder="1" applyAlignment="1">
      <alignment horizontal="center" vertical="center" wrapText="1"/>
    </xf>
    <xf numFmtId="177" fontId="6" fillId="0" borderId="18" xfId="0" applyNumberFormat="1" applyFont="1" applyBorder="1" applyAlignment="1">
      <alignment horizontal="center" vertical="center" wrapText="1"/>
    </xf>
    <xf numFmtId="10" fontId="6" fillId="0" borderId="18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181" fontId="6" fillId="0" borderId="11" xfId="0" applyNumberFormat="1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181" fontId="6" fillId="0" borderId="10" xfId="0" applyNumberFormat="1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181" fontId="6" fillId="0" borderId="10" xfId="1" applyFont="1" applyBorder="1">
      <alignment vertical="center"/>
    </xf>
    <xf numFmtId="179" fontId="6" fillId="0" borderId="10" xfId="1" applyNumberFormat="1" applyFont="1" applyBorder="1">
      <alignment vertical="center"/>
    </xf>
    <xf numFmtId="179" fontId="6" fillId="0" borderId="11" xfId="0" applyNumberFormat="1" applyFont="1" applyBorder="1" applyAlignment="1">
      <alignment vertical="center" wrapText="1"/>
    </xf>
    <xf numFmtId="179" fontId="6" fillId="0" borderId="10" xfId="0" applyNumberFormat="1" applyFont="1" applyBorder="1" applyAlignment="1">
      <alignment vertical="center" wrapText="1"/>
    </xf>
    <xf numFmtId="179" fontId="6" fillId="0" borderId="18" xfId="0" applyNumberFormat="1" applyFont="1" applyBorder="1" applyAlignment="1">
      <alignment vertical="center" wrapText="1"/>
    </xf>
    <xf numFmtId="179" fontId="6" fillId="0" borderId="12" xfId="0" applyNumberFormat="1" applyFont="1" applyBorder="1" applyAlignment="1">
      <alignment vertical="center" wrapText="1"/>
    </xf>
    <xf numFmtId="177" fontId="6" fillId="0" borderId="12" xfId="0" applyNumberFormat="1" applyFont="1" applyBorder="1" applyAlignment="1">
      <alignment horizontal="center" vertical="center" wrapText="1"/>
    </xf>
    <xf numFmtId="182" fontId="6" fillId="0" borderId="12" xfId="0" applyNumberFormat="1" applyFont="1" applyBorder="1" applyAlignment="1">
      <alignment horizontal="center" vertical="center" wrapText="1"/>
    </xf>
    <xf numFmtId="180" fontId="6" fillId="0" borderId="12" xfId="0" applyNumberFormat="1" applyFont="1" applyBorder="1" applyAlignment="1">
      <alignment horizontal="center" vertical="center" wrapText="1"/>
    </xf>
    <xf numFmtId="178" fontId="6" fillId="0" borderId="11" xfId="1" applyNumberFormat="1" applyFont="1" applyBorder="1">
      <alignment vertical="center"/>
    </xf>
    <xf numFmtId="178" fontId="6" fillId="0" borderId="18" xfId="1" applyNumberFormat="1" applyFont="1" applyBorder="1">
      <alignment vertical="center"/>
    </xf>
    <xf numFmtId="178" fontId="6" fillId="0" borderId="10" xfId="1" applyNumberFormat="1" applyFont="1" applyBorder="1">
      <alignment vertical="center"/>
    </xf>
    <xf numFmtId="42" fontId="6" fillId="0" borderId="6" xfId="0" quotePrefix="1" applyNumberFormat="1" applyFont="1" applyBorder="1">
      <alignment vertical="center"/>
    </xf>
    <xf numFmtId="0" fontId="6" fillId="0" borderId="6" xfId="0" applyFont="1" applyBorder="1" applyAlignment="1">
      <alignment horizontal="center" vertical="center"/>
    </xf>
    <xf numFmtId="181" fontId="6" fillId="0" borderId="6" xfId="1" quotePrefix="1" applyFont="1" applyBorder="1">
      <alignment vertical="center"/>
    </xf>
    <xf numFmtId="0" fontId="6" fillId="0" borderId="12" xfId="0" applyFont="1" applyBorder="1" applyAlignment="1">
      <alignment horizontal="justify" vertical="center" wrapText="1"/>
    </xf>
    <xf numFmtId="177" fontId="6" fillId="0" borderId="14" xfId="0" applyNumberFormat="1" applyFont="1" applyBorder="1" applyAlignment="1">
      <alignment horizontal="center" vertical="center" wrapText="1"/>
    </xf>
    <xf numFmtId="177" fontId="6" fillId="0" borderId="6" xfId="0" applyNumberFormat="1" applyFont="1" applyBorder="1" applyAlignment="1">
      <alignment horizontal="center" vertical="center" wrapText="1"/>
    </xf>
    <xf numFmtId="14" fontId="8" fillId="0" borderId="0" xfId="3" applyNumberFormat="1" applyFont="1" applyAlignment="1">
      <alignment horizontal="right" vertical="center"/>
    </xf>
    <xf numFmtId="0" fontId="6" fillId="0" borderId="6" xfId="0" applyFont="1" applyBorder="1" applyAlignment="1">
      <alignment horizontal="center" vertical="center" wrapText="1"/>
    </xf>
    <xf numFmtId="184" fontId="6" fillId="0" borderId="11" xfId="0" applyNumberFormat="1" applyFont="1" applyBorder="1" applyAlignment="1">
      <alignment horizontal="center" vertical="center" wrapText="1"/>
    </xf>
    <xf numFmtId="184" fontId="6" fillId="0" borderId="18" xfId="0" applyNumberFormat="1" applyFont="1" applyBorder="1" applyAlignment="1">
      <alignment horizontal="center" vertical="center" wrapText="1"/>
    </xf>
    <xf numFmtId="180" fontId="6" fillId="0" borderId="25" xfId="0" applyNumberFormat="1" applyFont="1" applyBorder="1" applyAlignment="1">
      <alignment horizontal="center" vertical="center" wrapText="1"/>
    </xf>
    <xf numFmtId="180" fontId="6" fillId="0" borderId="14" xfId="0" applyNumberFormat="1" applyFont="1" applyBorder="1" applyAlignment="1">
      <alignment horizontal="center" vertical="center" wrapText="1"/>
    </xf>
    <xf numFmtId="0" fontId="23" fillId="0" borderId="47" xfId="3" applyFont="1" applyBorder="1" applyAlignment="1">
      <alignment vertical="center"/>
    </xf>
    <xf numFmtId="0" fontId="23" fillId="0" borderId="38" xfId="3" applyFont="1" applyBorder="1" applyAlignment="1">
      <alignment vertical="center"/>
    </xf>
    <xf numFmtId="0" fontId="6" fillId="0" borderId="38" xfId="0" applyFont="1" applyBorder="1" applyAlignment="1">
      <alignment horizontal="left" vertical="center"/>
    </xf>
    <xf numFmtId="0" fontId="0" fillId="0" borderId="38" xfId="0" applyBorder="1">
      <alignment vertical="center"/>
    </xf>
    <xf numFmtId="0" fontId="0" fillId="0" borderId="23" xfId="0" applyBorder="1">
      <alignment vertical="center"/>
    </xf>
    <xf numFmtId="0" fontId="30" fillId="0" borderId="0" xfId="7" applyFont="1">
      <alignment vertical="center"/>
    </xf>
    <xf numFmtId="0" fontId="31" fillId="0" borderId="0" xfId="7" applyFont="1">
      <alignment vertical="center"/>
    </xf>
    <xf numFmtId="178" fontId="31" fillId="0" borderId="6" xfId="7" applyNumberFormat="1" applyFont="1" applyBorder="1" applyAlignment="1">
      <alignment horizontal="center" vertical="center"/>
    </xf>
    <xf numFmtId="0" fontId="31" fillId="0" borderId="6" xfId="7" applyFont="1" applyBorder="1" applyAlignment="1">
      <alignment horizontal="center" vertical="center"/>
    </xf>
    <xf numFmtId="202" fontId="31" fillId="0" borderId="6" xfId="7" applyNumberFormat="1" applyFont="1" applyBorder="1" applyAlignment="1">
      <alignment horizontal="center" vertical="center"/>
    </xf>
    <xf numFmtId="0" fontId="31" fillId="0" borderId="0" xfId="7" applyFont="1" applyAlignment="1">
      <alignment horizontal="center" vertical="center"/>
    </xf>
    <xf numFmtId="178" fontId="31" fillId="9" borderId="6" xfId="7" applyNumberFormat="1" applyFont="1" applyFill="1" applyBorder="1" applyAlignment="1">
      <alignment horizontal="center" vertical="center"/>
    </xf>
    <xf numFmtId="0" fontId="33" fillId="9" borderId="6" xfId="7" applyFont="1" applyFill="1" applyBorder="1" applyAlignment="1">
      <alignment horizontal="center" vertical="center"/>
    </xf>
    <xf numFmtId="202" fontId="33" fillId="9" borderId="6" xfId="7" applyNumberFormat="1" applyFont="1" applyFill="1" applyBorder="1" applyAlignment="1">
      <alignment horizontal="center" vertical="center"/>
    </xf>
    <xf numFmtId="0" fontId="30" fillId="0" borderId="0" xfId="7" applyFont="1" applyAlignment="1">
      <alignment horizontal="center" vertical="center"/>
    </xf>
    <xf numFmtId="0" fontId="34" fillId="0" borderId="0" xfId="7" applyFont="1">
      <alignment vertical="center"/>
    </xf>
    <xf numFmtId="0" fontId="35" fillId="0" borderId="0" xfId="7" applyFont="1" applyAlignment="1">
      <alignment horizontal="center" vertical="center"/>
    </xf>
    <xf numFmtId="0" fontId="35" fillId="0" borderId="0" xfId="7" applyFont="1">
      <alignment vertical="center"/>
    </xf>
    <xf numFmtId="187" fontId="31" fillId="0" borderId="51" xfId="7" applyNumberFormat="1" applyFont="1" applyBorder="1" applyAlignment="1">
      <alignment horizontal="center" vertical="center"/>
    </xf>
    <xf numFmtId="187" fontId="31" fillId="0" borderId="52" xfId="7" applyNumberFormat="1" applyFont="1" applyBorder="1" applyAlignment="1">
      <alignment horizontal="center" vertical="center"/>
    </xf>
    <xf numFmtId="178" fontId="31" fillId="0" borderId="53" xfId="7" applyNumberFormat="1" applyFont="1" applyBorder="1" applyAlignment="1">
      <alignment horizontal="center" vertical="center"/>
    </xf>
    <xf numFmtId="0" fontId="31" fillId="0" borderId="53" xfId="7" applyFont="1" applyBorder="1" applyAlignment="1">
      <alignment horizontal="center" vertical="center"/>
    </xf>
    <xf numFmtId="0" fontId="31" fillId="0" borderId="54" xfId="7" applyFont="1" applyBorder="1" applyAlignment="1">
      <alignment horizontal="center" vertical="center"/>
    </xf>
    <xf numFmtId="178" fontId="31" fillId="0" borderId="56" xfId="7" applyNumberFormat="1" applyFont="1" applyBorder="1" applyAlignment="1">
      <alignment horizontal="center" vertical="center"/>
    </xf>
    <xf numFmtId="178" fontId="31" fillId="0" borderId="8" xfId="7" applyNumberFormat="1" applyFont="1" applyBorder="1" applyAlignment="1">
      <alignment horizontal="center" vertical="center"/>
    </xf>
    <xf numFmtId="178" fontId="31" fillId="0" borderId="6" xfId="8" applyNumberFormat="1" applyFont="1" applyBorder="1" applyAlignment="1">
      <alignment horizontal="center" vertical="center"/>
    </xf>
    <xf numFmtId="0" fontId="31" fillId="0" borderId="7" xfId="7" applyFont="1" applyBorder="1" applyAlignment="1">
      <alignment horizontal="center" vertical="center"/>
    </xf>
    <xf numFmtId="178" fontId="33" fillId="4" borderId="56" xfId="7" applyNumberFormat="1" applyFont="1" applyFill="1" applyBorder="1" applyAlignment="1">
      <alignment horizontal="center" vertical="center"/>
    </xf>
    <xf numFmtId="178" fontId="33" fillId="4" borderId="8" xfId="7" applyNumberFormat="1" applyFont="1" applyFill="1" applyBorder="1" applyAlignment="1">
      <alignment horizontal="center" vertical="center"/>
    </xf>
    <xf numFmtId="178" fontId="33" fillId="10" borderId="6" xfId="8" applyNumberFormat="1" applyFont="1" applyFill="1" applyBorder="1" applyAlignment="1">
      <alignment horizontal="center" vertical="center"/>
    </xf>
    <xf numFmtId="0" fontId="33" fillId="4" borderId="6" xfId="7" applyFont="1" applyFill="1" applyBorder="1" applyAlignment="1">
      <alignment horizontal="center" vertical="center"/>
    </xf>
    <xf numFmtId="0" fontId="33" fillId="4" borderId="7" xfId="7" applyFont="1" applyFill="1" applyBorder="1" applyAlignment="1">
      <alignment horizontal="center" vertical="center"/>
    </xf>
    <xf numFmtId="0" fontId="30" fillId="0" borderId="56" xfId="7" applyFont="1" applyBorder="1" applyAlignment="1">
      <alignment horizontal="center" vertical="center"/>
    </xf>
    <xf numFmtId="0" fontId="31" fillId="0" borderId="56" xfId="7" applyFont="1" applyBorder="1" applyAlignment="1">
      <alignment horizontal="center" vertical="center"/>
    </xf>
    <xf numFmtId="0" fontId="31" fillId="0" borderId="8" xfId="7" applyFont="1" applyBorder="1" applyAlignment="1">
      <alignment horizontal="center" vertical="center"/>
    </xf>
    <xf numFmtId="179" fontId="31" fillId="0" borderId="6" xfId="7" applyNumberFormat="1" applyFont="1" applyBorder="1" applyAlignment="1">
      <alignment horizontal="center" vertical="center"/>
    </xf>
    <xf numFmtId="177" fontId="31" fillId="0" borderId="6" xfId="7" applyNumberFormat="1" applyFont="1" applyBorder="1" applyAlignment="1">
      <alignment horizontal="center" vertical="center"/>
    </xf>
    <xf numFmtId="0" fontId="31" fillId="0" borderId="7" xfId="7" applyFont="1" applyBorder="1" applyAlignment="1">
      <alignment horizontal="center" vertical="center" wrapText="1"/>
    </xf>
    <xf numFmtId="0" fontId="33" fillId="0" borderId="0" xfId="7" applyFont="1">
      <alignment vertical="center"/>
    </xf>
    <xf numFmtId="0" fontId="37" fillId="0" borderId="0" xfId="7" applyFont="1">
      <alignment vertical="center"/>
    </xf>
    <xf numFmtId="0" fontId="38" fillId="4" borderId="31" xfId="7" applyFont="1" applyFill="1" applyBorder="1" applyAlignment="1">
      <alignment horizontal="left" vertical="center" indent="1"/>
    </xf>
    <xf numFmtId="0" fontId="38" fillId="4" borderId="30" xfId="7" applyFont="1" applyFill="1" applyBorder="1" applyAlignment="1">
      <alignment horizontal="left" vertical="center" indent="1"/>
    </xf>
    <xf numFmtId="0" fontId="38" fillId="4" borderId="29" xfId="7" applyFont="1" applyFill="1" applyBorder="1" applyAlignment="1">
      <alignment horizontal="left" vertical="center" indent="1"/>
    </xf>
    <xf numFmtId="0" fontId="38" fillId="4" borderId="28" xfId="7" applyFont="1" applyFill="1" applyBorder="1" applyAlignment="1">
      <alignment horizontal="left" vertical="center" indent="1"/>
    </xf>
    <xf numFmtId="0" fontId="38" fillId="4" borderId="27" xfId="7" applyFont="1" applyFill="1" applyBorder="1" applyAlignment="1">
      <alignment horizontal="left" vertical="center" indent="1"/>
    </xf>
    <xf numFmtId="0" fontId="38" fillId="4" borderId="26" xfId="7" applyFont="1" applyFill="1" applyBorder="1" applyAlignment="1">
      <alignment horizontal="left" vertical="center" indent="1"/>
    </xf>
    <xf numFmtId="0" fontId="39" fillId="0" borderId="0" xfId="7" applyFont="1">
      <alignment vertical="center"/>
    </xf>
    <xf numFmtId="14" fontId="41" fillId="0" borderId="0" xfId="9" applyNumberFormat="1" applyFont="1" applyAlignment="1">
      <alignment horizontal="right" vertical="center"/>
    </xf>
    <xf numFmtId="0" fontId="42" fillId="0" borderId="0" xfId="9" applyFont="1" applyAlignment="1">
      <alignment vertical="center"/>
    </xf>
    <xf numFmtId="0" fontId="43" fillId="0" borderId="0" xfId="9" applyFont="1" applyAlignment="1">
      <alignment vertical="center"/>
    </xf>
    <xf numFmtId="0" fontId="44" fillId="0" borderId="0" xfId="9" applyFont="1" applyAlignment="1">
      <alignment vertical="center"/>
    </xf>
    <xf numFmtId="0" fontId="45" fillId="0" borderId="0" xfId="7" applyFont="1">
      <alignment vertical="center"/>
    </xf>
    <xf numFmtId="0" fontId="38" fillId="0" borderId="0" xfId="7" applyFont="1">
      <alignment vertical="center"/>
    </xf>
    <xf numFmtId="203" fontId="11" fillId="0" borderId="6" xfId="0" applyNumberFormat="1" applyFont="1" applyBorder="1">
      <alignment vertical="center"/>
    </xf>
    <xf numFmtId="204" fontId="11" fillId="0" borderId="6" xfId="0" applyNumberFormat="1" applyFont="1" applyBorder="1">
      <alignment vertical="center"/>
    </xf>
    <xf numFmtId="178" fontId="31" fillId="0" borderId="0" xfId="7" applyNumberFormat="1" applyFont="1">
      <alignment vertical="center"/>
    </xf>
    <xf numFmtId="204" fontId="31" fillId="0" borderId="0" xfId="7" applyNumberFormat="1" applyFont="1">
      <alignment vertical="center"/>
    </xf>
    <xf numFmtId="178" fontId="31" fillId="7" borderId="6" xfId="7" applyNumberFormat="1" applyFont="1" applyFill="1" applyBorder="1" applyAlignment="1">
      <alignment horizontal="center" vertical="center"/>
    </xf>
    <xf numFmtId="0" fontId="46" fillId="0" borderId="10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182" fontId="6" fillId="0" borderId="25" xfId="0" applyNumberFormat="1" applyFont="1" applyBorder="1" applyAlignment="1">
      <alignment horizontal="center" vertical="center" wrapText="1"/>
    </xf>
    <xf numFmtId="181" fontId="6" fillId="0" borderId="14" xfId="1" applyFont="1" applyBorder="1">
      <alignment vertical="center"/>
    </xf>
    <xf numFmtId="182" fontId="6" fillId="0" borderId="14" xfId="0" applyNumberFormat="1" applyFont="1" applyBorder="1" applyAlignment="1">
      <alignment horizontal="center" vertical="center" wrapText="1"/>
    </xf>
    <xf numFmtId="178" fontId="6" fillId="0" borderId="25" xfId="1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82" fontId="6" fillId="0" borderId="6" xfId="0" applyNumberFormat="1" applyFont="1" applyBorder="1" applyAlignment="1">
      <alignment horizontal="center" vertical="center" wrapText="1"/>
    </xf>
    <xf numFmtId="180" fontId="6" fillId="0" borderId="6" xfId="0" applyNumberFormat="1" applyFont="1" applyBorder="1" applyAlignment="1">
      <alignment horizontal="center" vertical="center" wrapText="1"/>
    </xf>
    <xf numFmtId="179" fontId="6" fillId="0" borderId="25" xfId="0" applyNumberFormat="1" applyFont="1" applyBorder="1" applyAlignment="1">
      <alignment vertical="center" wrapText="1"/>
    </xf>
    <xf numFmtId="177" fontId="6" fillId="0" borderId="25" xfId="0" applyNumberFormat="1" applyFont="1" applyBorder="1" applyAlignment="1">
      <alignment horizontal="center" vertical="center" wrapText="1"/>
    </xf>
    <xf numFmtId="181" fontId="46" fillId="0" borderId="11" xfId="1" applyFont="1" applyBorder="1">
      <alignment vertical="center"/>
    </xf>
    <xf numFmtId="177" fontId="46" fillId="0" borderId="11" xfId="0" applyNumberFormat="1" applyFont="1" applyBorder="1" applyAlignment="1">
      <alignment horizontal="center" vertical="center" wrapText="1"/>
    </xf>
    <xf numFmtId="2" fontId="6" fillId="0" borderId="14" xfId="0" applyNumberFormat="1" applyFont="1" applyBorder="1" applyAlignment="1">
      <alignment horizontal="center" vertical="center" wrapText="1"/>
    </xf>
    <xf numFmtId="181" fontId="6" fillId="0" borderId="25" xfId="1" applyFont="1" applyBorder="1">
      <alignment vertical="center"/>
    </xf>
    <xf numFmtId="182" fontId="6" fillId="0" borderId="18" xfId="0" applyNumberFormat="1" applyFont="1" applyBorder="1" applyAlignment="1">
      <alignment horizontal="center" vertical="center" wrapText="1"/>
    </xf>
    <xf numFmtId="0" fontId="44" fillId="0" borderId="0" xfId="10" applyFont="1" applyAlignment="1">
      <alignment horizontal="left" vertical="center"/>
    </xf>
    <xf numFmtId="0" fontId="2" fillId="0" borderId="0" xfId="10">
      <alignment vertical="center"/>
    </xf>
    <xf numFmtId="0" fontId="48" fillId="11" borderId="64" xfId="10" applyFont="1" applyFill="1" applyBorder="1" applyAlignment="1">
      <alignment horizontal="center" vertical="center"/>
    </xf>
    <xf numFmtId="201" fontId="2" fillId="0" borderId="0" xfId="10" applyNumberFormat="1">
      <alignment vertical="center"/>
    </xf>
    <xf numFmtId="0" fontId="2" fillId="0" borderId="26" xfId="10" applyBorder="1">
      <alignment vertical="center"/>
    </xf>
    <xf numFmtId="0" fontId="2" fillId="0" borderId="27" xfId="10" applyBorder="1">
      <alignment vertical="center"/>
    </xf>
    <xf numFmtId="0" fontId="2" fillId="0" borderId="28" xfId="10" applyBorder="1">
      <alignment vertical="center"/>
    </xf>
    <xf numFmtId="0" fontId="2" fillId="0" borderId="65" xfId="10" applyBorder="1">
      <alignment vertical="center"/>
    </xf>
    <xf numFmtId="0" fontId="2" fillId="0" borderId="66" xfId="10" applyBorder="1">
      <alignment vertical="center"/>
    </xf>
    <xf numFmtId="0" fontId="2" fillId="0" borderId="65" xfId="10" applyBorder="1" applyAlignment="1">
      <alignment horizontal="center" vertical="center"/>
    </xf>
    <xf numFmtId="0" fontId="2" fillId="0" borderId="29" xfId="10" applyBorder="1" applyAlignment="1">
      <alignment horizontal="center" vertical="center"/>
    </xf>
    <xf numFmtId="0" fontId="2" fillId="0" borderId="30" xfId="10" applyBorder="1">
      <alignment vertical="center"/>
    </xf>
    <xf numFmtId="0" fontId="2" fillId="0" borderId="31" xfId="10" applyBorder="1">
      <alignment vertical="center"/>
    </xf>
    <xf numFmtId="0" fontId="2" fillId="0" borderId="0" xfId="10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6" fillId="0" borderId="13" xfId="0" quotePrefix="1" applyFont="1" applyBorder="1" applyAlignment="1">
      <alignment horizontal="center" vertical="center"/>
    </xf>
    <xf numFmtId="181" fontId="6" fillId="0" borderId="25" xfId="0" quotePrefix="1" applyNumberFormat="1" applyFont="1" applyBorder="1" applyAlignment="1">
      <alignment vertical="center" wrapText="1"/>
    </xf>
    <xf numFmtId="0" fontId="6" fillId="0" borderId="13" xfId="0" applyFont="1" applyBorder="1" applyAlignment="1">
      <alignment horizontal="center" vertical="center"/>
    </xf>
    <xf numFmtId="181" fontId="6" fillId="0" borderId="10" xfId="0" quotePrefix="1" applyNumberFormat="1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wrapText="1"/>
    </xf>
    <xf numFmtId="10" fontId="6" fillId="0" borderId="25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>
      <alignment vertical="center"/>
    </xf>
    <xf numFmtId="181" fontId="6" fillId="0" borderId="6" xfId="0" applyNumberFormat="1" applyFont="1" applyBorder="1">
      <alignment vertical="center"/>
    </xf>
    <xf numFmtId="176" fontId="6" fillId="0" borderId="6" xfId="0" applyNumberFormat="1" applyFont="1" applyBorder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181" fontId="6" fillId="0" borderId="11" xfId="0" quotePrefix="1" applyNumberFormat="1" applyFont="1" applyBorder="1" applyAlignment="1">
      <alignment vertical="center" wrapText="1"/>
    </xf>
    <xf numFmtId="0" fontId="6" fillId="0" borderId="35" xfId="0" applyFont="1" applyBorder="1" applyAlignment="1">
      <alignment horizontal="center" vertical="center" wrapText="1"/>
    </xf>
    <xf numFmtId="2" fontId="6" fillId="0" borderId="18" xfId="0" applyNumberFormat="1" applyFont="1" applyBorder="1" applyAlignment="1">
      <alignment horizontal="center" vertical="center" wrapText="1"/>
    </xf>
    <xf numFmtId="0" fontId="30" fillId="0" borderId="0" xfId="12">
      <alignment vertical="center"/>
    </xf>
    <xf numFmtId="0" fontId="54" fillId="0" borderId="0" xfId="12" applyFont="1">
      <alignment vertical="center"/>
    </xf>
    <xf numFmtId="0" fontId="55" fillId="10" borderId="6" xfId="12" quotePrefix="1" applyFont="1" applyFill="1" applyBorder="1" applyAlignment="1">
      <alignment horizontal="center" vertical="center"/>
    </xf>
    <xf numFmtId="0" fontId="55" fillId="10" borderId="6" xfId="12" applyFont="1" applyFill="1" applyBorder="1" applyAlignment="1">
      <alignment horizontal="center" vertical="center"/>
    </xf>
    <xf numFmtId="0" fontId="55" fillId="10" borderId="8" xfId="12" applyFont="1" applyFill="1" applyBorder="1" applyAlignment="1">
      <alignment horizontal="center" vertical="center"/>
    </xf>
    <xf numFmtId="0" fontId="55" fillId="12" borderId="67" xfId="12" quotePrefix="1" applyFont="1" applyFill="1" applyBorder="1" applyAlignment="1">
      <alignment horizontal="center" vertical="center"/>
    </xf>
    <xf numFmtId="0" fontId="55" fillId="12" borderId="6" xfId="12" quotePrefix="1" applyFont="1" applyFill="1" applyBorder="1" applyAlignment="1">
      <alignment horizontal="center" vertical="center"/>
    </xf>
    <xf numFmtId="0" fontId="55" fillId="0" borderId="0" xfId="12" applyFont="1">
      <alignment vertical="center"/>
    </xf>
    <xf numFmtId="0" fontId="55" fillId="13" borderId="6" xfId="12" quotePrefix="1" applyFont="1" applyFill="1" applyBorder="1" applyAlignment="1">
      <alignment horizontal="center" vertical="center"/>
    </xf>
    <xf numFmtId="0" fontId="55" fillId="13" borderId="8" xfId="12" quotePrefix="1" applyFont="1" applyFill="1" applyBorder="1" applyAlignment="1">
      <alignment horizontal="center" vertical="center"/>
    </xf>
    <xf numFmtId="183" fontId="30" fillId="10" borderId="11" xfId="12" applyNumberFormat="1" applyFill="1" applyBorder="1">
      <alignment vertical="center"/>
    </xf>
    <xf numFmtId="183" fontId="30" fillId="10" borderId="24" xfId="12" applyNumberFormat="1" applyFill="1" applyBorder="1">
      <alignment vertical="center"/>
    </xf>
    <xf numFmtId="204" fontId="30" fillId="12" borderId="68" xfId="12" applyNumberFormat="1" applyFill="1" applyBorder="1">
      <alignment vertical="center"/>
    </xf>
    <xf numFmtId="204" fontId="30" fillId="12" borderId="11" xfId="12" applyNumberFormat="1" applyFill="1" applyBorder="1">
      <alignment vertical="center"/>
    </xf>
    <xf numFmtId="183" fontId="30" fillId="13" borderId="18" xfId="12" applyNumberFormat="1" applyFill="1" applyBorder="1">
      <alignment vertical="center"/>
    </xf>
    <xf numFmtId="183" fontId="30" fillId="13" borderId="32" xfId="12" applyNumberFormat="1" applyFill="1" applyBorder="1">
      <alignment vertical="center"/>
    </xf>
    <xf numFmtId="204" fontId="30" fillId="12" borderId="69" xfId="12" applyNumberFormat="1" applyFill="1" applyBorder="1">
      <alignment vertical="center"/>
    </xf>
    <xf numFmtId="204" fontId="30" fillId="12" borderId="18" xfId="12" applyNumberFormat="1" applyFill="1" applyBorder="1">
      <alignment vertical="center"/>
    </xf>
    <xf numFmtId="0" fontId="9" fillId="2" borderId="15" xfId="0" applyFont="1" applyFill="1" applyBorder="1" applyAlignment="1">
      <alignment horizontal="justify" vertical="center" wrapText="1"/>
    </xf>
    <xf numFmtId="0" fontId="6" fillId="2" borderId="15" xfId="0" applyFont="1" applyFill="1" applyBorder="1" applyAlignment="1">
      <alignment horizontal="justify" vertical="center" wrapText="1"/>
    </xf>
    <xf numFmtId="0" fontId="6" fillId="2" borderId="15" xfId="0" applyFont="1" applyFill="1" applyBorder="1" applyAlignment="1">
      <alignment horizontal="left" vertical="center" wrapText="1"/>
    </xf>
    <xf numFmtId="178" fontId="6" fillId="2" borderId="15" xfId="0" applyNumberFormat="1" applyFont="1" applyFill="1" applyBorder="1">
      <alignment vertical="center"/>
    </xf>
    <xf numFmtId="176" fontId="6" fillId="2" borderId="15" xfId="0" applyNumberFormat="1" applyFont="1" applyFill="1" applyBorder="1" applyAlignment="1">
      <alignment horizontal="center" vertical="center" wrapText="1"/>
    </xf>
    <xf numFmtId="178" fontId="6" fillId="2" borderId="15" xfId="0" applyNumberFormat="1" applyFont="1" applyFill="1" applyBorder="1" applyAlignment="1">
      <alignment horizontal="center" vertical="center" wrapText="1"/>
    </xf>
    <xf numFmtId="177" fontId="6" fillId="2" borderId="15" xfId="0" applyNumberFormat="1" applyFont="1" applyFill="1" applyBorder="1" applyAlignment="1">
      <alignment horizontal="center" vertical="center" wrapText="1"/>
    </xf>
    <xf numFmtId="182" fontId="6" fillId="2" borderId="15" xfId="0" applyNumberFormat="1" applyFont="1" applyFill="1" applyBorder="1" applyAlignment="1">
      <alignment horizontal="center" vertical="center" wrapText="1"/>
    </xf>
    <xf numFmtId="180" fontId="6" fillId="2" borderId="6" xfId="0" applyNumberFormat="1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justify" vertical="center" wrapText="1"/>
    </xf>
    <xf numFmtId="0" fontId="13" fillId="2" borderId="6" xfId="0" applyFont="1" applyFill="1" applyBorder="1">
      <alignment vertical="center"/>
    </xf>
    <xf numFmtId="0" fontId="6" fillId="2" borderId="6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justify" vertical="center" wrapText="1"/>
    </xf>
    <xf numFmtId="181" fontId="6" fillId="2" borderId="6" xfId="1" applyFont="1" applyFill="1" applyBorder="1">
      <alignment vertical="center"/>
    </xf>
    <xf numFmtId="179" fontId="6" fillId="2" borderId="6" xfId="0" applyNumberFormat="1" applyFont="1" applyFill="1" applyBorder="1" applyAlignment="1">
      <alignment vertical="center" wrapText="1"/>
    </xf>
    <xf numFmtId="177" fontId="6" fillId="2" borderId="6" xfId="0" applyNumberFormat="1" applyFont="1" applyFill="1" applyBorder="1" applyAlignment="1">
      <alignment horizontal="center" vertical="center" wrapText="1"/>
    </xf>
    <xf numFmtId="182" fontId="6" fillId="2" borderId="6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9" fillId="2" borderId="8" xfId="0" applyFont="1" applyFill="1" applyBorder="1">
      <alignment vertical="center"/>
    </xf>
    <xf numFmtId="0" fontId="6" fillId="2" borderId="7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justify" vertical="center" wrapText="1"/>
    </xf>
    <xf numFmtId="178" fontId="6" fillId="2" borderId="12" xfId="1" applyNumberFormat="1" applyFont="1" applyFill="1" applyBorder="1">
      <alignment vertical="center"/>
    </xf>
    <xf numFmtId="179" fontId="6" fillId="2" borderId="12" xfId="0" applyNumberFormat="1" applyFont="1" applyFill="1" applyBorder="1" applyAlignment="1">
      <alignment vertical="center" wrapText="1"/>
    </xf>
    <xf numFmtId="177" fontId="6" fillId="2" borderId="12" xfId="0" applyNumberFormat="1" applyFont="1" applyFill="1" applyBorder="1" applyAlignment="1">
      <alignment horizontal="center" vertical="center" wrapText="1"/>
    </xf>
    <xf numFmtId="182" fontId="6" fillId="2" borderId="12" xfId="0" applyNumberFormat="1" applyFont="1" applyFill="1" applyBorder="1" applyAlignment="1">
      <alignment horizontal="center" vertical="center" wrapText="1"/>
    </xf>
    <xf numFmtId="0" fontId="13" fillId="2" borderId="47" xfId="0" applyFont="1" applyFill="1" applyBorder="1">
      <alignment vertical="center"/>
    </xf>
    <xf numFmtId="0" fontId="6" fillId="2" borderId="23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179" fontId="6" fillId="2" borderId="15" xfId="0" applyNumberFormat="1" applyFont="1" applyFill="1" applyBorder="1" applyAlignment="1">
      <alignment vertical="center" wrapText="1"/>
    </xf>
    <xf numFmtId="180" fontId="6" fillId="2" borderId="15" xfId="0" applyNumberFormat="1" applyFont="1" applyFill="1" applyBorder="1" applyAlignment="1">
      <alignment horizontal="center" vertical="center" wrapText="1"/>
    </xf>
    <xf numFmtId="0" fontId="6" fillId="2" borderId="19" xfId="0" applyFont="1" applyFill="1" applyBorder="1">
      <alignment vertical="center"/>
    </xf>
    <xf numFmtId="0" fontId="6" fillId="2" borderId="20" xfId="0" applyFont="1" applyFill="1" applyBorder="1" applyAlignment="1">
      <alignment horizontal="left" vertical="center"/>
    </xf>
    <xf numFmtId="180" fontId="6" fillId="2" borderId="12" xfId="0" applyNumberFormat="1" applyFont="1" applyFill="1" applyBorder="1" applyAlignment="1">
      <alignment horizontal="center" vertical="center" wrapText="1"/>
    </xf>
    <xf numFmtId="2" fontId="6" fillId="2" borderId="12" xfId="0" applyNumberFormat="1" applyFont="1" applyFill="1" applyBorder="1" applyAlignment="1">
      <alignment horizontal="center" vertical="center" wrapText="1"/>
    </xf>
    <xf numFmtId="0" fontId="6" fillId="2" borderId="9" xfId="0" applyFont="1" applyFill="1" applyBorder="1">
      <alignment vertical="center"/>
    </xf>
    <xf numFmtId="178" fontId="6" fillId="2" borderId="6" xfId="1" applyNumberFormat="1" applyFont="1" applyFill="1" applyBorder="1">
      <alignment vertical="center"/>
    </xf>
    <xf numFmtId="2" fontId="6" fillId="2" borderId="6" xfId="0" applyNumberFormat="1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181" fontId="6" fillId="2" borderId="6" xfId="0" applyNumberFormat="1" applyFont="1" applyFill="1" applyBorder="1" applyAlignment="1">
      <alignment vertical="center" wrapText="1"/>
    </xf>
    <xf numFmtId="177" fontId="6" fillId="2" borderId="6" xfId="0" applyNumberFormat="1" applyFont="1" applyFill="1" applyBorder="1" applyAlignment="1">
      <alignment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181" fontId="7" fillId="4" borderId="2" xfId="0" applyNumberFormat="1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center" vertical="center" wrapText="1"/>
    </xf>
    <xf numFmtId="181" fontId="7" fillId="4" borderId="2" xfId="1" applyFont="1" applyFill="1" applyBorder="1">
      <alignment vertical="center"/>
    </xf>
    <xf numFmtId="176" fontId="7" fillId="4" borderId="2" xfId="0" applyNumberFormat="1" applyFont="1" applyFill="1" applyBorder="1" applyAlignment="1">
      <alignment horizontal="center" vertical="center" wrapText="1"/>
    </xf>
    <xf numFmtId="178" fontId="7" fillId="4" borderId="2" xfId="0" applyNumberFormat="1" applyFont="1" applyFill="1" applyBorder="1" applyAlignment="1">
      <alignment horizontal="center" vertical="center" wrapText="1"/>
    </xf>
    <xf numFmtId="177" fontId="7" fillId="4" borderId="2" xfId="0" applyNumberFormat="1" applyFont="1" applyFill="1" applyBorder="1" applyAlignment="1">
      <alignment vertical="center" wrapText="1"/>
    </xf>
    <xf numFmtId="180" fontId="8" fillId="4" borderId="2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76" fontId="6" fillId="0" borderId="10" xfId="0" applyNumberFormat="1" applyFont="1" applyBorder="1" applyAlignment="1">
      <alignment vertical="center" wrapText="1"/>
    </xf>
    <xf numFmtId="176" fontId="6" fillId="0" borderId="18" xfId="0" applyNumberFormat="1" applyFont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6" fillId="2" borderId="15" xfId="0" applyFont="1" applyFill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180" fontId="6" fillId="0" borderId="11" xfId="0" applyNumberFormat="1" applyFont="1" applyBorder="1" applyAlignment="1">
      <alignment vertical="center" wrapText="1"/>
    </xf>
    <xf numFmtId="180" fontId="6" fillId="0" borderId="10" xfId="0" applyNumberFormat="1" applyFont="1" applyBorder="1" applyAlignment="1">
      <alignment vertical="center" wrapText="1"/>
    </xf>
    <xf numFmtId="2" fontId="6" fillId="0" borderId="11" xfId="0" applyNumberFormat="1" applyFont="1" applyBorder="1" applyAlignment="1">
      <alignment vertical="center" wrapText="1"/>
    </xf>
    <xf numFmtId="2" fontId="6" fillId="0" borderId="18" xfId="0" applyNumberFormat="1" applyFont="1" applyBorder="1" applyAlignment="1">
      <alignment vertical="center" wrapText="1"/>
    </xf>
    <xf numFmtId="2" fontId="6" fillId="0" borderId="10" xfId="0" applyNumberFormat="1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2" fontId="6" fillId="14" borderId="10" xfId="0" applyNumberFormat="1" applyFont="1" applyFill="1" applyBorder="1" applyAlignment="1">
      <alignment vertical="center" wrapText="1"/>
    </xf>
    <xf numFmtId="2" fontId="6" fillId="2" borderId="12" xfId="0" applyNumberFormat="1" applyFont="1" applyFill="1" applyBorder="1" applyAlignment="1">
      <alignment vertical="center" wrapText="1"/>
    </xf>
    <xf numFmtId="180" fontId="6" fillId="0" borderId="18" xfId="0" applyNumberFormat="1" applyFont="1" applyBorder="1" applyAlignment="1">
      <alignment vertical="center" wrapText="1"/>
    </xf>
    <xf numFmtId="2" fontId="6" fillId="2" borderId="6" xfId="0" applyNumberFormat="1" applyFont="1" applyFill="1" applyBorder="1" applyAlignment="1">
      <alignment vertical="center" wrapText="1"/>
    </xf>
    <xf numFmtId="180" fontId="6" fillId="0" borderId="25" xfId="0" applyNumberFormat="1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180" fontId="6" fillId="2" borderId="12" xfId="0" applyNumberFormat="1" applyFont="1" applyFill="1" applyBorder="1" applyAlignment="1">
      <alignment vertical="center" wrapText="1"/>
    </xf>
    <xf numFmtId="0" fontId="13" fillId="2" borderId="15" xfId="0" applyFont="1" applyFill="1" applyBorder="1">
      <alignment vertical="center"/>
    </xf>
    <xf numFmtId="176" fontId="31" fillId="14" borderId="11" xfId="0" applyNumberFormat="1" applyFont="1" applyFill="1" applyBorder="1">
      <alignment vertical="center"/>
    </xf>
    <xf numFmtId="176" fontId="31" fillId="14" borderId="10" xfId="0" applyNumberFormat="1" applyFont="1" applyFill="1" applyBorder="1" applyAlignment="1">
      <alignment horizontal="right" vertical="center"/>
    </xf>
    <xf numFmtId="189" fontId="8" fillId="4" borderId="2" xfId="0" applyNumberFormat="1" applyFont="1" applyFill="1" applyBorder="1" applyAlignment="1">
      <alignment horizontal="center" vertical="center" wrapText="1"/>
    </xf>
    <xf numFmtId="189" fontId="8" fillId="4" borderId="2" xfId="0" applyNumberFormat="1" applyFont="1" applyFill="1" applyBorder="1" applyAlignment="1">
      <alignment vertical="center" wrapText="1"/>
    </xf>
    <xf numFmtId="176" fontId="31" fillId="14" borderId="10" xfId="0" applyNumberFormat="1" applyFont="1" applyFill="1" applyBorder="1">
      <alignment vertical="center"/>
    </xf>
    <xf numFmtId="2" fontId="13" fillId="0" borderId="11" xfId="0" applyNumberFormat="1" applyFont="1" applyBorder="1" applyAlignment="1">
      <alignment horizontal="center" vertical="center" wrapText="1"/>
    </xf>
    <xf numFmtId="177" fontId="6" fillId="0" borderId="12" xfId="0" applyNumberFormat="1" applyFont="1" applyBorder="1" applyAlignment="1">
      <alignment vertical="center" wrapText="1"/>
    </xf>
    <xf numFmtId="177" fontId="6" fillId="0" borderId="11" xfId="0" applyNumberFormat="1" applyFont="1" applyBorder="1" applyAlignment="1">
      <alignment vertical="center" wrapText="1"/>
    </xf>
    <xf numFmtId="177" fontId="6" fillId="0" borderId="10" xfId="0" applyNumberFormat="1" applyFont="1" applyBorder="1" applyAlignment="1">
      <alignment vertical="center" wrapText="1"/>
    </xf>
    <xf numFmtId="177" fontId="31" fillId="14" borderId="50" xfId="0" applyNumberFormat="1" applyFont="1" applyFill="1" applyBorder="1">
      <alignment vertical="center"/>
    </xf>
    <xf numFmtId="177" fontId="6" fillId="0" borderId="18" xfId="0" applyNumberFormat="1" applyFont="1" applyBorder="1" applyAlignment="1">
      <alignment vertical="center" wrapText="1"/>
    </xf>
    <xf numFmtId="177" fontId="6" fillId="2" borderId="12" xfId="0" applyNumberFormat="1" applyFont="1" applyFill="1" applyBorder="1" applyAlignment="1">
      <alignment vertical="center" wrapText="1"/>
    </xf>
    <xf numFmtId="181" fontId="46" fillId="0" borderId="10" xfId="1" applyFont="1" applyBorder="1">
      <alignment vertical="center"/>
    </xf>
    <xf numFmtId="184" fontId="6" fillId="0" borderId="10" xfId="0" applyNumberFormat="1" applyFont="1" applyBorder="1" applyAlignment="1">
      <alignment horizontal="center" vertical="center" wrapText="1"/>
    </xf>
    <xf numFmtId="177" fontId="6" fillId="0" borderId="13" xfId="0" applyNumberFormat="1" applyFont="1" applyBorder="1" applyAlignment="1">
      <alignment horizontal="center" vertical="center" wrapText="1"/>
    </xf>
    <xf numFmtId="182" fontId="6" fillId="0" borderId="13" xfId="0" applyNumberFormat="1" applyFont="1" applyBorder="1" applyAlignment="1">
      <alignment horizontal="center" vertical="center" wrapText="1"/>
    </xf>
    <xf numFmtId="180" fontId="6" fillId="0" borderId="13" xfId="0" applyNumberFormat="1" applyFont="1" applyBorder="1" applyAlignment="1">
      <alignment horizontal="center" vertical="center" wrapText="1"/>
    </xf>
    <xf numFmtId="181" fontId="6" fillId="0" borderId="13" xfId="0" applyNumberFormat="1" applyFont="1" applyBorder="1" applyAlignment="1">
      <alignment vertical="center" wrapText="1"/>
    </xf>
    <xf numFmtId="0" fontId="46" fillId="0" borderId="25" xfId="0" applyFont="1" applyBorder="1" applyAlignment="1">
      <alignment horizontal="center" vertical="center" wrapText="1"/>
    </xf>
    <xf numFmtId="181" fontId="6" fillId="0" borderId="13" xfId="1" applyFont="1" applyBorder="1">
      <alignment vertical="center"/>
    </xf>
    <xf numFmtId="177" fontId="31" fillId="14" borderId="70" xfId="0" applyNumberFormat="1" applyFont="1" applyFill="1" applyBorder="1">
      <alignment vertical="center"/>
    </xf>
    <xf numFmtId="177" fontId="6" fillId="0" borderId="15" xfId="0" applyNumberFormat="1" applyFont="1" applyBorder="1" applyAlignment="1">
      <alignment horizontal="center" vertical="center" wrapText="1"/>
    </xf>
    <xf numFmtId="184" fontId="6" fillId="0" borderId="15" xfId="0" applyNumberFormat="1" applyFont="1" applyBorder="1" applyAlignment="1">
      <alignment horizontal="center" vertical="center" wrapText="1"/>
    </xf>
    <xf numFmtId="177" fontId="46" fillId="0" borderId="10" xfId="0" applyNumberFormat="1" applyFont="1" applyBorder="1" applyAlignment="1">
      <alignment horizontal="center" vertical="center" wrapText="1"/>
    </xf>
    <xf numFmtId="176" fontId="31" fillId="14" borderId="50" xfId="0" applyNumberFormat="1" applyFont="1" applyFill="1" applyBorder="1">
      <alignment vertical="center"/>
    </xf>
    <xf numFmtId="0" fontId="46" fillId="0" borderId="10" xfId="0" applyFont="1" applyBorder="1" applyAlignment="1">
      <alignment horizontal="left" vertical="center" wrapText="1"/>
    </xf>
    <xf numFmtId="0" fontId="46" fillId="0" borderId="11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left" vertical="center" wrapText="1"/>
    </xf>
    <xf numFmtId="0" fontId="46" fillId="0" borderId="18" xfId="0" applyFont="1" applyBorder="1" applyAlignment="1">
      <alignment horizontal="left" vertical="center" wrapText="1"/>
    </xf>
    <xf numFmtId="179" fontId="6" fillId="2" borderId="15" xfId="1" applyNumberFormat="1" applyFont="1" applyFill="1" applyBorder="1">
      <alignment vertical="center"/>
    </xf>
    <xf numFmtId="0" fontId="6" fillId="0" borderId="13" xfId="0" applyFont="1" applyBorder="1" applyAlignment="1">
      <alignment horizontal="left" vertical="center" wrapText="1"/>
    </xf>
    <xf numFmtId="0" fontId="1" fillId="0" borderId="65" xfId="10" applyFont="1" applyBorder="1">
      <alignment vertical="center"/>
    </xf>
    <xf numFmtId="178" fontId="6" fillId="0" borderId="14" xfId="1" applyNumberFormat="1" applyFont="1" applyBorder="1">
      <alignment vertical="center"/>
    </xf>
    <xf numFmtId="179" fontId="6" fillId="0" borderId="14" xfId="0" applyNumberFormat="1" applyFont="1" applyBorder="1" applyAlignment="1">
      <alignment vertical="center" wrapText="1"/>
    </xf>
    <xf numFmtId="10" fontId="6" fillId="0" borderId="14" xfId="0" applyNumberFormat="1" applyFont="1" applyBorder="1" applyAlignment="1">
      <alignment horizontal="center" vertical="center" wrapText="1"/>
    </xf>
    <xf numFmtId="2" fontId="6" fillId="0" borderId="14" xfId="0" applyNumberFormat="1" applyFont="1" applyBorder="1" applyAlignment="1">
      <alignment vertical="center" wrapText="1"/>
    </xf>
    <xf numFmtId="0" fontId="9" fillId="2" borderId="47" xfId="0" applyFont="1" applyFill="1" applyBorder="1">
      <alignment vertical="center"/>
    </xf>
    <xf numFmtId="0" fontId="13" fillId="2" borderId="1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181" fontId="6" fillId="0" borderId="6" xfId="0" applyNumberFormat="1" applyFont="1" applyBorder="1" applyAlignment="1">
      <alignment vertical="center" wrapText="1"/>
    </xf>
    <xf numFmtId="179" fontId="6" fillId="0" borderId="6" xfId="1" applyNumberFormat="1" applyFont="1" applyBorder="1">
      <alignment vertical="center"/>
    </xf>
    <xf numFmtId="179" fontId="6" fillId="0" borderId="6" xfId="0" applyNumberFormat="1" applyFont="1" applyBorder="1" applyAlignment="1">
      <alignment vertical="center" wrapText="1"/>
    </xf>
    <xf numFmtId="10" fontId="6" fillId="0" borderId="6" xfId="0" applyNumberFormat="1" applyFont="1" applyBorder="1" applyAlignment="1">
      <alignment horizontal="center" vertical="center" wrapText="1"/>
    </xf>
    <xf numFmtId="2" fontId="6" fillId="0" borderId="6" xfId="0" applyNumberFormat="1" applyFont="1" applyBorder="1" applyAlignment="1">
      <alignment horizontal="center" vertical="center" wrapText="1"/>
    </xf>
    <xf numFmtId="2" fontId="6" fillId="0" borderId="6" xfId="0" applyNumberFormat="1" applyFont="1" applyBorder="1" applyAlignment="1">
      <alignment vertical="center" wrapText="1"/>
    </xf>
    <xf numFmtId="176" fontId="31" fillId="14" borderId="25" xfId="0" applyNumberFormat="1" applyFont="1" applyFill="1" applyBorder="1">
      <alignment vertical="center"/>
    </xf>
    <xf numFmtId="0" fontId="7" fillId="0" borderId="36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justify" vertical="center" wrapText="1"/>
    </xf>
    <xf numFmtId="182" fontId="8" fillId="0" borderId="15" xfId="0" applyNumberFormat="1" applyFont="1" applyBorder="1" applyAlignment="1">
      <alignment horizontal="center" vertical="center" wrapText="1"/>
    </xf>
    <xf numFmtId="0" fontId="25" fillId="0" borderId="13" xfId="0" quotePrefix="1" applyFont="1" applyBorder="1" applyAlignment="1">
      <alignment horizontal="center" vertical="center"/>
    </xf>
    <xf numFmtId="0" fontId="25" fillId="0" borderId="25" xfId="0" applyFont="1" applyBorder="1" applyAlignment="1">
      <alignment horizontal="left" vertical="center" wrapText="1"/>
    </xf>
    <xf numFmtId="182" fontId="8" fillId="0" borderId="11" xfId="0" applyNumberFormat="1" applyFont="1" applyBorder="1" applyAlignment="1">
      <alignment horizontal="center" vertical="center" wrapText="1"/>
    </xf>
    <xf numFmtId="180" fontId="8" fillId="0" borderId="11" xfId="0" applyNumberFormat="1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/>
    </xf>
    <xf numFmtId="0" fontId="25" fillId="0" borderId="10" xfId="0" applyFont="1" applyBorder="1" applyAlignment="1">
      <alignment horizontal="left" vertical="center" wrapText="1"/>
    </xf>
    <xf numFmtId="182" fontId="8" fillId="0" borderId="18" xfId="0" applyNumberFormat="1" applyFont="1" applyBorder="1" applyAlignment="1">
      <alignment horizontal="center" vertical="center" wrapText="1"/>
    </xf>
    <xf numFmtId="180" fontId="8" fillId="0" borderId="14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justify" vertical="center" wrapText="1"/>
    </xf>
    <xf numFmtId="0" fontId="29" fillId="0" borderId="6" xfId="0" applyFont="1" applyBorder="1">
      <alignment vertical="center"/>
    </xf>
    <xf numFmtId="182" fontId="8" fillId="0" borderId="25" xfId="0" applyNumberFormat="1" applyFont="1" applyBorder="1" applyAlignment="1">
      <alignment horizontal="center" vertical="center" wrapText="1"/>
    </xf>
    <xf numFmtId="180" fontId="8" fillId="0" borderId="6" xfId="0" applyNumberFormat="1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center" vertical="center" wrapText="1"/>
    </xf>
    <xf numFmtId="182" fontId="8" fillId="0" borderId="10" xfId="0" applyNumberFormat="1" applyFont="1" applyBorder="1" applyAlignment="1">
      <alignment horizontal="center" vertical="center" wrapText="1"/>
    </xf>
    <xf numFmtId="180" fontId="8" fillId="0" borderId="10" xfId="0" applyNumberFormat="1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left" vertical="center" wrapText="1"/>
    </xf>
    <xf numFmtId="180" fontId="8" fillId="0" borderId="18" xfId="0" applyNumberFormat="1" applyFont="1" applyBorder="1" applyAlignment="1">
      <alignment horizontal="center" vertical="center" wrapText="1"/>
    </xf>
    <xf numFmtId="0" fontId="58" fillId="0" borderId="10" xfId="0" applyFont="1" applyBorder="1" applyAlignment="1">
      <alignment horizontal="left" vertical="center" wrapText="1"/>
    </xf>
    <xf numFmtId="0" fontId="58" fillId="0" borderId="11" xfId="0" applyFont="1" applyBorder="1" applyAlignment="1">
      <alignment horizontal="left" vertical="center" wrapText="1"/>
    </xf>
    <xf numFmtId="0" fontId="25" fillId="0" borderId="35" xfId="0" applyFont="1" applyBorder="1" applyAlignment="1">
      <alignment horizontal="center" vertical="center" wrapText="1"/>
    </xf>
    <xf numFmtId="0" fontId="58" fillId="0" borderId="18" xfId="0" applyFont="1" applyBorder="1" applyAlignment="1">
      <alignment horizontal="left" vertical="center" wrapText="1"/>
    </xf>
    <xf numFmtId="0" fontId="8" fillId="0" borderId="8" xfId="0" applyFont="1" applyBorder="1">
      <alignment vertical="center"/>
    </xf>
    <xf numFmtId="0" fontId="25" fillId="0" borderId="7" xfId="0" applyFont="1" applyBorder="1" applyAlignment="1">
      <alignment horizontal="left" vertical="center"/>
    </xf>
    <xf numFmtId="180" fontId="8" fillId="0" borderId="25" xfId="0" applyNumberFormat="1" applyFont="1" applyBorder="1" applyAlignment="1">
      <alignment horizontal="center" vertical="center" wrapText="1"/>
    </xf>
    <xf numFmtId="0" fontId="25" fillId="0" borderId="18" xfId="0" applyFont="1" applyBorder="1" applyAlignment="1">
      <alignment horizontal="left" vertical="center" wrapText="1"/>
    </xf>
    <xf numFmtId="0" fontId="25" fillId="0" borderId="20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left" vertical="center" wrapText="1"/>
    </xf>
    <xf numFmtId="0" fontId="8" fillId="0" borderId="47" xfId="0" applyFont="1" applyBorder="1">
      <alignment vertical="center"/>
    </xf>
    <xf numFmtId="0" fontId="29" fillId="0" borderId="47" xfId="0" applyFont="1" applyBorder="1">
      <alignment vertical="center"/>
    </xf>
    <xf numFmtId="0" fontId="25" fillId="0" borderId="23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177" fontId="59" fillId="15" borderId="11" xfId="0" applyNumberFormat="1" applyFont="1" applyFill="1" applyBorder="1" applyAlignment="1">
      <alignment horizontal="center" vertical="center" wrapText="1"/>
    </xf>
    <xf numFmtId="177" fontId="59" fillId="15" borderId="10" xfId="0" applyNumberFormat="1" applyFont="1" applyFill="1" applyBorder="1" applyAlignment="1">
      <alignment horizontal="center" vertical="center" wrapText="1"/>
    </xf>
    <xf numFmtId="177" fontId="59" fillId="15" borderId="18" xfId="0" applyNumberFormat="1" applyFont="1" applyFill="1" applyBorder="1" applyAlignment="1">
      <alignment horizontal="center" vertical="center" wrapText="1"/>
    </xf>
    <xf numFmtId="0" fontId="9" fillId="0" borderId="8" xfId="0" applyFont="1" applyBorder="1">
      <alignment vertical="center"/>
    </xf>
    <xf numFmtId="0" fontId="6" fillId="0" borderId="19" xfId="0" applyFont="1" applyBorder="1">
      <alignment vertical="center"/>
    </xf>
    <xf numFmtId="0" fontId="6" fillId="0" borderId="20" xfId="0" applyFont="1" applyBorder="1" applyAlignment="1">
      <alignment horizontal="left" vertical="center"/>
    </xf>
    <xf numFmtId="0" fontId="6" fillId="0" borderId="9" xfId="0" applyFont="1" applyBorder="1">
      <alignment vertical="center"/>
    </xf>
    <xf numFmtId="0" fontId="6" fillId="0" borderId="7" xfId="0" applyFont="1" applyBorder="1" applyAlignment="1">
      <alignment horizontal="left" vertical="center"/>
    </xf>
    <xf numFmtId="180" fontId="8" fillId="0" borderId="21" xfId="0" applyNumberFormat="1" applyFont="1" applyBorder="1" applyAlignment="1">
      <alignment horizontal="center" vertical="center" wrapText="1"/>
    </xf>
    <xf numFmtId="182" fontId="8" fillId="0" borderId="14" xfId="0" applyNumberFormat="1" applyFont="1" applyBorder="1" applyAlignment="1">
      <alignment horizontal="center" vertical="center" wrapText="1"/>
    </xf>
    <xf numFmtId="182" fontId="8" fillId="0" borderId="6" xfId="0" applyNumberFormat="1" applyFont="1" applyBorder="1" applyAlignment="1">
      <alignment horizontal="center" vertical="center" wrapText="1"/>
    </xf>
    <xf numFmtId="180" fontId="8" fillId="0" borderId="71" xfId="0" applyNumberFormat="1" applyFont="1" applyBorder="1" applyAlignment="1">
      <alignment horizontal="center" vertical="center" wrapText="1"/>
    </xf>
    <xf numFmtId="0" fontId="9" fillId="0" borderId="48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182" fontId="8" fillId="0" borderId="12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49" xfId="0" applyFont="1" applyBorder="1">
      <alignment vertical="center"/>
    </xf>
    <xf numFmtId="0" fontId="6" fillId="0" borderId="11" xfId="0" applyFont="1" applyBorder="1" applyAlignment="1">
      <alignment horizontal="left" vertical="center"/>
    </xf>
    <xf numFmtId="0" fontId="6" fillId="0" borderId="71" xfId="0" applyFont="1" applyBorder="1" applyAlignment="1">
      <alignment horizontal="center" vertical="center" wrapText="1"/>
    </xf>
    <xf numFmtId="0" fontId="6" fillId="0" borderId="73" xfId="0" applyFont="1" applyBorder="1">
      <alignment vertical="center"/>
    </xf>
    <xf numFmtId="0" fontId="6" fillId="0" borderId="14" xfId="0" applyFont="1" applyBorder="1" applyAlignment="1">
      <alignment horizontal="left" vertical="center"/>
    </xf>
    <xf numFmtId="180" fontId="8" fillId="0" borderId="74" xfId="0" applyNumberFormat="1" applyFont="1" applyBorder="1" applyAlignment="1">
      <alignment horizontal="center" vertical="center" wrapText="1"/>
    </xf>
    <xf numFmtId="180" fontId="8" fillId="0" borderId="75" xfId="0" applyNumberFormat="1" applyFont="1" applyBorder="1" applyAlignment="1">
      <alignment horizontal="center" vertical="center" wrapText="1"/>
    </xf>
    <xf numFmtId="180" fontId="8" fillId="0" borderId="76" xfId="0" applyNumberFormat="1" applyFont="1" applyBorder="1" applyAlignment="1">
      <alignment horizontal="center" vertical="center" wrapText="1"/>
    </xf>
    <xf numFmtId="180" fontId="8" fillId="0" borderId="8" xfId="0" applyNumberFormat="1" applyFont="1" applyBorder="1" applyAlignment="1">
      <alignment horizontal="center" vertical="center" wrapText="1"/>
    </xf>
    <xf numFmtId="180" fontId="8" fillId="0" borderId="12" xfId="0" applyNumberFormat="1" applyFont="1" applyBorder="1" applyAlignment="1">
      <alignment horizontal="center" vertical="center" wrapText="1"/>
    </xf>
    <xf numFmtId="180" fontId="8" fillId="0" borderId="24" xfId="0" applyNumberFormat="1" applyFont="1" applyBorder="1" applyAlignment="1">
      <alignment horizontal="center" vertical="center" wrapText="1"/>
    </xf>
    <xf numFmtId="0" fontId="7" fillId="0" borderId="80" xfId="0" applyFont="1" applyBorder="1">
      <alignment vertical="center"/>
    </xf>
    <xf numFmtId="0" fontId="7" fillId="0" borderId="81" xfId="0" applyFont="1" applyBorder="1">
      <alignment vertical="center"/>
    </xf>
    <xf numFmtId="0" fontId="7" fillId="0" borderId="82" xfId="0" applyFont="1" applyBorder="1" applyAlignment="1">
      <alignment horizontal="center" vertical="center"/>
    </xf>
    <xf numFmtId="0" fontId="6" fillId="0" borderId="83" xfId="0" applyFont="1" applyBorder="1">
      <alignment vertical="center"/>
    </xf>
    <xf numFmtId="0" fontId="6" fillId="0" borderId="84" xfId="0" applyFont="1" applyBorder="1">
      <alignment vertical="center"/>
    </xf>
    <xf numFmtId="184" fontId="6" fillId="0" borderId="84" xfId="0" applyNumberFormat="1" applyFont="1" applyBorder="1">
      <alignment vertical="center"/>
    </xf>
    <xf numFmtId="0" fontId="28" fillId="0" borderId="85" xfId="6" applyNumberFormat="1" applyFont="1" applyFill="1" applyBorder="1">
      <alignment vertical="center"/>
    </xf>
    <xf numFmtId="0" fontId="6" fillId="0" borderId="86" xfId="0" applyFont="1" applyBorder="1">
      <alignment vertical="center"/>
    </xf>
    <xf numFmtId="0" fontId="6" fillId="0" borderId="87" xfId="0" applyFont="1" applyBorder="1">
      <alignment vertical="center"/>
    </xf>
    <xf numFmtId="207" fontId="28" fillId="0" borderId="88" xfId="6" applyNumberFormat="1" applyFont="1" applyFill="1" applyBorder="1">
      <alignment vertical="center"/>
    </xf>
    <xf numFmtId="0" fontId="6" fillId="0" borderId="89" xfId="0" applyFont="1" applyBorder="1">
      <alignment vertical="center"/>
    </xf>
    <xf numFmtId="184" fontId="6" fillId="0" borderId="87" xfId="0" applyNumberFormat="1" applyFont="1" applyBorder="1">
      <alignment vertical="center"/>
    </xf>
    <xf numFmtId="44" fontId="6" fillId="0" borderId="87" xfId="0" applyNumberFormat="1" applyFont="1" applyBorder="1">
      <alignment vertical="center"/>
    </xf>
    <xf numFmtId="0" fontId="6" fillId="0" borderId="90" xfId="0" applyFont="1" applyBorder="1">
      <alignment vertical="center"/>
    </xf>
    <xf numFmtId="0" fontId="7" fillId="0" borderId="90" xfId="0" applyFont="1" applyBorder="1">
      <alignment vertical="center"/>
    </xf>
    <xf numFmtId="0" fontId="7" fillId="0" borderId="87" xfId="0" applyFont="1" applyBorder="1">
      <alignment vertical="center"/>
    </xf>
    <xf numFmtId="0" fontId="6" fillId="0" borderId="91" xfId="0" applyFont="1" applyBorder="1">
      <alignment vertical="center"/>
    </xf>
    <xf numFmtId="0" fontId="6" fillId="0" borderId="92" xfId="0" applyFont="1" applyBorder="1">
      <alignment vertical="center"/>
    </xf>
    <xf numFmtId="0" fontId="7" fillId="0" borderId="92" xfId="0" applyFont="1" applyBorder="1">
      <alignment vertical="center"/>
    </xf>
    <xf numFmtId="207" fontId="28" fillId="0" borderId="93" xfId="6" applyNumberFormat="1" applyFont="1" applyFill="1" applyBorder="1">
      <alignment vertical="center"/>
    </xf>
    <xf numFmtId="0" fontId="6" fillId="0" borderId="94" xfId="0" applyFont="1" applyBorder="1">
      <alignment vertical="center"/>
    </xf>
    <xf numFmtId="0" fontId="6" fillId="0" borderId="95" xfId="0" applyFont="1" applyBorder="1">
      <alignment vertical="center"/>
    </xf>
    <xf numFmtId="0" fontId="6" fillId="0" borderId="96" xfId="0" applyFont="1" applyBorder="1">
      <alignment vertical="center"/>
    </xf>
    <xf numFmtId="184" fontId="6" fillId="0" borderId="14" xfId="0" applyNumberFormat="1" applyFont="1" applyBorder="1" applyAlignment="1">
      <alignment horizontal="center" vertical="center" wrapText="1"/>
    </xf>
    <xf numFmtId="184" fontId="6" fillId="0" borderId="6" xfId="0" applyNumberFormat="1" applyFont="1" applyBorder="1" applyAlignment="1">
      <alignment horizontal="center" vertical="center" wrapText="1"/>
    </xf>
    <xf numFmtId="0" fontId="25" fillId="0" borderId="10" xfId="0" applyFont="1" applyBorder="1" applyAlignment="1">
      <alignment horizontal="left" vertical="center" shrinkToFit="1"/>
    </xf>
    <xf numFmtId="0" fontId="58" fillId="0" borderId="14" xfId="0" applyFont="1" applyBorder="1" applyAlignment="1">
      <alignment horizontal="left" vertical="center" shrinkToFit="1"/>
    </xf>
    <xf numFmtId="0" fontId="25" fillId="0" borderId="11" xfId="0" applyFont="1" applyBorder="1" applyAlignment="1">
      <alignment horizontal="left" vertical="center" shrinkToFit="1"/>
    </xf>
    <xf numFmtId="192" fontId="6" fillId="0" borderId="0" xfId="0" applyNumberFormat="1" applyFont="1">
      <alignment vertical="center"/>
    </xf>
    <xf numFmtId="177" fontId="6" fillId="0" borderId="0" xfId="0" applyNumberFormat="1" applyFont="1">
      <alignment vertical="center"/>
    </xf>
    <xf numFmtId="182" fontId="6" fillId="0" borderId="0" xfId="0" applyNumberFormat="1" applyFont="1">
      <alignment vertical="center"/>
    </xf>
    <xf numFmtId="208" fontId="8" fillId="4" borderId="2" xfId="0" applyNumberFormat="1" applyFont="1" applyFill="1" applyBorder="1" applyAlignment="1">
      <alignment horizontal="center" vertical="center" wrapText="1"/>
    </xf>
    <xf numFmtId="189" fontId="8" fillId="0" borderId="6" xfId="0" applyNumberFormat="1" applyFont="1" applyBorder="1" applyAlignment="1">
      <alignment horizontal="center" vertical="center" wrapText="1"/>
    </xf>
    <xf numFmtId="209" fontId="8" fillId="0" borderId="72" xfId="0" applyNumberFormat="1" applyFont="1" applyBorder="1" applyAlignment="1">
      <alignment horizontal="center" vertical="center" wrapText="1"/>
    </xf>
    <xf numFmtId="209" fontId="8" fillId="4" borderId="2" xfId="0" applyNumberFormat="1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left" vertical="center"/>
    </xf>
    <xf numFmtId="0" fontId="22" fillId="2" borderId="4" xfId="0" applyFont="1" applyFill="1" applyBorder="1" applyAlignment="1">
      <alignment horizontal="left" vertical="center"/>
    </xf>
    <xf numFmtId="0" fontId="22" fillId="2" borderId="41" xfId="0" applyFont="1" applyFill="1" applyBorder="1" applyAlignment="1">
      <alignment horizontal="left" vertical="center"/>
    </xf>
    <xf numFmtId="0" fontId="9" fillId="3" borderId="39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42" fontId="6" fillId="0" borderId="8" xfId="0" applyNumberFormat="1" applyFont="1" applyBorder="1" applyAlignment="1">
      <alignment vertical="center" wrapText="1"/>
    </xf>
    <xf numFmtId="42" fontId="0" fillId="0" borderId="7" xfId="0" applyNumberFormat="1" applyBorder="1">
      <alignment vertical="center"/>
    </xf>
    <xf numFmtId="0" fontId="7" fillId="4" borderId="42" xfId="0" applyFont="1" applyFill="1" applyBorder="1" applyAlignment="1">
      <alignment horizontal="left" vertical="center" wrapText="1"/>
    </xf>
    <xf numFmtId="0" fontId="0" fillId="4" borderId="43" xfId="0" applyFill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06" fontId="23" fillId="0" borderId="77" xfId="0" applyNumberFormat="1" applyFont="1" applyBorder="1" applyAlignment="1">
      <alignment horizontal="center" vertical="center"/>
    </xf>
    <xf numFmtId="206" fontId="23" fillId="0" borderId="78" xfId="0" applyNumberFormat="1" applyFont="1" applyBorder="1" applyAlignment="1">
      <alignment horizontal="center" vertical="center"/>
    </xf>
    <xf numFmtId="206" fontId="23" fillId="0" borderId="79" xfId="0" applyNumberFormat="1" applyFont="1" applyBorder="1" applyAlignment="1">
      <alignment horizontal="center" vertical="center"/>
    </xf>
    <xf numFmtId="206" fontId="23" fillId="0" borderId="9" xfId="0" applyNumberFormat="1" applyFont="1" applyBorder="1" applyAlignment="1">
      <alignment horizontal="center" vertical="center"/>
    </xf>
    <xf numFmtId="206" fontId="23" fillId="0" borderId="7" xfId="0" applyNumberFormat="1" applyFont="1" applyBorder="1" applyAlignment="1">
      <alignment horizontal="center" vertical="center"/>
    </xf>
    <xf numFmtId="0" fontId="24" fillId="0" borderId="48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9" fillId="3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205" fontId="9" fillId="0" borderId="8" xfId="0" applyNumberFormat="1" applyFont="1" applyBorder="1" applyAlignment="1">
      <alignment horizontal="center" vertical="center"/>
    </xf>
    <xf numFmtId="205" fontId="9" fillId="0" borderId="9" xfId="0" applyNumberFormat="1" applyFont="1" applyBorder="1" applyAlignment="1">
      <alignment horizontal="center" vertical="center"/>
    </xf>
    <xf numFmtId="205" fontId="9" fillId="0" borderId="7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justify" vertical="center" wrapText="1"/>
    </xf>
    <xf numFmtId="0" fontId="8" fillId="0" borderId="7" xfId="0" applyFont="1" applyBorder="1" applyAlignment="1">
      <alignment vertical="center" wrapText="1"/>
    </xf>
    <xf numFmtId="10" fontId="7" fillId="0" borderId="46" xfId="0" applyNumberFormat="1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55" fillId="12" borderId="12" xfId="12" quotePrefix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30" fillId="0" borderId="11" xfId="12" quotePrefix="1" applyBorder="1" applyAlignment="1">
      <alignment horizontal="center" vertical="center"/>
    </xf>
    <xf numFmtId="0" fontId="30" fillId="0" borderId="18" xfId="12" quotePrefix="1" applyBorder="1" applyAlignment="1">
      <alignment horizontal="center" vertical="center"/>
    </xf>
    <xf numFmtId="0" fontId="30" fillId="0" borderId="11" xfId="12" applyBorder="1" applyAlignment="1">
      <alignment horizontal="center" vertical="center"/>
    </xf>
    <xf numFmtId="0" fontId="30" fillId="0" borderId="18" xfId="12" applyBorder="1" applyAlignment="1">
      <alignment horizontal="center" vertical="center"/>
    </xf>
    <xf numFmtId="0" fontId="52" fillId="0" borderId="0" xfId="12" applyFont="1" applyAlignment="1">
      <alignment horizontal="center" vertical="center"/>
    </xf>
    <xf numFmtId="0" fontId="34" fillId="0" borderId="0" xfId="12" applyFont="1">
      <alignment vertical="center"/>
    </xf>
    <xf numFmtId="0" fontId="55" fillId="0" borderId="6" xfId="12" applyFont="1" applyBorder="1" applyAlignment="1">
      <alignment horizontal="center" vertical="center"/>
    </xf>
    <xf numFmtId="0" fontId="55" fillId="0" borderId="6" xfId="12" applyFont="1" applyBorder="1">
      <alignment vertical="center"/>
    </xf>
    <xf numFmtId="0" fontId="11" fillId="0" borderId="6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9" fillId="0" borderId="7" xfId="0" applyFont="1" applyBorder="1">
      <alignment vertical="center"/>
    </xf>
    <xf numFmtId="0" fontId="11" fillId="7" borderId="6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12" fillId="0" borderId="12" xfId="3" applyFont="1" applyBorder="1" applyAlignment="1">
      <alignment horizontal="center" vertical="center"/>
    </xf>
    <xf numFmtId="0" fontId="16" fillId="0" borderId="15" xfId="3" applyFont="1" applyBorder="1" applyAlignment="1">
      <alignment horizontal="center" vertical="center"/>
    </xf>
    <xf numFmtId="0" fontId="12" fillId="0" borderId="48" xfId="3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/>
    </xf>
    <xf numFmtId="188" fontId="11" fillId="0" borderId="12" xfId="3" applyNumberFormat="1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93" fontId="11" fillId="0" borderId="8" xfId="0" applyNumberFormat="1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12" fillId="0" borderId="7" xfId="3" applyFont="1" applyBorder="1" applyAlignment="1">
      <alignment horizontal="center" vertical="center"/>
    </xf>
    <xf numFmtId="0" fontId="11" fillId="0" borderId="8" xfId="3" applyFont="1" applyBorder="1" applyAlignment="1">
      <alignment horizontal="center" vertical="center"/>
    </xf>
    <xf numFmtId="0" fontId="11" fillId="0" borderId="7" xfId="3" applyFont="1" applyBorder="1" applyAlignment="1">
      <alignment horizontal="center" vertical="center"/>
    </xf>
    <xf numFmtId="0" fontId="14" fillId="8" borderId="24" xfId="3" quotePrefix="1" applyFont="1" applyFill="1" applyBorder="1" applyAlignment="1">
      <alignment horizontal="center" vertical="center"/>
    </xf>
    <xf numFmtId="0" fontId="14" fillId="8" borderId="49" xfId="3" quotePrefix="1" applyFont="1" applyFill="1" applyBorder="1" applyAlignment="1">
      <alignment horizontal="center" vertical="center"/>
    </xf>
    <xf numFmtId="0" fontId="11" fillId="0" borderId="24" xfId="3" applyFont="1" applyBorder="1" applyAlignment="1">
      <alignment horizontal="center" vertical="center"/>
    </xf>
    <xf numFmtId="0" fontId="11" fillId="0" borderId="49" xfId="3" applyFont="1" applyBorder="1" applyAlignment="1">
      <alignment horizontal="center" vertical="center"/>
    </xf>
    <xf numFmtId="0" fontId="12" fillId="0" borderId="24" xfId="3" applyFont="1" applyBorder="1" applyAlignment="1">
      <alignment vertical="center"/>
    </xf>
    <xf numFmtId="0" fontId="12" fillId="0" borderId="49" xfId="3" applyFont="1" applyBorder="1" applyAlignment="1">
      <alignment vertical="center"/>
    </xf>
    <xf numFmtId="0" fontId="11" fillId="0" borderId="21" xfId="3" applyFont="1" applyBorder="1" applyAlignment="1">
      <alignment horizontal="center" vertical="center"/>
    </xf>
    <xf numFmtId="0" fontId="11" fillId="0" borderId="33" xfId="3" applyFont="1" applyBorder="1" applyAlignment="1">
      <alignment horizontal="center" vertical="center"/>
    </xf>
    <xf numFmtId="0" fontId="11" fillId="0" borderId="21" xfId="3" quotePrefix="1" applyFont="1" applyBorder="1" applyAlignment="1">
      <alignment horizontal="center" vertical="center"/>
    </xf>
    <xf numFmtId="0" fontId="11" fillId="0" borderId="33" xfId="3" quotePrefix="1" applyFont="1" applyBorder="1" applyAlignment="1">
      <alignment horizontal="center" vertical="center"/>
    </xf>
    <xf numFmtId="0" fontId="11" fillId="0" borderId="32" xfId="3" quotePrefix="1" applyFont="1" applyBorder="1" applyAlignment="1">
      <alignment horizontal="center" vertical="center"/>
    </xf>
    <xf numFmtId="0" fontId="11" fillId="0" borderId="34" xfId="3" quotePrefix="1" applyFont="1" applyBorder="1" applyAlignment="1">
      <alignment horizontal="center" vertical="center"/>
    </xf>
    <xf numFmtId="0" fontId="12" fillId="0" borderId="8" xfId="0" applyFont="1" applyBorder="1">
      <alignment vertical="center"/>
    </xf>
    <xf numFmtId="0" fontId="12" fillId="0" borderId="7" xfId="0" applyFont="1" applyBorder="1">
      <alignment vertical="center"/>
    </xf>
    <xf numFmtId="200" fontId="11" fillId="0" borderId="8" xfId="3" applyNumberFormat="1" applyFont="1" applyBorder="1" applyAlignment="1">
      <alignment horizontal="center" vertical="center"/>
    </xf>
    <xf numFmtId="200" fontId="11" fillId="0" borderId="7" xfId="3" applyNumberFormat="1" applyFont="1" applyBorder="1" applyAlignment="1">
      <alignment horizontal="center" vertical="center"/>
    </xf>
    <xf numFmtId="200" fontId="12" fillId="0" borderId="8" xfId="0" applyNumberFormat="1" applyFont="1" applyBorder="1" applyAlignment="1">
      <alignment horizontal="center" vertical="center"/>
    </xf>
    <xf numFmtId="200" fontId="12" fillId="0" borderId="7" xfId="0" applyNumberFormat="1" applyFont="1" applyBorder="1" applyAlignment="1">
      <alignment horizontal="center" vertical="center"/>
    </xf>
    <xf numFmtId="0" fontId="11" fillId="0" borderId="32" xfId="3" applyFont="1" applyBorder="1" applyAlignment="1">
      <alignment horizontal="center" vertical="center"/>
    </xf>
    <xf numFmtId="0" fontId="11" fillId="0" borderId="34" xfId="3" applyFont="1" applyBorder="1" applyAlignment="1">
      <alignment horizontal="center" vertical="center"/>
    </xf>
    <xf numFmtId="196" fontId="11" fillId="0" borderId="8" xfId="3" applyNumberFormat="1" applyFont="1" applyBorder="1" applyAlignment="1">
      <alignment horizontal="center" vertical="center"/>
    </xf>
    <xf numFmtId="196" fontId="11" fillId="0" borderId="7" xfId="3" applyNumberFormat="1" applyFont="1" applyBorder="1" applyAlignment="1">
      <alignment horizontal="center" vertical="center"/>
    </xf>
    <xf numFmtId="196" fontId="12" fillId="0" borderId="8" xfId="0" applyNumberFormat="1" applyFont="1" applyBorder="1" applyAlignment="1">
      <alignment horizontal="center" vertical="center"/>
    </xf>
    <xf numFmtId="196" fontId="12" fillId="0" borderId="7" xfId="0" applyNumberFormat="1" applyFont="1" applyBorder="1" applyAlignment="1">
      <alignment horizontal="center" vertical="center"/>
    </xf>
    <xf numFmtId="200" fontId="12" fillId="0" borderId="8" xfId="3" applyNumberFormat="1" applyFont="1" applyBorder="1" applyAlignment="1">
      <alignment horizontal="center" vertical="center"/>
    </xf>
    <xf numFmtId="200" fontId="12" fillId="0" borderId="7" xfId="3" applyNumberFormat="1" applyFont="1" applyBorder="1" applyAlignment="1">
      <alignment horizontal="center" vertical="center"/>
    </xf>
    <xf numFmtId="0" fontId="31" fillId="0" borderId="60" xfId="7" applyFont="1" applyBorder="1" applyAlignment="1">
      <alignment horizontal="center" vertical="center"/>
    </xf>
    <xf numFmtId="0" fontId="31" fillId="0" borderId="6" xfId="7" applyFont="1" applyBorder="1" applyAlignment="1">
      <alignment horizontal="center" vertical="center"/>
    </xf>
    <xf numFmtId="0" fontId="31" fillId="0" borderId="60" xfId="7" applyFont="1" applyBorder="1" applyAlignment="1">
      <alignment horizontal="center" vertical="center" wrapText="1"/>
    </xf>
    <xf numFmtId="0" fontId="31" fillId="0" borderId="62" xfId="7" applyFont="1" applyBorder="1" applyAlignment="1">
      <alignment horizontal="center" vertical="center"/>
    </xf>
    <xf numFmtId="0" fontId="31" fillId="0" borderId="61" xfId="7" applyFont="1" applyBorder="1" applyAlignment="1">
      <alignment horizontal="center" vertical="center"/>
    </xf>
    <xf numFmtId="0" fontId="31" fillId="0" borderId="58" xfId="7" applyFont="1" applyBorder="1" applyAlignment="1">
      <alignment horizontal="center" vertical="center"/>
    </xf>
    <xf numFmtId="0" fontId="31" fillId="0" borderId="56" xfId="7" applyFont="1" applyBorder="1" applyAlignment="1">
      <alignment horizontal="center" vertical="center"/>
    </xf>
    <xf numFmtId="0" fontId="31" fillId="0" borderId="59" xfId="7" applyFont="1" applyBorder="1" applyAlignment="1">
      <alignment horizontal="center" vertical="center"/>
    </xf>
    <xf numFmtId="0" fontId="31" fillId="0" borderId="15" xfId="7" applyFont="1" applyBorder="1" applyAlignment="1">
      <alignment horizontal="center" vertical="center"/>
    </xf>
    <xf numFmtId="0" fontId="31" fillId="0" borderId="63" xfId="7" applyFont="1" applyBorder="1" applyAlignment="1">
      <alignment horizontal="center" vertical="center" wrapText="1"/>
    </xf>
    <xf numFmtId="0" fontId="31" fillId="0" borderId="57" xfId="7" applyFont="1" applyBorder="1" applyAlignment="1">
      <alignment horizontal="center" vertical="center"/>
    </xf>
    <xf numFmtId="0" fontId="31" fillId="0" borderId="55" xfId="7" applyFont="1" applyBorder="1" applyAlignment="1">
      <alignment horizontal="center" vertical="center"/>
    </xf>
    <xf numFmtId="0" fontId="31" fillId="0" borderId="7" xfId="7" applyFont="1" applyBorder="1" applyAlignment="1">
      <alignment horizontal="center" vertical="center"/>
    </xf>
    <xf numFmtId="14" fontId="47" fillId="0" borderId="0" xfId="9" applyNumberFormat="1" applyFont="1" applyAlignment="1">
      <alignment horizontal="right" vertical="center"/>
    </xf>
    <xf numFmtId="2" fontId="13" fillId="0" borderId="6" xfId="0" applyNumberFormat="1" applyFont="1" applyBorder="1" applyAlignment="1">
      <alignment horizontal="center" vertical="center" wrapText="1"/>
    </xf>
  </cellXfs>
  <cellStyles count="17">
    <cellStyle name="백분율" xfId="6" builtinId="5"/>
    <cellStyle name="백분율 2" xfId="11" xr:uid="{00000000-0005-0000-0000-000001000000}"/>
    <cellStyle name="백분율 2 2" xfId="14" xr:uid="{9BC18DB1-2EC5-4303-A6E3-351E26066B9E}"/>
    <cellStyle name="쉼표 [0] 2" xfId="1" xr:uid="{00000000-0005-0000-0000-000003000000}"/>
    <cellStyle name="쉼표 [0] 2 2" xfId="5" xr:uid="{00000000-0005-0000-0000-000004000000}"/>
    <cellStyle name="쉼표 [0] 2 2 2" xfId="8" xr:uid="{00000000-0005-0000-0000-000005000000}"/>
    <cellStyle name="쉼표 [0] 2 3" xfId="15" xr:uid="{F69545C1-3E48-43B2-AE16-BCBA8F12319B}"/>
    <cellStyle name="표준" xfId="0" builtinId="0"/>
    <cellStyle name="표준 2" xfId="3" xr:uid="{00000000-0005-0000-0000-000007000000}"/>
    <cellStyle name="표준 2 2" xfId="4" xr:uid="{00000000-0005-0000-0000-000008000000}"/>
    <cellStyle name="표준 2 2 2" xfId="7" xr:uid="{00000000-0005-0000-0000-000009000000}"/>
    <cellStyle name="표준 2 3" xfId="9" xr:uid="{00000000-0005-0000-0000-00000A000000}"/>
    <cellStyle name="표준 2 4" xfId="16" xr:uid="{527BDD3F-3468-483D-BB4B-11BD243C1668}"/>
    <cellStyle name="표준 3" xfId="10" xr:uid="{00000000-0005-0000-0000-00000B000000}"/>
    <cellStyle name="표준 4" xfId="12" xr:uid="{E7CCFA56-73BC-4AFC-B6C9-54A806FC3AFB}"/>
    <cellStyle name="표준 5" xfId="13" xr:uid="{7E93FB68-764C-4B86-A695-83BA94750210}"/>
    <cellStyle name="하이퍼링크" xfId="2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FFFFCC"/>
      <color rgb="FFCCFFFF"/>
      <color rgb="FFFEEDE8"/>
      <color rgb="FFCCFF99"/>
      <color rgb="FFFF66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170847</xdr:colOff>
      <xdr:row>16</xdr:row>
      <xdr:rowOff>198691</xdr:rowOff>
    </xdr:from>
    <xdr:to>
      <xdr:col>22</xdr:col>
      <xdr:colOff>755752</xdr:colOff>
      <xdr:row>33</xdr:row>
      <xdr:rowOff>102232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DF6001B-96F0-5FE4-5556-AA7926E8C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30247" y="4751641"/>
          <a:ext cx="5442655" cy="4113591"/>
        </a:xfrm>
        <a:prstGeom prst="rect">
          <a:avLst/>
        </a:prstGeom>
      </xdr:spPr>
    </xdr:pic>
    <xdr:clientData/>
  </xdr:twoCellAnchor>
  <xdr:twoCellAnchor editAs="oneCell">
    <xdr:from>
      <xdr:col>15</xdr:col>
      <xdr:colOff>161925</xdr:colOff>
      <xdr:row>55</xdr:row>
      <xdr:rowOff>114300</xdr:rowOff>
    </xdr:from>
    <xdr:to>
      <xdr:col>18</xdr:col>
      <xdr:colOff>771525</xdr:colOff>
      <xdr:row>60</xdr:row>
      <xdr:rowOff>120105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E23A861-7C0E-FD83-C36A-6D4DBD256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11700" y="14077950"/>
          <a:ext cx="3038475" cy="12440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428584</xdr:colOff>
      <xdr:row>16</xdr:row>
      <xdr:rowOff>221103</xdr:rowOff>
    </xdr:from>
    <xdr:to>
      <xdr:col>26</xdr:col>
      <xdr:colOff>200315</xdr:colOff>
      <xdr:row>33</xdr:row>
      <xdr:rowOff>121469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C4EB6D8-60F7-4831-A36B-508780B6E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68113" y="4893956"/>
          <a:ext cx="5419496" cy="4277010"/>
        </a:xfrm>
        <a:prstGeom prst="rect">
          <a:avLst/>
        </a:prstGeom>
      </xdr:spPr>
    </xdr:pic>
    <xdr:clientData/>
  </xdr:twoCellAnchor>
  <xdr:twoCellAnchor editAs="oneCell">
    <xdr:from>
      <xdr:col>19</xdr:col>
      <xdr:colOff>438897</xdr:colOff>
      <xdr:row>55</xdr:row>
      <xdr:rowOff>103094</xdr:rowOff>
    </xdr:from>
    <xdr:to>
      <xdr:col>23</xdr:col>
      <xdr:colOff>244849</xdr:colOff>
      <xdr:row>60</xdr:row>
      <xdr:rowOff>115249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0CE74EF-CC4F-40CF-9984-9F0AAE98C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85603" y="14794006"/>
          <a:ext cx="3033246" cy="13008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606</xdr:colOff>
      <xdr:row>71</xdr:row>
      <xdr:rowOff>312807</xdr:rowOff>
    </xdr:from>
    <xdr:to>
      <xdr:col>56</xdr:col>
      <xdr:colOff>14707</xdr:colOff>
      <xdr:row>73</xdr:row>
      <xdr:rowOff>149250</xdr:rowOff>
    </xdr:to>
    <xdr:cxnSp macro="">
      <xdr:nvCxnSpPr>
        <xdr:cNvPr id="457" name="꺾인 연결선 260">
          <a:extLst>
            <a:ext uri="{FF2B5EF4-FFF2-40B4-BE49-F238E27FC236}">
              <a16:creationId xmlns:a16="http://schemas.microsoft.com/office/drawing/2014/main" id="{021FF5E9-92A1-35FA-AAD0-D8A0176D18A5}"/>
            </a:ext>
          </a:extLst>
        </xdr:cNvPr>
        <xdr:cNvCxnSpPr>
          <a:endCxn id="333" idx="0"/>
        </xdr:cNvCxnSpPr>
      </xdr:nvCxnSpPr>
      <xdr:spPr>
        <a:xfrm>
          <a:off x="27337356" y="17838807"/>
          <a:ext cx="14101" cy="598443"/>
        </a:xfrm>
        <a:prstGeom prst="straightConnector1">
          <a:avLst/>
        </a:prstGeom>
        <a:ln w="28575" cap="flat">
          <a:solidFill>
            <a:schemeClr val="bg1">
              <a:lumMod val="50000"/>
            </a:schemeClr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219807</xdr:colOff>
      <xdr:row>63</xdr:row>
      <xdr:rowOff>253855</xdr:rowOff>
    </xdr:from>
    <xdr:to>
      <xdr:col>59</xdr:col>
      <xdr:colOff>11206</xdr:colOff>
      <xdr:row>63</xdr:row>
      <xdr:rowOff>253855</xdr:rowOff>
    </xdr:to>
    <xdr:cxnSp macro="">
      <xdr:nvCxnSpPr>
        <xdr:cNvPr id="1582" name="꺾인 연결선 260">
          <a:extLst>
            <a:ext uri="{FF2B5EF4-FFF2-40B4-BE49-F238E27FC236}">
              <a16:creationId xmlns:a16="http://schemas.microsoft.com/office/drawing/2014/main" id="{837BA0BA-13B3-0108-4D86-92422D6CEDEF}"/>
            </a:ext>
          </a:extLst>
        </xdr:cNvPr>
        <xdr:cNvCxnSpPr/>
      </xdr:nvCxnSpPr>
      <xdr:spPr>
        <a:xfrm>
          <a:off x="27314769" y="14724528"/>
          <a:ext cx="1520552" cy="0"/>
        </a:xfrm>
        <a:prstGeom prst="straightConnector1">
          <a:avLst/>
        </a:prstGeom>
        <a:ln w="28575" cap="flat">
          <a:solidFill>
            <a:schemeClr val="bg1">
              <a:lumMod val="50000"/>
            </a:schemeClr>
          </a:solidFill>
          <a:prstDash val="sysDash"/>
          <a:round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214888</xdr:colOff>
      <xdr:row>62</xdr:row>
      <xdr:rowOff>312084</xdr:rowOff>
    </xdr:from>
    <xdr:to>
      <xdr:col>55</xdr:col>
      <xdr:colOff>214888</xdr:colOff>
      <xdr:row>64</xdr:row>
      <xdr:rowOff>180975</xdr:rowOff>
    </xdr:to>
    <xdr:cxnSp macro="">
      <xdr:nvCxnSpPr>
        <xdr:cNvPr id="1569" name="꺾인 연결선 260">
          <a:extLst>
            <a:ext uri="{FF2B5EF4-FFF2-40B4-BE49-F238E27FC236}">
              <a16:creationId xmlns:a16="http://schemas.microsoft.com/office/drawing/2014/main" id="{8B353E21-F890-FF38-DE0F-3B40CD5BE322}"/>
            </a:ext>
          </a:extLst>
        </xdr:cNvPr>
        <xdr:cNvCxnSpPr/>
      </xdr:nvCxnSpPr>
      <xdr:spPr>
        <a:xfrm>
          <a:off x="27309850" y="14401757"/>
          <a:ext cx="0" cy="630891"/>
        </a:xfrm>
        <a:prstGeom prst="straightConnector1">
          <a:avLst/>
        </a:prstGeom>
        <a:ln w="28575" cap="flat">
          <a:solidFill>
            <a:srgbClr val="FF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188511</xdr:colOff>
      <xdr:row>64</xdr:row>
      <xdr:rowOff>309886</xdr:rowOff>
    </xdr:from>
    <xdr:to>
      <xdr:col>56</xdr:col>
      <xdr:colOff>188511</xdr:colOff>
      <xdr:row>65</xdr:row>
      <xdr:rowOff>213515</xdr:rowOff>
    </xdr:to>
    <xdr:cxnSp macro="">
      <xdr:nvCxnSpPr>
        <xdr:cNvPr id="1564" name="꺾인 연결선 260">
          <a:extLst>
            <a:ext uri="{FF2B5EF4-FFF2-40B4-BE49-F238E27FC236}">
              <a16:creationId xmlns:a16="http://schemas.microsoft.com/office/drawing/2014/main" id="{8D7EF09E-CB3C-253B-42B3-7A23D868FBFB}"/>
            </a:ext>
          </a:extLst>
        </xdr:cNvPr>
        <xdr:cNvCxnSpPr/>
      </xdr:nvCxnSpPr>
      <xdr:spPr>
        <a:xfrm>
          <a:off x="27715761" y="15161559"/>
          <a:ext cx="0" cy="284629"/>
        </a:xfrm>
        <a:prstGeom prst="straightConnector1">
          <a:avLst/>
        </a:prstGeom>
        <a:ln w="28575" cap="flat">
          <a:solidFill>
            <a:srgbClr val="FF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228601</xdr:colOff>
      <xdr:row>64</xdr:row>
      <xdr:rowOff>251023</xdr:rowOff>
    </xdr:from>
    <xdr:to>
      <xdr:col>56</xdr:col>
      <xdr:colOff>151280</xdr:colOff>
      <xdr:row>64</xdr:row>
      <xdr:rowOff>251023</xdr:rowOff>
    </xdr:to>
    <xdr:cxnSp macro="">
      <xdr:nvCxnSpPr>
        <xdr:cNvPr id="1560" name="직선 연결선 1559">
          <a:extLst>
            <a:ext uri="{FF2B5EF4-FFF2-40B4-BE49-F238E27FC236}">
              <a16:creationId xmlns:a16="http://schemas.microsoft.com/office/drawing/2014/main" id="{4613F13C-FECD-5A20-D1B2-137F48902915}"/>
            </a:ext>
          </a:extLst>
        </xdr:cNvPr>
        <xdr:cNvCxnSpPr/>
      </xdr:nvCxnSpPr>
      <xdr:spPr>
        <a:xfrm>
          <a:off x="27323563" y="15102696"/>
          <a:ext cx="354967" cy="0"/>
        </a:xfrm>
        <a:prstGeom prst="line">
          <a:avLst/>
        </a:prstGeom>
        <a:ln w="508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142568</xdr:colOff>
      <xdr:row>58</xdr:row>
      <xdr:rowOff>308640</xdr:rowOff>
    </xdr:from>
    <xdr:to>
      <xdr:col>53</xdr:col>
      <xdr:colOff>142568</xdr:colOff>
      <xdr:row>62</xdr:row>
      <xdr:rowOff>200025</xdr:rowOff>
    </xdr:to>
    <xdr:cxnSp macro="">
      <xdr:nvCxnSpPr>
        <xdr:cNvPr id="1621" name="꺾인 연결선 260">
          <a:extLst>
            <a:ext uri="{FF2B5EF4-FFF2-40B4-BE49-F238E27FC236}">
              <a16:creationId xmlns:a16="http://schemas.microsoft.com/office/drawing/2014/main" id="{43B469B0-7820-1379-E2F3-AD27DFB929D9}"/>
            </a:ext>
          </a:extLst>
        </xdr:cNvPr>
        <xdr:cNvCxnSpPr/>
      </xdr:nvCxnSpPr>
      <xdr:spPr>
        <a:xfrm>
          <a:off x="26050568" y="12870434"/>
          <a:ext cx="0" cy="1415385"/>
        </a:xfrm>
        <a:prstGeom prst="straightConnector1">
          <a:avLst/>
        </a:prstGeom>
        <a:ln w="28575" cap="flat">
          <a:solidFill>
            <a:srgbClr val="FF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247</xdr:colOff>
      <xdr:row>45</xdr:row>
      <xdr:rowOff>304800</xdr:rowOff>
    </xdr:from>
    <xdr:to>
      <xdr:col>44</xdr:col>
      <xdr:colOff>247</xdr:colOff>
      <xdr:row>53</xdr:row>
      <xdr:rowOff>219075</xdr:rowOff>
    </xdr:to>
    <xdr:cxnSp macro="">
      <xdr:nvCxnSpPr>
        <xdr:cNvPr id="1524" name="꺾인 연결선 260">
          <a:extLst>
            <a:ext uri="{FF2B5EF4-FFF2-40B4-BE49-F238E27FC236}">
              <a16:creationId xmlns:a16="http://schemas.microsoft.com/office/drawing/2014/main" id="{F19A9CCA-002B-75F3-BE0B-599691A8ECBF}"/>
            </a:ext>
          </a:extLst>
        </xdr:cNvPr>
        <xdr:cNvCxnSpPr/>
      </xdr:nvCxnSpPr>
      <xdr:spPr>
        <a:xfrm>
          <a:off x="22193497" y="10582275"/>
          <a:ext cx="0" cy="295275"/>
        </a:xfrm>
        <a:prstGeom prst="straightConnector1">
          <a:avLst/>
        </a:prstGeom>
        <a:ln w="28575" cap="flat">
          <a:solidFill>
            <a:schemeClr val="bg1">
              <a:lumMod val="50000"/>
            </a:schemeClr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9772</xdr:colOff>
      <xdr:row>55</xdr:row>
      <xdr:rowOff>276225</xdr:rowOff>
    </xdr:from>
    <xdr:to>
      <xdr:col>42</xdr:col>
      <xdr:colOff>9772</xdr:colOff>
      <xdr:row>58</xdr:row>
      <xdr:rowOff>201706</xdr:rowOff>
    </xdr:to>
    <xdr:cxnSp macro="">
      <xdr:nvCxnSpPr>
        <xdr:cNvPr id="602" name="꺾인 연결선 260">
          <a:extLst>
            <a:ext uri="{FF2B5EF4-FFF2-40B4-BE49-F238E27FC236}">
              <a16:creationId xmlns:a16="http://schemas.microsoft.com/office/drawing/2014/main" id="{E3D03C02-BE47-7CA3-435F-4EEB2FCC1789}"/>
            </a:ext>
          </a:extLst>
        </xdr:cNvPr>
        <xdr:cNvCxnSpPr/>
      </xdr:nvCxnSpPr>
      <xdr:spPr>
        <a:xfrm>
          <a:off x="21345772" y="11696700"/>
          <a:ext cx="0" cy="1068481"/>
        </a:xfrm>
        <a:prstGeom prst="straightConnector1">
          <a:avLst/>
        </a:prstGeom>
        <a:ln w="28575" cap="flat">
          <a:solidFill>
            <a:schemeClr val="bg1">
              <a:lumMod val="50000"/>
            </a:schemeClr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238125</xdr:colOff>
      <xdr:row>14</xdr:row>
      <xdr:rowOff>274864</xdr:rowOff>
    </xdr:from>
    <xdr:to>
      <xdr:col>23</xdr:col>
      <xdr:colOff>170089</xdr:colOff>
      <xdr:row>14</xdr:row>
      <xdr:rowOff>274864</xdr:rowOff>
    </xdr:to>
    <xdr:cxnSp macro="">
      <xdr:nvCxnSpPr>
        <xdr:cNvPr id="1506" name="직선 연결선 1505">
          <a:extLst>
            <a:ext uri="{FF2B5EF4-FFF2-40B4-BE49-F238E27FC236}">
              <a16:creationId xmlns:a16="http://schemas.microsoft.com/office/drawing/2014/main" id="{98DE9EC6-4986-92AF-0207-6AA6632CE44E}"/>
            </a:ext>
          </a:extLst>
        </xdr:cNvPr>
        <xdr:cNvCxnSpPr/>
      </xdr:nvCxnSpPr>
      <xdr:spPr>
        <a:xfrm>
          <a:off x="12573000" y="6361339"/>
          <a:ext cx="789214" cy="0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272143</xdr:colOff>
      <xdr:row>4</xdr:row>
      <xdr:rowOff>503466</xdr:rowOff>
    </xdr:from>
    <xdr:to>
      <xdr:col>55</xdr:col>
      <xdr:colOff>358588</xdr:colOff>
      <xdr:row>4</xdr:row>
      <xdr:rowOff>503466</xdr:rowOff>
    </xdr:to>
    <xdr:cxnSp macro="">
      <xdr:nvCxnSpPr>
        <xdr:cNvPr id="1456" name="직선 화살표 연결선 1455">
          <a:extLst>
            <a:ext uri="{FF2B5EF4-FFF2-40B4-BE49-F238E27FC236}">
              <a16:creationId xmlns:a16="http://schemas.microsoft.com/office/drawing/2014/main" id="{B587D6C3-36F8-9442-D489-13D4A3B8C0DF}"/>
            </a:ext>
          </a:extLst>
        </xdr:cNvPr>
        <xdr:cNvCxnSpPr/>
      </xdr:nvCxnSpPr>
      <xdr:spPr>
        <a:xfrm>
          <a:off x="8721378" y="2531731"/>
          <a:ext cx="18396857" cy="0"/>
        </a:xfrm>
        <a:prstGeom prst="straightConnector1">
          <a:avLst/>
        </a:prstGeom>
        <a:ln w="31750">
          <a:solidFill>
            <a:schemeClr val="bg1">
              <a:lumMod val="50000"/>
            </a:schemeClr>
          </a:solidFill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19641</xdr:colOff>
      <xdr:row>35</xdr:row>
      <xdr:rowOff>314325</xdr:rowOff>
    </xdr:from>
    <xdr:to>
      <xdr:col>36</xdr:col>
      <xdr:colOff>19641</xdr:colOff>
      <xdr:row>71</xdr:row>
      <xdr:rowOff>204107</xdr:rowOff>
    </xdr:to>
    <xdr:cxnSp macro="">
      <xdr:nvCxnSpPr>
        <xdr:cNvPr id="701" name="꺾인 연결선 260">
          <a:extLst>
            <a:ext uri="{FF2B5EF4-FFF2-40B4-BE49-F238E27FC236}">
              <a16:creationId xmlns:a16="http://schemas.microsoft.com/office/drawing/2014/main" id="{2BD51D0E-6908-9924-13EF-0161B3B5D31F}"/>
            </a:ext>
          </a:extLst>
        </xdr:cNvPr>
        <xdr:cNvCxnSpPr/>
      </xdr:nvCxnSpPr>
      <xdr:spPr>
        <a:xfrm>
          <a:off x="18783891" y="9829800"/>
          <a:ext cx="0" cy="7890782"/>
        </a:xfrm>
        <a:prstGeom prst="straightConnector1">
          <a:avLst/>
        </a:prstGeom>
        <a:ln w="28575" cap="flat">
          <a:solidFill>
            <a:schemeClr val="bg1">
              <a:lumMod val="50000"/>
            </a:schemeClr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2509</xdr:colOff>
      <xdr:row>3</xdr:row>
      <xdr:rowOff>754048</xdr:rowOff>
    </xdr:from>
    <xdr:to>
      <xdr:col>62</xdr:col>
      <xdr:colOff>2509</xdr:colOff>
      <xdr:row>79</xdr:row>
      <xdr:rowOff>353786</xdr:rowOff>
    </xdr:to>
    <xdr:cxnSp macro="">
      <xdr:nvCxnSpPr>
        <xdr:cNvPr id="1648" name="꺾인 연결선 331">
          <a:extLst>
            <a:ext uri="{FF2B5EF4-FFF2-40B4-BE49-F238E27FC236}">
              <a16:creationId xmlns:a16="http://schemas.microsoft.com/office/drawing/2014/main" id="{8EEAF628-1937-3587-362A-BF41C662D922}"/>
            </a:ext>
          </a:extLst>
        </xdr:cNvPr>
        <xdr:cNvCxnSpPr>
          <a:cxnSpLocks/>
        </xdr:cNvCxnSpPr>
      </xdr:nvCxnSpPr>
      <xdr:spPr>
        <a:xfrm flipV="1">
          <a:off x="30319223" y="2019512"/>
          <a:ext cx="0" cy="18894667"/>
        </a:xfrm>
        <a:prstGeom prst="straightConnector1">
          <a:avLst/>
        </a:prstGeom>
        <a:ln w="57150" cap="rnd">
          <a:solidFill>
            <a:srgbClr val="FF0000"/>
          </a:solidFill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374143</xdr:colOff>
      <xdr:row>3</xdr:row>
      <xdr:rowOff>410307</xdr:rowOff>
    </xdr:from>
    <xdr:to>
      <xdr:col>62</xdr:col>
      <xdr:colOff>68527</xdr:colOff>
      <xdr:row>4</xdr:row>
      <xdr:rowOff>22201</xdr:rowOff>
    </xdr:to>
    <xdr:sp macro="" textlink="">
      <xdr:nvSpPr>
        <xdr:cNvPr id="1649" name="이등변 삼각형 1648">
          <a:extLst>
            <a:ext uri="{FF2B5EF4-FFF2-40B4-BE49-F238E27FC236}">
              <a16:creationId xmlns:a16="http://schemas.microsoft.com/office/drawing/2014/main" id="{D1E52B96-816A-B552-A6C2-7B660A2458C9}"/>
            </a:ext>
          </a:extLst>
        </xdr:cNvPr>
        <xdr:cNvSpPr/>
      </xdr:nvSpPr>
      <xdr:spPr>
        <a:xfrm>
          <a:off x="30255429" y="1675771"/>
          <a:ext cx="129812" cy="37389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rgbClr val="FF0000"/>
          </a:solidFill>
        </a:ln>
        <a:scene3d>
          <a:camera prst="orthographicFront">
            <a:rot lat="0" lon="0" rev="10800000"/>
          </a:camera>
          <a:lightRig rig="threeP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>
    <xdr:from>
      <xdr:col>60</xdr:col>
      <xdr:colOff>330113</xdr:colOff>
      <xdr:row>3</xdr:row>
      <xdr:rowOff>62345</xdr:rowOff>
    </xdr:from>
    <xdr:to>
      <xdr:col>63</xdr:col>
      <xdr:colOff>223636</xdr:colOff>
      <xdr:row>3</xdr:row>
      <xdr:rowOff>336839</xdr:rowOff>
    </xdr:to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0F8EB8BD-699A-B8DA-537E-0A6D0A2E45D7}"/>
            </a:ext>
          </a:extLst>
        </xdr:cNvPr>
        <xdr:cNvSpPr txBox="1">
          <a:spLocks noRot="1"/>
        </xdr:cNvSpPr>
      </xdr:nvSpPr>
      <xdr:spPr>
        <a:xfrm>
          <a:off x="29775970" y="1327809"/>
          <a:ext cx="1199809" cy="2744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/>
        <a:lstStyle/>
        <a:p>
          <a:pPr algn="ctr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맑은 고딕"/>
              <a:ea typeface="맑은 고딕"/>
            </a:rPr>
            <a:t>준공</a:t>
          </a:r>
          <a:r>
            <a:rPr lang="en-US" sz="1200" b="1">
              <a:solidFill>
                <a:srgbClr val="000000"/>
              </a:solidFill>
              <a:latin typeface="맑은 고딕"/>
              <a:ea typeface="맑은 고딕"/>
            </a:rPr>
            <a:t>('27.06.01)</a:t>
          </a:r>
          <a:endParaRPr sz="1200" b="1">
            <a:solidFill>
              <a:srgbClr val="000000"/>
            </a:solidFill>
            <a:latin typeface="맑은 고딕"/>
            <a:ea typeface="맑은 고딕"/>
          </a:endParaRPr>
        </a:p>
      </xdr:txBody>
    </xdr:sp>
    <xdr:clientData/>
  </xdr:twoCellAnchor>
  <xdr:twoCellAnchor>
    <xdr:from>
      <xdr:col>52</xdr:col>
      <xdr:colOff>414618</xdr:colOff>
      <xdr:row>66</xdr:row>
      <xdr:rowOff>280308</xdr:rowOff>
    </xdr:from>
    <xdr:to>
      <xdr:col>58</xdr:col>
      <xdr:colOff>176893</xdr:colOff>
      <xdr:row>66</xdr:row>
      <xdr:rowOff>280308</xdr:rowOff>
    </xdr:to>
    <xdr:cxnSp macro="">
      <xdr:nvCxnSpPr>
        <xdr:cNvPr id="1600" name="직선 연결선 1599">
          <a:extLst>
            <a:ext uri="{FF2B5EF4-FFF2-40B4-BE49-F238E27FC236}">
              <a16:creationId xmlns:a16="http://schemas.microsoft.com/office/drawing/2014/main" id="{72AE767A-3730-7575-BF3B-F08C90553539}"/>
            </a:ext>
          </a:extLst>
        </xdr:cNvPr>
        <xdr:cNvCxnSpPr/>
      </xdr:nvCxnSpPr>
      <xdr:spPr>
        <a:xfrm>
          <a:off x="25896794" y="15890102"/>
          <a:ext cx="2317217" cy="0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39125</xdr:colOff>
      <xdr:row>62</xdr:row>
      <xdr:rowOff>294071</xdr:rowOff>
    </xdr:from>
    <xdr:to>
      <xdr:col>41</xdr:col>
      <xdr:colOff>381166</xdr:colOff>
      <xdr:row>64</xdr:row>
      <xdr:rowOff>248139</xdr:rowOff>
    </xdr:to>
    <xdr:cxnSp macro="">
      <xdr:nvCxnSpPr>
        <xdr:cNvPr id="692" name="꺾인 연결선 260">
          <a:extLst>
            <a:ext uri="{FF2B5EF4-FFF2-40B4-BE49-F238E27FC236}">
              <a16:creationId xmlns:a16="http://schemas.microsoft.com/office/drawing/2014/main" id="{46C5EA44-9FF4-4075-0035-4A91BF75B7E4}"/>
            </a:ext>
          </a:extLst>
        </xdr:cNvPr>
        <xdr:cNvCxnSpPr>
          <a:cxnSpLocks/>
          <a:stCxn id="1574" idx="4"/>
          <a:endCxn id="1597" idx="2"/>
        </xdr:cNvCxnSpPr>
      </xdr:nvCxnSpPr>
      <xdr:spPr>
        <a:xfrm rot="16200000" flipH="1">
          <a:off x="20330862" y="14149459"/>
          <a:ext cx="716068" cy="1199291"/>
        </a:xfrm>
        <a:prstGeom prst="bentConnector2">
          <a:avLst/>
        </a:prstGeom>
        <a:ln w="28575" cap="flat">
          <a:solidFill>
            <a:schemeClr val="bg1">
              <a:lumMod val="50000"/>
            </a:schemeClr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138084</xdr:colOff>
      <xdr:row>65</xdr:row>
      <xdr:rowOff>324971</xdr:rowOff>
    </xdr:from>
    <xdr:to>
      <xdr:col>58</xdr:col>
      <xdr:colOff>138084</xdr:colOff>
      <xdr:row>66</xdr:row>
      <xdr:rowOff>228600</xdr:rowOff>
    </xdr:to>
    <xdr:cxnSp macro="">
      <xdr:nvCxnSpPr>
        <xdr:cNvPr id="679" name="꺾인 연결선 260">
          <a:extLst>
            <a:ext uri="{FF2B5EF4-FFF2-40B4-BE49-F238E27FC236}">
              <a16:creationId xmlns:a16="http://schemas.microsoft.com/office/drawing/2014/main" id="{192C03ED-726C-D5CF-9198-E9501878DAF8}"/>
            </a:ext>
          </a:extLst>
        </xdr:cNvPr>
        <xdr:cNvCxnSpPr/>
      </xdr:nvCxnSpPr>
      <xdr:spPr>
        <a:xfrm>
          <a:off x="28175202" y="15553765"/>
          <a:ext cx="0" cy="284629"/>
        </a:xfrm>
        <a:prstGeom prst="straightConnector1">
          <a:avLst/>
        </a:prstGeom>
        <a:ln w="28575" cap="flat">
          <a:solidFill>
            <a:srgbClr val="FF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273184</xdr:colOff>
      <xdr:row>15</xdr:row>
      <xdr:rowOff>336704</xdr:rowOff>
    </xdr:from>
    <xdr:to>
      <xdr:col>26</xdr:col>
      <xdr:colOff>273184</xdr:colOff>
      <xdr:row>18</xdr:row>
      <xdr:rowOff>212912</xdr:rowOff>
    </xdr:to>
    <xdr:cxnSp macro="">
      <xdr:nvCxnSpPr>
        <xdr:cNvPr id="577" name="꺾인 연결선 260">
          <a:extLst>
            <a:ext uri="{FF2B5EF4-FFF2-40B4-BE49-F238E27FC236}">
              <a16:creationId xmlns:a16="http://schemas.microsoft.com/office/drawing/2014/main" id="{5032A7B4-9FC0-8B7A-936D-59304D12416D}"/>
            </a:ext>
          </a:extLst>
        </xdr:cNvPr>
        <xdr:cNvCxnSpPr/>
      </xdr:nvCxnSpPr>
      <xdr:spPr>
        <a:xfrm>
          <a:off x="14683949" y="6802498"/>
          <a:ext cx="0" cy="1019208"/>
        </a:xfrm>
        <a:prstGeom prst="straightConnector1">
          <a:avLst/>
        </a:prstGeom>
        <a:ln w="28575" cap="flat">
          <a:solidFill>
            <a:srgbClr val="FF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36232</xdr:colOff>
      <xdr:row>14</xdr:row>
      <xdr:rowOff>317218</xdr:rowOff>
    </xdr:from>
    <xdr:to>
      <xdr:col>24</xdr:col>
      <xdr:colOff>36232</xdr:colOff>
      <xdr:row>15</xdr:row>
      <xdr:rowOff>207067</xdr:rowOff>
    </xdr:to>
    <xdr:cxnSp macro="">
      <xdr:nvCxnSpPr>
        <xdr:cNvPr id="1501" name="꺾인 연결선 260">
          <a:extLst>
            <a:ext uri="{FF2B5EF4-FFF2-40B4-BE49-F238E27FC236}">
              <a16:creationId xmlns:a16="http://schemas.microsoft.com/office/drawing/2014/main" id="{1AEBDDAC-7C0F-A9AE-C96A-B651C4CD6145}"/>
            </a:ext>
          </a:extLst>
        </xdr:cNvPr>
        <xdr:cNvCxnSpPr/>
      </xdr:nvCxnSpPr>
      <xdr:spPr>
        <a:xfrm>
          <a:off x="13595350" y="6402012"/>
          <a:ext cx="0" cy="270849"/>
        </a:xfrm>
        <a:prstGeom prst="straightConnector1">
          <a:avLst/>
        </a:prstGeom>
        <a:ln w="28575" cap="flat">
          <a:solidFill>
            <a:srgbClr val="FF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184829</xdr:colOff>
      <xdr:row>12</xdr:row>
      <xdr:rowOff>308935</xdr:rowOff>
    </xdr:from>
    <xdr:to>
      <xdr:col>20</xdr:col>
      <xdr:colOff>184829</xdr:colOff>
      <xdr:row>17</xdr:row>
      <xdr:rowOff>212912</xdr:rowOff>
    </xdr:to>
    <xdr:cxnSp macro="">
      <xdr:nvCxnSpPr>
        <xdr:cNvPr id="1498" name="꺾인 연결선 260">
          <a:extLst>
            <a:ext uri="{FF2B5EF4-FFF2-40B4-BE49-F238E27FC236}">
              <a16:creationId xmlns:a16="http://schemas.microsoft.com/office/drawing/2014/main" id="{F8A3CF4D-1ACA-B86B-B8B9-AE1EBA743991}"/>
            </a:ext>
          </a:extLst>
        </xdr:cNvPr>
        <xdr:cNvCxnSpPr/>
      </xdr:nvCxnSpPr>
      <xdr:spPr>
        <a:xfrm>
          <a:off x="12040653" y="5631729"/>
          <a:ext cx="0" cy="1808977"/>
        </a:xfrm>
        <a:prstGeom prst="straightConnector1">
          <a:avLst/>
        </a:prstGeom>
        <a:ln w="28575" cap="flat">
          <a:solidFill>
            <a:srgbClr val="FF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2611</xdr:colOff>
      <xdr:row>11</xdr:row>
      <xdr:rowOff>333782</xdr:rowOff>
    </xdr:from>
    <xdr:to>
      <xdr:col>20</xdr:col>
      <xdr:colOff>2611</xdr:colOff>
      <xdr:row>12</xdr:row>
      <xdr:rowOff>223631</xdr:rowOff>
    </xdr:to>
    <xdr:cxnSp macro="">
      <xdr:nvCxnSpPr>
        <xdr:cNvPr id="1496" name="꺾인 연결선 260">
          <a:extLst>
            <a:ext uri="{FF2B5EF4-FFF2-40B4-BE49-F238E27FC236}">
              <a16:creationId xmlns:a16="http://schemas.microsoft.com/office/drawing/2014/main" id="{6D01A9E5-1A1E-0093-B386-25B0F7FAF319}"/>
            </a:ext>
          </a:extLst>
        </xdr:cNvPr>
        <xdr:cNvCxnSpPr/>
      </xdr:nvCxnSpPr>
      <xdr:spPr>
        <a:xfrm>
          <a:off x="11946133" y="5278499"/>
          <a:ext cx="0" cy="270849"/>
        </a:xfrm>
        <a:prstGeom prst="straightConnector1">
          <a:avLst/>
        </a:prstGeom>
        <a:ln w="28575" cap="flat">
          <a:solidFill>
            <a:srgbClr val="FF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2612</xdr:colOff>
      <xdr:row>8</xdr:row>
      <xdr:rowOff>308933</xdr:rowOff>
    </xdr:from>
    <xdr:to>
      <xdr:col>16</xdr:col>
      <xdr:colOff>2612</xdr:colOff>
      <xdr:row>9</xdr:row>
      <xdr:rowOff>190500</xdr:rowOff>
    </xdr:to>
    <xdr:cxnSp macro="">
      <xdr:nvCxnSpPr>
        <xdr:cNvPr id="1491" name="꺾인 연결선 260">
          <a:extLst>
            <a:ext uri="{FF2B5EF4-FFF2-40B4-BE49-F238E27FC236}">
              <a16:creationId xmlns:a16="http://schemas.microsoft.com/office/drawing/2014/main" id="{F2790F17-7D0E-844B-A856-7884C4E6A827}"/>
            </a:ext>
          </a:extLst>
        </xdr:cNvPr>
        <xdr:cNvCxnSpPr/>
      </xdr:nvCxnSpPr>
      <xdr:spPr>
        <a:xfrm>
          <a:off x="10223351" y="4110650"/>
          <a:ext cx="0" cy="262567"/>
        </a:xfrm>
        <a:prstGeom prst="straightConnector1">
          <a:avLst/>
        </a:prstGeom>
        <a:ln w="28575" cap="flat">
          <a:solidFill>
            <a:srgbClr val="FF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209360</xdr:colOff>
      <xdr:row>4</xdr:row>
      <xdr:rowOff>522332</xdr:rowOff>
    </xdr:from>
    <xdr:to>
      <xdr:col>12</xdr:col>
      <xdr:colOff>209360</xdr:colOff>
      <xdr:row>8</xdr:row>
      <xdr:rowOff>190501</xdr:rowOff>
    </xdr:to>
    <xdr:cxnSp macro="">
      <xdr:nvCxnSpPr>
        <xdr:cNvPr id="519" name="꺾인 연결선 260">
          <a:extLst>
            <a:ext uri="{FF2B5EF4-FFF2-40B4-BE49-F238E27FC236}">
              <a16:creationId xmlns:a16="http://schemas.microsoft.com/office/drawing/2014/main" id="{2EAC5C77-1ACF-4F5F-94D7-CC7A9890273E}"/>
            </a:ext>
          </a:extLst>
        </xdr:cNvPr>
        <xdr:cNvCxnSpPr/>
      </xdr:nvCxnSpPr>
      <xdr:spPr>
        <a:xfrm>
          <a:off x="8707317" y="2551571"/>
          <a:ext cx="0" cy="1440647"/>
        </a:xfrm>
        <a:prstGeom prst="straightConnector1">
          <a:avLst/>
        </a:prstGeom>
        <a:ln w="28575" cap="flat">
          <a:solidFill>
            <a:srgbClr val="FF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428864</xdr:colOff>
      <xdr:row>66</xdr:row>
      <xdr:rowOff>343059</xdr:rowOff>
    </xdr:from>
    <xdr:to>
      <xdr:col>58</xdr:col>
      <xdr:colOff>428864</xdr:colOff>
      <xdr:row>79</xdr:row>
      <xdr:rowOff>204107</xdr:rowOff>
    </xdr:to>
    <xdr:cxnSp macro="">
      <xdr:nvCxnSpPr>
        <xdr:cNvPr id="1627" name="꺾인 연결선 260">
          <a:extLst>
            <a:ext uri="{FF2B5EF4-FFF2-40B4-BE49-F238E27FC236}">
              <a16:creationId xmlns:a16="http://schemas.microsoft.com/office/drawing/2014/main" id="{9FA858AC-CF7C-0DBA-DFF8-C587C1A73A46}"/>
            </a:ext>
          </a:extLst>
        </xdr:cNvPr>
        <xdr:cNvCxnSpPr/>
      </xdr:nvCxnSpPr>
      <xdr:spPr>
        <a:xfrm>
          <a:off x="29003864" y="15950452"/>
          <a:ext cx="0" cy="4814048"/>
        </a:xfrm>
        <a:prstGeom prst="straightConnector1">
          <a:avLst/>
        </a:prstGeom>
        <a:ln w="28575" cap="flat">
          <a:solidFill>
            <a:srgbClr val="FF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47625</xdr:colOff>
      <xdr:row>56</xdr:row>
      <xdr:rowOff>268179</xdr:rowOff>
    </xdr:from>
    <xdr:to>
      <xdr:col>45</xdr:col>
      <xdr:colOff>9614</xdr:colOff>
      <xdr:row>56</xdr:row>
      <xdr:rowOff>268179</xdr:rowOff>
    </xdr:to>
    <xdr:cxnSp macro="">
      <xdr:nvCxnSpPr>
        <xdr:cNvPr id="1462" name="직선 연결선 1461">
          <a:extLst>
            <a:ext uri="{FF2B5EF4-FFF2-40B4-BE49-F238E27FC236}">
              <a16:creationId xmlns:a16="http://schemas.microsoft.com/office/drawing/2014/main" id="{F728A733-093E-54E5-E371-DF1707D3614B}"/>
            </a:ext>
          </a:extLst>
        </xdr:cNvPr>
        <xdr:cNvCxnSpPr/>
      </xdr:nvCxnSpPr>
      <xdr:spPr>
        <a:xfrm>
          <a:off x="21383625" y="12069654"/>
          <a:ext cx="1247864" cy="0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8572</xdr:colOff>
      <xdr:row>40</xdr:row>
      <xdr:rowOff>253891</xdr:rowOff>
    </xdr:from>
    <xdr:to>
      <xdr:col>42</xdr:col>
      <xdr:colOff>8572</xdr:colOff>
      <xdr:row>55</xdr:row>
      <xdr:rowOff>161925</xdr:rowOff>
    </xdr:to>
    <xdr:cxnSp macro="">
      <xdr:nvCxnSpPr>
        <xdr:cNvPr id="1479" name="꺾인 연결선 260">
          <a:extLst>
            <a:ext uri="{FF2B5EF4-FFF2-40B4-BE49-F238E27FC236}">
              <a16:creationId xmlns:a16="http://schemas.microsoft.com/office/drawing/2014/main" id="{A349D4DE-7657-682D-DE84-2D28EF63CD17}"/>
            </a:ext>
          </a:extLst>
        </xdr:cNvPr>
        <xdr:cNvCxnSpPr/>
      </xdr:nvCxnSpPr>
      <xdr:spPr>
        <a:xfrm>
          <a:off x="21344572" y="10150366"/>
          <a:ext cx="0" cy="1432034"/>
        </a:xfrm>
        <a:prstGeom prst="straightConnector1">
          <a:avLst/>
        </a:prstGeom>
        <a:ln w="28575" cap="flat">
          <a:solidFill>
            <a:srgbClr val="FF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2510</xdr:colOff>
      <xdr:row>3</xdr:row>
      <xdr:rowOff>754048</xdr:rowOff>
    </xdr:from>
    <xdr:to>
      <xdr:col>8</xdr:col>
      <xdr:colOff>2510</xdr:colOff>
      <xdr:row>79</xdr:row>
      <xdr:rowOff>353786</xdr:rowOff>
    </xdr:to>
    <xdr:cxnSp macro="">
      <xdr:nvCxnSpPr>
        <xdr:cNvPr id="19" name="꺾인 연결선 33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>
          <a:cxnSpLocks/>
        </xdr:cNvCxnSpPr>
      </xdr:nvCxnSpPr>
      <xdr:spPr>
        <a:xfrm flipV="1">
          <a:off x="6806081" y="2019512"/>
          <a:ext cx="0" cy="18894667"/>
        </a:xfrm>
        <a:prstGeom prst="straightConnector1">
          <a:avLst/>
        </a:prstGeom>
        <a:ln w="57150" cap="rnd">
          <a:solidFill>
            <a:srgbClr val="FF0000"/>
          </a:solidFill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374144</xdr:colOff>
      <xdr:row>3</xdr:row>
      <xdr:rowOff>410307</xdr:rowOff>
    </xdr:from>
    <xdr:to>
      <xdr:col>8</xdr:col>
      <xdr:colOff>68528</xdr:colOff>
      <xdr:row>4</xdr:row>
      <xdr:rowOff>22201</xdr:rowOff>
    </xdr:to>
    <xdr:sp macro="" textlink="">
      <xdr:nvSpPr>
        <xdr:cNvPr id="20" name="이등변 삼각형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6742287" y="1675771"/>
          <a:ext cx="129812" cy="37389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rgbClr val="FF0000"/>
          </a:solidFill>
        </a:ln>
        <a:scene3d>
          <a:camera prst="orthographicFront">
            <a:rot lat="0" lon="0" rev="10800000"/>
          </a:camera>
          <a:lightRig rig="threeP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>
    <xdr:from>
      <xdr:col>6</xdr:col>
      <xdr:colOff>330114</xdr:colOff>
      <xdr:row>3</xdr:row>
      <xdr:rowOff>62345</xdr:rowOff>
    </xdr:from>
    <xdr:to>
      <xdr:col>9</xdr:col>
      <xdr:colOff>223637</xdr:colOff>
      <xdr:row>3</xdr:row>
      <xdr:rowOff>336839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>
          <a:spLocks noRot="1"/>
        </xdr:cNvSpPr>
      </xdr:nvSpPr>
      <xdr:spPr>
        <a:xfrm>
          <a:off x="6262828" y="1327809"/>
          <a:ext cx="1199809" cy="2744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/>
        <a:lstStyle/>
        <a:p>
          <a:pPr algn="ctr">
            <a:lnSpc>
              <a:spcPct val="100000"/>
            </a:lnSpc>
          </a:pPr>
          <a:r>
            <a:rPr sz="1200" b="1">
              <a:solidFill>
                <a:srgbClr val="000000"/>
              </a:solidFill>
              <a:latin typeface="맑은 고딕"/>
              <a:ea typeface="맑은 고딕"/>
            </a:rPr>
            <a:t>착</a:t>
          </a:r>
          <a:r>
            <a:rPr lang="ko-KR" altLang="en-US" sz="1200" b="1">
              <a:solidFill>
                <a:srgbClr val="000000"/>
              </a:solidFill>
              <a:latin typeface="맑은 고딕"/>
              <a:ea typeface="맑은 고딕"/>
            </a:rPr>
            <a:t>공</a:t>
          </a:r>
          <a:r>
            <a:rPr lang="en-US" sz="1200" b="1">
              <a:solidFill>
                <a:srgbClr val="000000"/>
              </a:solidFill>
              <a:latin typeface="맑은 고딕"/>
              <a:ea typeface="맑은 고딕"/>
            </a:rPr>
            <a:t>('25.12.01)</a:t>
          </a:r>
          <a:endParaRPr sz="1200" b="1">
            <a:solidFill>
              <a:srgbClr val="000000"/>
            </a:solidFill>
            <a:latin typeface="맑은 고딕"/>
            <a:ea typeface="맑은 고딕"/>
          </a:endParaRPr>
        </a:p>
      </xdr:txBody>
    </xdr:sp>
    <xdr:clientData/>
  </xdr:twoCellAnchor>
  <xdr:twoCellAnchor>
    <xdr:from>
      <xdr:col>5</xdr:col>
      <xdr:colOff>218611</xdr:colOff>
      <xdr:row>8</xdr:row>
      <xdr:rowOff>37559</xdr:rowOff>
    </xdr:from>
    <xdr:to>
      <xdr:col>7</xdr:col>
      <xdr:colOff>224533</xdr:colOff>
      <xdr:row>8</xdr:row>
      <xdr:rowOff>355888</xdr:rowOff>
    </xdr:to>
    <xdr:sp macro="" textlink="">
      <xdr:nvSpPr>
        <xdr:cNvPr id="24" name="모서리가 둥근 직사각형 61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5695486" y="3838034"/>
          <a:ext cx="863172" cy="318329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ko-KR" altLang="en-US" sz="1400" b="1"/>
            <a:t>철거공사</a:t>
          </a:r>
          <a:endParaRPr lang="en-US" altLang="ko-KR" sz="1400" b="1"/>
        </a:p>
      </xdr:txBody>
    </xdr:sp>
    <xdr:clientData/>
  </xdr:twoCellAnchor>
  <xdr:twoCellAnchor>
    <xdr:from>
      <xdr:col>5</xdr:col>
      <xdr:colOff>101237</xdr:colOff>
      <xdr:row>34</xdr:row>
      <xdr:rowOff>167016</xdr:rowOff>
    </xdr:from>
    <xdr:to>
      <xdr:col>7</xdr:col>
      <xdr:colOff>361064</xdr:colOff>
      <xdr:row>34</xdr:row>
      <xdr:rowOff>550878</xdr:rowOff>
    </xdr:to>
    <xdr:sp macro="" textlink="">
      <xdr:nvSpPr>
        <xdr:cNvPr id="25" name="모서리가 둥근 직사각형 407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5530487" y="28051454"/>
          <a:ext cx="1117077" cy="383862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400" b="1"/>
            <a:t>MEP</a:t>
          </a:r>
          <a:endParaRPr lang="ko-KR" altLang="en-US" sz="1400" b="1"/>
        </a:p>
      </xdr:txBody>
    </xdr:sp>
    <xdr:clientData/>
  </xdr:twoCellAnchor>
  <xdr:twoCellAnchor>
    <xdr:from>
      <xdr:col>5</xdr:col>
      <xdr:colOff>97180</xdr:colOff>
      <xdr:row>43</xdr:row>
      <xdr:rowOff>83681</xdr:rowOff>
    </xdr:from>
    <xdr:to>
      <xdr:col>7</xdr:col>
      <xdr:colOff>383881</xdr:colOff>
      <xdr:row>43</xdr:row>
      <xdr:rowOff>535456</xdr:rowOff>
    </xdr:to>
    <xdr:sp macro="" textlink="">
      <xdr:nvSpPr>
        <xdr:cNvPr id="26" name="모서리가 둥근 직사각형 207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5526430" y="32301994"/>
          <a:ext cx="1143951" cy="451775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ko-KR" altLang="en-US" sz="1400" b="1"/>
            <a:t>부대토목</a:t>
          </a:r>
        </a:p>
      </xdr:txBody>
    </xdr:sp>
    <xdr:clientData/>
  </xdr:twoCellAnchor>
  <xdr:twoCellAnchor>
    <xdr:from>
      <xdr:col>8</xdr:col>
      <xdr:colOff>87207</xdr:colOff>
      <xdr:row>4</xdr:row>
      <xdr:rowOff>494278</xdr:rowOff>
    </xdr:from>
    <xdr:to>
      <xdr:col>14</xdr:col>
      <xdr:colOff>13606</xdr:colOff>
      <xdr:row>5</xdr:row>
      <xdr:rowOff>233900</xdr:rowOff>
    </xdr:to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DC5379F0-3D48-4031-ACEE-DA93CEAA529E}"/>
            </a:ext>
          </a:extLst>
        </xdr:cNvPr>
        <xdr:cNvSpPr txBox="1"/>
      </xdr:nvSpPr>
      <xdr:spPr>
        <a:xfrm>
          <a:off x="6890778" y="2521742"/>
          <a:ext cx="2538971" cy="365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조립식 가설 사무실</a:t>
          </a:r>
          <a:r>
            <a:rPr lang="en-US" altLang="ko-K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안전관리 계획서</a:t>
          </a:r>
          <a:r>
            <a:rPr lang="ko-KR" altLang="en-US" sz="1400"/>
            <a:t> 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9</xdr:col>
      <xdr:colOff>328917</xdr:colOff>
      <xdr:row>5</xdr:row>
      <xdr:rowOff>291262</xdr:rowOff>
    </xdr:from>
    <xdr:to>
      <xdr:col>16</xdr:col>
      <xdr:colOff>0</xdr:colOff>
      <xdr:row>6</xdr:row>
      <xdr:rowOff>266288</xdr:rowOff>
    </xdr:to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328EC029-9034-4872-AB94-1AF5DE7E6C2D}"/>
            </a:ext>
          </a:extLst>
        </xdr:cNvPr>
        <xdr:cNvSpPr txBox="1"/>
      </xdr:nvSpPr>
      <xdr:spPr>
        <a:xfrm>
          <a:off x="7567917" y="2944655"/>
          <a:ext cx="2719083" cy="3560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세륜기</a:t>
          </a:r>
          <a:r>
            <a:rPr lang="en-US" altLang="ko-K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가설출입구</a:t>
          </a:r>
          <a:r>
            <a:rPr lang="en-US" altLang="ko-K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가설방음벽 등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20</xdr:col>
      <xdr:colOff>307524</xdr:colOff>
      <xdr:row>12</xdr:row>
      <xdr:rowOff>310501</xdr:rowOff>
    </xdr:from>
    <xdr:to>
      <xdr:col>22</xdr:col>
      <xdr:colOff>108859</xdr:colOff>
      <xdr:row>13</xdr:row>
      <xdr:rowOff>285527</xdr:rowOff>
    </xdr:to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E3565AA3-437A-45DB-A6D2-84935332C55F}"/>
            </a:ext>
          </a:extLst>
        </xdr:cNvPr>
        <xdr:cNvSpPr txBox="1"/>
      </xdr:nvSpPr>
      <xdr:spPr>
        <a:xfrm>
          <a:off x="12336238" y="5630894"/>
          <a:ext cx="672192" cy="3560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버팀보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18</xdr:col>
      <xdr:colOff>356918</xdr:colOff>
      <xdr:row>11</xdr:row>
      <xdr:rowOff>27213</xdr:rowOff>
    </xdr:from>
    <xdr:to>
      <xdr:col>20</xdr:col>
      <xdr:colOff>163284</xdr:colOff>
      <xdr:row>11</xdr:row>
      <xdr:rowOff>216054</xdr:rowOff>
    </xdr:to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393ACD72-BA61-46F5-BD6C-3FA026FBF01C}"/>
            </a:ext>
          </a:extLst>
        </xdr:cNvPr>
        <xdr:cNvSpPr txBox="1"/>
      </xdr:nvSpPr>
      <xdr:spPr>
        <a:xfrm>
          <a:off x="11405918" y="4970688"/>
          <a:ext cx="663616" cy="1888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강널말뚝</a:t>
          </a:r>
          <a:endParaRPr lang="en-US" altLang="ko-KR" sz="1600" b="1">
            <a:latin typeface="+mn-ea"/>
            <a:ea typeface="+mn-ea"/>
          </a:endParaRPr>
        </a:p>
      </xdr:txBody>
    </xdr:sp>
    <xdr:clientData/>
  </xdr:twoCellAnchor>
  <xdr:twoCellAnchor>
    <xdr:from>
      <xdr:col>27</xdr:col>
      <xdr:colOff>142707</xdr:colOff>
      <xdr:row>20</xdr:row>
      <xdr:rowOff>44824</xdr:rowOff>
    </xdr:from>
    <xdr:to>
      <xdr:col>29</xdr:col>
      <xdr:colOff>133989</xdr:colOff>
      <xdr:row>20</xdr:row>
      <xdr:rowOff>274486</xdr:rowOff>
    </xdr:to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D0E25ADD-27C7-4271-A3B1-D3C1B5356D37}"/>
            </a:ext>
          </a:extLst>
        </xdr:cNvPr>
        <xdr:cNvSpPr txBox="1"/>
      </xdr:nvSpPr>
      <xdr:spPr>
        <a:xfrm>
          <a:off x="14979295" y="8415618"/>
          <a:ext cx="842929" cy="2296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기초 타설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130396</xdr:colOff>
      <xdr:row>18</xdr:row>
      <xdr:rowOff>336177</xdr:rowOff>
    </xdr:from>
    <xdr:to>
      <xdr:col>27</xdr:col>
      <xdr:colOff>130396</xdr:colOff>
      <xdr:row>20</xdr:row>
      <xdr:rowOff>212912</xdr:rowOff>
    </xdr:to>
    <xdr:cxnSp macro="">
      <xdr:nvCxnSpPr>
        <xdr:cNvPr id="526" name="꺾인 연결선 260">
          <a:extLst>
            <a:ext uri="{FF2B5EF4-FFF2-40B4-BE49-F238E27FC236}">
              <a16:creationId xmlns:a16="http://schemas.microsoft.com/office/drawing/2014/main" id="{A3A01478-357B-4641-8D82-0C028617BE73}"/>
            </a:ext>
          </a:extLst>
        </xdr:cNvPr>
        <xdr:cNvCxnSpPr/>
      </xdr:nvCxnSpPr>
      <xdr:spPr>
        <a:xfrm>
          <a:off x="14966984" y="7944971"/>
          <a:ext cx="0" cy="638735"/>
        </a:xfrm>
        <a:prstGeom prst="straightConnector1">
          <a:avLst/>
        </a:prstGeom>
        <a:ln w="28575" cap="flat">
          <a:solidFill>
            <a:srgbClr val="FF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276783</xdr:colOff>
      <xdr:row>16</xdr:row>
      <xdr:rowOff>314127</xdr:rowOff>
    </xdr:from>
    <xdr:to>
      <xdr:col>36</xdr:col>
      <xdr:colOff>420460</xdr:colOff>
      <xdr:row>17</xdr:row>
      <xdr:rowOff>151201</xdr:rowOff>
    </xdr:to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7C1D7FBC-E716-4291-A32E-901132D24D8C}"/>
            </a:ext>
          </a:extLst>
        </xdr:cNvPr>
        <xdr:cNvSpPr txBox="1"/>
      </xdr:nvSpPr>
      <xdr:spPr>
        <a:xfrm>
          <a:off x="18519959" y="7160921"/>
          <a:ext cx="569501" cy="218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되메우기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261080</xdr:colOff>
      <xdr:row>25</xdr:row>
      <xdr:rowOff>50987</xdr:rowOff>
    </xdr:from>
    <xdr:to>
      <xdr:col>32</xdr:col>
      <xdr:colOff>156483</xdr:colOff>
      <xdr:row>25</xdr:row>
      <xdr:rowOff>222438</xdr:rowOff>
    </xdr:to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892942B2-10CE-44F7-81BF-821BEEB28B9B}"/>
            </a:ext>
          </a:extLst>
        </xdr:cNvPr>
        <xdr:cNvSpPr txBox="1"/>
      </xdr:nvSpPr>
      <xdr:spPr>
        <a:xfrm>
          <a:off x="15949315" y="8802781"/>
          <a:ext cx="1172874" cy="1714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지하 </a:t>
          </a:r>
          <a:r>
            <a:rPr lang="en-US" altLang="ko-K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층 골조공사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37</xdr:col>
      <xdr:colOff>189542</xdr:colOff>
      <xdr:row>59</xdr:row>
      <xdr:rowOff>16250</xdr:rowOff>
    </xdr:from>
    <xdr:to>
      <xdr:col>40</xdr:col>
      <xdr:colOff>1162</xdr:colOff>
      <xdr:row>59</xdr:row>
      <xdr:rowOff>246272</xdr:rowOff>
    </xdr:to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9BE83A8B-DA12-4B34-8764-ABCDF037AED3}"/>
            </a:ext>
          </a:extLst>
        </xdr:cNvPr>
        <xdr:cNvSpPr txBox="1"/>
      </xdr:nvSpPr>
      <xdr:spPr>
        <a:xfrm>
          <a:off x="19620542" y="12956643"/>
          <a:ext cx="1117906" cy="230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블록 보강쌓기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42</xdr:col>
      <xdr:colOff>10467</xdr:colOff>
      <xdr:row>63</xdr:row>
      <xdr:rowOff>35111</xdr:rowOff>
    </xdr:from>
    <xdr:to>
      <xdr:col>44</xdr:col>
      <xdr:colOff>360279</xdr:colOff>
      <xdr:row>63</xdr:row>
      <xdr:rowOff>207774</xdr:rowOff>
    </xdr:to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4116C908-D6ED-4632-B1E5-127D5A333331}"/>
            </a:ext>
          </a:extLst>
        </xdr:cNvPr>
        <xdr:cNvSpPr txBox="1"/>
      </xdr:nvSpPr>
      <xdr:spPr>
        <a:xfrm>
          <a:off x="21346467" y="14513111"/>
          <a:ext cx="1207062" cy="172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모르타르 바름</a:t>
          </a:r>
          <a:r>
            <a:rPr lang="ko-KR" altLang="en-US"/>
            <a:t> 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53</xdr:col>
      <xdr:colOff>222280</xdr:colOff>
      <xdr:row>61</xdr:row>
      <xdr:rowOff>48399</xdr:rowOff>
    </xdr:from>
    <xdr:to>
      <xdr:col>55</xdr:col>
      <xdr:colOff>156905</xdr:colOff>
      <xdr:row>61</xdr:row>
      <xdr:rowOff>236920</xdr:rowOff>
    </xdr:to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81DC580C-F44B-4EE0-80CC-A620CF741F80}"/>
            </a:ext>
          </a:extLst>
        </xdr:cNvPr>
        <xdr:cNvSpPr txBox="1"/>
      </xdr:nvSpPr>
      <xdr:spPr>
        <a:xfrm>
          <a:off x="26452665" y="13764399"/>
          <a:ext cx="799202" cy="1885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도기질타일</a:t>
          </a:r>
          <a:r>
            <a:rPr lang="ko-KR" altLang="en-US"/>
            <a:t> 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244928</xdr:colOff>
      <xdr:row>8</xdr:row>
      <xdr:rowOff>283028</xdr:rowOff>
    </xdr:from>
    <xdr:to>
      <xdr:col>16</xdr:col>
      <xdr:colOff>13607</xdr:colOff>
      <xdr:row>8</xdr:row>
      <xdr:rowOff>283028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10C0D8DC-2EB7-A535-A7E3-8E8540A5CCBE}"/>
            </a:ext>
          </a:extLst>
        </xdr:cNvPr>
        <xdr:cNvCxnSpPr/>
      </xdr:nvCxnSpPr>
      <xdr:spPr>
        <a:xfrm>
          <a:off x="8790214" y="4079421"/>
          <a:ext cx="1510393" cy="0"/>
        </a:xfrm>
        <a:prstGeom prst="line">
          <a:avLst/>
        </a:prstGeom>
        <a:ln w="508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29936</xdr:colOff>
      <xdr:row>4</xdr:row>
      <xdr:rowOff>506186</xdr:rowOff>
    </xdr:from>
    <xdr:to>
      <xdr:col>12</xdr:col>
      <xdr:colOff>217714</xdr:colOff>
      <xdr:row>4</xdr:row>
      <xdr:rowOff>506186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23BF465F-8FBA-4A3B-81B6-08295CD24137}"/>
            </a:ext>
          </a:extLst>
        </xdr:cNvPr>
        <xdr:cNvCxnSpPr/>
      </xdr:nvCxnSpPr>
      <xdr:spPr>
        <a:xfrm>
          <a:off x="6833507" y="2533650"/>
          <a:ext cx="1929493" cy="0"/>
        </a:xfrm>
        <a:prstGeom prst="line">
          <a:avLst/>
        </a:prstGeom>
        <a:ln w="508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277586</xdr:rowOff>
    </xdr:from>
    <xdr:to>
      <xdr:col>9</xdr:col>
      <xdr:colOff>462643</xdr:colOff>
      <xdr:row>5</xdr:row>
      <xdr:rowOff>277586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EDE73925-ED48-4DC8-870F-35DCAD88BE47}"/>
            </a:ext>
          </a:extLst>
        </xdr:cNvPr>
        <xdr:cNvCxnSpPr/>
      </xdr:nvCxnSpPr>
      <xdr:spPr>
        <a:xfrm>
          <a:off x="7965621" y="2930979"/>
          <a:ext cx="1260022" cy="0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428625</xdr:colOff>
      <xdr:row>6</xdr:row>
      <xdr:rowOff>266700</xdr:rowOff>
    </xdr:from>
    <xdr:to>
      <xdr:col>12</xdr:col>
      <xdr:colOff>215347</xdr:colOff>
      <xdr:row>6</xdr:row>
      <xdr:rowOff>266700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A403BFD0-AA40-4F65-887D-397E8BB0CDF3}"/>
            </a:ext>
          </a:extLst>
        </xdr:cNvPr>
        <xdr:cNvCxnSpPr/>
      </xdr:nvCxnSpPr>
      <xdr:spPr>
        <a:xfrm>
          <a:off x="7634495" y="3306417"/>
          <a:ext cx="1078809" cy="0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251732</xdr:colOff>
      <xdr:row>11</xdr:row>
      <xdr:rowOff>287110</xdr:rowOff>
    </xdr:from>
    <xdr:to>
      <xdr:col>20</xdr:col>
      <xdr:colOff>13607</xdr:colOff>
      <xdr:row>11</xdr:row>
      <xdr:rowOff>287110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1BA07E4C-BC32-6202-A850-FC2AF26E3D2C}"/>
            </a:ext>
          </a:extLst>
        </xdr:cNvPr>
        <xdr:cNvCxnSpPr/>
      </xdr:nvCxnSpPr>
      <xdr:spPr>
        <a:xfrm>
          <a:off x="11409589" y="5226503"/>
          <a:ext cx="632732" cy="0"/>
        </a:xfrm>
        <a:prstGeom prst="line">
          <a:avLst/>
        </a:prstGeom>
        <a:ln w="508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427266</xdr:colOff>
      <xdr:row>12</xdr:row>
      <xdr:rowOff>273503</xdr:rowOff>
    </xdr:from>
    <xdr:to>
      <xdr:col>20</xdr:col>
      <xdr:colOff>149679</xdr:colOff>
      <xdr:row>12</xdr:row>
      <xdr:rowOff>273503</xdr:rowOff>
    </xdr:to>
    <xdr:cxnSp macro="">
      <xdr:nvCxnSpPr>
        <xdr:cNvPr id="673" name="직선 연결선 672">
          <a:extLst>
            <a:ext uri="{FF2B5EF4-FFF2-40B4-BE49-F238E27FC236}">
              <a16:creationId xmlns:a16="http://schemas.microsoft.com/office/drawing/2014/main" id="{3DA25F3F-267D-4372-9094-8E81BD855782}"/>
            </a:ext>
          </a:extLst>
        </xdr:cNvPr>
        <xdr:cNvCxnSpPr/>
      </xdr:nvCxnSpPr>
      <xdr:spPr>
        <a:xfrm>
          <a:off x="12020552" y="5593896"/>
          <a:ext cx="157841" cy="0"/>
        </a:xfrm>
        <a:prstGeom prst="line">
          <a:avLst/>
        </a:prstGeom>
        <a:ln w="508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202352</xdr:colOff>
      <xdr:row>13</xdr:row>
      <xdr:rowOff>263978</xdr:rowOff>
    </xdr:from>
    <xdr:to>
      <xdr:col>23</xdr:col>
      <xdr:colOff>251337</xdr:colOff>
      <xdr:row>13</xdr:row>
      <xdr:rowOff>263978</xdr:rowOff>
    </xdr:to>
    <xdr:cxnSp macro="">
      <xdr:nvCxnSpPr>
        <xdr:cNvPr id="677" name="직선 연결선 676">
          <a:extLst>
            <a:ext uri="{FF2B5EF4-FFF2-40B4-BE49-F238E27FC236}">
              <a16:creationId xmlns:a16="http://schemas.microsoft.com/office/drawing/2014/main" id="{86B2ADE3-ECBA-EE79-5655-BDDC4589F390}"/>
            </a:ext>
          </a:extLst>
        </xdr:cNvPr>
        <xdr:cNvCxnSpPr/>
      </xdr:nvCxnSpPr>
      <xdr:spPr>
        <a:xfrm>
          <a:off x="12483999" y="5967772"/>
          <a:ext cx="900632" cy="0"/>
        </a:xfrm>
        <a:prstGeom prst="line">
          <a:avLst/>
        </a:prstGeom>
        <a:ln w="508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237730</xdr:colOff>
      <xdr:row>14</xdr:row>
      <xdr:rowOff>273503</xdr:rowOff>
    </xdr:from>
    <xdr:to>
      <xdr:col>24</xdr:col>
      <xdr:colOff>33621</xdr:colOff>
      <xdr:row>14</xdr:row>
      <xdr:rowOff>273503</xdr:rowOff>
    </xdr:to>
    <xdr:cxnSp macro="">
      <xdr:nvCxnSpPr>
        <xdr:cNvPr id="680" name="직선 연결선 679">
          <a:extLst>
            <a:ext uri="{FF2B5EF4-FFF2-40B4-BE49-F238E27FC236}">
              <a16:creationId xmlns:a16="http://schemas.microsoft.com/office/drawing/2014/main" id="{3A59A235-32D1-477A-9BAC-0D82CDC7C559}"/>
            </a:ext>
          </a:extLst>
        </xdr:cNvPr>
        <xdr:cNvCxnSpPr/>
      </xdr:nvCxnSpPr>
      <xdr:spPr>
        <a:xfrm>
          <a:off x="13371024" y="6358297"/>
          <a:ext cx="221715" cy="0"/>
        </a:xfrm>
        <a:prstGeom prst="line">
          <a:avLst/>
        </a:prstGeom>
        <a:ln w="508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40425</xdr:colOff>
      <xdr:row>15</xdr:row>
      <xdr:rowOff>270141</xdr:rowOff>
    </xdr:from>
    <xdr:to>
      <xdr:col>26</xdr:col>
      <xdr:colOff>251335</xdr:colOff>
      <xdr:row>15</xdr:row>
      <xdr:rowOff>270141</xdr:rowOff>
    </xdr:to>
    <xdr:cxnSp macro="">
      <xdr:nvCxnSpPr>
        <xdr:cNvPr id="682" name="직선 연결선 681">
          <a:extLst>
            <a:ext uri="{FF2B5EF4-FFF2-40B4-BE49-F238E27FC236}">
              <a16:creationId xmlns:a16="http://schemas.microsoft.com/office/drawing/2014/main" id="{41FAE94E-78C4-4D60-AEEB-3A71D01FABA0}"/>
            </a:ext>
          </a:extLst>
        </xdr:cNvPr>
        <xdr:cNvCxnSpPr/>
      </xdr:nvCxnSpPr>
      <xdr:spPr>
        <a:xfrm>
          <a:off x="13599543" y="6735935"/>
          <a:ext cx="1062557" cy="0"/>
        </a:xfrm>
        <a:prstGeom prst="line">
          <a:avLst/>
        </a:prstGeom>
        <a:ln w="508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16</xdr:row>
      <xdr:rowOff>283028</xdr:rowOff>
    </xdr:from>
    <xdr:to>
      <xdr:col>36</xdr:col>
      <xdr:colOff>238125</xdr:colOff>
      <xdr:row>16</xdr:row>
      <xdr:rowOff>283028</xdr:rowOff>
    </xdr:to>
    <xdr:cxnSp macro="">
      <xdr:nvCxnSpPr>
        <xdr:cNvPr id="685" name="직선 연결선 684">
          <a:extLst>
            <a:ext uri="{FF2B5EF4-FFF2-40B4-BE49-F238E27FC236}">
              <a16:creationId xmlns:a16="http://schemas.microsoft.com/office/drawing/2014/main" id="{12CF457B-D6D4-572D-4B5A-681338703194}"/>
            </a:ext>
          </a:extLst>
        </xdr:cNvPr>
        <xdr:cNvCxnSpPr/>
      </xdr:nvCxnSpPr>
      <xdr:spPr>
        <a:xfrm>
          <a:off x="18669000" y="7129822"/>
          <a:ext cx="238125" cy="0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182093</xdr:colOff>
      <xdr:row>17</xdr:row>
      <xdr:rowOff>263978</xdr:rowOff>
    </xdr:from>
    <xdr:to>
      <xdr:col>21</xdr:col>
      <xdr:colOff>216112</xdr:colOff>
      <xdr:row>17</xdr:row>
      <xdr:rowOff>263978</xdr:rowOff>
    </xdr:to>
    <xdr:cxnSp macro="">
      <xdr:nvCxnSpPr>
        <xdr:cNvPr id="449" name="직선 연결선 448">
          <a:extLst>
            <a:ext uri="{FF2B5EF4-FFF2-40B4-BE49-F238E27FC236}">
              <a16:creationId xmlns:a16="http://schemas.microsoft.com/office/drawing/2014/main" id="{233BF613-F4CA-44CB-B3F0-54FF3287F82C}"/>
            </a:ext>
          </a:extLst>
        </xdr:cNvPr>
        <xdr:cNvCxnSpPr/>
      </xdr:nvCxnSpPr>
      <xdr:spPr>
        <a:xfrm>
          <a:off x="12037917" y="7491772"/>
          <a:ext cx="459842" cy="0"/>
        </a:xfrm>
        <a:prstGeom prst="line">
          <a:avLst/>
        </a:prstGeom>
        <a:ln w="508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280307</xdr:colOff>
      <xdr:row>18</xdr:row>
      <xdr:rowOff>273503</xdr:rowOff>
    </xdr:from>
    <xdr:to>
      <xdr:col>27</xdr:col>
      <xdr:colOff>123825</xdr:colOff>
      <xdr:row>18</xdr:row>
      <xdr:rowOff>273503</xdr:rowOff>
    </xdr:to>
    <xdr:cxnSp macro="">
      <xdr:nvCxnSpPr>
        <xdr:cNvPr id="452" name="직선 연결선 451">
          <a:extLst>
            <a:ext uri="{FF2B5EF4-FFF2-40B4-BE49-F238E27FC236}">
              <a16:creationId xmlns:a16="http://schemas.microsoft.com/office/drawing/2014/main" id="{689A6801-39F8-2368-8615-24AD143A849A}"/>
            </a:ext>
          </a:extLst>
        </xdr:cNvPr>
        <xdr:cNvCxnSpPr/>
      </xdr:nvCxnSpPr>
      <xdr:spPr>
        <a:xfrm>
          <a:off x="14758307" y="7883978"/>
          <a:ext cx="272143" cy="0"/>
        </a:xfrm>
        <a:prstGeom prst="line">
          <a:avLst/>
        </a:prstGeom>
        <a:ln w="508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152400</xdr:colOff>
      <xdr:row>20</xdr:row>
      <xdr:rowOff>273503</xdr:rowOff>
    </xdr:from>
    <xdr:to>
      <xdr:col>28</xdr:col>
      <xdr:colOff>421821</xdr:colOff>
      <xdr:row>20</xdr:row>
      <xdr:rowOff>273503</xdr:rowOff>
    </xdr:to>
    <xdr:cxnSp macro="">
      <xdr:nvCxnSpPr>
        <xdr:cNvPr id="462" name="직선 연결선 461">
          <a:extLst>
            <a:ext uri="{FF2B5EF4-FFF2-40B4-BE49-F238E27FC236}">
              <a16:creationId xmlns:a16="http://schemas.microsoft.com/office/drawing/2014/main" id="{14C54784-C9BA-F40C-E794-10F529293EC4}"/>
            </a:ext>
          </a:extLst>
        </xdr:cNvPr>
        <xdr:cNvCxnSpPr/>
      </xdr:nvCxnSpPr>
      <xdr:spPr>
        <a:xfrm>
          <a:off x="15229114" y="8641896"/>
          <a:ext cx="704850" cy="0"/>
        </a:xfrm>
        <a:prstGeom prst="line">
          <a:avLst/>
        </a:prstGeom>
        <a:ln w="508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432708</xdr:colOff>
      <xdr:row>25</xdr:row>
      <xdr:rowOff>273503</xdr:rowOff>
    </xdr:from>
    <xdr:to>
      <xdr:col>33</xdr:col>
      <xdr:colOff>23133</xdr:colOff>
      <xdr:row>25</xdr:row>
      <xdr:rowOff>273503</xdr:rowOff>
    </xdr:to>
    <xdr:cxnSp macro="">
      <xdr:nvCxnSpPr>
        <xdr:cNvPr id="468" name="직선 연결선 467">
          <a:extLst>
            <a:ext uri="{FF2B5EF4-FFF2-40B4-BE49-F238E27FC236}">
              <a16:creationId xmlns:a16="http://schemas.microsoft.com/office/drawing/2014/main" id="{B3E6F178-A0C2-16A3-9D9B-78DE7B535017}"/>
            </a:ext>
          </a:extLst>
        </xdr:cNvPr>
        <xdr:cNvCxnSpPr/>
      </xdr:nvCxnSpPr>
      <xdr:spPr>
        <a:xfrm>
          <a:off x="15944851" y="9022896"/>
          <a:ext cx="1767568" cy="0"/>
        </a:xfrm>
        <a:prstGeom prst="line">
          <a:avLst/>
        </a:prstGeom>
        <a:ln w="508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12256</xdr:colOff>
      <xdr:row>30</xdr:row>
      <xdr:rowOff>273502</xdr:rowOff>
    </xdr:from>
    <xdr:to>
      <xdr:col>36</xdr:col>
      <xdr:colOff>9535</xdr:colOff>
      <xdr:row>30</xdr:row>
      <xdr:rowOff>273502</xdr:rowOff>
    </xdr:to>
    <xdr:cxnSp macro="">
      <xdr:nvCxnSpPr>
        <xdr:cNvPr id="470" name="직선 연결선 469">
          <a:extLst>
            <a:ext uri="{FF2B5EF4-FFF2-40B4-BE49-F238E27FC236}">
              <a16:creationId xmlns:a16="http://schemas.microsoft.com/office/drawing/2014/main" id="{2626A823-BE18-C67C-6F5C-94959E4F0599}"/>
            </a:ext>
          </a:extLst>
        </xdr:cNvPr>
        <xdr:cNvCxnSpPr/>
      </xdr:nvCxnSpPr>
      <xdr:spPr>
        <a:xfrm>
          <a:off x="17490631" y="9407977"/>
          <a:ext cx="1283154" cy="0"/>
        </a:xfrm>
        <a:prstGeom prst="line">
          <a:avLst/>
        </a:prstGeom>
        <a:ln w="508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2731</xdr:colOff>
      <xdr:row>35</xdr:row>
      <xdr:rowOff>273503</xdr:rowOff>
    </xdr:from>
    <xdr:to>
      <xdr:col>39</xdr:col>
      <xdr:colOff>19060</xdr:colOff>
      <xdr:row>35</xdr:row>
      <xdr:rowOff>273503</xdr:rowOff>
    </xdr:to>
    <xdr:cxnSp macro="">
      <xdr:nvCxnSpPr>
        <xdr:cNvPr id="474" name="직선 연결선 473">
          <a:extLst>
            <a:ext uri="{FF2B5EF4-FFF2-40B4-BE49-F238E27FC236}">
              <a16:creationId xmlns:a16="http://schemas.microsoft.com/office/drawing/2014/main" id="{22BADBCD-1824-3077-120D-E1029FBD2087}"/>
            </a:ext>
          </a:extLst>
        </xdr:cNvPr>
        <xdr:cNvCxnSpPr/>
      </xdr:nvCxnSpPr>
      <xdr:spPr>
        <a:xfrm>
          <a:off x="18766981" y="9788978"/>
          <a:ext cx="1302204" cy="0"/>
        </a:xfrm>
        <a:prstGeom prst="line">
          <a:avLst/>
        </a:prstGeom>
        <a:ln w="508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13617</xdr:colOff>
      <xdr:row>40</xdr:row>
      <xdr:rowOff>259896</xdr:rowOff>
    </xdr:from>
    <xdr:to>
      <xdr:col>42</xdr:col>
      <xdr:colOff>9535</xdr:colOff>
      <xdr:row>40</xdr:row>
      <xdr:rowOff>259896</xdr:rowOff>
    </xdr:to>
    <xdr:cxnSp macro="">
      <xdr:nvCxnSpPr>
        <xdr:cNvPr id="476" name="직선 연결선 475">
          <a:extLst>
            <a:ext uri="{FF2B5EF4-FFF2-40B4-BE49-F238E27FC236}">
              <a16:creationId xmlns:a16="http://schemas.microsoft.com/office/drawing/2014/main" id="{188F7D34-37A3-3309-901A-D9D5432B987C}"/>
            </a:ext>
          </a:extLst>
        </xdr:cNvPr>
        <xdr:cNvCxnSpPr/>
      </xdr:nvCxnSpPr>
      <xdr:spPr>
        <a:xfrm>
          <a:off x="20063742" y="10156371"/>
          <a:ext cx="1281793" cy="0"/>
        </a:xfrm>
        <a:prstGeom prst="line">
          <a:avLst/>
        </a:prstGeom>
        <a:ln w="508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424924</xdr:colOff>
      <xdr:row>45</xdr:row>
      <xdr:rowOff>259896</xdr:rowOff>
    </xdr:from>
    <xdr:to>
      <xdr:col>44</xdr:col>
      <xdr:colOff>17328</xdr:colOff>
      <xdr:row>45</xdr:row>
      <xdr:rowOff>259896</xdr:rowOff>
    </xdr:to>
    <xdr:cxnSp macro="">
      <xdr:nvCxnSpPr>
        <xdr:cNvPr id="503" name="직선 연결선 502">
          <a:extLst>
            <a:ext uri="{FF2B5EF4-FFF2-40B4-BE49-F238E27FC236}">
              <a16:creationId xmlns:a16="http://schemas.microsoft.com/office/drawing/2014/main" id="{DF45659F-BFF8-4222-C70D-C6A29FB1E838}"/>
            </a:ext>
          </a:extLst>
        </xdr:cNvPr>
        <xdr:cNvCxnSpPr/>
      </xdr:nvCxnSpPr>
      <xdr:spPr>
        <a:xfrm>
          <a:off x="21332299" y="10537371"/>
          <a:ext cx="878279" cy="0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5824</xdr:colOff>
      <xdr:row>53</xdr:row>
      <xdr:rowOff>242577</xdr:rowOff>
    </xdr:from>
    <xdr:to>
      <xdr:col>48</xdr:col>
      <xdr:colOff>9535</xdr:colOff>
      <xdr:row>53</xdr:row>
      <xdr:rowOff>242577</xdr:rowOff>
    </xdr:to>
    <xdr:cxnSp macro="">
      <xdr:nvCxnSpPr>
        <xdr:cNvPr id="724" name="직선 연결선 723">
          <a:extLst>
            <a:ext uri="{FF2B5EF4-FFF2-40B4-BE49-F238E27FC236}">
              <a16:creationId xmlns:a16="http://schemas.microsoft.com/office/drawing/2014/main" id="{DBCBFEE6-9F6C-F6A3-DE04-332C1CA182AD}"/>
            </a:ext>
          </a:extLst>
        </xdr:cNvPr>
        <xdr:cNvCxnSpPr/>
      </xdr:nvCxnSpPr>
      <xdr:spPr>
        <a:xfrm>
          <a:off x="23913574" y="10901052"/>
          <a:ext cx="3711" cy="0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729466</xdr:colOff>
      <xdr:row>4</xdr:row>
      <xdr:rowOff>126885</xdr:rowOff>
    </xdr:from>
    <xdr:to>
      <xdr:col>11</xdr:col>
      <xdr:colOff>81644</xdr:colOff>
      <xdr:row>4</xdr:row>
      <xdr:rowOff>492436</xdr:rowOff>
    </xdr:to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B40C89FB-E698-74EA-CD3F-07D1ABB8530E}"/>
            </a:ext>
          </a:extLst>
        </xdr:cNvPr>
        <xdr:cNvSpPr txBox="1"/>
      </xdr:nvSpPr>
      <xdr:spPr>
        <a:xfrm>
          <a:off x="8676037" y="2154349"/>
          <a:ext cx="1801464" cy="365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공통가설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235956</xdr:colOff>
      <xdr:row>7</xdr:row>
      <xdr:rowOff>353785</xdr:rowOff>
    </xdr:from>
    <xdr:to>
      <xdr:col>16</xdr:col>
      <xdr:colOff>421821</xdr:colOff>
      <xdr:row>8</xdr:row>
      <xdr:rowOff>243269</xdr:rowOff>
    </xdr:to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0316DD4C-DCD0-DBF2-51B3-09FBADDA5341}"/>
            </a:ext>
          </a:extLst>
        </xdr:cNvPr>
        <xdr:cNvSpPr txBox="1"/>
      </xdr:nvSpPr>
      <xdr:spPr>
        <a:xfrm>
          <a:off x="8781242" y="3769178"/>
          <a:ext cx="1927579" cy="2704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콘크리트</a:t>
          </a:r>
          <a:r>
            <a:rPr lang="ko-KR" altLang="en-US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및 아스팔트 깨기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309295</xdr:colOff>
      <xdr:row>12</xdr:row>
      <xdr:rowOff>27214</xdr:rowOff>
    </xdr:from>
    <xdr:to>
      <xdr:col>23</xdr:col>
      <xdr:colOff>231323</xdr:colOff>
      <xdr:row>12</xdr:row>
      <xdr:rowOff>202446</xdr:rowOff>
    </xdr:to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380E8861-DCC5-236B-5D53-33D5139AF872}"/>
            </a:ext>
          </a:extLst>
        </xdr:cNvPr>
        <xdr:cNvSpPr txBox="1"/>
      </xdr:nvSpPr>
      <xdr:spPr>
        <a:xfrm>
          <a:off x="11902581" y="5347607"/>
          <a:ext cx="1663742" cy="1752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H-Pile </a:t>
          </a:r>
          <a:r>
            <a:rPr lang="ko-KR" altLang="en-US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천공 후 근입</a:t>
          </a:r>
          <a:endParaRPr lang="en-US" altLang="ko-KR" sz="1600" b="1">
            <a:latin typeface="+mn-ea"/>
            <a:ea typeface="+mn-ea"/>
          </a:endParaRPr>
        </a:p>
      </xdr:txBody>
    </xdr:sp>
    <xdr:clientData/>
  </xdr:twoCellAnchor>
  <xdr:twoCellAnchor>
    <xdr:from>
      <xdr:col>21</xdr:col>
      <xdr:colOff>219081</xdr:colOff>
      <xdr:row>14</xdr:row>
      <xdr:rowOff>229659</xdr:rowOff>
    </xdr:from>
    <xdr:to>
      <xdr:col>24</xdr:col>
      <xdr:colOff>27220</xdr:colOff>
      <xdr:row>15</xdr:row>
      <xdr:rowOff>204685</xdr:rowOff>
    </xdr:to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900BF0E0-CCB4-95A9-88BB-D8226FF5D950}"/>
            </a:ext>
          </a:extLst>
        </xdr:cNvPr>
        <xdr:cNvSpPr txBox="1"/>
      </xdr:nvSpPr>
      <xdr:spPr>
        <a:xfrm>
          <a:off x="12500728" y="6314453"/>
          <a:ext cx="1085610" cy="3560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터파기</a:t>
          </a:r>
          <a:r>
            <a:rPr lang="en-US" altLang="ko-K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직상차</a:t>
          </a:r>
          <a:r>
            <a:rPr lang="en-US" altLang="ko-K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24</xdr:col>
      <xdr:colOff>103018</xdr:colOff>
      <xdr:row>14</xdr:row>
      <xdr:rowOff>344121</xdr:rowOff>
    </xdr:from>
    <xdr:to>
      <xdr:col>26</xdr:col>
      <xdr:colOff>319374</xdr:colOff>
      <xdr:row>15</xdr:row>
      <xdr:rowOff>319147</xdr:rowOff>
    </xdr:to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B5F14255-AD5C-C297-7543-384117C52304}"/>
            </a:ext>
          </a:extLst>
        </xdr:cNvPr>
        <xdr:cNvSpPr txBox="1"/>
      </xdr:nvSpPr>
      <xdr:spPr>
        <a:xfrm>
          <a:off x="13662136" y="6428915"/>
          <a:ext cx="1068003" cy="3560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터파기</a:t>
          </a:r>
          <a:r>
            <a:rPr lang="en-US" altLang="ko-K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크람쉘</a:t>
          </a:r>
          <a:r>
            <a:rPr lang="en-US" altLang="ko-K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20</xdr:col>
      <xdr:colOff>178565</xdr:colOff>
      <xdr:row>16</xdr:row>
      <xdr:rowOff>326571</xdr:rowOff>
    </xdr:from>
    <xdr:to>
      <xdr:col>22</xdr:col>
      <xdr:colOff>120861</xdr:colOff>
      <xdr:row>17</xdr:row>
      <xdr:rowOff>229662</xdr:rowOff>
    </xdr:to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7D39DD39-482D-0C08-919D-CFD0C492EB79}"/>
            </a:ext>
          </a:extLst>
        </xdr:cNvPr>
        <xdr:cNvSpPr txBox="1"/>
      </xdr:nvSpPr>
      <xdr:spPr>
        <a:xfrm>
          <a:off x="12034389" y="7173365"/>
          <a:ext cx="793943" cy="2840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말뚝 타설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230114</xdr:colOff>
      <xdr:row>18</xdr:row>
      <xdr:rowOff>40821</xdr:rowOff>
    </xdr:from>
    <xdr:to>
      <xdr:col>29</xdr:col>
      <xdr:colOff>88046</xdr:colOff>
      <xdr:row>18</xdr:row>
      <xdr:rowOff>229661</xdr:rowOff>
    </xdr:to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2D5D8038-C6AF-0B8A-3463-22EDE347BEA7}"/>
            </a:ext>
          </a:extLst>
        </xdr:cNvPr>
        <xdr:cNvSpPr txBox="1"/>
      </xdr:nvSpPr>
      <xdr:spPr>
        <a:xfrm>
          <a:off x="14640879" y="7649615"/>
          <a:ext cx="1135402" cy="188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말뚝 두부정리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243389</xdr:colOff>
      <xdr:row>28</xdr:row>
      <xdr:rowOff>342539</xdr:rowOff>
    </xdr:from>
    <xdr:to>
      <xdr:col>40</xdr:col>
      <xdr:colOff>580288</xdr:colOff>
      <xdr:row>29</xdr:row>
      <xdr:rowOff>179613</xdr:rowOff>
    </xdr:to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C41B6528-681C-413A-1FC0-503F57623FBD}"/>
            </a:ext>
          </a:extLst>
        </xdr:cNvPr>
        <xdr:cNvSpPr txBox="1"/>
      </xdr:nvSpPr>
      <xdr:spPr>
        <a:xfrm>
          <a:off x="33499246" y="12520932"/>
          <a:ext cx="1153328" cy="218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지상 </a:t>
          </a:r>
          <a:r>
            <a:rPr lang="en-US" altLang="ko-K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층 골조공사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25685</xdr:colOff>
      <xdr:row>35</xdr:row>
      <xdr:rowOff>38100</xdr:rowOff>
    </xdr:from>
    <xdr:to>
      <xdr:col>39</xdr:col>
      <xdr:colOff>9535</xdr:colOff>
      <xdr:row>35</xdr:row>
      <xdr:rowOff>217713</xdr:rowOff>
    </xdr:to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96D4FA92-FD77-8A25-9AD6-91B0D4427F56}"/>
            </a:ext>
          </a:extLst>
        </xdr:cNvPr>
        <xdr:cNvSpPr txBox="1"/>
      </xdr:nvSpPr>
      <xdr:spPr>
        <a:xfrm>
          <a:off x="18789935" y="9553575"/>
          <a:ext cx="1269725" cy="1796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지상 </a:t>
          </a:r>
          <a:r>
            <a:rPr lang="en-US" altLang="ko-K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층 골조공사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38</xdr:col>
      <xdr:colOff>269253</xdr:colOff>
      <xdr:row>40</xdr:row>
      <xdr:rowOff>19050</xdr:rowOff>
    </xdr:from>
    <xdr:to>
      <xdr:col>42</xdr:col>
      <xdr:colOff>219085</xdr:colOff>
      <xdr:row>40</xdr:row>
      <xdr:rowOff>213631</xdr:rowOff>
    </xdr:to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274CFF3F-1999-733F-6670-B1C883870102}"/>
            </a:ext>
          </a:extLst>
        </xdr:cNvPr>
        <xdr:cNvSpPr txBox="1"/>
      </xdr:nvSpPr>
      <xdr:spPr>
        <a:xfrm>
          <a:off x="19890753" y="9915525"/>
          <a:ext cx="1664332" cy="1945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지상 </a:t>
          </a:r>
          <a:r>
            <a:rPr lang="en-US" altLang="ko-K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층 골조공사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42</xdr:col>
      <xdr:colOff>6635</xdr:colOff>
      <xdr:row>41</xdr:row>
      <xdr:rowOff>0</xdr:rowOff>
    </xdr:from>
    <xdr:to>
      <xdr:col>44</xdr:col>
      <xdr:colOff>333385</xdr:colOff>
      <xdr:row>45</xdr:row>
      <xdr:rowOff>229878</xdr:rowOff>
    </xdr:to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B2F948B6-8F63-64B9-CB87-2048EE3FB7F6}"/>
            </a:ext>
          </a:extLst>
        </xdr:cNvPr>
        <xdr:cNvSpPr txBox="1"/>
      </xdr:nvSpPr>
      <xdr:spPr>
        <a:xfrm>
          <a:off x="21342635" y="10277475"/>
          <a:ext cx="1184000" cy="2298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옥상층 골조공사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43</xdr:col>
      <xdr:colOff>318158</xdr:colOff>
      <xdr:row>46</xdr:row>
      <xdr:rowOff>0</xdr:rowOff>
    </xdr:from>
    <xdr:to>
      <xdr:col>47</xdr:col>
      <xdr:colOff>26904</xdr:colOff>
      <xdr:row>53</xdr:row>
      <xdr:rowOff>256774</xdr:rowOff>
    </xdr:to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365A67D0-8BD4-F55A-38A3-A8CC1E8807E0}"/>
            </a:ext>
          </a:extLst>
        </xdr:cNvPr>
        <xdr:cNvSpPr txBox="1"/>
      </xdr:nvSpPr>
      <xdr:spPr>
        <a:xfrm>
          <a:off x="21967923" y="10656794"/>
          <a:ext cx="1412040" cy="256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철골 현장세우기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56</xdr:col>
      <xdr:colOff>257891</xdr:colOff>
      <xdr:row>65</xdr:row>
      <xdr:rowOff>33618</xdr:rowOff>
    </xdr:from>
    <xdr:to>
      <xdr:col>58</xdr:col>
      <xdr:colOff>75097</xdr:colOff>
      <xdr:row>65</xdr:row>
      <xdr:rowOff>250250</xdr:rowOff>
    </xdr:to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CB755B9B-1CFA-DEC7-4354-61DDD95AEA60}"/>
            </a:ext>
          </a:extLst>
        </xdr:cNvPr>
        <xdr:cNvSpPr txBox="1"/>
      </xdr:nvSpPr>
      <xdr:spPr>
        <a:xfrm>
          <a:off x="27443362" y="15262412"/>
          <a:ext cx="668853" cy="2166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비닐시트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42</xdr:col>
      <xdr:colOff>9535</xdr:colOff>
      <xdr:row>55</xdr:row>
      <xdr:rowOff>215042</xdr:rowOff>
    </xdr:from>
    <xdr:to>
      <xdr:col>45</xdr:col>
      <xdr:colOff>9535</xdr:colOff>
      <xdr:row>55</xdr:row>
      <xdr:rowOff>215042</xdr:rowOff>
    </xdr:to>
    <xdr:cxnSp macro="">
      <xdr:nvCxnSpPr>
        <xdr:cNvPr id="1459" name="직선 연결선 1458">
          <a:extLst>
            <a:ext uri="{FF2B5EF4-FFF2-40B4-BE49-F238E27FC236}">
              <a16:creationId xmlns:a16="http://schemas.microsoft.com/office/drawing/2014/main" id="{68C7F5BF-59CF-C70A-1093-9EF59FA911BC}"/>
            </a:ext>
          </a:extLst>
        </xdr:cNvPr>
        <xdr:cNvCxnSpPr/>
      </xdr:nvCxnSpPr>
      <xdr:spPr>
        <a:xfrm>
          <a:off x="21345535" y="11635517"/>
          <a:ext cx="1285875" cy="0"/>
        </a:xfrm>
        <a:prstGeom prst="line">
          <a:avLst/>
        </a:prstGeom>
        <a:ln w="508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9535</xdr:colOff>
      <xdr:row>57</xdr:row>
      <xdr:rowOff>259896</xdr:rowOff>
    </xdr:from>
    <xdr:to>
      <xdr:col>48</xdr:col>
      <xdr:colOff>24300</xdr:colOff>
      <xdr:row>57</xdr:row>
      <xdr:rowOff>259896</xdr:rowOff>
    </xdr:to>
    <xdr:cxnSp macro="">
      <xdr:nvCxnSpPr>
        <xdr:cNvPr id="1464" name="직선 연결선 1463">
          <a:extLst>
            <a:ext uri="{FF2B5EF4-FFF2-40B4-BE49-F238E27FC236}">
              <a16:creationId xmlns:a16="http://schemas.microsoft.com/office/drawing/2014/main" id="{CCED1ADB-AD86-D994-E636-79C01CF477D3}"/>
            </a:ext>
          </a:extLst>
        </xdr:cNvPr>
        <xdr:cNvCxnSpPr/>
      </xdr:nvCxnSpPr>
      <xdr:spPr>
        <a:xfrm>
          <a:off x="21345535" y="12442371"/>
          <a:ext cx="2586515" cy="0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9535</xdr:colOff>
      <xdr:row>58</xdr:row>
      <xdr:rowOff>257494</xdr:rowOff>
    </xdr:from>
    <xdr:to>
      <xdr:col>52</xdr:col>
      <xdr:colOff>19060</xdr:colOff>
      <xdr:row>58</xdr:row>
      <xdr:rowOff>257494</xdr:rowOff>
    </xdr:to>
    <xdr:cxnSp macro="">
      <xdr:nvCxnSpPr>
        <xdr:cNvPr id="1468" name="직선 연결선 1467">
          <a:extLst>
            <a:ext uri="{FF2B5EF4-FFF2-40B4-BE49-F238E27FC236}">
              <a16:creationId xmlns:a16="http://schemas.microsoft.com/office/drawing/2014/main" id="{296D9255-C078-7030-4864-5C5752ECE234}"/>
            </a:ext>
          </a:extLst>
        </xdr:cNvPr>
        <xdr:cNvCxnSpPr/>
      </xdr:nvCxnSpPr>
      <xdr:spPr>
        <a:xfrm>
          <a:off x="21617678" y="12816887"/>
          <a:ext cx="4363811" cy="0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461565</xdr:colOff>
      <xdr:row>5</xdr:row>
      <xdr:rowOff>340115</xdr:rowOff>
    </xdr:from>
    <xdr:to>
      <xdr:col>9</xdr:col>
      <xdr:colOff>461565</xdr:colOff>
      <xdr:row>6</xdr:row>
      <xdr:rowOff>215348</xdr:rowOff>
    </xdr:to>
    <xdr:cxnSp macro="">
      <xdr:nvCxnSpPr>
        <xdr:cNvPr id="172" name="꺾인 연결선 260">
          <a:extLst>
            <a:ext uri="{FF2B5EF4-FFF2-40B4-BE49-F238E27FC236}">
              <a16:creationId xmlns:a16="http://schemas.microsoft.com/office/drawing/2014/main" id="{FFD840B1-7B28-7D01-263D-587F8B9FD8AB}"/>
            </a:ext>
          </a:extLst>
        </xdr:cNvPr>
        <xdr:cNvCxnSpPr/>
      </xdr:nvCxnSpPr>
      <xdr:spPr>
        <a:xfrm>
          <a:off x="9191435" y="2998832"/>
          <a:ext cx="0" cy="256233"/>
        </a:xfrm>
        <a:prstGeom prst="straightConnector1">
          <a:avLst/>
        </a:prstGeom>
        <a:ln w="28575" cap="flat">
          <a:solidFill>
            <a:schemeClr val="bg2">
              <a:lumMod val="75000"/>
            </a:schemeClr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429124</xdr:colOff>
      <xdr:row>20</xdr:row>
      <xdr:rowOff>327243</xdr:rowOff>
    </xdr:from>
    <xdr:to>
      <xdr:col>28</xdr:col>
      <xdr:colOff>429124</xdr:colOff>
      <xdr:row>25</xdr:row>
      <xdr:rowOff>206701</xdr:rowOff>
    </xdr:to>
    <xdr:cxnSp macro="">
      <xdr:nvCxnSpPr>
        <xdr:cNvPr id="1473" name="꺾인 연결선 260">
          <a:extLst>
            <a:ext uri="{FF2B5EF4-FFF2-40B4-BE49-F238E27FC236}">
              <a16:creationId xmlns:a16="http://schemas.microsoft.com/office/drawing/2014/main" id="{4128DBB3-6CEE-4ABD-974A-FC6793334AE9}"/>
            </a:ext>
          </a:extLst>
        </xdr:cNvPr>
        <xdr:cNvCxnSpPr/>
      </xdr:nvCxnSpPr>
      <xdr:spPr>
        <a:xfrm>
          <a:off x="15941267" y="8695636"/>
          <a:ext cx="0" cy="260458"/>
        </a:xfrm>
        <a:prstGeom prst="straightConnector1">
          <a:avLst/>
        </a:prstGeom>
        <a:ln w="28575" cap="flat">
          <a:solidFill>
            <a:srgbClr val="FF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22403</xdr:colOff>
      <xdr:row>25</xdr:row>
      <xdr:rowOff>348752</xdr:rowOff>
    </xdr:from>
    <xdr:to>
      <xdr:col>33</xdr:col>
      <xdr:colOff>22403</xdr:colOff>
      <xdr:row>30</xdr:row>
      <xdr:rowOff>198783</xdr:rowOff>
    </xdr:to>
    <xdr:cxnSp macro="">
      <xdr:nvCxnSpPr>
        <xdr:cNvPr id="1475" name="꺾인 연결선 260">
          <a:extLst>
            <a:ext uri="{FF2B5EF4-FFF2-40B4-BE49-F238E27FC236}">
              <a16:creationId xmlns:a16="http://schemas.microsoft.com/office/drawing/2014/main" id="{52AE82B7-B396-972F-B630-F162F4CBA4C3}"/>
            </a:ext>
          </a:extLst>
        </xdr:cNvPr>
        <xdr:cNvCxnSpPr/>
      </xdr:nvCxnSpPr>
      <xdr:spPr>
        <a:xfrm>
          <a:off x="17711689" y="9098145"/>
          <a:ext cx="0" cy="231031"/>
        </a:xfrm>
        <a:prstGeom prst="straightConnector1">
          <a:avLst/>
        </a:prstGeom>
        <a:ln w="28575" cap="flat">
          <a:solidFill>
            <a:srgbClr val="FF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13622</xdr:colOff>
      <xdr:row>57</xdr:row>
      <xdr:rowOff>253659</xdr:rowOff>
    </xdr:from>
    <xdr:to>
      <xdr:col>49</xdr:col>
      <xdr:colOff>9542</xdr:colOff>
      <xdr:row>57</xdr:row>
      <xdr:rowOff>253659</xdr:rowOff>
    </xdr:to>
    <xdr:cxnSp macro="">
      <xdr:nvCxnSpPr>
        <xdr:cNvPr id="1463" name="직선 연결선 1462">
          <a:extLst>
            <a:ext uri="{FF2B5EF4-FFF2-40B4-BE49-F238E27FC236}">
              <a16:creationId xmlns:a16="http://schemas.microsoft.com/office/drawing/2014/main" id="{B2B3FD01-0158-7F50-5F3D-5A37CE8DE75F}"/>
            </a:ext>
          </a:extLst>
        </xdr:cNvPr>
        <xdr:cNvCxnSpPr/>
      </xdr:nvCxnSpPr>
      <xdr:spPr>
        <a:xfrm>
          <a:off x="22785699" y="12438332"/>
          <a:ext cx="1725074" cy="0"/>
        </a:xfrm>
        <a:prstGeom prst="line">
          <a:avLst/>
        </a:prstGeom>
        <a:ln w="508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9542</xdr:colOff>
      <xdr:row>58</xdr:row>
      <xdr:rowOff>257020</xdr:rowOff>
    </xdr:from>
    <xdr:to>
      <xdr:col>53</xdr:col>
      <xdr:colOff>104775</xdr:colOff>
      <xdr:row>58</xdr:row>
      <xdr:rowOff>257020</xdr:rowOff>
    </xdr:to>
    <xdr:cxnSp macro="">
      <xdr:nvCxnSpPr>
        <xdr:cNvPr id="1467" name="직선 연결선 1466">
          <a:extLst>
            <a:ext uri="{FF2B5EF4-FFF2-40B4-BE49-F238E27FC236}">
              <a16:creationId xmlns:a16="http://schemas.microsoft.com/office/drawing/2014/main" id="{F21B6197-F57F-4347-DB27-CDA411B60846}"/>
            </a:ext>
          </a:extLst>
        </xdr:cNvPr>
        <xdr:cNvCxnSpPr/>
      </xdr:nvCxnSpPr>
      <xdr:spPr>
        <a:xfrm>
          <a:off x="24510773" y="12822693"/>
          <a:ext cx="1824387" cy="0"/>
        </a:xfrm>
        <a:prstGeom prst="line">
          <a:avLst/>
        </a:prstGeom>
        <a:ln w="508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80799</xdr:colOff>
      <xdr:row>58</xdr:row>
      <xdr:rowOff>17930</xdr:rowOff>
    </xdr:from>
    <xdr:to>
      <xdr:col>52</xdr:col>
      <xdr:colOff>15703</xdr:colOff>
      <xdr:row>58</xdr:row>
      <xdr:rowOff>273063</xdr:rowOff>
    </xdr:to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8614506C-FA5C-7AF6-7726-05A50A1AD299}"/>
            </a:ext>
          </a:extLst>
        </xdr:cNvPr>
        <xdr:cNvSpPr txBox="1"/>
      </xdr:nvSpPr>
      <xdr:spPr>
        <a:xfrm>
          <a:off x="24711328" y="12579724"/>
          <a:ext cx="786551" cy="255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복층유리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46</xdr:col>
      <xdr:colOff>81360</xdr:colOff>
      <xdr:row>57</xdr:row>
      <xdr:rowOff>38100</xdr:rowOff>
    </xdr:from>
    <xdr:to>
      <xdr:col>48</xdr:col>
      <xdr:colOff>25789</xdr:colOff>
      <xdr:row>57</xdr:row>
      <xdr:rowOff>245608</xdr:rowOff>
    </xdr:to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5E7F6A2B-1572-AA43-8C91-C9F39F7FBAA7}"/>
            </a:ext>
          </a:extLst>
        </xdr:cNvPr>
        <xdr:cNvSpPr txBox="1"/>
      </xdr:nvSpPr>
      <xdr:spPr>
        <a:xfrm>
          <a:off x="23131860" y="12220575"/>
          <a:ext cx="801679" cy="2075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외부 창호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42</xdr:col>
      <xdr:colOff>186848</xdr:colOff>
      <xdr:row>56</xdr:row>
      <xdr:rowOff>5763</xdr:rowOff>
    </xdr:from>
    <xdr:to>
      <xdr:col>44</xdr:col>
      <xdr:colOff>338025</xdr:colOff>
      <xdr:row>56</xdr:row>
      <xdr:rowOff>260896</xdr:rowOff>
    </xdr:to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A07670DB-B2B0-4166-F54D-E48DF42F9676}"/>
            </a:ext>
          </a:extLst>
        </xdr:cNvPr>
        <xdr:cNvSpPr txBox="1"/>
      </xdr:nvSpPr>
      <xdr:spPr>
        <a:xfrm>
          <a:off x="21410789" y="11805557"/>
          <a:ext cx="1002824" cy="255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알루미늄 패널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42</xdr:col>
      <xdr:colOff>170442</xdr:colOff>
      <xdr:row>54</xdr:row>
      <xdr:rowOff>324971</xdr:rowOff>
    </xdr:from>
    <xdr:to>
      <xdr:col>44</xdr:col>
      <xdr:colOff>412948</xdr:colOff>
      <xdr:row>55</xdr:row>
      <xdr:rowOff>209189</xdr:rowOff>
    </xdr:to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646BCC54-5CE1-070D-F654-439EC8AE08DB}"/>
            </a:ext>
          </a:extLst>
        </xdr:cNvPr>
        <xdr:cNvSpPr txBox="1"/>
      </xdr:nvSpPr>
      <xdr:spPr>
        <a:xfrm>
          <a:off x="21506442" y="11364446"/>
          <a:ext cx="1099756" cy="2652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석재 단열패널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54</xdr:col>
      <xdr:colOff>1758</xdr:colOff>
      <xdr:row>66</xdr:row>
      <xdr:rowOff>60832</xdr:rowOff>
    </xdr:from>
    <xdr:to>
      <xdr:col>57</xdr:col>
      <xdr:colOff>254468</xdr:colOff>
      <xdr:row>66</xdr:row>
      <xdr:rowOff>259497</xdr:rowOff>
    </xdr:to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E099FDAB-1AC0-4F25-874E-9EFC3BCB6D18}"/>
            </a:ext>
          </a:extLst>
        </xdr:cNvPr>
        <xdr:cNvSpPr txBox="1"/>
      </xdr:nvSpPr>
      <xdr:spPr>
        <a:xfrm>
          <a:off x="26335582" y="15670626"/>
          <a:ext cx="1530180" cy="198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수성페인트 롤러칠</a:t>
          </a:r>
          <a:r>
            <a:rPr lang="ko-KR" altLang="en-US"/>
            <a:t>  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52</xdr:col>
      <xdr:colOff>85831</xdr:colOff>
      <xdr:row>60</xdr:row>
      <xdr:rowOff>244928</xdr:rowOff>
    </xdr:from>
    <xdr:to>
      <xdr:col>59</xdr:col>
      <xdr:colOff>6488</xdr:colOff>
      <xdr:row>60</xdr:row>
      <xdr:rowOff>246206</xdr:rowOff>
    </xdr:to>
    <xdr:cxnSp macro="">
      <xdr:nvCxnSpPr>
        <xdr:cNvPr id="1536" name="직선 연결선 1535">
          <a:extLst>
            <a:ext uri="{FF2B5EF4-FFF2-40B4-BE49-F238E27FC236}">
              <a16:creationId xmlns:a16="http://schemas.microsoft.com/office/drawing/2014/main" id="{D1EB16CB-C922-4D40-AAFC-6224421D11CA}"/>
            </a:ext>
          </a:extLst>
        </xdr:cNvPr>
        <xdr:cNvCxnSpPr>
          <a:stCxn id="1570" idx="6"/>
        </xdr:cNvCxnSpPr>
      </xdr:nvCxnSpPr>
      <xdr:spPr>
        <a:xfrm flipV="1">
          <a:off x="25811614" y="13579928"/>
          <a:ext cx="2935526" cy="1278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98377</xdr:colOff>
      <xdr:row>62</xdr:row>
      <xdr:rowOff>248139</xdr:rowOff>
    </xdr:from>
    <xdr:to>
      <xdr:col>45</xdr:col>
      <xdr:colOff>181811</xdr:colOff>
      <xdr:row>62</xdr:row>
      <xdr:rowOff>255918</xdr:rowOff>
    </xdr:to>
    <xdr:cxnSp macro="">
      <xdr:nvCxnSpPr>
        <xdr:cNvPr id="1547" name="직선 연결선 1546">
          <a:extLst>
            <a:ext uri="{FF2B5EF4-FFF2-40B4-BE49-F238E27FC236}">
              <a16:creationId xmlns:a16="http://schemas.microsoft.com/office/drawing/2014/main" id="{2CF6E46F-0638-EC23-6320-0366EB708A15}"/>
            </a:ext>
          </a:extLst>
        </xdr:cNvPr>
        <xdr:cNvCxnSpPr>
          <a:stCxn id="1574" idx="6"/>
          <a:endCxn id="308" idx="2"/>
        </xdr:cNvCxnSpPr>
      </xdr:nvCxnSpPr>
      <xdr:spPr>
        <a:xfrm>
          <a:off x="20148502" y="14345139"/>
          <a:ext cx="2655184" cy="7779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85677</xdr:colOff>
      <xdr:row>63</xdr:row>
      <xdr:rowOff>262002</xdr:rowOff>
    </xdr:from>
    <xdr:to>
      <xdr:col>45</xdr:col>
      <xdr:colOff>0</xdr:colOff>
      <xdr:row>63</xdr:row>
      <xdr:rowOff>265695</xdr:rowOff>
    </xdr:to>
    <xdr:cxnSp macro="">
      <xdr:nvCxnSpPr>
        <xdr:cNvPr id="1549" name="직선 연결선 1548">
          <a:extLst>
            <a:ext uri="{FF2B5EF4-FFF2-40B4-BE49-F238E27FC236}">
              <a16:creationId xmlns:a16="http://schemas.microsoft.com/office/drawing/2014/main" id="{A1FFA96D-02F8-C108-4D35-50E15A7F2916}"/>
            </a:ext>
          </a:extLst>
        </xdr:cNvPr>
        <xdr:cNvCxnSpPr>
          <a:stCxn id="1585" idx="6"/>
        </xdr:cNvCxnSpPr>
      </xdr:nvCxnSpPr>
      <xdr:spPr>
        <a:xfrm flipV="1">
          <a:off x="20135802" y="14740002"/>
          <a:ext cx="2486073" cy="3693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67868</xdr:colOff>
      <xdr:row>64</xdr:row>
      <xdr:rowOff>248139</xdr:rowOff>
    </xdr:from>
    <xdr:to>
      <xdr:col>55</xdr:col>
      <xdr:colOff>168519</xdr:colOff>
      <xdr:row>64</xdr:row>
      <xdr:rowOff>255361</xdr:rowOff>
    </xdr:to>
    <xdr:cxnSp macro="">
      <xdr:nvCxnSpPr>
        <xdr:cNvPr id="1551" name="직선 연결선 1550">
          <a:extLst>
            <a:ext uri="{FF2B5EF4-FFF2-40B4-BE49-F238E27FC236}">
              <a16:creationId xmlns:a16="http://schemas.microsoft.com/office/drawing/2014/main" id="{B121DF0E-34AD-41FB-EF3A-0ECE17EE7FB5}"/>
            </a:ext>
          </a:extLst>
        </xdr:cNvPr>
        <xdr:cNvCxnSpPr>
          <a:stCxn id="1597" idx="6"/>
        </xdr:cNvCxnSpPr>
      </xdr:nvCxnSpPr>
      <xdr:spPr>
        <a:xfrm>
          <a:off x="21403868" y="15107139"/>
          <a:ext cx="5672776" cy="7222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64698</xdr:colOff>
      <xdr:row>65</xdr:row>
      <xdr:rowOff>270550</xdr:rowOff>
    </xdr:from>
    <xdr:to>
      <xdr:col>58</xdr:col>
      <xdr:colOff>105682</xdr:colOff>
      <xdr:row>65</xdr:row>
      <xdr:rowOff>275319</xdr:rowOff>
    </xdr:to>
    <xdr:cxnSp macro="">
      <xdr:nvCxnSpPr>
        <xdr:cNvPr id="1552" name="직선 연결선 1551">
          <a:extLst>
            <a:ext uri="{FF2B5EF4-FFF2-40B4-BE49-F238E27FC236}">
              <a16:creationId xmlns:a16="http://schemas.microsoft.com/office/drawing/2014/main" id="{07705D7A-732A-EE5D-E1F0-82383C51B11A}"/>
            </a:ext>
          </a:extLst>
        </xdr:cNvPr>
        <xdr:cNvCxnSpPr>
          <a:stCxn id="1598" idx="6"/>
        </xdr:cNvCxnSpPr>
      </xdr:nvCxnSpPr>
      <xdr:spPr>
        <a:xfrm>
          <a:off x="21400698" y="15510550"/>
          <a:ext cx="6898984" cy="4769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6360</xdr:colOff>
      <xdr:row>59</xdr:row>
      <xdr:rowOff>258130</xdr:rowOff>
    </xdr:from>
    <xdr:to>
      <xdr:col>46</xdr:col>
      <xdr:colOff>381000</xdr:colOff>
      <xdr:row>59</xdr:row>
      <xdr:rowOff>258130</xdr:rowOff>
    </xdr:to>
    <xdr:cxnSp macro="">
      <xdr:nvCxnSpPr>
        <xdr:cNvPr id="1566" name="직선 연결선 1565">
          <a:extLst>
            <a:ext uri="{FF2B5EF4-FFF2-40B4-BE49-F238E27FC236}">
              <a16:creationId xmlns:a16="http://schemas.microsoft.com/office/drawing/2014/main" id="{EDA06912-2A76-DCC3-D02D-00EDD82DF3B9}"/>
            </a:ext>
          </a:extLst>
        </xdr:cNvPr>
        <xdr:cNvCxnSpPr/>
      </xdr:nvCxnSpPr>
      <xdr:spPr>
        <a:xfrm>
          <a:off x="19001931" y="13198523"/>
          <a:ext cx="4728926" cy="0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6971</xdr:colOff>
      <xdr:row>55</xdr:row>
      <xdr:rowOff>207066</xdr:rowOff>
    </xdr:from>
    <xdr:to>
      <xdr:col>45</xdr:col>
      <xdr:colOff>6971</xdr:colOff>
      <xdr:row>57</xdr:row>
      <xdr:rowOff>204107</xdr:rowOff>
    </xdr:to>
    <xdr:cxnSp macro="">
      <xdr:nvCxnSpPr>
        <xdr:cNvPr id="1615" name="꺾인 연결선 260">
          <a:extLst>
            <a:ext uri="{FF2B5EF4-FFF2-40B4-BE49-F238E27FC236}">
              <a16:creationId xmlns:a16="http://schemas.microsoft.com/office/drawing/2014/main" id="{22004F65-6C46-A995-67E1-68BD36E63231}"/>
            </a:ext>
          </a:extLst>
        </xdr:cNvPr>
        <xdr:cNvCxnSpPr/>
      </xdr:nvCxnSpPr>
      <xdr:spPr>
        <a:xfrm>
          <a:off x="22628846" y="11627541"/>
          <a:ext cx="0" cy="759041"/>
        </a:xfrm>
        <a:prstGeom prst="straightConnector1">
          <a:avLst/>
        </a:prstGeom>
        <a:ln w="28575" cap="flat">
          <a:solidFill>
            <a:srgbClr val="FF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12581</xdr:colOff>
      <xdr:row>57</xdr:row>
      <xdr:rowOff>297434</xdr:rowOff>
    </xdr:from>
    <xdr:to>
      <xdr:col>49</xdr:col>
      <xdr:colOff>12581</xdr:colOff>
      <xdr:row>58</xdr:row>
      <xdr:rowOff>201706</xdr:rowOff>
    </xdr:to>
    <xdr:cxnSp macro="">
      <xdr:nvCxnSpPr>
        <xdr:cNvPr id="1620" name="꺾인 연결선 260">
          <a:extLst>
            <a:ext uri="{FF2B5EF4-FFF2-40B4-BE49-F238E27FC236}">
              <a16:creationId xmlns:a16="http://schemas.microsoft.com/office/drawing/2014/main" id="{B2899FAD-10A2-3A3F-B98D-73995E96C1FB}"/>
            </a:ext>
          </a:extLst>
        </xdr:cNvPr>
        <xdr:cNvCxnSpPr/>
      </xdr:nvCxnSpPr>
      <xdr:spPr>
        <a:xfrm>
          <a:off x="24348956" y="12479909"/>
          <a:ext cx="0" cy="285272"/>
        </a:xfrm>
        <a:prstGeom prst="straightConnector1">
          <a:avLst/>
        </a:prstGeom>
        <a:ln w="28575" cap="flat">
          <a:solidFill>
            <a:srgbClr val="FF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164072</xdr:colOff>
      <xdr:row>62</xdr:row>
      <xdr:rowOff>17994</xdr:rowOff>
    </xdr:from>
    <xdr:to>
      <xdr:col>45</xdr:col>
      <xdr:colOff>11622</xdr:colOff>
      <xdr:row>62</xdr:row>
      <xdr:rowOff>199462</xdr:rowOff>
    </xdr:to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5B317051-9794-9AB0-DE9B-0E1B2A8584D5}"/>
            </a:ext>
          </a:extLst>
        </xdr:cNvPr>
        <xdr:cNvSpPr txBox="1"/>
      </xdr:nvSpPr>
      <xdr:spPr>
        <a:xfrm>
          <a:off x="21813837" y="14114994"/>
          <a:ext cx="699197" cy="181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옥상방수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50</xdr:col>
      <xdr:colOff>332290</xdr:colOff>
      <xdr:row>64</xdr:row>
      <xdr:rowOff>11392</xdr:rowOff>
    </xdr:from>
    <xdr:to>
      <xdr:col>54</xdr:col>
      <xdr:colOff>139882</xdr:colOff>
      <xdr:row>64</xdr:row>
      <xdr:rowOff>219167</xdr:rowOff>
    </xdr:to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1CECB933-9A71-0CE9-E440-59D159241433}"/>
            </a:ext>
          </a:extLst>
        </xdr:cNvPr>
        <xdr:cNvSpPr txBox="1"/>
      </xdr:nvSpPr>
      <xdr:spPr>
        <a:xfrm>
          <a:off x="25097290" y="14870392"/>
          <a:ext cx="1522092" cy="20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계단난간 설치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44</xdr:col>
      <xdr:colOff>273675</xdr:colOff>
      <xdr:row>64</xdr:row>
      <xdr:rowOff>9899</xdr:rowOff>
    </xdr:from>
    <xdr:to>
      <xdr:col>48</xdr:col>
      <xdr:colOff>275479</xdr:colOff>
      <xdr:row>64</xdr:row>
      <xdr:rowOff>218581</xdr:rowOff>
    </xdr:to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C3A3A9D0-A40E-01BA-F9C3-F83EE6B9CC8F}"/>
            </a:ext>
          </a:extLst>
        </xdr:cNvPr>
        <xdr:cNvSpPr txBox="1"/>
      </xdr:nvSpPr>
      <xdr:spPr>
        <a:xfrm>
          <a:off x="22466925" y="14868899"/>
          <a:ext cx="1716304" cy="2086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내진천장틀</a:t>
          </a:r>
          <a:r>
            <a:rPr lang="en-US" altLang="ko-K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(T-BAR/M-Bar)</a:t>
          </a:r>
        </a:p>
      </xdr:txBody>
    </xdr:sp>
    <xdr:clientData/>
  </xdr:twoCellAnchor>
  <xdr:twoCellAnchor>
    <xdr:from>
      <xdr:col>27</xdr:col>
      <xdr:colOff>135129</xdr:colOff>
      <xdr:row>20</xdr:row>
      <xdr:rowOff>338337</xdr:rowOff>
    </xdr:from>
    <xdr:to>
      <xdr:col>35</xdr:col>
      <xdr:colOff>382133</xdr:colOff>
      <xdr:row>68</xdr:row>
      <xdr:rowOff>259204</xdr:rowOff>
    </xdr:to>
    <xdr:cxnSp macro="">
      <xdr:nvCxnSpPr>
        <xdr:cNvPr id="189" name="꺾인 연결선 260">
          <a:extLst>
            <a:ext uri="{FF2B5EF4-FFF2-40B4-BE49-F238E27FC236}">
              <a16:creationId xmlns:a16="http://schemas.microsoft.com/office/drawing/2014/main" id="{A212CB78-5E7E-4A48-AC5B-89591C019A55}"/>
            </a:ext>
          </a:extLst>
        </xdr:cNvPr>
        <xdr:cNvCxnSpPr>
          <a:endCxn id="1517" idx="2"/>
        </xdr:cNvCxnSpPr>
      </xdr:nvCxnSpPr>
      <xdr:spPr>
        <a:xfrm rot="16200000" flipH="1">
          <a:off x="13116126" y="10802447"/>
          <a:ext cx="7921867" cy="3730433"/>
        </a:xfrm>
        <a:prstGeom prst="bentConnector2">
          <a:avLst/>
        </a:prstGeom>
        <a:ln w="28575" cap="flat">
          <a:solidFill>
            <a:schemeClr val="bg1">
              <a:lumMod val="50000"/>
            </a:schemeClr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421822</xdr:colOff>
      <xdr:row>9</xdr:row>
      <xdr:rowOff>255813</xdr:rowOff>
    </xdr:from>
    <xdr:to>
      <xdr:col>17</xdr:col>
      <xdr:colOff>244928</xdr:colOff>
      <xdr:row>9</xdr:row>
      <xdr:rowOff>255813</xdr:rowOff>
    </xdr:to>
    <xdr:cxnSp macro="">
      <xdr:nvCxnSpPr>
        <xdr:cNvPr id="478" name="직선 연결선 477">
          <a:extLst>
            <a:ext uri="{FF2B5EF4-FFF2-40B4-BE49-F238E27FC236}">
              <a16:creationId xmlns:a16="http://schemas.microsoft.com/office/drawing/2014/main" id="{281D2653-295A-5AD7-8B2A-14BA3957703B}"/>
            </a:ext>
          </a:extLst>
        </xdr:cNvPr>
        <xdr:cNvCxnSpPr/>
      </xdr:nvCxnSpPr>
      <xdr:spPr>
        <a:xfrm>
          <a:off x="10273393" y="4433206"/>
          <a:ext cx="693964" cy="0"/>
        </a:xfrm>
        <a:prstGeom prst="line">
          <a:avLst/>
        </a:prstGeom>
        <a:ln w="508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231321</xdr:colOff>
      <xdr:row>10</xdr:row>
      <xdr:rowOff>269421</xdr:rowOff>
    </xdr:from>
    <xdr:to>
      <xdr:col>18</xdr:col>
      <xdr:colOff>258536</xdr:colOff>
      <xdr:row>10</xdr:row>
      <xdr:rowOff>269421</xdr:rowOff>
    </xdr:to>
    <xdr:cxnSp macro="">
      <xdr:nvCxnSpPr>
        <xdr:cNvPr id="485" name="직선 연결선 484">
          <a:extLst>
            <a:ext uri="{FF2B5EF4-FFF2-40B4-BE49-F238E27FC236}">
              <a16:creationId xmlns:a16="http://schemas.microsoft.com/office/drawing/2014/main" id="{5923C775-E260-0C34-5F23-3FC39FB39527}"/>
            </a:ext>
          </a:extLst>
        </xdr:cNvPr>
        <xdr:cNvCxnSpPr/>
      </xdr:nvCxnSpPr>
      <xdr:spPr>
        <a:xfrm>
          <a:off x="10953750" y="4827814"/>
          <a:ext cx="462643" cy="0"/>
        </a:xfrm>
        <a:prstGeom prst="line">
          <a:avLst/>
        </a:prstGeom>
        <a:ln w="508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18243</xdr:colOff>
      <xdr:row>9</xdr:row>
      <xdr:rowOff>13608</xdr:rowOff>
    </xdr:from>
    <xdr:to>
      <xdr:col>19</xdr:col>
      <xdr:colOff>80596</xdr:colOff>
      <xdr:row>9</xdr:row>
      <xdr:rowOff>216056</xdr:rowOff>
    </xdr:to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C6062427-4BC1-9553-15A0-E49BA5389139}"/>
            </a:ext>
          </a:extLst>
        </xdr:cNvPr>
        <xdr:cNvSpPr txBox="1"/>
      </xdr:nvSpPr>
      <xdr:spPr>
        <a:xfrm>
          <a:off x="10253955" y="4197281"/>
          <a:ext cx="1359218" cy="2024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지하 구조물 터파기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249564</xdr:colOff>
      <xdr:row>10</xdr:row>
      <xdr:rowOff>1</xdr:rowOff>
    </xdr:from>
    <xdr:to>
      <xdr:col>19</xdr:col>
      <xdr:colOff>108857</xdr:colOff>
      <xdr:row>10</xdr:row>
      <xdr:rowOff>202449</xdr:rowOff>
    </xdr:to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E3A84D93-80A8-6738-517A-3A2DC473230B}"/>
            </a:ext>
          </a:extLst>
        </xdr:cNvPr>
        <xdr:cNvSpPr txBox="1"/>
      </xdr:nvSpPr>
      <xdr:spPr>
        <a:xfrm>
          <a:off x="10971993" y="4558394"/>
          <a:ext cx="730150" cy="2024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되메우기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90599</xdr:colOff>
      <xdr:row>30</xdr:row>
      <xdr:rowOff>64994</xdr:rowOff>
    </xdr:from>
    <xdr:to>
      <xdr:col>35</xdr:col>
      <xdr:colOff>405103</xdr:colOff>
      <xdr:row>30</xdr:row>
      <xdr:rowOff>236445</xdr:rowOff>
    </xdr:to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49A1AD28-AB9C-3FC0-31ED-48ABA523A00E}"/>
            </a:ext>
          </a:extLst>
        </xdr:cNvPr>
        <xdr:cNvSpPr txBox="1"/>
      </xdr:nvSpPr>
      <xdr:spPr>
        <a:xfrm>
          <a:off x="17482128" y="9197788"/>
          <a:ext cx="1166151" cy="1714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지상 </a:t>
          </a:r>
          <a:r>
            <a:rPr lang="en-US" altLang="ko-K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층 골조공사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43</xdr:col>
      <xdr:colOff>415399</xdr:colOff>
      <xdr:row>53</xdr:row>
      <xdr:rowOff>278946</xdr:rowOff>
    </xdr:from>
    <xdr:to>
      <xdr:col>44</xdr:col>
      <xdr:colOff>209560</xdr:colOff>
      <xdr:row>53</xdr:row>
      <xdr:rowOff>278946</xdr:rowOff>
    </xdr:to>
    <xdr:cxnSp macro="">
      <xdr:nvCxnSpPr>
        <xdr:cNvPr id="511" name="직선 연결선 510">
          <a:extLst>
            <a:ext uri="{FF2B5EF4-FFF2-40B4-BE49-F238E27FC236}">
              <a16:creationId xmlns:a16="http://schemas.microsoft.com/office/drawing/2014/main" id="{F1991A7F-527D-6603-6864-1084B4A02367}"/>
            </a:ext>
          </a:extLst>
        </xdr:cNvPr>
        <xdr:cNvCxnSpPr/>
      </xdr:nvCxnSpPr>
      <xdr:spPr>
        <a:xfrm>
          <a:off x="22180024" y="10937421"/>
          <a:ext cx="222786" cy="0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124959</xdr:colOff>
      <xdr:row>66</xdr:row>
      <xdr:rowOff>273435</xdr:rowOff>
    </xdr:from>
    <xdr:to>
      <xdr:col>59</xdr:col>
      <xdr:colOff>9540</xdr:colOff>
      <xdr:row>66</xdr:row>
      <xdr:rowOff>273435</xdr:rowOff>
    </xdr:to>
    <xdr:cxnSp macro="">
      <xdr:nvCxnSpPr>
        <xdr:cNvPr id="522" name="직선 연결선 521">
          <a:extLst>
            <a:ext uri="{FF2B5EF4-FFF2-40B4-BE49-F238E27FC236}">
              <a16:creationId xmlns:a16="http://schemas.microsoft.com/office/drawing/2014/main" id="{AE949846-14F5-2A69-E07C-86E634C06555}"/>
            </a:ext>
          </a:extLst>
        </xdr:cNvPr>
        <xdr:cNvCxnSpPr/>
      </xdr:nvCxnSpPr>
      <xdr:spPr>
        <a:xfrm>
          <a:off x="28516786" y="15887108"/>
          <a:ext cx="316869" cy="0"/>
        </a:xfrm>
        <a:prstGeom prst="line">
          <a:avLst/>
        </a:prstGeom>
        <a:ln w="508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364866</xdr:colOff>
      <xdr:row>60</xdr:row>
      <xdr:rowOff>201955</xdr:rowOff>
    </xdr:from>
    <xdr:to>
      <xdr:col>59</xdr:col>
      <xdr:colOff>49871</xdr:colOff>
      <xdr:row>60</xdr:row>
      <xdr:rowOff>303344</xdr:rowOff>
    </xdr:to>
    <xdr:sp macro="" textlink="">
      <xdr:nvSpPr>
        <xdr:cNvPr id="1441" name="타원 1440">
          <a:extLst>
            <a:ext uri="{FF2B5EF4-FFF2-40B4-BE49-F238E27FC236}">
              <a16:creationId xmlns:a16="http://schemas.microsoft.com/office/drawing/2014/main" id="{2241BD42-BAA4-F76D-4250-D5FAEAFFA2FF}"/>
            </a:ext>
          </a:extLst>
        </xdr:cNvPr>
        <xdr:cNvSpPr>
          <a:spLocks/>
        </xdr:cNvSpPr>
      </xdr:nvSpPr>
      <xdr:spPr>
        <a:xfrm>
          <a:off x="28674823" y="13536955"/>
          <a:ext cx="115700" cy="101389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46</xdr:col>
      <xdr:colOff>372217</xdr:colOff>
      <xdr:row>59</xdr:row>
      <xdr:rowOff>210489</xdr:rowOff>
    </xdr:from>
    <xdr:to>
      <xdr:col>47</xdr:col>
      <xdr:colOff>63572</xdr:colOff>
      <xdr:row>59</xdr:row>
      <xdr:rowOff>311878</xdr:rowOff>
    </xdr:to>
    <xdr:sp macro="" textlink="">
      <xdr:nvSpPr>
        <xdr:cNvPr id="1445" name="타원 1444">
          <a:extLst>
            <a:ext uri="{FF2B5EF4-FFF2-40B4-BE49-F238E27FC236}">
              <a16:creationId xmlns:a16="http://schemas.microsoft.com/office/drawing/2014/main" id="{CADE508C-9754-0B53-4138-45F7C0E36066}"/>
            </a:ext>
          </a:extLst>
        </xdr:cNvPr>
        <xdr:cNvSpPr>
          <a:spLocks/>
        </xdr:cNvSpPr>
      </xdr:nvSpPr>
      <xdr:spPr>
        <a:xfrm>
          <a:off x="23722074" y="13150882"/>
          <a:ext cx="126784" cy="101389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53</xdr:col>
      <xdr:colOff>85629</xdr:colOff>
      <xdr:row>58</xdr:row>
      <xdr:rowOff>213412</xdr:rowOff>
    </xdr:from>
    <xdr:to>
      <xdr:col>53</xdr:col>
      <xdr:colOff>208784</xdr:colOff>
      <xdr:row>58</xdr:row>
      <xdr:rowOff>311626</xdr:rowOff>
    </xdr:to>
    <xdr:sp macro="" textlink="">
      <xdr:nvSpPr>
        <xdr:cNvPr id="1446" name="타원 1445">
          <a:extLst>
            <a:ext uri="{FF2B5EF4-FFF2-40B4-BE49-F238E27FC236}">
              <a16:creationId xmlns:a16="http://schemas.microsoft.com/office/drawing/2014/main" id="{C73A4256-E049-692B-9177-34DF5F17425F}"/>
            </a:ext>
          </a:extLst>
        </xdr:cNvPr>
        <xdr:cNvSpPr>
          <a:spLocks/>
        </xdr:cNvSpPr>
      </xdr:nvSpPr>
      <xdr:spPr>
        <a:xfrm>
          <a:off x="26136504" y="12776887"/>
          <a:ext cx="123155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48</xdr:col>
      <xdr:colOff>382148</xdr:colOff>
      <xdr:row>58</xdr:row>
      <xdr:rowOff>213412</xdr:rowOff>
    </xdr:from>
    <xdr:to>
      <xdr:col>49</xdr:col>
      <xdr:colOff>67153</xdr:colOff>
      <xdr:row>58</xdr:row>
      <xdr:rowOff>311626</xdr:rowOff>
    </xdr:to>
    <xdr:sp macro="" textlink="">
      <xdr:nvSpPr>
        <xdr:cNvPr id="1447" name="타원 1446">
          <a:extLst>
            <a:ext uri="{FF2B5EF4-FFF2-40B4-BE49-F238E27FC236}">
              <a16:creationId xmlns:a16="http://schemas.microsoft.com/office/drawing/2014/main" id="{8B068805-D7BB-F775-4195-1F345D754890}"/>
            </a:ext>
          </a:extLst>
        </xdr:cNvPr>
        <xdr:cNvSpPr>
          <a:spLocks/>
        </xdr:cNvSpPr>
      </xdr:nvSpPr>
      <xdr:spPr>
        <a:xfrm>
          <a:off x="24289898" y="12776887"/>
          <a:ext cx="11363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48</xdr:col>
      <xdr:colOff>382148</xdr:colOff>
      <xdr:row>57</xdr:row>
      <xdr:rowOff>210488</xdr:rowOff>
    </xdr:from>
    <xdr:to>
      <xdr:col>49</xdr:col>
      <xdr:colOff>67153</xdr:colOff>
      <xdr:row>57</xdr:row>
      <xdr:rowOff>308702</xdr:rowOff>
    </xdr:to>
    <xdr:sp macro="" textlink="">
      <xdr:nvSpPr>
        <xdr:cNvPr id="1448" name="타원 1447">
          <a:extLst>
            <a:ext uri="{FF2B5EF4-FFF2-40B4-BE49-F238E27FC236}">
              <a16:creationId xmlns:a16="http://schemas.microsoft.com/office/drawing/2014/main" id="{479BB108-D719-055E-8A5A-E944FD3AC976}"/>
            </a:ext>
          </a:extLst>
        </xdr:cNvPr>
        <xdr:cNvSpPr>
          <a:spLocks/>
        </xdr:cNvSpPr>
      </xdr:nvSpPr>
      <xdr:spPr>
        <a:xfrm>
          <a:off x="24289898" y="12392963"/>
          <a:ext cx="11363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44</xdr:col>
      <xdr:colOff>380905</xdr:colOff>
      <xdr:row>57</xdr:row>
      <xdr:rowOff>210488</xdr:rowOff>
    </xdr:from>
    <xdr:to>
      <xdr:col>45</xdr:col>
      <xdr:colOff>75434</xdr:colOff>
      <xdr:row>57</xdr:row>
      <xdr:rowOff>308702</xdr:rowOff>
    </xdr:to>
    <xdr:sp macro="" textlink="">
      <xdr:nvSpPr>
        <xdr:cNvPr id="1449" name="타원 1448">
          <a:extLst>
            <a:ext uri="{FF2B5EF4-FFF2-40B4-BE49-F238E27FC236}">
              <a16:creationId xmlns:a16="http://schemas.microsoft.com/office/drawing/2014/main" id="{6F574B2E-283C-1322-6887-319652DEE711}"/>
            </a:ext>
          </a:extLst>
        </xdr:cNvPr>
        <xdr:cNvSpPr>
          <a:spLocks/>
        </xdr:cNvSpPr>
      </xdr:nvSpPr>
      <xdr:spPr>
        <a:xfrm>
          <a:off x="22574155" y="12392963"/>
          <a:ext cx="123154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44</xdr:col>
      <xdr:colOff>380905</xdr:colOff>
      <xdr:row>56</xdr:row>
      <xdr:rowOff>218771</xdr:rowOff>
    </xdr:from>
    <xdr:to>
      <xdr:col>45</xdr:col>
      <xdr:colOff>75434</xdr:colOff>
      <xdr:row>56</xdr:row>
      <xdr:rowOff>316985</xdr:rowOff>
    </xdr:to>
    <xdr:sp macro="" textlink="">
      <xdr:nvSpPr>
        <xdr:cNvPr id="1450" name="타원 1449">
          <a:extLst>
            <a:ext uri="{FF2B5EF4-FFF2-40B4-BE49-F238E27FC236}">
              <a16:creationId xmlns:a16="http://schemas.microsoft.com/office/drawing/2014/main" id="{173DA8D7-EC7D-54E2-B119-E26C412B2F9D}"/>
            </a:ext>
          </a:extLst>
        </xdr:cNvPr>
        <xdr:cNvSpPr>
          <a:spLocks/>
        </xdr:cNvSpPr>
      </xdr:nvSpPr>
      <xdr:spPr>
        <a:xfrm>
          <a:off x="22574155" y="12020246"/>
          <a:ext cx="123154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44</xdr:col>
      <xdr:colOff>373858</xdr:colOff>
      <xdr:row>55</xdr:row>
      <xdr:rowOff>160792</xdr:rowOff>
    </xdr:from>
    <xdr:to>
      <xdr:col>45</xdr:col>
      <xdr:colOff>58863</xdr:colOff>
      <xdr:row>55</xdr:row>
      <xdr:rowOff>259006</xdr:rowOff>
    </xdr:to>
    <xdr:sp macro="" textlink="">
      <xdr:nvSpPr>
        <xdr:cNvPr id="1452" name="타원 1451">
          <a:extLst>
            <a:ext uri="{FF2B5EF4-FFF2-40B4-BE49-F238E27FC236}">
              <a16:creationId xmlns:a16="http://schemas.microsoft.com/office/drawing/2014/main" id="{9EBE91B3-3B4F-926D-1050-DF9182456694}"/>
            </a:ext>
          </a:extLst>
        </xdr:cNvPr>
        <xdr:cNvSpPr>
          <a:spLocks/>
        </xdr:cNvSpPr>
      </xdr:nvSpPr>
      <xdr:spPr>
        <a:xfrm>
          <a:off x="22567108" y="11581267"/>
          <a:ext cx="11363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382141</xdr:colOff>
      <xdr:row>55</xdr:row>
      <xdr:rowOff>160792</xdr:rowOff>
    </xdr:from>
    <xdr:to>
      <xdr:col>42</xdr:col>
      <xdr:colOff>67146</xdr:colOff>
      <xdr:row>55</xdr:row>
      <xdr:rowOff>259006</xdr:rowOff>
    </xdr:to>
    <xdr:sp macro="" textlink="">
      <xdr:nvSpPr>
        <xdr:cNvPr id="1454" name="타원 1453">
          <a:extLst>
            <a:ext uri="{FF2B5EF4-FFF2-40B4-BE49-F238E27FC236}">
              <a16:creationId xmlns:a16="http://schemas.microsoft.com/office/drawing/2014/main" id="{A85ADB25-85D0-F0BC-CBE0-5D2E2BCC82E0}"/>
            </a:ext>
          </a:extLst>
        </xdr:cNvPr>
        <xdr:cNvSpPr>
          <a:spLocks/>
        </xdr:cNvSpPr>
      </xdr:nvSpPr>
      <xdr:spPr>
        <a:xfrm>
          <a:off x="21289516" y="11581267"/>
          <a:ext cx="11363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382141</xdr:colOff>
      <xdr:row>40</xdr:row>
      <xdr:rowOff>202204</xdr:rowOff>
    </xdr:from>
    <xdr:to>
      <xdr:col>42</xdr:col>
      <xdr:colOff>67146</xdr:colOff>
      <xdr:row>40</xdr:row>
      <xdr:rowOff>300418</xdr:rowOff>
    </xdr:to>
    <xdr:sp macro="" textlink="">
      <xdr:nvSpPr>
        <xdr:cNvPr id="1455" name="타원 1454">
          <a:extLst>
            <a:ext uri="{FF2B5EF4-FFF2-40B4-BE49-F238E27FC236}">
              <a16:creationId xmlns:a16="http://schemas.microsoft.com/office/drawing/2014/main" id="{B0A22987-7493-0145-224C-D54AE104A561}"/>
            </a:ext>
          </a:extLst>
        </xdr:cNvPr>
        <xdr:cNvSpPr>
          <a:spLocks/>
        </xdr:cNvSpPr>
      </xdr:nvSpPr>
      <xdr:spPr>
        <a:xfrm>
          <a:off x="21289516" y="10098679"/>
          <a:ext cx="11363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38</xdr:col>
      <xdr:colOff>390424</xdr:colOff>
      <xdr:row>40</xdr:row>
      <xdr:rowOff>202204</xdr:rowOff>
    </xdr:from>
    <xdr:to>
      <xdr:col>39</xdr:col>
      <xdr:colOff>75428</xdr:colOff>
      <xdr:row>40</xdr:row>
      <xdr:rowOff>300418</xdr:rowOff>
    </xdr:to>
    <xdr:sp macro="" textlink="">
      <xdr:nvSpPr>
        <xdr:cNvPr id="1458" name="타원 1457">
          <a:extLst>
            <a:ext uri="{FF2B5EF4-FFF2-40B4-BE49-F238E27FC236}">
              <a16:creationId xmlns:a16="http://schemas.microsoft.com/office/drawing/2014/main" id="{0E0B80D4-F042-2D26-FAF4-C84EC17A8382}"/>
            </a:ext>
          </a:extLst>
        </xdr:cNvPr>
        <xdr:cNvSpPr>
          <a:spLocks/>
        </xdr:cNvSpPr>
      </xdr:nvSpPr>
      <xdr:spPr>
        <a:xfrm>
          <a:off x="20011924" y="10098679"/>
          <a:ext cx="113629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38</xdr:col>
      <xdr:colOff>390424</xdr:colOff>
      <xdr:row>35</xdr:row>
      <xdr:rowOff>218769</xdr:rowOff>
    </xdr:from>
    <xdr:to>
      <xdr:col>39</xdr:col>
      <xdr:colOff>75428</xdr:colOff>
      <xdr:row>35</xdr:row>
      <xdr:rowOff>316983</xdr:rowOff>
    </xdr:to>
    <xdr:sp macro="" textlink="">
      <xdr:nvSpPr>
        <xdr:cNvPr id="1465" name="타원 1464">
          <a:extLst>
            <a:ext uri="{FF2B5EF4-FFF2-40B4-BE49-F238E27FC236}">
              <a16:creationId xmlns:a16="http://schemas.microsoft.com/office/drawing/2014/main" id="{A5C5992E-C761-7EA8-73E0-13FD93718862}"/>
            </a:ext>
          </a:extLst>
        </xdr:cNvPr>
        <xdr:cNvSpPr>
          <a:spLocks/>
        </xdr:cNvSpPr>
      </xdr:nvSpPr>
      <xdr:spPr>
        <a:xfrm>
          <a:off x="20011924" y="9734244"/>
          <a:ext cx="113629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35</xdr:col>
      <xdr:colOff>390423</xdr:colOff>
      <xdr:row>35</xdr:row>
      <xdr:rowOff>218769</xdr:rowOff>
    </xdr:from>
    <xdr:to>
      <xdr:col>36</xdr:col>
      <xdr:colOff>75428</xdr:colOff>
      <xdr:row>35</xdr:row>
      <xdr:rowOff>316983</xdr:rowOff>
    </xdr:to>
    <xdr:sp macro="" textlink="">
      <xdr:nvSpPr>
        <xdr:cNvPr id="1466" name="타원 1465">
          <a:extLst>
            <a:ext uri="{FF2B5EF4-FFF2-40B4-BE49-F238E27FC236}">
              <a16:creationId xmlns:a16="http://schemas.microsoft.com/office/drawing/2014/main" id="{942C45E3-D8CD-5B75-8087-DB8B961BA736}"/>
            </a:ext>
          </a:extLst>
        </xdr:cNvPr>
        <xdr:cNvSpPr>
          <a:spLocks/>
        </xdr:cNvSpPr>
      </xdr:nvSpPr>
      <xdr:spPr>
        <a:xfrm>
          <a:off x="18726048" y="9734244"/>
          <a:ext cx="11363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35</xdr:col>
      <xdr:colOff>379217</xdr:colOff>
      <xdr:row>30</xdr:row>
      <xdr:rowOff>218769</xdr:rowOff>
    </xdr:from>
    <xdr:to>
      <xdr:col>36</xdr:col>
      <xdr:colOff>64222</xdr:colOff>
      <xdr:row>30</xdr:row>
      <xdr:rowOff>316983</xdr:rowOff>
    </xdr:to>
    <xdr:sp macro="" textlink="">
      <xdr:nvSpPr>
        <xdr:cNvPr id="1469" name="타원 1468">
          <a:extLst>
            <a:ext uri="{FF2B5EF4-FFF2-40B4-BE49-F238E27FC236}">
              <a16:creationId xmlns:a16="http://schemas.microsoft.com/office/drawing/2014/main" id="{85EF012F-53B7-A035-BCED-1C1FE416A8B0}"/>
            </a:ext>
          </a:extLst>
        </xdr:cNvPr>
        <xdr:cNvSpPr>
          <a:spLocks/>
        </xdr:cNvSpPr>
      </xdr:nvSpPr>
      <xdr:spPr>
        <a:xfrm>
          <a:off x="18622393" y="9351563"/>
          <a:ext cx="110829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32</xdr:col>
      <xdr:colOff>384971</xdr:colOff>
      <xdr:row>30</xdr:row>
      <xdr:rowOff>218769</xdr:rowOff>
    </xdr:from>
    <xdr:to>
      <xdr:col>33</xdr:col>
      <xdr:colOff>79500</xdr:colOff>
      <xdr:row>30</xdr:row>
      <xdr:rowOff>316983</xdr:rowOff>
    </xdr:to>
    <xdr:sp macro="" textlink="">
      <xdr:nvSpPr>
        <xdr:cNvPr id="544" name="타원 543">
          <a:extLst>
            <a:ext uri="{FF2B5EF4-FFF2-40B4-BE49-F238E27FC236}">
              <a16:creationId xmlns:a16="http://schemas.microsoft.com/office/drawing/2014/main" id="{C436A1F5-8FBB-2B73-C2E1-0D9A8ECCE49F}"/>
            </a:ext>
          </a:extLst>
        </xdr:cNvPr>
        <xdr:cNvSpPr>
          <a:spLocks/>
        </xdr:cNvSpPr>
      </xdr:nvSpPr>
      <xdr:spPr>
        <a:xfrm>
          <a:off x="17638828" y="9349162"/>
          <a:ext cx="129958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32</xdr:col>
      <xdr:colOff>384971</xdr:colOff>
      <xdr:row>25</xdr:row>
      <xdr:rowOff>227052</xdr:rowOff>
    </xdr:from>
    <xdr:to>
      <xdr:col>33</xdr:col>
      <xdr:colOff>79500</xdr:colOff>
      <xdr:row>25</xdr:row>
      <xdr:rowOff>325266</xdr:rowOff>
    </xdr:to>
    <xdr:sp macro="" textlink="">
      <xdr:nvSpPr>
        <xdr:cNvPr id="545" name="타원 544">
          <a:extLst>
            <a:ext uri="{FF2B5EF4-FFF2-40B4-BE49-F238E27FC236}">
              <a16:creationId xmlns:a16="http://schemas.microsoft.com/office/drawing/2014/main" id="{ADC49483-C0DD-0B61-7D19-F160A3D5A25C}"/>
            </a:ext>
          </a:extLst>
        </xdr:cNvPr>
        <xdr:cNvSpPr>
          <a:spLocks/>
        </xdr:cNvSpPr>
      </xdr:nvSpPr>
      <xdr:spPr>
        <a:xfrm>
          <a:off x="17638828" y="8976445"/>
          <a:ext cx="129958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386214</xdr:colOff>
      <xdr:row>25</xdr:row>
      <xdr:rowOff>227052</xdr:rowOff>
    </xdr:from>
    <xdr:to>
      <xdr:col>29</xdr:col>
      <xdr:colOff>71219</xdr:colOff>
      <xdr:row>25</xdr:row>
      <xdr:rowOff>325266</xdr:rowOff>
    </xdr:to>
    <xdr:sp macro="" textlink="">
      <xdr:nvSpPr>
        <xdr:cNvPr id="547" name="타원 546">
          <a:extLst>
            <a:ext uri="{FF2B5EF4-FFF2-40B4-BE49-F238E27FC236}">
              <a16:creationId xmlns:a16="http://schemas.microsoft.com/office/drawing/2014/main" id="{6049048D-1164-4132-06FC-1B216E25E62C}"/>
            </a:ext>
          </a:extLst>
        </xdr:cNvPr>
        <xdr:cNvSpPr>
          <a:spLocks/>
        </xdr:cNvSpPr>
      </xdr:nvSpPr>
      <xdr:spPr>
        <a:xfrm>
          <a:off x="15898357" y="8976445"/>
          <a:ext cx="120433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372606</xdr:colOff>
      <xdr:row>20</xdr:row>
      <xdr:rowOff>227052</xdr:rowOff>
    </xdr:from>
    <xdr:to>
      <xdr:col>29</xdr:col>
      <xdr:colOff>57611</xdr:colOff>
      <xdr:row>20</xdr:row>
      <xdr:rowOff>325266</xdr:rowOff>
    </xdr:to>
    <xdr:sp macro="" textlink="">
      <xdr:nvSpPr>
        <xdr:cNvPr id="548" name="타원 547">
          <a:extLst>
            <a:ext uri="{FF2B5EF4-FFF2-40B4-BE49-F238E27FC236}">
              <a16:creationId xmlns:a16="http://schemas.microsoft.com/office/drawing/2014/main" id="{CA135E5D-2D26-A56B-2E38-3A43A60DAFDC}"/>
            </a:ext>
          </a:extLst>
        </xdr:cNvPr>
        <xdr:cNvSpPr>
          <a:spLocks/>
        </xdr:cNvSpPr>
      </xdr:nvSpPr>
      <xdr:spPr>
        <a:xfrm>
          <a:off x="15884749" y="8595445"/>
          <a:ext cx="120433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90998</xdr:colOff>
      <xdr:row>20</xdr:row>
      <xdr:rowOff>227052</xdr:rowOff>
    </xdr:from>
    <xdr:to>
      <xdr:col>27</xdr:col>
      <xdr:colOff>206698</xdr:colOff>
      <xdr:row>20</xdr:row>
      <xdr:rowOff>325266</xdr:rowOff>
    </xdr:to>
    <xdr:sp macro="" textlink="">
      <xdr:nvSpPr>
        <xdr:cNvPr id="549" name="타원 548">
          <a:extLst>
            <a:ext uri="{FF2B5EF4-FFF2-40B4-BE49-F238E27FC236}">
              <a16:creationId xmlns:a16="http://schemas.microsoft.com/office/drawing/2014/main" id="{778FEE59-19F8-F4C3-D8E4-E53E60F22800}"/>
            </a:ext>
          </a:extLst>
        </xdr:cNvPr>
        <xdr:cNvSpPr>
          <a:spLocks/>
        </xdr:cNvSpPr>
      </xdr:nvSpPr>
      <xdr:spPr>
        <a:xfrm>
          <a:off x="15049389" y="8600769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90998</xdr:colOff>
      <xdr:row>18</xdr:row>
      <xdr:rowOff>227052</xdr:rowOff>
    </xdr:from>
    <xdr:to>
      <xdr:col>27</xdr:col>
      <xdr:colOff>206698</xdr:colOff>
      <xdr:row>18</xdr:row>
      <xdr:rowOff>325266</xdr:rowOff>
    </xdr:to>
    <xdr:sp macro="" textlink="">
      <xdr:nvSpPr>
        <xdr:cNvPr id="550" name="타원 549">
          <a:extLst>
            <a:ext uri="{FF2B5EF4-FFF2-40B4-BE49-F238E27FC236}">
              <a16:creationId xmlns:a16="http://schemas.microsoft.com/office/drawing/2014/main" id="{AC8F8365-2C04-960F-A772-EA7C7BE56321}"/>
            </a:ext>
          </a:extLst>
        </xdr:cNvPr>
        <xdr:cNvSpPr>
          <a:spLocks/>
        </xdr:cNvSpPr>
      </xdr:nvSpPr>
      <xdr:spPr>
        <a:xfrm>
          <a:off x="15049389" y="7838769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215237</xdr:colOff>
      <xdr:row>18</xdr:row>
      <xdr:rowOff>227052</xdr:rowOff>
    </xdr:from>
    <xdr:to>
      <xdr:col>26</xdr:col>
      <xdr:colOff>330937</xdr:colOff>
      <xdr:row>18</xdr:row>
      <xdr:rowOff>325266</xdr:rowOff>
    </xdr:to>
    <xdr:sp macro="" textlink="">
      <xdr:nvSpPr>
        <xdr:cNvPr id="551" name="타원 550">
          <a:extLst>
            <a:ext uri="{FF2B5EF4-FFF2-40B4-BE49-F238E27FC236}">
              <a16:creationId xmlns:a16="http://schemas.microsoft.com/office/drawing/2014/main" id="{21BC8FC7-0175-054B-806E-084345979F21}"/>
            </a:ext>
          </a:extLst>
        </xdr:cNvPr>
        <xdr:cNvSpPr>
          <a:spLocks/>
        </xdr:cNvSpPr>
      </xdr:nvSpPr>
      <xdr:spPr>
        <a:xfrm>
          <a:off x="14742933" y="7838769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159206</xdr:colOff>
      <xdr:row>17</xdr:row>
      <xdr:rowOff>210486</xdr:rowOff>
    </xdr:from>
    <xdr:to>
      <xdr:col>21</xdr:col>
      <xdr:colOff>274906</xdr:colOff>
      <xdr:row>17</xdr:row>
      <xdr:rowOff>308700</xdr:rowOff>
    </xdr:to>
    <xdr:sp macro="" textlink="">
      <xdr:nvSpPr>
        <xdr:cNvPr id="554" name="타원 553">
          <a:extLst>
            <a:ext uri="{FF2B5EF4-FFF2-40B4-BE49-F238E27FC236}">
              <a16:creationId xmlns:a16="http://schemas.microsoft.com/office/drawing/2014/main" id="{0F43C37F-BB93-36CA-D374-D491142A6751}"/>
            </a:ext>
          </a:extLst>
        </xdr:cNvPr>
        <xdr:cNvSpPr>
          <a:spLocks/>
        </xdr:cNvSpPr>
      </xdr:nvSpPr>
      <xdr:spPr>
        <a:xfrm>
          <a:off x="12440853" y="7438280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134358</xdr:colOff>
      <xdr:row>17</xdr:row>
      <xdr:rowOff>210486</xdr:rowOff>
    </xdr:from>
    <xdr:to>
      <xdr:col>20</xdr:col>
      <xdr:colOff>250058</xdr:colOff>
      <xdr:row>17</xdr:row>
      <xdr:rowOff>308700</xdr:rowOff>
    </xdr:to>
    <xdr:sp macro="" textlink="">
      <xdr:nvSpPr>
        <xdr:cNvPr id="555" name="타원 554">
          <a:extLst>
            <a:ext uri="{FF2B5EF4-FFF2-40B4-BE49-F238E27FC236}">
              <a16:creationId xmlns:a16="http://schemas.microsoft.com/office/drawing/2014/main" id="{D2B11030-CBC6-AF38-DE30-5937A07CA59E}"/>
            </a:ext>
          </a:extLst>
        </xdr:cNvPr>
        <xdr:cNvSpPr>
          <a:spLocks/>
        </xdr:cNvSpPr>
      </xdr:nvSpPr>
      <xdr:spPr>
        <a:xfrm>
          <a:off x="11990182" y="7438280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190390</xdr:colOff>
      <xdr:row>16</xdr:row>
      <xdr:rowOff>235333</xdr:rowOff>
    </xdr:from>
    <xdr:to>
      <xdr:col>36</xdr:col>
      <xdr:colOff>306090</xdr:colOff>
      <xdr:row>16</xdr:row>
      <xdr:rowOff>333547</xdr:rowOff>
    </xdr:to>
    <xdr:sp macro="" textlink="">
      <xdr:nvSpPr>
        <xdr:cNvPr id="557" name="타원 556">
          <a:extLst>
            <a:ext uri="{FF2B5EF4-FFF2-40B4-BE49-F238E27FC236}">
              <a16:creationId xmlns:a16="http://schemas.microsoft.com/office/drawing/2014/main" id="{44501B2C-EA1F-6D59-EF45-C9CF978546D2}"/>
            </a:ext>
          </a:extLst>
        </xdr:cNvPr>
        <xdr:cNvSpPr>
          <a:spLocks/>
        </xdr:cNvSpPr>
      </xdr:nvSpPr>
      <xdr:spPr>
        <a:xfrm>
          <a:off x="18859390" y="7082127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212805</xdr:colOff>
      <xdr:row>15</xdr:row>
      <xdr:rowOff>218768</xdr:rowOff>
    </xdr:from>
    <xdr:to>
      <xdr:col>26</xdr:col>
      <xdr:colOff>328505</xdr:colOff>
      <xdr:row>15</xdr:row>
      <xdr:rowOff>316982</xdr:rowOff>
    </xdr:to>
    <xdr:sp macro="" textlink="">
      <xdr:nvSpPr>
        <xdr:cNvPr id="560" name="타원 559">
          <a:extLst>
            <a:ext uri="{FF2B5EF4-FFF2-40B4-BE49-F238E27FC236}">
              <a16:creationId xmlns:a16="http://schemas.microsoft.com/office/drawing/2014/main" id="{A8992551-6D38-4427-C0E8-BD1AAFEFFC06}"/>
            </a:ext>
          </a:extLst>
        </xdr:cNvPr>
        <xdr:cNvSpPr>
          <a:spLocks/>
        </xdr:cNvSpPr>
      </xdr:nvSpPr>
      <xdr:spPr>
        <a:xfrm>
          <a:off x="14623570" y="6684562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406229</xdr:colOff>
      <xdr:row>15</xdr:row>
      <xdr:rowOff>218768</xdr:rowOff>
    </xdr:from>
    <xdr:to>
      <xdr:col>24</xdr:col>
      <xdr:colOff>91232</xdr:colOff>
      <xdr:row>15</xdr:row>
      <xdr:rowOff>316982</xdr:rowOff>
    </xdr:to>
    <xdr:sp macro="" textlink="">
      <xdr:nvSpPr>
        <xdr:cNvPr id="561" name="타원 560">
          <a:extLst>
            <a:ext uri="{FF2B5EF4-FFF2-40B4-BE49-F238E27FC236}">
              <a16:creationId xmlns:a16="http://schemas.microsoft.com/office/drawing/2014/main" id="{2A7D4CF6-4616-8090-0EED-BB3BE39242DB}"/>
            </a:ext>
          </a:extLst>
        </xdr:cNvPr>
        <xdr:cNvSpPr>
          <a:spLocks/>
        </xdr:cNvSpPr>
      </xdr:nvSpPr>
      <xdr:spPr>
        <a:xfrm>
          <a:off x="13539523" y="6684562"/>
          <a:ext cx="110827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406229</xdr:colOff>
      <xdr:row>14</xdr:row>
      <xdr:rowOff>228293</xdr:rowOff>
    </xdr:from>
    <xdr:to>
      <xdr:col>24</xdr:col>
      <xdr:colOff>91232</xdr:colOff>
      <xdr:row>14</xdr:row>
      <xdr:rowOff>326507</xdr:rowOff>
    </xdr:to>
    <xdr:sp macro="" textlink="">
      <xdr:nvSpPr>
        <xdr:cNvPr id="562" name="타원 561">
          <a:extLst>
            <a:ext uri="{FF2B5EF4-FFF2-40B4-BE49-F238E27FC236}">
              <a16:creationId xmlns:a16="http://schemas.microsoft.com/office/drawing/2014/main" id="{8790736E-B2BB-0EF8-4366-7893840D45D9}"/>
            </a:ext>
          </a:extLst>
        </xdr:cNvPr>
        <xdr:cNvSpPr>
          <a:spLocks/>
        </xdr:cNvSpPr>
      </xdr:nvSpPr>
      <xdr:spPr>
        <a:xfrm>
          <a:off x="13598354" y="6314768"/>
          <a:ext cx="113628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174316</xdr:colOff>
      <xdr:row>14</xdr:row>
      <xdr:rowOff>228293</xdr:rowOff>
    </xdr:from>
    <xdr:to>
      <xdr:col>23</xdr:col>
      <xdr:colOff>290016</xdr:colOff>
      <xdr:row>14</xdr:row>
      <xdr:rowOff>326507</xdr:rowOff>
    </xdr:to>
    <xdr:sp macro="" textlink="">
      <xdr:nvSpPr>
        <xdr:cNvPr id="563" name="타원 562">
          <a:extLst>
            <a:ext uri="{FF2B5EF4-FFF2-40B4-BE49-F238E27FC236}">
              <a16:creationId xmlns:a16="http://schemas.microsoft.com/office/drawing/2014/main" id="{39524C2F-8CCF-799C-D731-61924D84F434}"/>
            </a:ext>
          </a:extLst>
        </xdr:cNvPr>
        <xdr:cNvSpPr>
          <a:spLocks/>
        </xdr:cNvSpPr>
      </xdr:nvSpPr>
      <xdr:spPr>
        <a:xfrm>
          <a:off x="13366441" y="6314768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174316</xdr:colOff>
      <xdr:row>13</xdr:row>
      <xdr:rowOff>210486</xdr:rowOff>
    </xdr:from>
    <xdr:to>
      <xdr:col>23</xdr:col>
      <xdr:colOff>290016</xdr:colOff>
      <xdr:row>13</xdr:row>
      <xdr:rowOff>308700</xdr:rowOff>
    </xdr:to>
    <xdr:sp macro="" textlink="">
      <xdr:nvSpPr>
        <xdr:cNvPr id="564" name="타원 563">
          <a:extLst>
            <a:ext uri="{FF2B5EF4-FFF2-40B4-BE49-F238E27FC236}">
              <a16:creationId xmlns:a16="http://schemas.microsoft.com/office/drawing/2014/main" id="{71B93712-A15B-53DA-07BD-F46B29BB3F35}"/>
            </a:ext>
          </a:extLst>
        </xdr:cNvPr>
        <xdr:cNvSpPr>
          <a:spLocks/>
        </xdr:cNvSpPr>
      </xdr:nvSpPr>
      <xdr:spPr>
        <a:xfrm>
          <a:off x="13307610" y="5914280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157751</xdr:colOff>
      <xdr:row>13</xdr:row>
      <xdr:rowOff>210486</xdr:rowOff>
    </xdr:from>
    <xdr:to>
      <xdr:col>21</xdr:col>
      <xdr:colOff>273451</xdr:colOff>
      <xdr:row>13</xdr:row>
      <xdr:rowOff>308700</xdr:rowOff>
    </xdr:to>
    <xdr:sp macro="" textlink="">
      <xdr:nvSpPr>
        <xdr:cNvPr id="567" name="타원 566">
          <a:extLst>
            <a:ext uri="{FF2B5EF4-FFF2-40B4-BE49-F238E27FC236}">
              <a16:creationId xmlns:a16="http://schemas.microsoft.com/office/drawing/2014/main" id="{AE8B6946-D2EC-6F7B-A7C9-7EDFC50B98C7}"/>
            </a:ext>
          </a:extLst>
        </xdr:cNvPr>
        <xdr:cNvSpPr>
          <a:spLocks/>
        </xdr:cNvSpPr>
      </xdr:nvSpPr>
      <xdr:spPr>
        <a:xfrm>
          <a:off x="12439398" y="5914280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124129</xdr:colOff>
      <xdr:row>12</xdr:row>
      <xdr:rowOff>227051</xdr:rowOff>
    </xdr:from>
    <xdr:to>
      <xdr:col>20</xdr:col>
      <xdr:colOff>239829</xdr:colOff>
      <xdr:row>12</xdr:row>
      <xdr:rowOff>325265</xdr:rowOff>
    </xdr:to>
    <xdr:sp macro="" textlink="">
      <xdr:nvSpPr>
        <xdr:cNvPr id="568" name="타원 567">
          <a:extLst>
            <a:ext uri="{FF2B5EF4-FFF2-40B4-BE49-F238E27FC236}">
              <a16:creationId xmlns:a16="http://schemas.microsoft.com/office/drawing/2014/main" id="{97C40C18-9AE2-FCAB-D2E6-0FFF869CEC27}"/>
            </a:ext>
          </a:extLst>
        </xdr:cNvPr>
        <xdr:cNvSpPr>
          <a:spLocks/>
        </xdr:cNvSpPr>
      </xdr:nvSpPr>
      <xdr:spPr>
        <a:xfrm>
          <a:off x="12067651" y="5552768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372608</xdr:colOff>
      <xdr:row>12</xdr:row>
      <xdr:rowOff>227051</xdr:rowOff>
    </xdr:from>
    <xdr:to>
      <xdr:col>20</xdr:col>
      <xdr:colOff>57612</xdr:colOff>
      <xdr:row>12</xdr:row>
      <xdr:rowOff>325265</xdr:rowOff>
    </xdr:to>
    <xdr:sp macro="" textlink="">
      <xdr:nvSpPr>
        <xdr:cNvPr id="569" name="타원 568">
          <a:extLst>
            <a:ext uri="{FF2B5EF4-FFF2-40B4-BE49-F238E27FC236}">
              <a16:creationId xmlns:a16="http://schemas.microsoft.com/office/drawing/2014/main" id="{D74099AB-3ABA-1EDF-64B4-136F665D38A2}"/>
            </a:ext>
          </a:extLst>
        </xdr:cNvPr>
        <xdr:cNvSpPr>
          <a:spLocks/>
        </xdr:cNvSpPr>
      </xdr:nvSpPr>
      <xdr:spPr>
        <a:xfrm>
          <a:off x="11885434" y="5552768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372608</xdr:colOff>
      <xdr:row>11</xdr:row>
      <xdr:rowOff>235334</xdr:rowOff>
    </xdr:from>
    <xdr:to>
      <xdr:col>20</xdr:col>
      <xdr:colOff>57612</xdr:colOff>
      <xdr:row>11</xdr:row>
      <xdr:rowOff>333548</xdr:rowOff>
    </xdr:to>
    <xdr:sp macro="" textlink="">
      <xdr:nvSpPr>
        <xdr:cNvPr id="570" name="타원 569">
          <a:extLst>
            <a:ext uri="{FF2B5EF4-FFF2-40B4-BE49-F238E27FC236}">
              <a16:creationId xmlns:a16="http://schemas.microsoft.com/office/drawing/2014/main" id="{B496DE4E-D6B4-8E09-FB7C-6919CB1C138E}"/>
            </a:ext>
          </a:extLst>
        </xdr:cNvPr>
        <xdr:cNvSpPr>
          <a:spLocks/>
        </xdr:cNvSpPr>
      </xdr:nvSpPr>
      <xdr:spPr>
        <a:xfrm>
          <a:off x="11885434" y="5180051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190391</xdr:colOff>
      <xdr:row>11</xdr:row>
      <xdr:rowOff>235334</xdr:rowOff>
    </xdr:from>
    <xdr:to>
      <xdr:col>18</xdr:col>
      <xdr:colOff>306091</xdr:colOff>
      <xdr:row>11</xdr:row>
      <xdr:rowOff>333548</xdr:rowOff>
    </xdr:to>
    <xdr:sp macro="" textlink="">
      <xdr:nvSpPr>
        <xdr:cNvPr id="571" name="타원 570">
          <a:extLst>
            <a:ext uri="{FF2B5EF4-FFF2-40B4-BE49-F238E27FC236}">
              <a16:creationId xmlns:a16="http://schemas.microsoft.com/office/drawing/2014/main" id="{3AA3184A-B760-83FC-A158-26B069E9C879}"/>
            </a:ext>
          </a:extLst>
        </xdr:cNvPr>
        <xdr:cNvSpPr>
          <a:spLocks/>
        </xdr:cNvSpPr>
      </xdr:nvSpPr>
      <xdr:spPr>
        <a:xfrm>
          <a:off x="11272521" y="5180051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190391</xdr:colOff>
      <xdr:row>10</xdr:row>
      <xdr:rowOff>227052</xdr:rowOff>
    </xdr:from>
    <xdr:to>
      <xdr:col>18</xdr:col>
      <xdr:colOff>306091</xdr:colOff>
      <xdr:row>10</xdr:row>
      <xdr:rowOff>325266</xdr:rowOff>
    </xdr:to>
    <xdr:sp macro="" textlink="">
      <xdr:nvSpPr>
        <xdr:cNvPr id="1472" name="타원 1471">
          <a:extLst>
            <a:ext uri="{FF2B5EF4-FFF2-40B4-BE49-F238E27FC236}">
              <a16:creationId xmlns:a16="http://schemas.microsoft.com/office/drawing/2014/main" id="{31B48430-704E-B386-3E9A-06AE12FDBE8C}"/>
            </a:ext>
          </a:extLst>
        </xdr:cNvPr>
        <xdr:cNvSpPr>
          <a:spLocks/>
        </xdr:cNvSpPr>
      </xdr:nvSpPr>
      <xdr:spPr>
        <a:xfrm>
          <a:off x="11272521" y="4790769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182107</xdr:colOff>
      <xdr:row>10</xdr:row>
      <xdr:rowOff>227052</xdr:rowOff>
    </xdr:from>
    <xdr:to>
      <xdr:col>17</xdr:col>
      <xdr:colOff>297807</xdr:colOff>
      <xdr:row>10</xdr:row>
      <xdr:rowOff>325266</xdr:rowOff>
    </xdr:to>
    <xdr:sp macro="" textlink="">
      <xdr:nvSpPr>
        <xdr:cNvPr id="1474" name="타원 1473">
          <a:extLst>
            <a:ext uri="{FF2B5EF4-FFF2-40B4-BE49-F238E27FC236}">
              <a16:creationId xmlns:a16="http://schemas.microsoft.com/office/drawing/2014/main" id="{A9212BD2-1B9A-3150-0E61-290AEF51C2A0}"/>
            </a:ext>
          </a:extLst>
        </xdr:cNvPr>
        <xdr:cNvSpPr>
          <a:spLocks/>
        </xdr:cNvSpPr>
      </xdr:nvSpPr>
      <xdr:spPr>
        <a:xfrm>
          <a:off x="10833542" y="4790769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182107</xdr:colOff>
      <xdr:row>9</xdr:row>
      <xdr:rowOff>202203</xdr:rowOff>
    </xdr:from>
    <xdr:to>
      <xdr:col>17</xdr:col>
      <xdr:colOff>297807</xdr:colOff>
      <xdr:row>9</xdr:row>
      <xdr:rowOff>300417</xdr:rowOff>
    </xdr:to>
    <xdr:sp macro="" textlink="">
      <xdr:nvSpPr>
        <xdr:cNvPr id="1476" name="타원 1475">
          <a:extLst>
            <a:ext uri="{FF2B5EF4-FFF2-40B4-BE49-F238E27FC236}">
              <a16:creationId xmlns:a16="http://schemas.microsoft.com/office/drawing/2014/main" id="{976E0A4C-85BA-486A-D944-34C13151D59A}"/>
            </a:ext>
          </a:extLst>
        </xdr:cNvPr>
        <xdr:cNvSpPr>
          <a:spLocks/>
        </xdr:cNvSpPr>
      </xdr:nvSpPr>
      <xdr:spPr>
        <a:xfrm>
          <a:off x="10833542" y="4384920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372607</xdr:colOff>
      <xdr:row>9</xdr:row>
      <xdr:rowOff>202203</xdr:rowOff>
    </xdr:from>
    <xdr:to>
      <xdr:col>16</xdr:col>
      <xdr:colOff>57611</xdr:colOff>
      <xdr:row>9</xdr:row>
      <xdr:rowOff>300417</xdr:rowOff>
    </xdr:to>
    <xdr:sp macro="" textlink="">
      <xdr:nvSpPr>
        <xdr:cNvPr id="1477" name="타원 1476">
          <a:extLst>
            <a:ext uri="{FF2B5EF4-FFF2-40B4-BE49-F238E27FC236}">
              <a16:creationId xmlns:a16="http://schemas.microsoft.com/office/drawing/2014/main" id="{83179D71-4DFD-0F2B-ADFA-85B554D6C695}"/>
            </a:ext>
          </a:extLst>
        </xdr:cNvPr>
        <xdr:cNvSpPr>
          <a:spLocks/>
        </xdr:cNvSpPr>
      </xdr:nvSpPr>
      <xdr:spPr>
        <a:xfrm>
          <a:off x="10162650" y="4384920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372607</xdr:colOff>
      <xdr:row>8</xdr:row>
      <xdr:rowOff>227051</xdr:rowOff>
    </xdr:from>
    <xdr:to>
      <xdr:col>16</xdr:col>
      <xdr:colOff>57611</xdr:colOff>
      <xdr:row>8</xdr:row>
      <xdr:rowOff>325265</xdr:rowOff>
    </xdr:to>
    <xdr:sp macro="" textlink="">
      <xdr:nvSpPr>
        <xdr:cNvPr id="1480" name="타원 1479">
          <a:extLst>
            <a:ext uri="{FF2B5EF4-FFF2-40B4-BE49-F238E27FC236}">
              <a16:creationId xmlns:a16="http://schemas.microsoft.com/office/drawing/2014/main" id="{A22D7A1B-FC7C-7C3A-1063-EF9DE578041A}"/>
            </a:ext>
          </a:extLst>
        </xdr:cNvPr>
        <xdr:cNvSpPr>
          <a:spLocks/>
        </xdr:cNvSpPr>
      </xdr:nvSpPr>
      <xdr:spPr>
        <a:xfrm>
          <a:off x="10162650" y="4028768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173823</xdr:colOff>
      <xdr:row>8</xdr:row>
      <xdr:rowOff>227051</xdr:rowOff>
    </xdr:from>
    <xdr:to>
      <xdr:col>12</xdr:col>
      <xdr:colOff>289523</xdr:colOff>
      <xdr:row>8</xdr:row>
      <xdr:rowOff>325265</xdr:rowOff>
    </xdr:to>
    <xdr:sp macro="" textlink="">
      <xdr:nvSpPr>
        <xdr:cNvPr id="1482" name="타원 1481">
          <a:extLst>
            <a:ext uri="{FF2B5EF4-FFF2-40B4-BE49-F238E27FC236}">
              <a16:creationId xmlns:a16="http://schemas.microsoft.com/office/drawing/2014/main" id="{EDDA67D6-CE13-E6B1-31C6-2B75747DA9C3}"/>
            </a:ext>
          </a:extLst>
        </xdr:cNvPr>
        <xdr:cNvSpPr>
          <a:spLocks/>
        </xdr:cNvSpPr>
      </xdr:nvSpPr>
      <xdr:spPr>
        <a:xfrm>
          <a:off x="8671780" y="4028768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173823</xdr:colOff>
      <xdr:row>6</xdr:row>
      <xdr:rowOff>210486</xdr:rowOff>
    </xdr:from>
    <xdr:to>
      <xdr:col>12</xdr:col>
      <xdr:colOff>289523</xdr:colOff>
      <xdr:row>6</xdr:row>
      <xdr:rowOff>308700</xdr:rowOff>
    </xdr:to>
    <xdr:sp macro="" textlink="">
      <xdr:nvSpPr>
        <xdr:cNvPr id="1485" name="타원 1484">
          <a:extLst>
            <a:ext uri="{FF2B5EF4-FFF2-40B4-BE49-F238E27FC236}">
              <a16:creationId xmlns:a16="http://schemas.microsoft.com/office/drawing/2014/main" id="{232074D1-910C-5C2C-479A-AFE0499F49A6}"/>
            </a:ext>
          </a:extLst>
        </xdr:cNvPr>
        <xdr:cNvSpPr>
          <a:spLocks/>
        </xdr:cNvSpPr>
      </xdr:nvSpPr>
      <xdr:spPr>
        <a:xfrm>
          <a:off x="8671780" y="3250203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380888</xdr:colOff>
      <xdr:row>6</xdr:row>
      <xdr:rowOff>210486</xdr:rowOff>
    </xdr:from>
    <xdr:to>
      <xdr:col>10</xdr:col>
      <xdr:colOff>65893</xdr:colOff>
      <xdr:row>6</xdr:row>
      <xdr:rowOff>308700</xdr:rowOff>
    </xdr:to>
    <xdr:sp macro="" textlink="">
      <xdr:nvSpPr>
        <xdr:cNvPr id="1486" name="타원 1485">
          <a:extLst>
            <a:ext uri="{FF2B5EF4-FFF2-40B4-BE49-F238E27FC236}">
              <a16:creationId xmlns:a16="http://schemas.microsoft.com/office/drawing/2014/main" id="{D1D61CA3-51F8-86A6-CBA6-BADAB935DBAB}"/>
            </a:ext>
          </a:extLst>
        </xdr:cNvPr>
        <xdr:cNvSpPr>
          <a:spLocks/>
        </xdr:cNvSpPr>
      </xdr:nvSpPr>
      <xdr:spPr>
        <a:xfrm>
          <a:off x="7586758" y="3250203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173823</xdr:colOff>
      <xdr:row>4</xdr:row>
      <xdr:rowOff>450682</xdr:rowOff>
    </xdr:from>
    <xdr:to>
      <xdr:col>12</xdr:col>
      <xdr:colOff>289523</xdr:colOff>
      <xdr:row>4</xdr:row>
      <xdr:rowOff>548896</xdr:rowOff>
    </xdr:to>
    <xdr:sp macro="" textlink="">
      <xdr:nvSpPr>
        <xdr:cNvPr id="1487" name="타원 1486">
          <a:extLst>
            <a:ext uri="{FF2B5EF4-FFF2-40B4-BE49-F238E27FC236}">
              <a16:creationId xmlns:a16="http://schemas.microsoft.com/office/drawing/2014/main" id="{B0A5B775-1B9C-BA92-AA26-D84D73A75530}"/>
            </a:ext>
          </a:extLst>
        </xdr:cNvPr>
        <xdr:cNvSpPr>
          <a:spLocks/>
        </xdr:cNvSpPr>
      </xdr:nvSpPr>
      <xdr:spPr>
        <a:xfrm>
          <a:off x="8671780" y="2479921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380888</xdr:colOff>
      <xdr:row>5</xdr:row>
      <xdr:rowOff>235334</xdr:rowOff>
    </xdr:from>
    <xdr:to>
      <xdr:col>10</xdr:col>
      <xdr:colOff>65893</xdr:colOff>
      <xdr:row>5</xdr:row>
      <xdr:rowOff>333548</xdr:rowOff>
    </xdr:to>
    <xdr:sp macro="" textlink="">
      <xdr:nvSpPr>
        <xdr:cNvPr id="1488" name="타원 1487">
          <a:extLst>
            <a:ext uri="{FF2B5EF4-FFF2-40B4-BE49-F238E27FC236}">
              <a16:creationId xmlns:a16="http://schemas.microsoft.com/office/drawing/2014/main" id="{B2BB4B6D-78BF-A3D2-5951-7612121BA676}"/>
            </a:ext>
          </a:extLst>
        </xdr:cNvPr>
        <xdr:cNvSpPr>
          <a:spLocks/>
        </xdr:cNvSpPr>
      </xdr:nvSpPr>
      <xdr:spPr>
        <a:xfrm>
          <a:off x="7586758" y="2894051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380889</xdr:colOff>
      <xdr:row>5</xdr:row>
      <xdr:rowOff>235334</xdr:rowOff>
    </xdr:from>
    <xdr:to>
      <xdr:col>8</xdr:col>
      <xdr:colOff>65893</xdr:colOff>
      <xdr:row>5</xdr:row>
      <xdr:rowOff>333548</xdr:rowOff>
    </xdr:to>
    <xdr:sp macro="" textlink="">
      <xdr:nvSpPr>
        <xdr:cNvPr id="1489" name="타원 1488">
          <a:extLst>
            <a:ext uri="{FF2B5EF4-FFF2-40B4-BE49-F238E27FC236}">
              <a16:creationId xmlns:a16="http://schemas.microsoft.com/office/drawing/2014/main" id="{FEAA0815-410A-56EA-C900-8306E171849A}"/>
            </a:ext>
          </a:extLst>
        </xdr:cNvPr>
        <xdr:cNvSpPr>
          <a:spLocks/>
        </xdr:cNvSpPr>
      </xdr:nvSpPr>
      <xdr:spPr>
        <a:xfrm>
          <a:off x="6725367" y="2894051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380889</xdr:colOff>
      <xdr:row>4</xdr:row>
      <xdr:rowOff>458965</xdr:rowOff>
    </xdr:from>
    <xdr:to>
      <xdr:col>8</xdr:col>
      <xdr:colOff>65893</xdr:colOff>
      <xdr:row>4</xdr:row>
      <xdr:rowOff>557179</xdr:rowOff>
    </xdr:to>
    <xdr:sp macro="" textlink="">
      <xdr:nvSpPr>
        <xdr:cNvPr id="1490" name="타원 1489">
          <a:extLst>
            <a:ext uri="{FF2B5EF4-FFF2-40B4-BE49-F238E27FC236}">
              <a16:creationId xmlns:a16="http://schemas.microsoft.com/office/drawing/2014/main" id="{A6005A95-7860-A33A-D0FD-3DE78545F2B9}"/>
            </a:ext>
          </a:extLst>
        </xdr:cNvPr>
        <xdr:cNvSpPr>
          <a:spLocks/>
        </xdr:cNvSpPr>
      </xdr:nvSpPr>
      <xdr:spPr>
        <a:xfrm>
          <a:off x="6725367" y="2488204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242807</xdr:colOff>
      <xdr:row>9</xdr:row>
      <xdr:rowOff>300650</xdr:rowOff>
    </xdr:from>
    <xdr:to>
      <xdr:col>17</xdr:col>
      <xdr:colOff>242807</xdr:colOff>
      <xdr:row>10</xdr:row>
      <xdr:rowOff>215348</xdr:rowOff>
    </xdr:to>
    <xdr:cxnSp macro="">
      <xdr:nvCxnSpPr>
        <xdr:cNvPr id="1492" name="꺾인 연결선 260">
          <a:extLst>
            <a:ext uri="{FF2B5EF4-FFF2-40B4-BE49-F238E27FC236}">
              <a16:creationId xmlns:a16="http://schemas.microsoft.com/office/drawing/2014/main" id="{E42ABF5C-CD6F-DC07-575D-BCB7BC2223CB}"/>
            </a:ext>
          </a:extLst>
        </xdr:cNvPr>
        <xdr:cNvCxnSpPr/>
      </xdr:nvCxnSpPr>
      <xdr:spPr>
        <a:xfrm>
          <a:off x="10894242" y="4483367"/>
          <a:ext cx="0" cy="295698"/>
        </a:xfrm>
        <a:prstGeom prst="straightConnector1">
          <a:avLst/>
        </a:prstGeom>
        <a:ln w="28575" cap="flat">
          <a:solidFill>
            <a:srgbClr val="FF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251090</xdr:colOff>
      <xdr:row>10</xdr:row>
      <xdr:rowOff>342064</xdr:rowOff>
    </xdr:from>
    <xdr:to>
      <xdr:col>18</xdr:col>
      <xdr:colOff>251090</xdr:colOff>
      <xdr:row>11</xdr:row>
      <xdr:rowOff>223631</xdr:rowOff>
    </xdr:to>
    <xdr:cxnSp macro="">
      <xdr:nvCxnSpPr>
        <xdr:cNvPr id="1495" name="꺾인 연결선 260">
          <a:extLst>
            <a:ext uri="{FF2B5EF4-FFF2-40B4-BE49-F238E27FC236}">
              <a16:creationId xmlns:a16="http://schemas.microsoft.com/office/drawing/2014/main" id="{B9DC7EC6-2AEF-6606-D42A-10E5601EDE49}"/>
            </a:ext>
          </a:extLst>
        </xdr:cNvPr>
        <xdr:cNvCxnSpPr/>
      </xdr:nvCxnSpPr>
      <xdr:spPr>
        <a:xfrm>
          <a:off x="11333220" y="4905781"/>
          <a:ext cx="0" cy="262567"/>
        </a:xfrm>
        <a:prstGeom prst="straightConnector1">
          <a:avLst/>
        </a:prstGeom>
        <a:ln w="28575" cap="flat">
          <a:solidFill>
            <a:srgbClr val="FF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235016</xdr:colOff>
      <xdr:row>13</xdr:row>
      <xdr:rowOff>317218</xdr:rowOff>
    </xdr:from>
    <xdr:to>
      <xdr:col>23</xdr:col>
      <xdr:colOff>235016</xdr:colOff>
      <xdr:row>14</xdr:row>
      <xdr:rowOff>207067</xdr:rowOff>
    </xdr:to>
    <xdr:cxnSp macro="">
      <xdr:nvCxnSpPr>
        <xdr:cNvPr id="1499" name="꺾인 연결선 260">
          <a:extLst>
            <a:ext uri="{FF2B5EF4-FFF2-40B4-BE49-F238E27FC236}">
              <a16:creationId xmlns:a16="http://schemas.microsoft.com/office/drawing/2014/main" id="{6DD94C30-8B05-1CF2-79B5-AC227B978310}"/>
            </a:ext>
          </a:extLst>
        </xdr:cNvPr>
        <xdr:cNvCxnSpPr/>
      </xdr:nvCxnSpPr>
      <xdr:spPr>
        <a:xfrm>
          <a:off x="13368310" y="6021012"/>
          <a:ext cx="0" cy="270849"/>
        </a:xfrm>
        <a:prstGeom prst="straightConnector1">
          <a:avLst/>
        </a:prstGeom>
        <a:ln w="28575" cap="flat">
          <a:solidFill>
            <a:srgbClr val="FF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380891</xdr:colOff>
      <xdr:row>16</xdr:row>
      <xdr:rowOff>235333</xdr:rowOff>
    </xdr:from>
    <xdr:to>
      <xdr:col>36</xdr:col>
      <xdr:colOff>65894</xdr:colOff>
      <xdr:row>16</xdr:row>
      <xdr:rowOff>333547</xdr:rowOff>
    </xdr:to>
    <xdr:sp macro="" textlink="">
      <xdr:nvSpPr>
        <xdr:cNvPr id="576" name="타원 575">
          <a:extLst>
            <a:ext uri="{FF2B5EF4-FFF2-40B4-BE49-F238E27FC236}">
              <a16:creationId xmlns:a16="http://schemas.microsoft.com/office/drawing/2014/main" id="{DD227CEB-231F-F6F3-A05F-51DF287C4673}"/>
            </a:ext>
          </a:extLst>
        </xdr:cNvPr>
        <xdr:cNvSpPr>
          <a:spLocks/>
        </xdr:cNvSpPr>
      </xdr:nvSpPr>
      <xdr:spPr>
        <a:xfrm>
          <a:off x="18624067" y="7082127"/>
          <a:ext cx="110827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35</xdr:col>
      <xdr:colOff>424652</xdr:colOff>
      <xdr:row>30</xdr:row>
      <xdr:rowOff>327243</xdr:rowOff>
    </xdr:from>
    <xdr:to>
      <xdr:col>35</xdr:col>
      <xdr:colOff>424652</xdr:colOff>
      <xdr:row>35</xdr:row>
      <xdr:rowOff>206701</xdr:rowOff>
    </xdr:to>
    <xdr:cxnSp macro="">
      <xdr:nvCxnSpPr>
        <xdr:cNvPr id="580" name="꺾인 연결선 260">
          <a:extLst>
            <a:ext uri="{FF2B5EF4-FFF2-40B4-BE49-F238E27FC236}">
              <a16:creationId xmlns:a16="http://schemas.microsoft.com/office/drawing/2014/main" id="{C25FF443-7CF2-DF9F-8B1B-16E546D6D513}"/>
            </a:ext>
          </a:extLst>
        </xdr:cNvPr>
        <xdr:cNvCxnSpPr/>
      </xdr:nvCxnSpPr>
      <xdr:spPr>
        <a:xfrm>
          <a:off x="18667828" y="9460037"/>
          <a:ext cx="0" cy="260458"/>
        </a:xfrm>
        <a:prstGeom prst="straightConnector1">
          <a:avLst/>
        </a:prstGeom>
        <a:ln w="28575" cap="flat">
          <a:solidFill>
            <a:srgbClr val="FF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17220</xdr:colOff>
      <xdr:row>35</xdr:row>
      <xdr:rowOff>347071</xdr:rowOff>
    </xdr:from>
    <xdr:to>
      <xdr:col>39</xdr:col>
      <xdr:colOff>17220</xdr:colOff>
      <xdr:row>40</xdr:row>
      <xdr:rowOff>182219</xdr:rowOff>
    </xdr:to>
    <xdr:cxnSp macro="">
      <xdr:nvCxnSpPr>
        <xdr:cNvPr id="581" name="꺾인 연결선 260">
          <a:extLst>
            <a:ext uri="{FF2B5EF4-FFF2-40B4-BE49-F238E27FC236}">
              <a16:creationId xmlns:a16="http://schemas.microsoft.com/office/drawing/2014/main" id="{92927A3D-B2B9-00ED-A42C-08217A652822}"/>
            </a:ext>
          </a:extLst>
        </xdr:cNvPr>
        <xdr:cNvCxnSpPr/>
      </xdr:nvCxnSpPr>
      <xdr:spPr>
        <a:xfrm>
          <a:off x="20067345" y="9862546"/>
          <a:ext cx="0" cy="216148"/>
        </a:xfrm>
        <a:prstGeom prst="straightConnector1">
          <a:avLst/>
        </a:prstGeom>
        <a:ln w="28575" cap="flat">
          <a:solidFill>
            <a:srgbClr val="FF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382141</xdr:colOff>
      <xdr:row>45</xdr:row>
      <xdr:rowOff>202204</xdr:rowOff>
    </xdr:from>
    <xdr:to>
      <xdr:col>42</xdr:col>
      <xdr:colOff>67146</xdr:colOff>
      <xdr:row>45</xdr:row>
      <xdr:rowOff>300418</xdr:rowOff>
    </xdr:to>
    <xdr:sp macro="" textlink="">
      <xdr:nvSpPr>
        <xdr:cNvPr id="584" name="타원 583">
          <a:extLst>
            <a:ext uri="{FF2B5EF4-FFF2-40B4-BE49-F238E27FC236}">
              <a16:creationId xmlns:a16="http://schemas.microsoft.com/office/drawing/2014/main" id="{BA9F0D39-14C7-1A43-4BAD-79A006BEB0F7}"/>
            </a:ext>
          </a:extLst>
        </xdr:cNvPr>
        <xdr:cNvSpPr>
          <a:spLocks/>
        </xdr:cNvSpPr>
      </xdr:nvSpPr>
      <xdr:spPr>
        <a:xfrm>
          <a:off x="21289516" y="10479679"/>
          <a:ext cx="11363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43</xdr:col>
      <xdr:colOff>371374</xdr:colOff>
      <xdr:row>45</xdr:row>
      <xdr:rowOff>202204</xdr:rowOff>
    </xdr:from>
    <xdr:to>
      <xdr:col>44</xdr:col>
      <xdr:colOff>56378</xdr:colOff>
      <xdr:row>45</xdr:row>
      <xdr:rowOff>300418</xdr:rowOff>
    </xdr:to>
    <xdr:sp macro="" textlink="">
      <xdr:nvSpPr>
        <xdr:cNvPr id="585" name="타원 584">
          <a:extLst>
            <a:ext uri="{FF2B5EF4-FFF2-40B4-BE49-F238E27FC236}">
              <a16:creationId xmlns:a16="http://schemas.microsoft.com/office/drawing/2014/main" id="{478663FE-2436-FB99-CC6C-2BD9C2F0EC7B}"/>
            </a:ext>
          </a:extLst>
        </xdr:cNvPr>
        <xdr:cNvSpPr>
          <a:spLocks/>
        </xdr:cNvSpPr>
      </xdr:nvSpPr>
      <xdr:spPr>
        <a:xfrm>
          <a:off x="22135999" y="10479679"/>
          <a:ext cx="113629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43</xdr:col>
      <xdr:colOff>372616</xdr:colOff>
      <xdr:row>53</xdr:row>
      <xdr:rowOff>227053</xdr:rowOff>
    </xdr:from>
    <xdr:to>
      <xdr:col>44</xdr:col>
      <xdr:colOff>57621</xdr:colOff>
      <xdr:row>53</xdr:row>
      <xdr:rowOff>325267</xdr:rowOff>
    </xdr:to>
    <xdr:sp macro="" textlink="">
      <xdr:nvSpPr>
        <xdr:cNvPr id="586" name="타원 585">
          <a:extLst>
            <a:ext uri="{FF2B5EF4-FFF2-40B4-BE49-F238E27FC236}">
              <a16:creationId xmlns:a16="http://schemas.microsoft.com/office/drawing/2014/main" id="{CD798520-425F-9485-E507-615D2AE7F716}"/>
            </a:ext>
          </a:extLst>
        </xdr:cNvPr>
        <xdr:cNvSpPr>
          <a:spLocks/>
        </xdr:cNvSpPr>
      </xdr:nvSpPr>
      <xdr:spPr>
        <a:xfrm>
          <a:off x="22137241" y="10885528"/>
          <a:ext cx="11363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44</xdr:col>
      <xdr:colOff>148986</xdr:colOff>
      <xdr:row>53</xdr:row>
      <xdr:rowOff>227053</xdr:rowOff>
    </xdr:from>
    <xdr:to>
      <xdr:col>44</xdr:col>
      <xdr:colOff>264686</xdr:colOff>
      <xdr:row>53</xdr:row>
      <xdr:rowOff>325267</xdr:rowOff>
    </xdr:to>
    <xdr:sp macro="" textlink="">
      <xdr:nvSpPr>
        <xdr:cNvPr id="587" name="타원 586">
          <a:extLst>
            <a:ext uri="{FF2B5EF4-FFF2-40B4-BE49-F238E27FC236}">
              <a16:creationId xmlns:a16="http://schemas.microsoft.com/office/drawing/2014/main" id="{E4250831-9602-2561-E14F-FE534934ACF5}"/>
            </a:ext>
          </a:extLst>
        </xdr:cNvPr>
        <xdr:cNvSpPr>
          <a:spLocks/>
        </xdr:cNvSpPr>
      </xdr:nvSpPr>
      <xdr:spPr>
        <a:xfrm>
          <a:off x="22342236" y="10885528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390424</xdr:colOff>
      <xdr:row>57</xdr:row>
      <xdr:rowOff>210488</xdr:rowOff>
    </xdr:from>
    <xdr:to>
      <xdr:col>42</xdr:col>
      <xdr:colOff>75429</xdr:colOff>
      <xdr:row>57</xdr:row>
      <xdr:rowOff>308702</xdr:rowOff>
    </xdr:to>
    <xdr:sp macro="" textlink="">
      <xdr:nvSpPr>
        <xdr:cNvPr id="591" name="타원 590">
          <a:extLst>
            <a:ext uri="{FF2B5EF4-FFF2-40B4-BE49-F238E27FC236}">
              <a16:creationId xmlns:a16="http://schemas.microsoft.com/office/drawing/2014/main" id="{CC830B98-A382-5929-8058-CAAF7F94F573}"/>
            </a:ext>
          </a:extLst>
        </xdr:cNvPr>
        <xdr:cNvSpPr>
          <a:spLocks/>
        </xdr:cNvSpPr>
      </xdr:nvSpPr>
      <xdr:spPr>
        <a:xfrm>
          <a:off x="21297799" y="12392963"/>
          <a:ext cx="11363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35</xdr:col>
      <xdr:colOff>391666</xdr:colOff>
      <xdr:row>59</xdr:row>
      <xdr:rowOff>198892</xdr:rowOff>
    </xdr:from>
    <xdr:to>
      <xdr:col>36</xdr:col>
      <xdr:colOff>76671</xdr:colOff>
      <xdr:row>59</xdr:row>
      <xdr:rowOff>297106</xdr:rowOff>
    </xdr:to>
    <xdr:sp macro="" textlink="">
      <xdr:nvSpPr>
        <xdr:cNvPr id="593" name="타원 592">
          <a:extLst>
            <a:ext uri="{FF2B5EF4-FFF2-40B4-BE49-F238E27FC236}">
              <a16:creationId xmlns:a16="http://schemas.microsoft.com/office/drawing/2014/main" id="{0839C44C-A703-8401-28C5-6660B7DBE42D}"/>
            </a:ext>
          </a:extLst>
        </xdr:cNvPr>
        <xdr:cNvSpPr>
          <a:spLocks/>
        </xdr:cNvSpPr>
      </xdr:nvSpPr>
      <xdr:spPr>
        <a:xfrm>
          <a:off x="18727291" y="13143367"/>
          <a:ext cx="11363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390424</xdr:colOff>
      <xdr:row>58</xdr:row>
      <xdr:rowOff>210488</xdr:rowOff>
    </xdr:from>
    <xdr:to>
      <xdr:col>42</xdr:col>
      <xdr:colOff>75429</xdr:colOff>
      <xdr:row>58</xdr:row>
      <xdr:rowOff>308702</xdr:rowOff>
    </xdr:to>
    <xdr:sp macro="" textlink="">
      <xdr:nvSpPr>
        <xdr:cNvPr id="1504" name="타원 1503">
          <a:extLst>
            <a:ext uri="{FF2B5EF4-FFF2-40B4-BE49-F238E27FC236}">
              <a16:creationId xmlns:a16="http://schemas.microsoft.com/office/drawing/2014/main" id="{9C92739F-ABA1-729A-C4C0-D8B9F1FDB8DC}"/>
            </a:ext>
          </a:extLst>
        </xdr:cNvPr>
        <xdr:cNvSpPr>
          <a:spLocks/>
        </xdr:cNvSpPr>
      </xdr:nvSpPr>
      <xdr:spPr>
        <a:xfrm>
          <a:off x="21297799" y="12773963"/>
          <a:ext cx="11363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40822</xdr:colOff>
      <xdr:row>68</xdr:row>
      <xdr:rowOff>272511</xdr:rowOff>
    </xdr:from>
    <xdr:to>
      <xdr:col>59</xdr:col>
      <xdr:colOff>0</xdr:colOff>
      <xdr:row>68</xdr:row>
      <xdr:rowOff>272511</xdr:rowOff>
    </xdr:to>
    <xdr:cxnSp macro="">
      <xdr:nvCxnSpPr>
        <xdr:cNvPr id="1512" name="직선 연결선 1511">
          <a:extLst>
            <a:ext uri="{FF2B5EF4-FFF2-40B4-BE49-F238E27FC236}">
              <a16:creationId xmlns:a16="http://schemas.microsoft.com/office/drawing/2014/main" id="{E8F1FC4B-AC2F-D1BC-26D2-9836D015A3BD}"/>
            </a:ext>
          </a:extLst>
        </xdr:cNvPr>
        <xdr:cNvCxnSpPr/>
      </xdr:nvCxnSpPr>
      <xdr:spPr>
        <a:xfrm>
          <a:off x="19036393" y="16641904"/>
          <a:ext cx="9974036" cy="0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421821</xdr:colOff>
      <xdr:row>69</xdr:row>
      <xdr:rowOff>272511</xdr:rowOff>
    </xdr:from>
    <xdr:to>
      <xdr:col>59</xdr:col>
      <xdr:colOff>0</xdr:colOff>
      <xdr:row>69</xdr:row>
      <xdr:rowOff>272511</xdr:rowOff>
    </xdr:to>
    <xdr:cxnSp macro="">
      <xdr:nvCxnSpPr>
        <xdr:cNvPr id="1513" name="직선 연결선 1512">
          <a:extLst>
            <a:ext uri="{FF2B5EF4-FFF2-40B4-BE49-F238E27FC236}">
              <a16:creationId xmlns:a16="http://schemas.microsoft.com/office/drawing/2014/main" id="{B65D834B-62EA-FD42-BEA7-97CA7194A69D}"/>
            </a:ext>
          </a:extLst>
        </xdr:cNvPr>
        <xdr:cNvCxnSpPr/>
      </xdr:nvCxnSpPr>
      <xdr:spPr>
        <a:xfrm>
          <a:off x="18664997" y="17025305"/>
          <a:ext cx="9797944" cy="0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54429</xdr:colOff>
      <xdr:row>70</xdr:row>
      <xdr:rowOff>283717</xdr:rowOff>
    </xdr:from>
    <xdr:to>
      <xdr:col>59</xdr:col>
      <xdr:colOff>0</xdr:colOff>
      <xdr:row>70</xdr:row>
      <xdr:rowOff>283717</xdr:rowOff>
    </xdr:to>
    <xdr:cxnSp macro="">
      <xdr:nvCxnSpPr>
        <xdr:cNvPr id="1514" name="직선 연결선 1513">
          <a:extLst>
            <a:ext uri="{FF2B5EF4-FFF2-40B4-BE49-F238E27FC236}">
              <a16:creationId xmlns:a16="http://schemas.microsoft.com/office/drawing/2014/main" id="{8A579BB5-91DB-A5C6-5D76-E342A9958BFC}"/>
            </a:ext>
          </a:extLst>
        </xdr:cNvPr>
        <xdr:cNvCxnSpPr/>
      </xdr:nvCxnSpPr>
      <xdr:spPr>
        <a:xfrm>
          <a:off x="18723429" y="17417511"/>
          <a:ext cx="9739512" cy="0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13608</xdr:colOff>
      <xdr:row>71</xdr:row>
      <xdr:rowOff>272511</xdr:rowOff>
    </xdr:from>
    <xdr:to>
      <xdr:col>59</xdr:col>
      <xdr:colOff>0</xdr:colOff>
      <xdr:row>71</xdr:row>
      <xdr:rowOff>272511</xdr:rowOff>
    </xdr:to>
    <xdr:cxnSp macro="">
      <xdr:nvCxnSpPr>
        <xdr:cNvPr id="1515" name="직선 연결선 1514">
          <a:extLst>
            <a:ext uri="{FF2B5EF4-FFF2-40B4-BE49-F238E27FC236}">
              <a16:creationId xmlns:a16="http://schemas.microsoft.com/office/drawing/2014/main" id="{B57055A3-992E-7BCC-DAAA-01AD038EBEE4}"/>
            </a:ext>
          </a:extLst>
        </xdr:cNvPr>
        <xdr:cNvCxnSpPr/>
      </xdr:nvCxnSpPr>
      <xdr:spPr>
        <a:xfrm>
          <a:off x="18682608" y="17787305"/>
          <a:ext cx="9780333" cy="0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382133</xdr:colOff>
      <xdr:row>68</xdr:row>
      <xdr:rowOff>210098</xdr:rowOff>
    </xdr:from>
    <xdr:to>
      <xdr:col>36</xdr:col>
      <xdr:colOff>67139</xdr:colOff>
      <xdr:row>68</xdr:row>
      <xdr:rowOff>308312</xdr:rowOff>
    </xdr:to>
    <xdr:sp macro="" textlink="">
      <xdr:nvSpPr>
        <xdr:cNvPr id="1517" name="타원 1516">
          <a:extLst>
            <a:ext uri="{FF2B5EF4-FFF2-40B4-BE49-F238E27FC236}">
              <a16:creationId xmlns:a16="http://schemas.microsoft.com/office/drawing/2014/main" id="{071E829E-4E9F-847A-C203-D97B8505FF6E}"/>
            </a:ext>
          </a:extLst>
        </xdr:cNvPr>
        <xdr:cNvSpPr>
          <a:spLocks/>
        </xdr:cNvSpPr>
      </xdr:nvSpPr>
      <xdr:spPr>
        <a:xfrm>
          <a:off x="18942276" y="16579491"/>
          <a:ext cx="120434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35</xdr:col>
      <xdr:colOff>382133</xdr:colOff>
      <xdr:row>69</xdr:row>
      <xdr:rowOff>221304</xdr:rowOff>
    </xdr:from>
    <xdr:to>
      <xdr:col>36</xdr:col>
      <xdr:colOff>67139</xdr:colOff>
      <xdr:row>69</xdr:row>
      <xdr:rowOff>319518</xdr:rowOff>
    </xdr:to>
    <xdr:sp macro="" textlink="">
      <xdr:nvSpPr>
        <xdr:cNvPr id="1518" name="타원 1517">
          <a:extLst>
            <a:ext uri="{FF2B5EF4-FFF2-40B4-BE49-F238E27FC236}">
              <a16:creationId xmlns:a16="http://schemas.microsoft.com/office/drawing/2014/main" id="{E64641AB-3B08-BCC7-53AF-17D6F7C641A9}"/>
            </a:ext>
          </a:extLst>
        </xdr:cNvPr>
        <xdr:cNvSpPr>
          <a:spLocks/>
        </xdr:cNvSpPr>
      </xdr:nvSpPr>
      <xdr:spPr>
        <a:xfrm>
          <a:off x="18942276" y="16971697"/>
          <a:ext cx="120434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35</xdr:col>
      <xdr:colOff>382133</xdr:colOff>
      <xdr:row>70</xdr:row>
      <xdr:rowOff>232510</xdr:rowOff>
    </xdr:from>
    <xdr:to>
      <xdr:col>36</xdr:col>
      <xdr:colOff>67139</xdr:colOff>
      <xdr:row>70</xdr:row>
      <xdr:rowOff>330724</xdr:rowOff>
    </xdr:to>
    <xdr:sp macro="" textlink="">
      <xdr:nvSpPr>
        <xdr:cNvPr id="1526" name="타원 1525">
          <a:extLst>
            <a:ext uri="{FF2B5EF4-FFF2-40B4-BE49-F238E27FC236}">
              <a16:creationId xmlns:a16="http://schemas.microsoft.com/office/drawing/2014/main" id="{7987ABFA-3D99-D6F4-AD95-158A3ACBE11C}"/>
            </a:ext>
          </a:extLst>
        </xdr:cNvPr>
        <xdr:cNvSpPr>
          <a:spLocks/>
        </xdr:cNvSpPr>
      </xdr:nvSpPr>
      <xdr:spPr>
        <a:xfrm>
          <a:off x="18942276" y="17363903"/>
          <a:ext cx="120434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35</xdr:col>
      <xdr:colOff>382133</xdr:colOff>
      <xdr:row>71</xdr:row>
      <xdr:rowOff>221304</xdr:rowOff>
    </xdr:from>
    <xdr:to>
      <xdr:col>36</xdr:col>
      <xdr:colOff>67139</xdr:colOff>
      <xdr:row>71</xdr:row>
      <xdr:rowOff>319518</xdr:rowOff>
    </xdr:to>
    <xdr:sp macro="" textlink="">
      <xdr:nvSpPr>
        <xdr:cNvPr id="1527" name="타원 1526">
          <a:extLst>
            <a:ext uri="{FF2B5EF4-FFF2-40B4-BE49-F238E27FC236}">
              <a16:creationId xmlns:a16="http://schemas.microsoft.com/office/drawing/2014/main" id="{54DD7C4A-484A-7532-E9B0-78AC7AA35D3B}"/>
            </a:ext>
          </a:extLst>
        </xdr:cNvPr>
        <xdr:cNvSpPr>
          <a:spLocks/>
        </xdr:cNvSpPr>
      </xdr:nvSpPr>
      <xdr:spPr>
        <a:xfrm>
          <a:off x="18942276" y="17733697"/>
          <a:ext cx="120434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58</xdr:col>
      <xdr:colOff>385482</xdr:colOff>
      <xdr:row>68</xdr:row>
      <xdr:rowOff>231800</xdr:rowOff>
    </xdr:from>
    <xdr:to>
      <xdr:col>59</xdr:col>
      <xdr:colOff>72556</xdr:colOff>
      <xdr:row>68</xdr:row>
      <xdr:rowOff>330014</xdr:rowOff>
    </xdr:to>
    <xdr:sp macro="" textlink="">
      <xdr:nvSpPr>
        <xdr:cNvPr id="1594" name="타원 1593">
          <a:extLst>
            <a:ext uri="{FF2B5EF4-FFF2-40B4-BE49-F238E27FC236}">
              <a16:creationId xmlns:a16="http://schemas.microsoft.com/office/drawing/2014/main" id="{0BA42114-6F65-39C4-6301-A48AEBA83874}"/>
            </a:ext>
          </a:extLst>
        </xdr:cNvPr>
        <xdr:cNvSpPr>
          <a:spLocks/>
        </xdr:cNvSpPr>
      </xdr:nvSpPr>
      <xdr:spPr>
        <a:xfrm>
          <a:off x="28960482" y="16601193"/>
          <a:ext cx="122503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58</xdr:col>
      <xdr:colOff>385482</xdr:colOff>
      <xdr:row>69</xdr:row>
      <xdr:rowOff>222275</xdr:rowOff>
    </xdr:from>
    <xdr:to>
      <xdr:col>59</xdr:col>
      <xdr:colOff>72556</xdr:colOff>
      <xdr:row>69</xdr:row>
      <xdr:rowOff>320489</xdr:rowOff>
    </xdr:to>
    <xdr:sp macro="" textlink="">
      <xdr:nvSpPr>
        <xdr:cNvPr id="633" name="타원 632">
          <a:extLst>
            <a:ext uri="{FF2B5EF4-FFF2-40B4-BE49-F238E27FC236}">
              <a16:creationId xmlns:a16="http://schemas.microsoft.com/office/drawing/2014/main" id="{2124FDD3-8935-8A83-E477-010292FFA2B9}"/>
            </a:ext>
          </a:extLst>
        </xdr:cNvPr>
        <xdr:cNvSpPr>
          <a:spLocks/>
        </xdr:cNvSpPr>
      </xdr:nvSpPr>
      <xdr:spPr>
        <a:xfrm>
          <a:off x="28960482" y="16972668"/>
          <a:ext cx="122503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58</xdr:col>
      <xdr:colOff>385482</xdr:colOff>
      <xdr:row>70</xdr:row>
      <xdr:rowOff>231800</xdr:rowOff>
    </xdr:from>
    <xdr:to>
      <xdr:col>59</xdr:col>
      <xdr:colOff>72556</xdr:colOff>
      <xdr:row>70</xdr:row>
      <xdr:rowOff>330014</xdr:rowOff>
    </xdr:to>
    <xdr:sp macro="" textlink="">
      <xdr:nvSpPr>
        <xdr:cNvPr id="636" name="타원 635">
          <a:extLst>
            <a:ext uri="{FF2B5EF4-FFF2-40B4-BE49-F238E27FC236}">
              <a16:creationId xmlns:a16="http://schemas.microsoft.com/office/drawing/2014/main" id="{CA923DE7-3E49-CAF6-BCAC-3BE8BF2A79DB}"/>
            </a:ext>
          </a:extLst>
        </xdr:cNvPr>
        <xdr:cNvSpPr>
          <a:spLocks/>
        </xdr:cNvSpPr>
      </xdr:nvSpPr>
      <xdr:spPr>
        <a:xfrm>
          <a:off x="28960482" y="17363193"/>
          <a:ext cx="122503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58</xdr:col>
      <xdr:colOff>385482</xdr:colOff>
      <xdr:row>71</xdr:row>
      <xdr:rowOff>231800</xdr:rowOff>
    </xdr:from>
    <xdr:to>
      <xdr:col>59</xdr:col>
      <xdr:colOff>72556</xdr:colOff>
      <xdr:row>71</xdr:row>
      <xdr:rowOff>330014</xdr:rowOff>
    </xdr:to>
    <xdr:sp macro="" textlink="">
      <xdr:nvSpPr>
        <xdr:cNvPr id="1537" name="타원 1536">
          <a:extLst>
            <a:ext uri="{FF2B5EF4-FFF2-40B4-BE49-F238E27FC236}">
              <a16:creationId xmlns:a16="http://schemas.microsoft.com/office/drawing/2014/main" id="{FCB04927-C676-FE7E-C4E2-432B98ED19FD}"/>
            </a:ext>
          </a:extLst>
        </xdr:cNvPr>
        <xdr:cNvSpPr>
          <a:spLocks/>
        </xdr:cNvSpPr>
      </xdr:nvSpPr>
      <xdr:spPr>
        <a:xfrm>
          <a:off x="28960482" y="17744193"/>
          <a:ext cx="122503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56</xdr:col>
      <xdr:colOff>26307</xdr:colOff>
      <xdr:row>72</xdr:row>
      <xdr:rowOff>259811</xdr:rowOff>
    </xdr:from>
    <xdr:to>
      <xdr:col>58</xdr:col>
      <xdr:colOff>388657</xdr:colOff>
      <xdr:row>72</xdr:row>
      <xdr:rowOff>265032</xdr:rowOff>
    </xdr:to>
    <xdr:cxnSp macro="">
      <xdr:nvCxnSpPr>
        <xdr:cNvPr id="1538" name="직선 연결선 1537">
          <a:extLst>
            <a:ext uri="{FF2B5EF4-FFF2-40B4-BE49-F238E27FC236}">
              <a16:creationId xmlns:a16="http://schemas.microsoft.com/office/drawing/2014/main" id="{D87A73BA-1743-001D-4878-1F022D60EE5D}"/>
            </a:ext>
          </a:extLst>
        </xdr:cNvPr>
        <xdr:cNvCxnSpPr>
          <a:endCxn id="1543" idx="2"/>
        </xdr:cNvCxnSpPr>
      </xdr:nvCxnSpPr>
      <xdr:spPr>
        <a:xfrm>
          <a:off x="27363057" y="18157286"/>
          <a:ext cx="1219600" cy="5221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385482</xdr:colOff>
      <xdr:row>72</xdr:row>
      <xdr:rowOff>212750</xdr:rowOff>
    </xdr:from>
    <xdr:to>
      <xdr:col>59</xdr:col>
      <xdr:colOff>72556</xdr:colOff>
      <xdr:row>72</xdr:row>
      <xdr:rowOff>310964</xdr:rowOff>
    </xdr:to>
    <xdr:sp macro="" textlink="">
      <xdr:nvSpPr>
        <xdr:cNvPr id="1543" name="타원 1542">
          <a:extLst>
            <a:ext uri="{FF2B5EF4-FFF2-40B4-BE49-F238E27FC236}">
              <a16:creationId xmlns:a16="http://schemas.microsoft.com/office/drawing/2014/main" id="{E90862EB-C49E-A3C7-051F-E2DA231C7BD6}"/>
            </a:ext>
          </a:extLst>
        </xdr:cNvPr>
        <xdr:cNvSpPr>
          <a:spLocks/>
        </xdr:cNvSpPr>
      </xdr:nvSpPr>
      <xdr:spPr>
        <a:xfrm>
          <a:off x="28579482" y="18110225"/>
          <a:ext cx="115699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55</xdr:col>
      <xdr:colOff>385482</xdr:colOff>
      <xdr:row>72</xdr:row>
      <xdr:rowOff>212750</xdr:rowOff>
    </xdr:from>
    <xdr:to>
      <xdr:col>56</xdr:col>
      <xdr:colOff>72557</xdr:colOff>
      <xdr:row>72</xdr:row>
      <xdr:rowOff>310964</xdr:rowOff>
    </xdr:to>
    <xdr:sp macro="" textlink="">
      <xdr:nvSpPr>
        <xdr:cNvPr id="1544" name="타원 1543">
          <a:extLst>
            <a:ext uri="{FF2B5EF4-FFF2-40B4-BE49-F238E27FC236}">
              <a16:creationId xmlns:a16="http://schemas.microsoft.com/office/drawing/2014/main" id="{B508FD28-E9C9-8312-FABB-A9FC8D1BE784}"/>
            </a:ext>
          </a:extLst>
        </xdr:cNvPr>
        <xdr:cNvSpPr>
          <a:spLocks/>
        </xdr:cNvSpPr>
      </xdr:nvSpPr>
      <xdr:spPr>
        <a:xfrm>
          <a:off x="27654196" y="18106143"/>
          <a:ext cx="122504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136792</xdr:colOff>
      <xdr:row>68</xdr:row>
      <xdr:rowOff>297937</xdr:rowOff>
    </xdr:from>
    <xdr:to>
      <xdr:col>35</xdr:col>
      <xdr:colOff>382133</xdr:colOff>
      <xdr:row>69</xdr:row>
      <xdr:rowOff>270411</xdr:rowOff>
    </xdr:to>
    <xdr:cxnSp macro="">
      <xdr:nvCxnSpPr>
        <xdr:cNvPr id="1555" name="꺾인 연결선 260">
          <a:extLst>
            <a:ext uri="{FF2B5EF4-FFF2-40B4-BE49-F238E27FC236}">
              <a16:creationId xmlns:a16="http://schemas.microsoft.com/office/drawing/2014/main" id="{C1BC34E7-33E7-5610-7A69-F0917E05E65F}"/>
            </a:ext>
          </a:extLst>
        </xdr:cNvPr>
        <xdr:cNvCxnSpPr>
          <a:cxnSpLocks/>
          <a:endCxn id="1518" idx="2"/>
        </xdr:cNvCxnSpPr>
      </xdr:nvCxnSpPr>
      <xdr:spPr>
        <a:xfrm>
          <a:off x="15213506" y="16667330"/>
          <a:ext cx="3728770" cy="353474"/>
        </a:xfrm>
        <a:prstGeom prst="bentConnector3">
          <a:avLst>
            <a:gd name="adj1" fmla="val 6"/>
          </a:avLst>
        </a:prstGeom>
        <a:ln w="28575" cap="flat">
          <a:solidFill>
            <a:schemeClr val="bg1">
              <a:lumMod val="50000"/>
            </a:schemeClr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394478</xdr:colOff>
      <xdr:row>60</xdr:row>
      <xdr:rowOff>200274</xdr:rowOff>
    </xdr:from>
    <xdr:to>
      <xdr:col>52</xdr:col>
      <xdr:colOff>89006</xdr:colOff>
      <xdr:row>60</xdr:row>
      <xdr:rowOff>292138</xdr:rowOff>
    </xdr:to>
    <xdr:sp macro="" textlink="">
      <xdr:nvSpPr>
        <xdr:cNvPr id="1570" name="타원 1569">
          <a:extLst>
            <a:ext uri="{FF2B5EF4-FFF2-40B4-BE49-F238E27FC236}">
              <a16:creationId xmlns:a16="http://schemas.microsoft.com/office/drawing/2014/main" id="{66C46715-7867-CCB4-E4BB-1F61101C7B90}"/>
            </a:ext>
          </a:extLst>
        </xdr:cNvPr>
        <xdr:cNvSpPr>
          <a:spLocks/>
        </xdr:cNvSpPr>
      </xdr:nvSpPr>
      <xdr:spPr>
        <a:xfrm>
          <a:off x="25689565" y="13535274"/>
          <a:ext cx="125224" cy="9186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53</xdr:col>
      <xdr:colOff>142343</xdr:colOff>
      <xdr:row>61</xdr:row>
      <xdr:rowOff>227054</xdr:rowOff>
    </xdr:from>
    <xdr:to>
      <xdr:col>57</xdr:col>
      <xdr:colOff>48510</xdr:colOff>
      <xdr:row>61</xdr:row>
      <xdr:rowOff>330611</xdr:rowOff>
    </xdr:to>
    <xdr:grpSp>
      <xdr:nvGrpSpPr>
        <xdr:cNvPr id="181" name="그룹 180">
          <a:extLst>
            <a:ext uri="{FF2B5EF4-FFF2-40B4-BE49-F238E27FC236}">
              <a16:creationId xmlns:a16="http://schemas.microsoft.com/office/drawing/2014/main" id="{6723F4AB-07DA-4755-BF63-7C1B4A90BBB0}"/>
            </a:ext>
          </a:extLst>
        </xdr:cNvPr>
        <xdr:cNvGrpSpPr/>
      </xdr:nvGrpSpPr>
      <xdr:grpSpPr>
        <a:xfrm>
          <a:off x="26396707" y="13925736"/>
          <a:ext cx="1637985" cy="103557"/>
          <a:chOff x="25052080" y="13943054"/>
          <a:chExt cx="1618807" cy="106732"/>
        </a:xfrm>
      </xdr:grpSpPr>
      <xdr:cxnSp macro="">
        <xdr:nvCxnSpPr>
          <xdr:cNvPr id="1579" name="직선 연결선 1578">
            <a:extLst>
              <a:ext uri="{FF2B5EF4-FFF2-40B4-BE49-F238E27FC236}">
                <a16:creationId xmlns:a16="http://schemas.microsoft.com/office/drawing/2014/main" id="{30BE9BA8-FC1E-E76A-891E-FE1D158A27E8}"/>
              </a:ext>
            </a:extLst>
          </xdr:cNvPr>
          <xdr:cNvCxnSpPr>
            <a:stCxn id="1573" idx="6"/>
          </xdr:cNvCxnSpPr>
        </xdr:nvCxnSpPr>
        <xdr:spPr>
          <a:xfrm>
            <a:off x="25172058" y="14000679"/>
            <a:ext cx="1441912" cy="1070"/>
          </a:xfrm>
          <a:prstGeom prst="line">
            <a:avLst/>
          </a:prstGeom>
          <a:ln w="50800">
            <a:solidFill>
              <a:schemeClr val="bg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40" name="타원 1439">
            <a:extLst>
              <a:ext uri="{FF2B5EF4-FFF2-40B4-BE49-F238E27FC236}">
                <a16:creationId xmlns:a16="http://schemas.microsoft.com/office/drawing/2014/main" id="{F1FC5573-4E2E-62D8-00F6-A199DE2ED464}"/>
              </a:ext>
            </a:extLst>
          </xdr:cNvPr>
          <xdr:cNvSpPr>
            <a:spLocks/>
          </xdr:cNvSpPr>
        </xdr:nvSpPr>
        <xdr:spPr>
          <a:xfrm>
            <a:off x="26555187" y="13943054"/>
            <a:ext cx="115700" cy="98214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73" name="타원 1572">
            <a:extLst>
              <a:ext uri="{FF2B5EF4-FFF2-40B4-BE49-F238E27FC236}">
                <a16:creationId xmlns:a16="http://schemas.microsoft.com/office/drawing/2014/main" id="{EC540E4C-EA46-BB04-0675-94702218E8B5}"/>
              </a:ext>
            </a:extLst>
          </xdr:cNvPr>
          <xdr:cNvSpPr>
            <a:spLocks/>
          </xdr:cNvSpPr>
        </xdr:nvSpPr>
        <xdr:spPr>
          <a:xfrm>
            <a:off x="25052080" y="13951572"/>
            <a:ext cx="119978" cy="98214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38</xdr:col>
      <xdr:colOff>411675</xdr:colOff>
      <xdr:row>62</xdr:row>
      <xdr:rowOff>199032</xdr:rowOff>
    </xdr:from>
    <xdr:to>
      <xdr:col>39</xdr:col>
      <xdr:colOff>98377</xdr:colOff>
      <xdr:row>62</xdr:row>
      <xdr:rowOff>297246</xdr:rowOff>
    </xdr:to>
    <xdr:sp macro="" textlink="">
      <xdr:nvSpPr>
        <xdr:cNvPr id="1574" name="타원 1573">
          <a:extLst>
            <a:ext uri="{FF2B5EF4-FFF2-40B4-BE49-F238E27FC236}">
              <a16:creationId xmlns:a16="http://schemas.microsoft.com/office/drawing/2014/main" id="{E8B1E5C8-1B7F-A51D-A1E9-DE0AC50F0E1A}"/>
            </a:ext>
          </a:extLst>
        </xdr:cNvPr>
        <xdr:cNvSpPr>
          <a:spLocks/>
        </xdr:cNvSpPr>
      </xdr:nvSpPr>
      <xdr:spPr>
        <a:xfrm>
          <a:off x="20033175" y="14296032"/>
          <a:ext cx="115327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38</xdr:col>
      <xdr:colOff>402150</xdr:colOff>
      <xdr:row>63</xdr:row>
      <xdr:rowOff>216588</xdr:rowOff>
    </xdr:from>
    <xdr:to>
      <xdr:col>39</xdr:col>
      <xdr:colOff>88852</xdr:colOff>
      <xdr:row>63</xdr:row>
      <xdr:rowOff>314802</xdr:rowOff>
    </xdr:to>
    <xdr:sp macro="" textlink="">
      <xdr:nvSpPr>
        <xdr:cNvPr id="1585" name="타원 1584">
          <a:extLst>
            <a:ext uri="{FF2B5EF4-FFF2-40B4-BE49-F238E27FC236}">
              <a16:creationId xmlns:a16="http://schemas.microsoft.com/office/drawing/2014/main" id="{4F9C74A8-C5EF-B153-E06D-F7949A6612F5}"/>
            </a:ext>
          </a:extLst>
        </xdr:cNvPr>
        <xdr:cNvSpPr>
          <a:spLocks/>
        </xdr:cNvSpPr>
      </xdr:nvSpPr>
      <xdr:spPr>
        <a:xfrm>
          <a:off x="20023650" y="14694588"/>
          <a:ext cx="115327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58</xdr:col>
      <xdr:colOff>78611</xdr:colOff>
      <xdr:row>66</xdr:row>
      <xdr:rowOff>224618</xdr:rowOff>
    </xdr:from>
    <xdr:to>
      <xdr:col>58</xdr:col>
      <xdr:colOff>194311</xdr:colOff>
      <xdr:row>66</xdr:row>
      <xdr:rowOff>322832</xdr:rowOff>
    </xdr:to>
    <xdr:sp macro="" textlink="">
      <xdr:nvSpPr>
        <xdr:cNvPr id="1592" name="타원 1591">
          <a:extLst>
            <a:ext uri="{FF2B5EF4-FFF2-40B4-BE49-F238E27FC236}">
              <a16:creationId xmlns:a16="http://schemas.microsoft.com/office/drawing/2014/main" id="{57B4DB23-C282-BE01-08F2-45EBDCAD7283}"/>
            </a:ext>
          </a:extLst>
        </xdr:cNvPr>
        <xdr:cNvSpPr>
          <a:spLocks/>
        </xdr:cNvSpPr>
      </xdr:nvSpPr>
      <xdr:spPr>
        <a:xfrm>
          <a:off x="28653611" y="15832011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381167</xdr:colOff>
      <xdr:row>64</xdr:row>
      <xdr:rowOff>202207</xdr:rowOff>
    </xdr:from>
    <xdr:to>
      <xdr:col>42</xdr:col>
      <xdr:colOff>64693</xdr:colOff>
      <xdr:row>64</xdr:row>
      <xdr:rowOff>294071</xdr:rowOff>
    </xdr:to>
    <xdr:sp macro="" textlink="">
      <xdr:nvSpPr>
        <xdr:cNvPr id="1597" name="타원 1596">
          <a:extLst>
            <a:ext uri="{FF2B5EF4-FFF2-40B4-BE49-F238E27FC236}">
              <a16:creationId xmlns:a16="http://schemas.microsoft.com/office/drawing/2014/main" id="{C32B5A25-339A-24D3-E382-6DFFEFC70A59}"/>
            </a:ext>
          </a:extLst>
        </xdr:cNvPr>
        <xdr:cNvSpPr>
          <a:spLocks/>
        </xdr:cNvSpPr>
      </xdr:nvSpPr>
      <xdr:spPr>
        <a:xfrm>
          <a:off x="21288542" y="15061207"/>
          <a:ext cx="112151" cy="9186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381173</xdr:colOff>
      <xdr:row>65</xdr:row>
      <xdr:rowOff>221443</xdr:rowOff>
    </xdr:from>
    <xdr:to>
      <xdr:col>42</xdr:col>
      <xdr:colOff>67873</xdr:colOff>
      <xdr:row>65</xdr:row>
      <xdr:rowOff>322832</xdr:rowOff>
    </xdr:to>
    <xdr:sp macro="" textlink="">
      <xdr:nvSpPr>
        <xdr:cNvPr id="1598" name="타원 1597">
          <a:extLst>
            <a:ext uri="{FF2B5EF4-FFF2-40B4-BE49-F238E27FC236}">
              <a16:creationId xmlns:a16="http://schemas.microsoft.com/office/drawing/2014/main" id="{A84CA347-035C-3BEF-8266-B97F859D5491}"/>
            </a:ext>
          </a:extLst>
        </xdr:cNvPr>
        <xdr:cNvSpPr>
          <a:spLocks/>
        </xdr:cNvSpPr>
      </xdr:nvSpPr>
      <xdr:spPr>
        <a:xfrm>
          <a:off x="21288548" y="15461443"/>
          <a:ext cx="115325" cy="101389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58</xdr:col>
      <xdr:colOff>379329</xdr:colOff>
      <xdr:row>66</xdr:row>
      <xdr:rowOff>224618</xdr:rowOff>
    </xdr:from>
    <xdr:to>
      <xdr:col>59</xdr:col>
      <xdr:colOff>66405</xdr:colOff>
      <xdr:row>66</xdr:row>
      <xdr:rowOff>322832</xdr:rowOff>
    </xdr:to>
    <xdr:sp macro="" textlink="">
      <xdr:nvSpPr>
        <xdr:cNvPr id="686" name="타원 685">
          <a:extLst>
            <a:ext uri="{FF2B5EF4-FFF2-40B4-BE49-F238E27FC236}">
              <a16:creationId xmlns:a16="http://schemas.microsoft.com/office/drawing/2014/main" id="{8927A390-E7E9-8CC9-7616-4DC83595F9D2}"/>
            </a:ext>
          </a:extLst>
        </xdr:cNvPr>
        <xdr:cNvSpPr>
          <a:spLocks/>
        </xdr:cNvSpPr>
      </xdr:nvSpPr>
      <xdr:spPr>
        <a:xfrm>
          <a:off x="28954329" y="15832011"/>
          <a:ext cx="122505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52</xdr:col>
      <xdr:colOff>381173</xdr:colOff>
      <xdr:row>66</xdr:row>
      <xdr:rowOff>224618</xdr:rowOff>
    </xdr:from>
    <xdr:to>
      <xdr:col>53</xdr:col>
      <xdr:colOff>71048</xdr:colOff>
      <xdr:row>66</xdr:row>
      <xdr:rowOff>322832</xdr:rowOff>
    </xdr:to>
    <xdr:sp macro="" textlink="">
      <xdr:nvSpPr>
        <xdr:cNvPr id="1601" name="타원 1600">
          <a:extLst>
            <a:ext uri="{FF2B5EF4-FFF2-40B4-BE49-F238E27FC236}">
              <a16:creationId xmlns:a16="http://schemas.microsoft.com/office/drawing/2014/main" id="{913D1857-7EA5-F4DC-05B3-2BDEE93320B4}"/>
            </a:ext>
          </a:extLst>
        </xdr:cNvPr>
        <xdr:cNvSpPr>
          <a:spLocks/>
        </xdr:cNvSpPr>
      </xdr:nvSpPr>
      <xdr:spPr>
        <a:xfrm>
          <a:off x="26003423" y="15836093"/>
          <a:ext cx="1185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59</xdr:col>
      <xdr:colOff>27218</xdr:colOff>
      <xdr:row>78</xdr:row>
      <xdr:rowOff>262986</xdr:rowOff>
    </xdr:from>
    <xdr:to>
      <xdr:col>62</xdr:col>
      <xdr:colOff>54433</xdr:colOff>
      <xdr:row>78</xdr:row>
      <xdr:rowOff>262986</xdr:rowOff>
    </xdr:to>
    <xdr:cxnSp macro="">
      <xdr:nvCxnSpPr>
        <xdr:cNvPr id="706" name="직선 연결선 705">
          <a:extLst>
            <a:ext uri="{FF2B5EF4-FFF2-40B4-BE49-F238E27FC236}">
              <a16:creationId xmlns:a16="http://schemas.microsoft.com/office/drawing/2014/main" id="{5C6A2B8E-0B52-A644-DAFE-707D52F1CF6E}"/>
            </a:ext>
          </a:extLst>
        </xdr:cNvPr>
        <xdr:cNvCxnSpPr/>
      </xdr:nvCxnSpPr>
      <xdr:spPr>
        <a:xfrm>
          <a:off x="29037647" y="20442379"/>
          <a:ext cx="1333500" cy="0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27218</xdr:colOff>
      <xdr:row>79</xdr:row>
      <xdr:rowOff>262986</xdr:rowOff>
    </xdr:from>
    <xdr:to>
      <xdr:col>62</xdr:col>
      <xdr:colOff>54433</xdr:colOff>
      <xdr:row>79</xdr:row>
      <xdr:rowOff>262986</xdr:rowOff>
    </xdr:to>
    <xdr:cxnSp macro="">
      <xdr:nvCxnSpPr>
        <xdr:cNvPr id="709" name="직선 연결선 708">
          <a:extLst>
            <a:ext uri="{FF2B5EF4-FFF2-40B4-BE49-F238E27FC236}">
              <a16:creationId xmlns:a16="http://schemas.microsoft.com/office/drawing/2014/main" id="{4B6BDB5B-95C7-9411-476D-9AEC3CE80846}"/>
            </a:ext>
          </a:extLst>
        </xdr:cNvPr>
        <xdr:cNvCxnSpPr/>
      </xdr:nvCxnSpPr>
      <xdr:spPr>
        <a:xfrm>
          <a:off x="29037647" y="20823379"/>
          <a:ext cx="1333500" cy="0"/>
        </a:xfrm>
        <a:prstGeom prst="line">
          <a:avLst/>
        </a:prstGeom>
        <a:ln w="508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363624</xdr:colOff>
      <xdr:row>78</xdr:row>
      <xdr:rowOff>0</xdr:rowOff>
    </xdr:from>
    <xdr:to>
      <xdr:col>62</xdr:col>
      <xdr:colOff>190510</xdr:colOff>
      <xdr:row>78</xdr:row>
      <xdr:rowOff>198665</xdr:rowOff>
    </xdr:to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8898B8B1-190E-8C52-F61D-9A3E6BC8DE17}"/>
            </a:ext>
          </a:extLst>
        </xdr:cNvPr>
        <xdr:cNvSpPr txBox="1"/>
      </xdr:nvSpPr>
      <xdr:spPr>
        <a:xfrm>
          <a:off x="28938624" y="20179393"/>
          <a:ext cx="1568600" cy="198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준공 청소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58</xdr:col>
      <xdr:colOff>350016</xdr:colOff>
      <xdr:row>78</xdr:row>
      <xdr:rowOff>367393</xdr:rowOff>
    </xdr:from>
    <xdr:to>
      <xdr:col>62</xdr:col>
      <xdr:colOff>176902</xdr:colOff>
      <xdr:row>79</xdr:row>
      <xdr:rowOff>185058</xdr:rowOff>
    </xdr:to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DAF06369-ECC6-BC28-43FB-B99D326D6098}"/>
            </a:ext>
          </a:extLst>
        </xdr:cNvPr>
        <xdr:cNvSpPr txBox="1"/>
      </xdr:nvSpPr>
      <xdr:spPr>
        <a:xfrm>
          <a:off x="28925016" y="20546786"/>
          <a:ext cx="1568600" cy="198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준공 준비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136792</xdr:colOff>
      <xdr:row>69</xdr:row>
      <xdr:rowOff>325151</xdr:rowOff>
    </xdr:from>
    <xdr:to>
      <xdr:col>35</xdr:col>
      <xdr:colOff>382133</xdr:colOff>
      <xdr:row>70</xdr:row>
      <xdr:rowOff>297625</xdr:rowOff>
    </xdr:to>
    <xdr:cxnSp macro="">
      <xdr:nvCxnSpPr>
        <xdr:cNvPr id="1638" name="꺾인 연결선 260">
          <a:extLst>
            <a:ext uri="{FF2B5EF4-FFF2-40B4-BE49-F238E27FC236}">
              <a16:creationId xmlns:a16="http://schemas.microsoft.com/office/drawing/2014/main" id="{D95A91DB-B6D5-9E60-8FD9-301569AB573D}"/>
            </a:ext>
          </a:extLst>
        </xdr:cNvPr>
        <xdr:cNvCxnSpPr>
          <a:cxnSpLocks/>
        </xdr:cNvCxnSpPr>
      </xdr:nvCxnSpPr>
      <xdr:spPr>
        <a:xfrm>
          <a:off x="15213506" y="17075544"/>
          <a:ext cx="3728770" cy="353474"/>
        </a:xfrm>
        <a:prstGeom prst="bentConnector3">
          <a:avLst>
            <a:gd name="adj1" fmla="val 6"/>
          </a:avLst>
        </a:prstGeom>
        <a:ln w="28575" cap="flat">
          <a:solidFill>
            <a:schemeClr val="bg1">
              <a:lumMod val="50000"/>
            </a:schemeClr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136792</xdr:colOff>
      <xdr:row>70</xdr:row>
      <xdr:rowOff>297937</xdr:rowOff>
    </xdr:from>
    <xdr:to>
      <xdr:col>35</xdr:col>
      <xdr:colOff>382133</xdr:colOff>
      <xdr:row>71</xdr:row>
      <xdr:rowOff>270411</xdr:rowOff>
    </xdr:to>
    <xdr:cxnSp macro="">
      <xdr:nvCxnSpPr>
        <xdr:cNvPr id="1639" name="꺾인 연결선 260">
          <a:extLst>
            <a:ext uri="{FF2B5EF4-FFF2-40B4-BE49-F238E27FC236}">
              <a16:creationId xmlns:a16="http://schemas.microsoft.com/office/drawing/2014/main" id="{5E94957A-935D-9AE4-C69D-8EA9C9BB49E3}"/>
            </a:ext>
          </a:extLst>
        </xdr:cNvPr>
        <xdr:cNvCxnSpPr>
          <a:cxnSpLocks/>
        </xdr:cNvCxnSpPr>
      </xdr:nvCxnSpPr>
      <xdr:spPr>
        <a:xfrm>
          <a:off x="15213506" y="17429330"/>
          <a:ext cx="3728770" cy="353474"/>
        </a:xfrm>
        <a:prstGeom prst="bentConnector3">
          <a:avLst>
            <a:gd name="adj1" fmla="val 6"/>
          </a:avLst>
        </a:prstGeom>
        <a:ln w="28575" cap="flat">
          <a:solidFill>
            <a:schemeClr val="bg1">
              <a:lumMod val="50000"/>
            </a:schemeClr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385486</xdr:colOff>
      <xdr:row>78</xdr:row>
      <xdr:rowOff>199143</xdr:rowOff>
    </xdr:from>
    <xdr:to>
      <xdr:col>59</xdr:col>
      <xdr:colOff>72561</xdr:colOff>
      <xdr:row>78</xdr:row>
      <xdr:rowOff>297357</xdr:rowOff>
    </xdr:to>
    <xdr:sp macro="" textlink="">
      <xdr:nvSpPr>
        <xdr:cNvPr id="1642" name="타원 1641">
          <a:extLst>
            <a:ext uri="{FF2B5EF4-FFF2-40B4-BE49-F238E27FC236}">
              <a16:creationId xmlns:a16="http://schemas.microsoft.com/office/drawing/2014/main" id="{BD76F347-B2DA-6FC5-295A-86EEF11763B1}"/>
            </a:ext>
          </a:extLst>
        </xdr:cNvPr>
        <xdr:cNvSpPr>
          <a:spLocks/>
        </xdr:cNvSpPr>
      </xdr:nvSpPr>
      <xdr:spPr>
        <a:xfrm>
          <a:off x="28960486" y="20378536"/>
          <a:ext cx="122504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61</xdr:col>
      <xdr:colOff>385486</xdr:colOff>
      <xdr:row>78</xdr:row>
      <xdr:rowOff>199143</xdr:rowOff>
    </xdr:from>
    <xdr:to>
      <xdr:col>62</xdr:col>
      <xdr:colOff>72562</xdr:colOff>
      <xdr:row>78</xdr:row>
      <xdr:rowOff>297357</xdr:rowOff>
    </xdr:to>
    <xdr:sp macro="" textlink="">
      <xdr:nvSpPr>
        <xdr:cNvPr id="1643" name="타원 1642">
          <a:extLst>
            <a:ext uri="{FF2B5EF4-FFF2-40B4-BE49-F238E27FC236}">
              <a16:creationId xmlns:a16="http://schemas.microsoft.com/office/drawing/2014/main" id="{F71426DD-2CBF-53D4-23BF-054403D1520B}"/>
            </a:ext>
          </a:extLst>
        </xdr:cNvPr>
        <xdr:cNvSpPr>
          <a:spLocks/>
        </xdr:cNvSpPr>
      </xdr:nvSpPr>
      <xdr:spPr>
        <a:xfrm>
          <a:off x="30266772" y="20378536"/>
          <a:ext cx="122504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61</xdr:col>
      <xdr:colOff>385486</xdr:colOff>
      <xdr:row>79</xdr:row>
      <xdr:rowOff>199143</xdr:rowOff>
    </xdr:from>
    <xdr:to>
      <xdr:col>62</xdr:col>
      <xdr:colOff>72562</xdr:colOff>
      <xdr:row>79</xdr:row>
      <xdr:rowOff>297357</xdr:rowOff>
    </xdr:to>
    <xdr:sp macro="" textlink="">
      <xdr:nvSpPr>
        <xdr:cNvPr id="1644" name="타원 1643">
          <a:extLst>
            <a:ext uri="{FF2B5EF4-FFF2-40B4-BE49-F238E27FC236}">
              <a16:creationId xmlns:a16="http://schemas.microsoft.com/office/drawing/2014/main" id="{6A55AA20-3FA1-C741-313B-96CCA1219718}"/>
            </a:ext>
          </a:extLst>
        </xdr:cNvPr>
        <xdr:cNvSpPr>
          <a:spLocks/>
        </xdr:cNvSpPr>
      </xdr:nvSpPr>
      <xdr:spPr>
        <a:xfrm>
          <a:off x="30266772" y="20759536"/>
          <a:ext cx="122504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58</xdr:col>
      <xdr:colOff>385486</xdr:colOff>
      <xdr:row>79</xdr:row>
      <xdr:rowOff>199143</xdr:rowOff>
    </xdr:from>
    <xdr:to>
      <xdr:col>59</xdr:col>
      <xdr:colOff>72561</xdr:colOff>
      <xdr:row>79</xdr:row>
      <xdr:rowOff>297357</xdr:rowOff>
    </xdr:to>
    <xdr:sp macro="" textlink="">
      <xdr:nvSpPr>
        <xdr:cNvPr id="1646" name="타원 1645">
          <a:extLst>
            <a:ext uri="{FF2B5EF4-FFF2-40B4-BE49-F238E27FC236}">
              <a16:creationId xmlns:a16="http://schemas.microsoft.com/office/drawing/2014/main" id="{C053655D-35DC-D8FD-89B2-6A252F325FAC}"/>
            </a:ext>
          </a:extLst>
        </xdr:cNvPr>
        <xdr:cNvSpPr>
          <a:spLocks/>
        </xdr:cNvSpPr>
      </xdr:nvSpPr>
      <xdr:spPr>
        <a:xfrm>
          <a:off x="28960486" y="20759536"/>
          <a:ext cx="122504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419771</xdr:colOff>
      <xdr:row>69</xdr:row>
      <xdr:rowOff>19370</xdr:rowOff>
    </xdr:from>
    <xdr:to>
      <xdr:col>34</xdr:col>
      <xdr:colOff>125995</xdr:colOff>
      <xdr:row>69</xdr:row>
      <xdr:rowOff>274503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61C1EA-6AB3-DA4C-B21B-5B552533DBDA}"/>
            </a:ext>
          </a:extLst>
        </xdr:cNvPr>
        <xdr:cNvSpPr txBox="1"/>
      </xdr:nvSpPr>
      <xdr:spPr>
        <a:xfrm>
          <a:off x="17238200" y="16769763"/>
          <a:ext cx="1012509" cy="255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매립배선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184447</xdr:colOff>
      <xdr:row>71</xdr:row>
      <xdr:rowOff>19370</xdr:rowOff>
    </xdr:from>
    <xdr:to>
      <xdr:col>38</xdr:col>
      <xdr:colOff>316495</xdr:colOff>
      <xdr:row>71</xdr:row>
      <xdr:rowOff>274503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A94415F-1A24-8897-6FFD-7FCD1E6D6E57}"/>
            </a:ext>
          </a:extLst>
        </xdr:cNvPr>
        <xdr:cNvSpPr txBox="1"/>
      </xdr:nvSpPr>
      <xdr:spPr>
        <a:xfrm>
          <a:off x="18853447" y="17534164"/>
          <a:ext cx="983695" cy="255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소방</a:t>
          </a:r>
          <a:r>
            <a:rPr lang="ko-KR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배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관</a:t>
          </a:r>
          <a:endParaRPr lang="ko-KR" altLang="ko-KR">
            <a:effectLst/>
          </a:endParaRPr>
        </a:p>
      </xdr:txBody>
    </xdr:sp>
    <xdr:clientData/>
  </xdr:twoCellAnchor>
  <xdr:twoCellAnchor>
    <xdr:from>
      <xdr:col>27</xdr:col>
      <xdr:colOff>365343</xdr:colOff>
      <xdr:row>68</xdr:row>
      <xdr:rowOff>5762</xdr:rowOff>
    </xdr:from>
    <xdr:to>
      <xdr:col>30</xdr:col>
      <xdr:colOff>71566</xdr:colOff>
      <xdr:row>68</xdr:row>
      <xdr:rowOff>260895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25A104A-FDAA-D81E-38C9-A5193EBEB877}"/>
            </a:ext>
          </a:extLst>
        </xdr:cNvPr>
        <xdr:cNvSpPr txBox="1"/>
      </xdr:nvSpPr>
      <xdr:spPr>
        <a:xfrm>
          <a:off x="15442057" y="16375155"/>
          <a:ext cx="1012509" cy="255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배수배관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433379</xdr:colOff>
      <xdr:row>68</xdr:row>
      <xdr:rowOff>5762</xdr:rowOff>
    </xdr:from>
    <xdr:to>
      <xdr:col>34</xdr:col>
      <xdr:colOff>139603</xdr:colOff>
      <xdr:row>68</xdr:row>
      <xdr:rowOff>260895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833E2275-3F3A-D4E1-AABB-D8F568EEC44A}"/>
            </a:ext>
          </a:extLst>
        </xdr:cNvPr>
        <xdr:cNvSpPr txBox="1"/>
      </xdr:nvSpPr>
      <xdr:spPr>
        <a:xfrm>
          <a:off x="17251808" y="16375155"/>
          <a:ext cx="1012509" cy="255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슬리브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56</xdr:col>
      <xdr:colOff>188450</xdr:colOff>
      <xdr:row>71</xdr:row>
      <xdr:rowOff>373155</xdr:rowOff>
    </xdr:from>
    <xdr:to>
      <xdr:col>58</xdr:col>
      <xdr:colOff>330102</xdr:colOff>
      <xdr:row>72</xdr:row>
      <xdr:rowOff>247288</xdr:rowOff>
    </xdr:to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61CDD452-8E43-59D8-A04E-E0D5AE640F28}"/>
            </a:ext>
          </a:extLst>
        </xdr:cNvPr>
        <xdr:cNvSpPr txBox="1"/>
      </xdr:nvSpPr>
      <xdr:spPr>
        <a:xfrm>
          <a:off x="27892593" y="17885548"/>
          <a:ext cx="1012509" cy="255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US" altLang="ko-K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</a:t>
          </a:r>
        </a:p>
      </xdr:txBody>
    </xdr:sp>
    <xdr:clientData/>
  </xdr:twoCellAnchor>
  <xdr:twoCellAnchor>
    <xdr:from>
      <xdr:col>56</xdr:col>
      <xdr:colOff>164409</xdr:colOff>
      <xdr:row>72</xdr:row>
      <xdr:rowOff>313951</xdr:rowOff>
    </xdr:from>
    <xdr:to>
      <xdr:col>58</xdr:col>
      <xdr:colOff>302886</xdr:colOff>
      <xdr:row>73</xdr:row>
      <xdr:rowOff>191259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B0731680-EFF2-397B-3A74-8003C1EF8D1F}"/>
            </a:ext>
          </a:extLst>
        </xdr:cNvPr>
        <xdr:cNvSpPr txBox="1"/>
      </xdr:nvSpPr>
      <xdr:spPr>
        <a:xfrm>
          <a:off x="27349880" y="18220951"/>
          <a:ext cx="990124" cy="2583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시운전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57</xdr:col>
      <xdr:colOff>244929</xdr:colOff>
      <xdr:row>76</xdr:row>
      <xdr:rowOff>290201</xdr:rowOff>
    </xdr:from>
    <xdr:to>
      <xdr:col>58</xdr:col>
      <xdr:colOff>421821</xdr:colOff>
      <xdr:row>76</xdr:row>
      <xdr:rowOff>290201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B39FD5CC-6922-554D-BC46-01F229A48434}"/>
            </a:ext>
          </a:extLst>
        </xdr:cNvPr>
        <xdr:cNvCxnSpPr/>
      </xdr:nvCxnSpPr>
      <xdr:spPr>
        <a:xfrm>
          <a:off x="28384500" y="19707594"/>
          <a:ext cx="612321" cy="0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105530</xdr:colOff>
      <xdr:row>75</xdr:row>
      <xdr:rowOff>248250</xdr:rowOff>
    </xdr:from>
    <xdr:to>
      <xdr:col>58</xdr:col>
      <xdr:colOff>350871</xdr:colOff>
      <xdr:row>75</xdr:row>
      <xdr:rowOff>248250</xdr:rowOff>
    </xdr:to>
    <xdr:cxnSp macro="">
      <xdr:nvCxnSpPr>
        <xdr:cNvPr id="180" name="직선 연결선 179">
          <a:extLst>
            <a:ext uri="{FF2B5EF4-FFF2-40B4-BE49-F238E27FC236}">
              <a16:creationId xmlns:a16="http://schemas.microsoft.com/office/drawing/2014/main" id="{0DDE44F8-485A-FC25-BEFD-ADB41A765F9C}"/>
            </a:ext>
          </a:extLst>
        </xdr:cNvPr>
        <xdr:cNvCxnSpPr>
          <a:stCxn id="186" idx="6"/>
          <a:endCxn id="187" idx="2"/>
        </xdr:cNvCxnSpPr>
      </xdr:nvCxnSpPr>
      <xdr:spPr>
        <a:xfrm>
          <a:off x="27632780" y="19298250"/>
          <a:ext cx="1109918" cy="0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416671</xdr:colOff>
      <xdr:row>74</xdr:row>
      <xdr:rowOff>199143</xdr:rowOff>
    </xdr:from>
    <xdr:to>
      <xdr:col>56</xdr:col>
      <xdr:colOff>95995</xdr:colOff>
      <xdr:row>74</xdr:row>
      <xdr:rowOff>297357</xdr:rowOff>
    </xdr:to>
    <xdr:grpSp>
      <xdr:nvGrpSpPr>
        <xdr:cNvPr id="321" name="그룹 320">
          <a:extLst>
            <a:ext uri="{FF2B5EF4-FFF2-40B4-BE49-F238E27FC236}">
              <a16:creationId xmlns:a16="http://schemas.microsoft.com/office/drawing/2014/main" id="{7B66EE2A-A9AB-4299-B937-5F314FF607E5}"/>
            </a:ext>
          </a:extLst>
        </xdr:cNvPr>
        <xdr:cNvGrpSpPr/>
      </xdr:nvGrpSpPr>
      <xdr:grpSpPr>
        <a:xfrm>
          <a:off x="26238080" y="18850825"/>
          <a:ext cx="1411142" cy="98214"/>
          <a:chOff x="27406527" y="18871318"/>
          <a:chExt cx="1438518" cy="91864"/>
        </a:xfrm>
      </xdr:grpSpPr>
      <xdr:cxnSp macro="">
        <xdr:nvCxnSpPr>
          <xdr:cNvPr id="182" name="직선 연결선 181">
            <a:extLst>
              <a:ext uri="{FF2B5EF4-FFF2-40B4-BE49-F238E27FC236}">
                <a16:creationId xmlns:a16="http://schemas.microsoft.com/office/drawing/2014/main" id="{83311DAC-2851-A257-68E2-DB6CCD8F0894}"/>
              </a:ext>
            </a:extLst>
          </xdr:cNvPr>
          <xdr:cNvCxnSpPr>
            <a:endCxn id="185" idx="2"/>
          </xdr:cNvCxnSpPr>
        </xdr:nvCxnSpPr>
        <xdr:spPr>
          <a:xfrm flipV="1">
            <a:off x="27448565" y="18917250"/>
            <a:ext cx="1270801" cy="11561"/>
          </a:xfrm>
          <a:prstGeom prst="line">
            <a:avLst/>
          </a:prstGeom>
          <a:ln w="50800">
            <a:solidFill>
              <a:schemeClr val="bg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4" name="타원 183">
            <a:extLst>
              <a:ext uri="{FF2B5EF4-FFF2-40B4-BE49-F238E27FC236}">
                <a16:creationId xmlns:a16="http://schemas.microsoft.com/office/drawing/2014/main" id="{A620B6B8-E51C-B5BD-8879-402F5C956261}"/>
              </a:ext>
            </a:extLst>
          </xdr:cNvPr>
          <xdr:cNvSpPr>
            <a:spLocks/>
          </xdr:cNvSpPr>
        </xdr:nvSpPr>
        <xdr:spPr>
          <a:xfrm>
            <a:off x="27406527" y="18871318"/>
            <a:ext cx="111420" cy="91864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5" name="타원 184">
            <a:extLst>
              <a:ext uri="{FF2B5EF4-FFF2-40B4-BE49-F238E27FC236}">
                <a16:creationId xmlns:a16="http://schemas.microsoft.com/office/drawing/2014/main" id="{C46B7541-051D-AA69-3067-17F3484BF899}"/>
              </a:ext>
            </a:extLst>
          </xdr:cNvPr>
          <xdr:cNvSpPr>
            <a:spLocks/>
          </xdr:cNvSpPr>
        </xdr:nvSpPr>
        <xdr:spPr>
          <a:xfrm>
            <a:off x="28719366" y="18871318"/>
            <a:ext cx="125679" cy="91864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55</xdr:col>
      <xdr:colOff>407371</xdr:colOff>
      <xdr:row>75</xdr:row>
      <xdr:rowOff>202318</xdr:rowOff>
    </xdr:from>
    <xdr:to>
      <xdr:col>56</xdr:col>
      <xdr:colOff>102355</xdr:colOff>
      <xdr:row>75</xdr:row>
      <xdr:rowOff>294182</xdr:rowOff>
    </xdr:to>
    <xdr:sp macro="" textlink="">
      <xdr:nvSpPr>
        <xdr:cNvPr id="186" name="타원 185">
          <a:extLst>
            <a:ext uri="{FF2B5EF4-FFF2-40B4-BE49-F238E27FC236}">
              <a16:creationId xmlns:a16="http://schemas.microsoft.com/office/drawing/2014/main" id="{A0DCEA25-6F2F-A929-453D-2A5E6D056513}"/>
            </a:ext>
          </a:extLst>
        </xdr:cNvPr>
        <xdr:cNvSpPr>
          <a:spLocks/>
        </xdr:cNvSpPr>
      </xdr:nvSpPr>
      <xdr:spPr>
        <a:xfrm>
          <a:off x="27425241" y="19252318"/>
          <a:ext cx="125679" cy="9186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58</xdr:col>
      <xdr:colOff>354046</xdr:colOff>
      <xdr:row>75</xdr:row>
      <xdr:rowOff>202318</xdr:rowOff>
    </xdr:from>
    <xdr:to>
      <xdr:col>59</xdr:col>
      <xdr:colOff>47437</xdr:colOff>
      <xdr:row>75</xdr:row>
      <xdr:rowOff>294182</xdr:rowOff>
    </xdr:to>
    <xdr:sp macro="" textlink="">
      <xdr:nvSpPr>
        <xdr:cNvPr id="187" name="타원 186">
          <a:extLst>
            <a:ext uri="{FF2B5EF4-FFF2-40B4-BE49-F238E27FC236}">
              <a16:creationId xmlns:a16="http://schemas.microsoft.com/office/drawing/2014/main" id="{66DE5FC0-5FB4-CD90-BCE6-063C9F830FD3}"/>
            </a:ext>
          </a:extLst>
        </xdr:cNvPr>
        <xdr:cNvSpPr>
          <a:spLocks/>
        </xdr:cNvSpPr>
      </xdr:nvSpPr>
      <xdr:spPr>
        <a:xfrm>
          <a:off x="28745873" y="19252318"/>
          <a:ext cx="125679" cy="9186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57</xdr:col>
      <xdr:colOff>181376</xdr:colOff>
      <xdr:row>76</xdr:row>
      <xdr:rowOff>226357</xdr:rowOff>
    </xdr:from>
    <xdr:to>
      <xdr:col>57</xdr:col>
      <xdr:colOff>303880</xdr:colOff>
      <xdr:row>76</xdr:row>
      <xdr:rowOff>324571</xdr:rowOff>
    </xdr:to>
    <xdr:sp macro="" textlink="">
      <xdr:nvSpPr>
        <xdr:cNvPr id="188" name="타원 187">
          <a:extLst>
            <a:ext uri="{FF2B5EF4-FFF2-40B4-BE49-F238E27FC236}">
              <a16:creationId xmlns:a16="http://schemas.microsoft.com/office/drawing/2014/main" id="{8FFBF914-F80B-88C1-4583-B8CD0983B1CB}"/>
            </a:ext>
          </a:extLst>
        </xdr:cNvPr>
        <xdr:cNvSpPr>
          <a:spLocks/>
        </xdr:cNvSpPr>
      </xdr:nvSpPr>
      <xdr:spPr>
        <a:xfrm>
          <a:off x="28320947" y="19643750"/>
          <a:ext cx="122504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58</xdr:col>
      <xdr:colOff>371876</xdr:colOff>
      <xdr:row>76</xdr:row>
      <xdr:rowOff>226357</xdr:rowOff>
    </xdr:from>
    <xdr:to>
      <xdr:col>59</xdr:col>
      <xdr:colOff>58951</xdr:colOff>
      <xdr:row>76</xdr:row>
      <xdr:rowOff>324571</xdr:rowOff>
    </xdr:to>
    <xdr:sp macro="" textlink="">
      <xdr:nvSpPr>
        <xdr:cNvPr id="190" name="타원 189">
          <a:extLst>
            <a:ext uri="{FF2B5EF4-FFF2-40B4-BE49-F238E27FC236}">
              <a16:creationId xmlns:a16="http://schemas.microsoft.com/office/drawing/2014/main" id="{35E8F888-F381-500F-4779-5D8255F6946D}"/>
            </a:ext>
          </a:extLst>
        </xdr:cNvPr>
        <xdr:cNvSpPr>
          <a:spLocks/>
        </xdr:cNvSpPr>
      </xdr:nvSpPr>
      <xdr:spPr>
        <a:xfrm>
          <a:off x="28946876" y="19643750"/>
          <a:ext cx="122504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7702</xdr:colOff>
      <xdr:row>71</xdr:row>
      <xdr:rowOff>316342</xdr:rowOff>
    </xdr:from>
    <xdr:to>
      <xdr:col>52</xdr:col>
      <xdr:colOff>416681</xdr:colOff>
      <xdr:row>74</xdr:row>
      <xdr:rowOff>248249</xdr:rowOff>
    </xdr:to>
    <xdr:cxnSp macro="">
      <xdr:nvCxnSpPr>
        <xdr:cNvPr id="448" name="꺾인 연결선 260">
          <a:extLst>
            <a:ext uri="{FF2B5EF4-FFF2-40B4-BE49-F238E27FC236}">
              <a16:creationId xmlns:a16="http://schemas.microsoft.com/office/drawing/2014/main" id="{70A446DC-A77B-71EC-9D2D-DAC97A1D2ADB}"/>
            </a:ext>
          </a:extLst>
        </xdr:cNvPr>
        <xdr:cNvCxnSpPr>
          <a:cxnSpLocks/>
          <a:stCxn id="1527" idx="4"/>
          <a:endCxn id="184" idx="2"/>
        </xdr:cNvCxnSpPr>
      </xdr:nvCxnSpPr>
      <xdr:spPr>
        <a:xfrm rot="16200000" flipH="1">
          <a:off x="21954955" y="14729741"/>
          <a:ext cx="1074907" cy="7300110"/>
        </a:xfrm>
        <a:prstGeom prst="bentConnector2">
          <a:avLst/>
        </a:prstGeom>
        <a:ln w="28575" cap="flat">
          <a:solidFill>
            <a:schemeClr val="bg1">
              <a:lumMod val="50000"/>
            </a:schemeClr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45759</xdr:colOff>
      <xdr:row>74</xdr:row>
      <xdr:rowOff>319376</xdr:rowOff>
    </xdr:from>
    <xdr:to>
      <xdr:col>56</xdr:col>
      <xdr:colOff>45759</xdr:colOff>
      <xdr:row>75</xdr:row>
      <xdr:rowOff>227660</xdr:rowOff>
    </xdr:to>
    <xdr:cxnSp macro="">
      <xdr:nvCxnSpPr>
        <xdr:cNvPr id="458" name="꺾인 연결선 260">
          <a:extLst>
            <a:ext uri="{FF2B5EF4-FFF2-40B4-BE49-F238E27FC236}">
              <a16:creationId xmlns:a16="http://schemas.microsoft.com/office/drawing/2014/main" id="{DF00E669-64E0-3A8E-4A42-CB1E6727DFCC}"/>
            </a:ext>
          </a:extLst>
        </xdr:cNvPr>
        <xdr:cNvCxnSpPr/>
      </xdr:nvCxnSpPr>
      <xdr:spPr>
        <a:xfrm>
          <a:off x="27300397" y="18988376"/>
          <a:ext cx="0" cy="289284"/>
        </a:xfrm>
        <a:prstGeom prst="straightConnector1">
          <a:avLst/>
        </a:prstGeom>
        <a:ln w="28575" cap="flat">
          <a:solidFill>
            <a:schemeClr val="bg1">
              <a:lumMod val="50000"/>
            </a:schemeClr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234462</xdr:colOff>
      <xdr:row>75</xdr:row>
      <xdr:rowOff>293077</xdr:rowOff>
    </xdr:from>
    <xdr:to>
      <xdr:col>57</xdr:col>
      <xdr:colOff>238277</xdr:colOff>
      <xdr:row>76</xdr:row>
      <xdr:rowOff>231524</xdr:rowOff>
    </xdr:to>
    <xdr:cxnSp macro="">
      <xdr:nvCxnSpPr>
        <xdr:cNvPr id="459" name="꺾인 연결선 260">
          <a:extLst>
            <a:ext uri="{FF2B5EF4-FFF2-40B4-BE49-F238E27FC236}">
              <a16:creationId xmlns:a16="http://schemas.microsoft.com/office/drawing/2014/main" id="{34196FDC-93E4-DD0A-A48C-5323B8A26AAC}"/>
            </a:ext>
          </a:extLst>
        </xdr:cNvPr>
        <xdr:cNvCxnSpPr/>
      </xdr:nvCxnSpPr>
      <xdr:spPr>
        <a:xfrm>
          <a:off x="28194000" y="19343077"/>
          <a:ext cx="3815" cy="319447"/>
        </a:xfrm>
        <a:prstGeom prst="straightConnector1">
          <a:avLst/>
        </a:prstGeom>
        <a:ln w="28575" cap="flat">
          <a:solidFill>
            <a:schemeClr val="bg1">
              <a:lumMod val="50000"/>
            </a:schemeClr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2841</xdr:colOff>
      <xdr:row>73</xdr:row>
      <xdr:rowOff>350718</xdr:rowOff>
    </xdr:from>
    <xdr:to>
      <xdr:col>56</xdr:col>
      <xdr:colOff>376848</xdr:colOff>
      <xdr:row>74</xdr:row>
      <xdr:rowOff>218501</xdr:rowOff>
    </xdr:to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90BC2308-CB91-0718-A53A-6320F6D4FD4D}"/>
            </a:ext>
          </a:extLst>
        </xdr:cNvPr>
        <xdr:cNvSpPr txBox="1"/>
      </xdr:nvSpPr>
      <xdr:spPr>
        <a:xfrm>
          <a:off x="26233226" y="18638718"/>
          <a:ext cx="1670872" cy="248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부대토목</a:t>
          </a:r>
          <a:r>
            <a:rPr lang="en-US" altLang="ko-K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오수</a:t>
          </a:r>
          <a:r>
            <a:rPr lang="en-US" altLang="ko-K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우수공사</a:t>
          </a:r>
          <a:r>
            <a:rPr lang="en-US" altLang="ko-K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56</xdr:col>
      <xdr:colOff>238075</xdr:colOff>
      <xdr:row>74</xdr:row>
      <xdr:rowOff>365952</xdr:rowOff>
    </xdr:from>
    <xdr:to>
      <xdr:col>58</xdr:col>
      <xdr:colOff>379727</xdr:colOff>
      <xdr:row>75</xdr:row>
      <xdr:rowOff>240085</xdr:rowOff>
    </xdr:to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ED6EBAE9-45F6-1923-8BAA-8706F9C95756}"/>
            </a:ext>
          </a:extLst>
        </xdr:cNvPr>
        <xdr:cNvSpPr txBox="1"/>
      </xdr:nvSpPr>
      <xdr:spPr>
        <a:xfrm>
          <a:off x="27423546" y="19023746"/>
          <a:ext cx="993299" cy="255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조경 및 식재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57</xdr:col>
      <xdr:colOff>256485</xdr:colOff>
      <xdr:row>76</xdr:row>
      <xdr:rowOff>12166</xdr:rowOff>
    </xdr:from>
    <xdr:to>
      <xdr:col>59</xdr:col>
      <xdr:colOff>398136</xdr:colOff>
      <xdr:row>76</xdr:row>
      <xdr:rowOff>267299</xdr:rowOff>
    </xdr:to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999594D9-C025-889E-DF87-949862B2FDBA}"/>
            </a:ext>
          </a:extLst>
        </xdr:cNvPr>
        <xdr:cNvSpPr txBox="1"/>
      </xdr:nvSpPr>
      <xdr:spPr>
        <a:xfrm>
          <a:off x="27867779" y="19431960"/>
          <a:ext cx="993298" cy="255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철거 및 포장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1</xdr:colOff>
      <xdr:row>60</xdr:row>
      <xdr:rowOff>244929</xdr:rowOff>
    </xdr:from>
    <xdr:to>
      <xdr:col>51</xdr:col>
      <xdr:colOff>388128</xdr:colOff>
      <xdr:row>60</xdr:row>
      <xdr:rowOff>246206</xdr:rowOff>
    </xdr:to>
    <xdr:cxnSp macro="">
      <xdr:nvCxnSpPr>
        <xdr:cNvPr id="475" name="직선 화살표 연결선 474">
          <a:extLst>
            <a:ext uri="{FF2B5EF4-FFF2-40B4-BE49-F238E27FC236}">
              <a16:creationId xmlns:a16="http://schemas.microsoft.com/office/drawing/2014/main" id="{40282957-2DE0-1733-FC8A-B85733B3C937}"/>
            </a:ext>
          </a:extLst>
        </xdr:cNvPr>
        <xdr:cNvCxnSpPr>
          <a:endCxn id="1570" idx="2"/>
        </xdr:cNvCxnSpPr>
      </xdr:nvCxnSpPr>
      <xdr:spPr>
        <a:xfrm>
          <a:off x="18764251" y="13579929"/>
          <a:ext cx="6820677" cy="1277"/>
        </a:xfrm>
        <a:prstGeom prst="straightConnector1">
          <a:avLst/>
        </a:prstGeom>
        <a:ln w="31750">
          <a:solidFill>
            <a:schemeClr val="bg1">
              <a:lumMod val="50000"/>
            </a:schemeClr>
          </a:solidFill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218611</xdr:colOff>
      <xdr:row>11</xdr:row>
      <xdr:rowOff>37559</xdr:rowOff>
    </xdr:from>
    <xdr:to>
      <xdr:col>7</xdr:col>
      <xdr:colOff>224533</xdr:colOff>
      <xdr:row>11</xdr:row>
      <xdr:rowOff>355888</xdr:rowOff>
    </xdr:to>
    <xdr:sp macro="" textlink="">
      <xdr:nvSpPr>
        <xdr:cNvPr id="480" name="모서리가 둥근 직사각형 61">
          <a:extLst>
            <a:ext uri="{FF2B5EF4-FFF2-40B4-BE49-F238E27FC236}">
              <a16:creationId xmlns:a16="http://schemas.microsoft.com/office/drawing/2014/main" id="{1BB6BA31-532B-C4CC-26BE-24D241D95EAB}"/>
            </a:ext>
          </a:extLst>
        </xdr:cNvPr>
        <xdr:cNvSpPr/>
      </xdr:nvSpPr>
      <xdr:spPr>
        <a:xfrm>
          <a:off x="5695486" y="4981034"/>
          <a:ext cx="863172" cy="318329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ko-KR" altLang="en-US" sz="1400" b="1"/>
            <a:t>토공사</a:t>
          </a:r>
          <a:endParaRPr lang="en-US" altLang="ko-KR" sz="1400" b="1"/>
        </a:p>
      </xdr:txBody>
    </xdr:sp>
    <xdr:clientData/>
  </xdr:twoCellAnchor>
  <xdr:twoCellAnchor>
    <xdr:from>
      <xdr:col>5</xdr:col>
      <xdr:colOff>218611</xdr:colOff>
      <xdr:row>20</xdr:row>
      <xdr:rowOff>28034</xdr:rowOff>
    </xdr:from>
    <xdr:to>
      <xdr:col>7</xdr:col>
      <xdr:colOff>224533</xdr:colOff>
      <xdr:row>20</xdr:row>
      <xdr:rowOff>346363</xdr:rowOff>
    </xdr:to>
    <xdr:sp macro="" textlink="">
      <xdr:nvSpPr>
        <xdr:cNvPr id="481" name="모서리가 둥근 직사각형 61">
          <a:extLst>
            <a:ext uri="{FF2B5EF4-FFF2-40B4-BE49-F238E27FC236}">
              <a16:creationId xmlns:a16="http://schemas.microsoft.com/office/drawing/2014/main" id="{34027ABD-8F0A-81E5-361F-D05B91C153AD}"/>
            </a:ext>
          </a:extLst>
        </xdr:cNvPr>
        <xdr:cNvSpPr/>
      </xdr:nvSpPr>
      <xdr:spPr>
        <a:xfrm>
          <a:off x="5695486" y="8400509"/>
          <a:ext cx="863172" cy="318329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ko-KR" altLang="en-US" sz="1400" b="1"/>
            <a:t>골조공사</a:t>
          </a:r>
          <a:endParaRPr lang="en-US" altLang="ko-KR" sz="1400" b="1"/>
        </a:p>
      </xdr:txBody>
    </xdr:sp>
    <xdr:clientData/>
  </xdr:twoCellAnchor>
  <xdr:twoCellAnchor>
    <xdr:from>
      <xdr:col>5</xdr:col>
      <xdr:colOff>218611</xdr:colOff>
      <xdr:row>55</xdr:row>
      <xdr:rowOff>37559</xdr:rowOff>
    </xdr:from>
    <xdr:to>
      <xdr:col>7</xdr:col>
      <xdr:colOff>224533</xdr:colOff>
      <xdr:row>55</xdr:row>
      <xdr:rowOff>355888</xdr:rowOff>
    </xdr:to>
    <xdr:sp macro="" textlink="">
      <xdr:nvSpPr>
        <xdr:cNvPr id="482" name="모서리가 둥근 직사각형 61">
          <a:extLst>
            <a:ext uri="{FF2B5EF4-FFF2-40B4-BE49-F238E27FC236}">
              <a16:creationId xmlns:a16="http://schemas.microsoft.com/office/drawing/2014/main" id="{C78B6EEB-DFA8-6D0B-3B6A-FB6F4E6F9A19}"/>
            </a:ext>
          </a:extLst>
        </xdr:cNvPr>
        <xdr:cNvSpPr/>
      </xdr:nvSpPr>
      <xdr:spPr>
        <a:xfrm>
          <a:off x="5695486" y="11458034"/>
          <a:ext cx="863172" cy="318329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ko-KR" altLang="en-US" sz="1400" b="1"/>
            <a:t>외부마감</a:t>
          </a:r>
          <a:endParaRPr lang="en-US" altLang="ko-KR" sz="1400" b="1"/>
        </a:p>
      </xdr:txBody>
    </xdr:sp>
    <xdr:clientData/>
  </xdr:twoCellAnchor>
  <xdr:twoCellAnchor>
    <xdr:from>
      <xdr:col>5</xdr:col>
      <xdr:colOff>218611</xdr:colOff>
      <xdr:row>59</xdr:row>
      <xdr:rowOff>37559</xdr:rowOff>
    </xdr:from>
    <xdr:to>
      <xdr:col>7</xdr:col>
      <xdr:colOff>224533</xdr:colOff>
      <xdr:row>59</xdr:row>
      <xdr:rowOff>355888</xdr:rowOff>
    </xdr:to>
    <xdr:sp macro="" textlink="">
      <xdr:nvSpPr>
        <xdr:cNvPr id="483" name="모서리가 둥근 직사각형 61">
          <a:extLst>
            <a:ext uri="{FF2B5EF4-FFF2-40B4-BE49-F238E27FC236}">
              <a16:creationId xmlns:a16="http://schemas.microsoft.com/office/drawing/2014/main" id="{7497C373-E22B-DD38-33BB-8331DB4A8D38}"/>
            </a:ext>
          </a:extLst>
        </xdr:cNvPr>
        <xdr:cNvSpPr/>
      </xdr:nvSpPr>
      <xdr:spPr>
        <a:xfrm>
          <a:off x="5695486" y="12982034"/>
          <a:ext cx="863172" cy="318329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ko-KR" altLang="en-US" sz="1400" b="1"/>
            <a:t>내부마감</a:t>
          </a:r>
          <a:endParaRPr lang="en-US" altLang="ko-KR" sz="1400" b="1"/>
        </a:p>
      </xdr:txBody>
    </xdr:sp>
    <xdr:clientData/>
  </xdr:twoCellAnchor>
  <xdr:twoCellAnchor>
    <xdr:from>
      <xdr:col>5</xdr:col>
      <xdr:colOff>218611</xdr:colOff>
      <xdr:row>68</xdr:row>
      <xdr:rowOff>37559</xdr:rowOff>
    </xdr:from>
    <xdr:to>
      <xdr:col>7</xdr:col>
      <xdr:colOff>224533</xdr:colOff>
      <xdr:row>68</xdr:row>
      <xdr:rowOff>355888</xdr:rowOff>
    </xdr:to>
    <xdr:sp macro="" textlink="">
      <xdr:nvSpPr>
        <xdr:cNvPr id="484" name="모서리가 둥근 직사각형 61">
          <a:extLst>
            <a:ext uri="{FF2B5EF4-FFF2-40B4-BE49-F238E27FC236}">
              <a16:creationId xmlns:a16="http://schemas.microsoft.com/office/drawing/2014/main" id="{F07CBEC5-530D-E9F2-A01C-882A1A51D237}"/>
            </a:ext>
          </a:extLst>
        </xdr:cNvPr>
        <xdr:cNvSpPr/>
      </xdr:nvSpPr>
      <xdr:spPr>
        <a:xfrm>
          <a:off x="5695486" y="16411034"/>
          <a:ext cx="863172" cy="318329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400" b="1"/>
            <a:t>MEP</a:t>
          </a:r>
        </a:p>
      </xdr:txBody>
    </xdr:sp>
    <xdr:clientData/>
  </xdr:twoCellAnchor>
  <xdr:twoCellAnchor>
    <xdr:from>
      <xdr:col>5</xdr:col>
      <xdr:colOff>218611</xdr:colOff>
      <xdr:row>74</xdr:row>
      <xdr:rowOff>37559</xdr:rowOff>
    </xdr:from>
    <xdr:to>
      <xdr:col>7</xdr:col>
      <xdr:colOff>224533</xdr:colOff>
      <xdr:row>74</xdr:row>
      <xdr:rowOff>355888</xdr:rowOff>
    </xdr:to>
    <xdr:sp macro="" textlink="">
      <xdr:nvSpPr>
        <xdr:cNvPr id="486" name="모서리가 둥근 직사각형 61">
          <a:extLst>
            <a:ext uri="{FF2B5EF4-FFF2-40B4-BE49-F238E27FC236}">
              <a16:creationId xmlns:a16="http://schemas.microsoft.com/office/drawing/2014/main" id="{21F482A3-A4CA-9B68-A24D-80019968F6AB}"/>
            </a:ext>
          </a:extLst>
        </xdr:cNvPr>
        <xdr:cNvSpPr/>
      </xdr:nvSpPr>
      <xdr:spPr>
        <a:xfrm>
          <a:off x="5695486" y="18697034"/>
          <a:ext cx="863172" cy="318329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ko-KR" altLang="en-US" sz="1400" b="1"/>
            <a:t>부대토목</a:t>
          </a:r>
          <a:endParaRPr lang="en-US" altLang="ko-KR" sz="1400" b="1"/>
        </a:p>
      </xdr:txBody>
    </xdr:sp>
    <xdr:clientData/>
  </xdr:twoCellAnchor>
  <xdr:twoCellAnchor>
    <xdr:from>
      <xdr:col>5</xdr:col>
      <xdr:colOff>218611</xdr:colOff>
      <xdr:row>78</xdr:row>
      <xdr:rowOff>37559</xdr:rowOff>
    </xdr:from>
    <xdr:to>
      <xdr:col>7</xdr:col>
      <xdr:colOff>224533</xdr:colOff>
      <xdr:row>78</xdr:row>
      <xdr:rowOff>355888</xdr:rowOff>
    </xdr:to>
    <xdr:sp macro="" textlink="">
      <xdr:nvSpPr>
        <xdr:cNvPr id="490" name="모서리가 둥근 직사각형 61">
          <a:extLst>
            <a:ext uri="{FF2B5EF4-FFF2-40B4-BE49-F238E27FC236}">
              <a16:creationId xmlns:a16="http://schemas.microsoft.com/office/drawing/2014/main" id="{7CC118BE-0289-C06E-56DE-8FDD3FC605CC}"/>
            </a:ext>
          </a:extLst>
        </xdr:cNvPr>
        <xdr:cNvSpPr/>
      </xdr:nvSpPr>
      <xdr:spPr>
        <a:xfrm>
          <a:off x="5695486" y="20221034"/>
          <a:ext cx="863172" cy="318329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ko-KR" altLang="en-US" sz="1400" b="1"/>
            <a:t>준공준비</a:t>
          </a:r>
          <a:endParaRPr lang="en-US" altLang="ko-KR" sz="1400" b="1"/>
        </a:p>
      </xdr:txBody>
    </xdr:sp>
    <xdr:clientData/>
  </xdr:twoCellAnchor>
  <xdr:twoCellAnchor>
    <xdr:from>
      <xdr:col>27</xdr:col>
      <xdr:colOff>74788</xdr:colOff>
      <xdr:row>3</xdr:row>
      <xdr:rowOff>410307</xdr:rowOff>
    </xdr:from>
    <xdr:to>
      <xdr:col>27</xdr:col>
      <xdr:colOff>204600</xdr:colOff>
      <xdr:row>4</xdr:row>
      <xdr:rowOff>22201</xdr:rowOff>
    </xdr:to>
    <xdr:sp macro="" textlink="">
      <xdr:nvSpPr>
        <xdr:cNvPr id="491" name="이등변 삼각형 490">
          <a:extLst>
            <a:ext uri="{FF2B5EF4-FFF2-40B4-BE49-F238E27FC236}">
              <a16:creationId xmlns:a16="http://schemas.microsoft.com/office/drawing/2014/main" id="{18231018-0888-223E-F2EF-5E094953C419}"/>
            </a:ext>
          </a:extLst>
        </xdr:cNvPr>
        <xdr:cNvSpPr/>
      </xdr:nvSpPr>
      <xdr:spPr>
        <a:xfrm>
          <a:off x="15151502" y="1675771"/>
          <a:ext cx="129812" cy="373894"/>
        </a:xfrm>
        <a:prstGeom prst="triangle">
          <a:avLst>
            <a:gd name="adj" fmla="val 50000"/>
          </a:avLst>
        </a:prstGeom>
        <a:solidFill>
          <a:srgbClr val="00B0F0"/>
        </a:solidFill>
        <a:ln>
          <a:solidFill>
            <a:srgbClr val="00B0F0"/>
          </a:solidFill>
        </a:ln>
        <a:scene3d>
          <a:camera prst="orthographicFront">
            <a:rot lat="0" lon="0" rev="10800000"/>
          </a:camera>
          <a:lightRig rig="threeP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>
    <xdr:from>
      <xdr:col>24</xdr:col>
      <xdr:colOff>139616</xdr:colOff>
      <xdr:row>3</xdr:row>
      <xdr:rowOff>86591</xdr:rowOff>
    </xdr:from>
    <xdr:to>
      <xdr:col>30</xdr:col>
      <xdr:colOff>103912</xdr:colOff>
      <xdr:row>3</xdr:row>
      <xdr:rowOff>336839</xdr:rowOff>
    </xdr:to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890081BD-DD82-A2AB-C405-22157EE653FC}"/>
            </a:ext>
          </a:extLst>
        </xdr:cNvPr>
        <xdr:cNvSpPr txBox="1">
          <a:spLocks noRot="1"/>
        </xdr:cNvSpPr>
      </xdr:nvSpPr>
      <xdr:spPr>
        <a:xfrm>
          <a:off x="13838298" y="1350818"/>
          <a:ext cx="2562023" cy="2502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/>
        <a:lstStyle/>
        <a:p>
          <a:pPr algn="ctr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맑은 고딕"/>
              <a:ea typeface="맑은 고딕"/>
            </a:rPr>
            <a:t>철거공사 및 토공사 완료</a:t>
          </a:r>
          <a:endParaRPr sz="1200" b="1">
            <a:solidFill>
              <a:srgbClr val="000000"/>
            </a:solidFill>
            <a:latin typeface="맑은 고딕"/>
            <a:ea typeface="맑은 고딕"/>
          </a:endParaRPr>
        </a:p>
      </xdr:txBody>
    </xdr:sp>
    <xdr:clientData/>
  </xdr:twoCellAnchor>
  <xdr:twoCellAnchor>
    <xdr:from>
      <xdr:col>41</xdr:col>
      <xdr:colOff>379094</xdr:colOff>
      <xdr:row>3</xdr:row>
      <xdr:rowOff>410307</xdr:rowOff>
    </xdr:from>
    <xdr:to>
      <xdr:col>42</xdr:col>
      <xdr:colOff>75951</xdr:colOff>
      <xdr:row>4</xdr:row>
      <xdr:rowOff>22201</xdr:rowOff>
    </xdr:to>
    <xdr:sp macro="" textlink="">
      <xdr:nvSpPr>
        <xdr:cNvPr id="493" name="이등변 삼각형 492">
          <a:extLst>
            <a:ext uri="{FF2B5EF4-FFF2-40B4-BE49-F238E27FC236}">
              <a16:creationId xmlns:a16="http://schemas.microsoft.com/office/drawing/2014/main" id="{5657D4A3-1097-7FC0-6DB9-1122725C1F1C}"/>
            </a:ext>
          </a:extLst>
        </xdr:cNvPr>
        <xdr:cNvSpPr/>
      </xdr:nvSpPr>
      <xdr:spPr>
        <a:xfrm>
          <a:off x="21438003" y="1674534"/>
          <a:ext cx="129812" cy="373894"/>
        </a:xfrm>
        <a:prstGeom prst="triangle">
          <a:avLst>
            <a:gd name="adj" fmla="val 50000"/>
          </a:avLst>
        </a:prstGeom>
        <a:solidFill>
          <a:srgbClr val="00B0F0"/>
        </a:solidFill>
        <a:ln>
          <a:solidFill>
            <a:srgbClr val="00B0F0"/>
          </a:solidFill>
        </a:ln>
        <a:scene3d>
          <a:camera prst="orthographicFront">
            <a:rot lat="0" lon="0" rev="10800000"/>
          </a:camera>
          <a:lightRig rig="threeP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>
    <xdr:from>
      <xdr:col>40</xdr:col>
      <xdr:colOff>10965</xdr:colOff>
      <xdr:row>3</xdr:row>
      <xdr:rowOff>68036</xdr:rowOff>
    </xdr:from>
    <xdr:to>
      <xdr:col>44</xdr:col>
      <xdr:colOff>7423</xdr:colOff>
      <xdr:row>3</xdr:row>
      <xdr:rowOff>336839</xdr:rowOff>
    </xdr:to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B414867F-75B2-60D2-C26A-4A3477C01FB2}"/>
            </a:ext>
          </a:extLst>
        </xdr:cNvPr>
        <xdr:cNvSpPr txBox="1">
          <a:spLocks noRot="1"/>
        </xdr:cNvSpPr>
      </xdr:nvSpPr>
      <xdr:spPr>
        <a:xfrm>
          <a:off x="20636920" y="1332263"/>
          <a:ext cx="1728276" cy="2688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/>
        <a:lstStyle/>
        <a:p>
          <a:pPr algn="ctr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맑은 고딕"/>
              <a:ea typeface="맑은 고딕"/>
            </a:rPr>
            <a:t>골조공사 완료</a:t>
          </a:r>
          <a:endParaRPr sz="1200" b="1">
            <a:solidFill>
              <a:srgbClr val="000000"/>
            </a:solidFill>
            <a:latin typeface="맑은 고딕"/>
            <a:ea typeface="맑은 고딕"/>
          </a:endParaRPr>
        </a:p>
      </xdr:txBody>
    </xdr:sp>
    <xdr:clientData/>
  </xdr:twoCellAnchor>
  <xdr:twoCellAnchor>
    <xdr:from>
      <xdr:col>53</xdr:col>
      <xdr:colOff>31713</xdr:colOff>
      <xdr:row>3</xdr:row>
      <xdr:rowOff>410307</xdr:rowOff>
    </xdr:from>
    <xdr:to>
      <xdr:col>53</xdr:col>
      <xdr:colOff>154394</xdr:colOff>
      <xdr:row>4</xdr:row>
      <xdr:rowOff>22201</xdr:rowOff>
    </xdr:to>
    <xdr:sp macro="" textlink="">
      <xdr:nvSpPr>
        <xdr:cNvPr id="497" name="이등변 삼각형 496">
          <a:extLst>
            <a:ext uri="{FF2B5EF4-FFF2-40B4-BE49-F238E27FC236}">
              <a16:creationId xmlns:a16="http://schemas.microsoft.com/office/drawing/2014/main" id="{6ECF75F4-B0D7-AD00-29B0-A431D66EC2AC}"/>
            </a:ext>
          </a:extLst>
        </xdr:cNvPr>
        <xdr:cNvSpPr/>
      </xdr:nvSpPr>
      <xdr:spPr>
        <a:xfrm>
          <a:off x="25939713" y="1676572"/>
          <a:ext cx="122681" cy="373894"/>
        </a:xfrm>
        <a:prstGeom prst="triangle">
          <a:avLst>
            <a:gd name="adj" fmla="val 50000"/>
          </a:avLst>
        </a:prstGeom>
        <a:solidFill>
          <a:srgbClr val="00B0F0"/>
        </a:solidFill>
        <a:ln>
          <a:solidFill>
            <a:srgbClr val="00B0F0"/>
          </a:solidFill>
        </a:ln>
        <a:scene3d>
          <a:camera prst="orthographicFront">
            <a:rot lat="0" lon="0" rev="10800000"/>
          </a:camera>
          <a:lightRig rig="threeP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>
    <xdr:from>
      <xdr:col>51</xdr:col>
      <xdr:colOff>89408</xdr:colOff>
      <xdr:row>3</xdr:row>
      <xdr:rowOff>68036</xdr:rowOff>
    </xdr:from>
    <xdr:to>
      <xdr:col>55</xdr:col>
      <xdr:colOff>85866</xdr:colOff>
      <xdr:row>3</xdr:row>
      <xdr:rowOff>336839</xdr:rowOff>
    </xdr:to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5DC59802-A627-AF88-4A35-78089CE311D6}"/>
            </a:ext>
          </a:extLst>
        </xdr:cNvPr>
        <xdr:cNvSpPr txBox="1">
          <a:spLocks noRot="1"/>
        </xdr:cNvSpPr>
      </xdr:nvSpPr>
      <xdr:spPr>
        <a:xfrm>
          <a:off x="25145761" y="1334301"/>
          <a:ext cx="1699752" cy="2688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/>
        <a:lstStyle/>
        <a:p>
          <a:pPr algn="ctr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맑은 고딕"/>
              <a:ea typeface="맑은 고딕"/>
            </a:rPr>
            <a:t>외부마감공사 완료</a:t>
          </a:r>
          <a:endParaRPr sz="1200" b="1">
            <a:solidFill>
              <a:srgbClr val="000000"/>
            </a:solidFill>
            <a:latin typeface="맑은 고딕"/>
            <a:ea typeface="맑은 고딕"/>
          </a:endParaRPr>
        </a:p>
      </xdr:txBody>
    </xdr:sp>
    <xdr:clientData/>
  </xdr:twoCellAnchor>
  <xdr:twoCellAnchor>
    <xdr:from>
      <xdr:col>58</xdr:col>
      <xdr:colOff>379096</xdr:colOff>
      <xdr:row>3</xdr:row>
      <xdr:rowOff>410307</xdr:rowOff>
    </xdr:from>
    <xdr:to>
      <xdr:col>59</xdr:col>
      <xdr:colOff>75953</xdr:colOff>
      <xdr:row>4</xdr:row>
      <xdr:rowOff>22201</xdr:rowOff>
    </xdr:to>
    <xdr:sp macro="" textlink="">
      <xdr:nvSpPr>
        <xdr:cNvPr id="504" name="이등변 삼각형 503">
          <a:extLst>
            <a:ext uri="{FF2B5EF4-FFF2-40B4-BE49-F238E27FC236}">
              <a16:creationId xmlns:a16="http://schemas.microsoft.com/office/drawing/2014/main" id="{B594FEC9-912D-D2C2-C551-9FBB2F337FC4}"/>
            </a:ext>
          </a:extLst>
        </xdr:cNvPr>
        <xdr:cNvSpPr/>
      </xdr:nvSpPr>
      <xdr:spPr>
        <a:xfrm>
          <a:off x="28798232" y="1674534"/>
          <a:ext cx="129812" cy="373894"/>
        </a:xfrm>
        <a:prstGeom prst="triangle">
          <a:avLst>
            <a:gd name="adj" fmla="val 50000"/>
          </a:avLst>
        </a:prstGeom>
        <a:solidFill>
          <a:srgbClr val="00B0F0"/>
        </a:solidFill>
        <a:ln>
          <a:solidFill>
            <a:srgbClr val="00B0F0"/>
          </a:solidFill>
        </a:ln>
        <a:scene3d>
          <a:camera prst="orthographicFront">
            <a:rot lat="0" lon="0" rev="10800000"/>
          </a:camera>
          <a:lightRig rig="threeP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>
    <xdr:from>
      <xdr:col>57</xdr:col>
      <xdr:colOff>10967</xdr:colOff>
      <xdr:row>3</xdr:row>
      <xdr:rowOff>68036</xdr:rowOff>
    </xdr:from>
    <xdr:to>
      <xdr:col>61</xdr:col>
      <xdr:colOff>7425</xdr:colOff>
      <xdr:row>3</xdr:row>
      <xdr:rowOff>336839</xdr:rowOff>
    </xdr:to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06EA970A-B6FE-9EED-99B5-A974C028A9E1}"/>
            </a:ext>
          </a:extLst>
        </xdr:cNvPr>
        <xdr:cNvSpPr txBox="1">
          <a:spLocks noRot="1"/>
        </xdr:cNvSpPr>
      </xdr:nvSpPr>
      <xdr:spPr>
        <a:xfrm>
          <a:off x="27997149" y="1332263"/>
          <a:ext cx="1728276" cy="2688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/>
        <a:lstStyle/>
        <a:p>
          <a:pPr algn="ctr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맑은 고딕"/>
              <a:ea typeface="맑은 고딕"/>
            </a:rPr>
            <a:t>내부마감공사 완료</a:t>
          </a:r>
          <a:endParaRPr sz="1200" b="1">
            <a:solidFill>
              <a:srgbClr val="000000"/>
            </a:solidFill>
            <a:latin typeface="맑은 고딕"/>
            <a:ea typeface="맑은 고딕"/>
          </a:endParaRPr>
        </a:p>
      </xdr:txBody>
    </xdr:sp>
    <xdr:clientData/>
  </xdr:twoCellAnchor>
  <xdr:twoCellAnchor>
    <xdr:from>
      <xdr:col>55</xdr:col>
      <xdr:colOff>154851</xdr:colOff>
      <xdr:row>61</xdr:row>
      <xdr:rowOff>34978</xdr:rowOff>
    </xdr:from>
    <xdr:to>
      <xdr:col>57</xdr:col>
      <xdr:colOff>83047</xdr:colOff>
      <xdr:row>61</xdr:row>
      <xdr:rowOff>217149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C77A286-211A-97FE-3123-8330AEE31632}"/>
            </a:ext>
          </a:extLst>
        </xdr:cNvPr>
        <xdr:cNvSpPr txBox="1"/>
      </xdr:nvSpPr>
      <xdr:spPr>
        <a:xfrm>
          <a:off x="27062976" y="13750978"/>
          <a:ext cx="785446" cy="1821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화장실타일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53</xdr:col>
      <xdr:colOff>104998</xdr:colOff>
      <xdr:row>62</xdr:row>
      <xdr:rowOff>38287</xdr:rowOff>
    </xdr:from>
    <xdr:to>
      <xdr:col>55</xdr:col>
      <xdr:colOff>244475</xdr:colOff>
      <xdr:row>62</xdr:row>
      <xdr:rowOff>209550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B2667CB-85B3-C58C-B080-3550698A1288}"/>
            </a:ext>
          </a:extLst>
        </xdr:cNvPr>
        <xdr:cNvSpPr txBox="1"/>
      </xdr:nvSpPr>
      <xdr:spPr>
        <a:xfrm>
          <a:off x="26155873" y="14135287"/>
          <a:ext cx="996727" cy="1712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화장실방수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325778</xdr:colOff>
      <xdr:row>62</xdr:row>
      <xdr:rowOff>187</xdr:rowOff>
    </xdr:from>
    <xdr:to>
      <xdr:col>41</xdr:col>
      <xdr:colOff>169780</xdr:colOff>
      <xdr:row>62</xdr:row>
      <xdr:rowOff>178480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3FFDF82-825B-87DF-77C4-7A6CABE07EF5}"/>
            </a:ext>
          </a:extLst>
        </xdr:cNvPr>
        <xdr:cNvSpPr txBox="1"/>
      </xdr:nvSpPr>
      <xdr:spPr>
        <a:xfrm>
          <a:off x="20375903" y="14097187"/>
          <a:ext cx="701252" cy="1782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US" altLang="ko-K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PIT</a:t>
          </a:r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층 방수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136161</xdr:colOff>
      <xdr:row>63</xdr:row>
      <xdr:rowOff>47998</xdr:rowOff>
    </xdr:from>
    <xdr:to>
      <xdr:col>42</xdr:col>
      <xdr:colOff>47824</xdr:colOff>
      <xdr:row>63</xdr:row>
      <xdr:rowOff>220661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A3C72F5-680E-1531-370E-8ED969FA9A74}"/>
            </a:ext>
          </a:extLst>
        </xdr:cNvPr>
        <xdr:cNvSpPr txBox="1"/>
      </xdr:nvSpPr>
      <xdr:spPr>
        <a:xfrm>
          <a:off x="20186286" y="14525998"/>
          <a:ext cx="1197538" cy="172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콘크리트면 정리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53</xdr:col>
      <xdr:colOff>98529</xdr:colOff>
      <xdr:row>60</xdr:row>
      <xdr:rowOff>252</xdr:rowOff>
    </xdr:from>
    <xdr:to>
      <xdr:col>57</xdr:col>
      <xdr:colOff>208493</xdr:colOff>
      <xdr:row>60</xdr:row>
      <xdr:rowOff>225605</xdr:rowOff>
    </xdr:to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9602E002-F59D-70C1-F9E7-4CFEE010B4C9}"/>
            </a:ext>
          </a:extLst>
        </xdr:cNvPr>
        <xdr:cNvSpPr txBox="1"/>
      </xdr:nvSpPr>
      <xdr:spPr>
        <a:xfrm>
          <a:off x="26255007" y="13335252"/>
          <a:ext cx="1832747" cy="2253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화강석붙임</a:t>
          </a:r>
          <a:r>
            <a:rPr lang="en-US" altLang="ko-K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습식</a:t>
          </a:r>
          <a:r>
            <a:rPr lang="en-US" altLang="ko-K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혼드</a:t>
          </a:r>
          <a:r>
            <a:rPr lang="en-US" altLang="ko-K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56</xdr:col>
      <xdr:colOff>16013</xdr:colOff>
      <xdr:row>4</xdr:row>
      <xdr:rowOff>507915</xdr:rowOff>
    </xdr:from>
    <xdr:to>
      <xdr:col>59</xdr:col>
      <xdr:colOff>43229</xdr:colOff>
      <xdr:row>4</xdr:row>
      <xdr:rowOff>507915</xdr:rowOff>
    </xdr:to>
    <xdr:cxnSp macro="">
      <xdr:nvCxnSpPr>
        <xdr:cNvPr id="1470" name="직선 연결선 1469">
          <a:extLst>
            <a:ext uri="{FF2B5EF4-FFF2-40B4-BE49-F238E27FC236}">
              <a16:creationId xmlns:a16="http://schemas.microsoft.com/office/drawing/2014/main" id="{5D23FC17-F62B-7648-0304-0BC0507F1D37}"/>
            </a:ext>
          </a:extLst>
        </xdr:cNvPr>
        <xdr:cNvCxnSpPr/>
      </xdr:nvCxnSpPr>
      <xdr:spPr>
        <a:xfrm>
          <a:off x="27201484" y="2536180"/>
          <a:ext cx="1304686" cy="0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374282</xdr:colOff>
      <xdr:row>4</xdr:row>
      <xdr:rowOff>455278</xdr:rowOff>
    </xdr:from>
    <xdr:to>
      <xdr:col>56</xdr:col>
      <xdr:colOff>61356</xdr:colOff>
      <xdr:row>4</xdr:row>
      <xdr:rowOff>553492</xdr:rowOff>
    </xdr:to>
    <xdr:sp macro="" textlink="">
      <xdr:nvSpPr>
        <xdr:cNvPr id="1471" name="타원 1470">
          <a:extLst>
            <a:ext uri="{FF2B5EF4-FFF2-40B4-BE49-F238E27FC236}">
              <a16:creationId xmlns:a16="http://schemas.microsoft.com/office/drawing/2014/main" id="{B0E7CBC7-1BFE-F4D3-8FC1-A927E42B2F94}"/>
            </a:ext>
          </a:extLst>
        </xdr:cNvPr>
        <xdr:cNvSpPr>
          <a:spLocks/>
        </xdr:cNvSpPr>
      </xdr:nvSpPr>
      <xdr:spPr>
        <a:xfrm>
          <a:off x="27133929" y="2483543"/>
          <a:ext cx="112898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58</xdr:col>
      <xdr:colOff>374281</xdr:colOff>
      <xdr:row>4</xdr:row>
      <xdr:rowOff>455278</xdr:rowOff>
    </xdr:from>
    <xdr:to>
      <xdr:col>59</xdr:col>
      <xdr:colOff>61358</xdr:colOff>
      <xdr:row>4</xdr:row>
      <xdr:rowOff>553492</xdr:rowOff>
    </xdr:to>
    <xdr:sp macro="" textlink="">
      <xdr:nvSpPr>
        <xdr:cNvPr id="1478" name="타원 1477">
          <a:extLst>
            <a:ext uri="{FF2B5EF4-FFF2-40B4-BE49-F238E27FC236}">
              <a16:creationId xmlns:a16="http://schemas.microsoft.com/office/drawing/2014/main" id="{F2ACFD9A-53BD-8C5B-59AC-138E35BECE40}"/>
            </a:ext>
          </a:extLst>
        </xdr:cNvPr>
        <xdr:cNvSpPr>
          <a:spLocks/>
        </xdr:cNvSpPr>
      </xdr:nvSpPr>
      <xdr:spPr>
        <a:xfrm>
          <a:off x="28411399" y="2483543"/>
          <a:ext cx="1129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56</xdr:col>
      <xdr:colOff>172437</xdr:colOff>
      <xdr:row>4</xdr:row>
      <xdr:rowOff>261098</xdr:rowOff>
    </xdr:from>
    <xdr:to>
      <xdr:col>58</xdr:col>
      <xdr:colOff>314089</xdr:colOff>
      <xdr:row>4</xdr:row>
      <xdr:rowOff>516231</xdr:rowOff>
    </xdr:to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419FCEB6-B6B3-2036-C4F8-FA4FC7359B88}"/>
            </a:ext>
          </a:extLst>
        </xdr:cNvPr>
        <xdr:cNvSpPr txBox="1"/>
      </xdr:nvSpPr>
      <xdr:spPr>
        <a:xfrm>
          <a:off x="27357908" y="2289363"/>
          <a:ext cx="993299" cy="255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가설 해체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218448</xdr:colOff>
      <xdr:row>13</xdr:row>
      <xdr:rowOff>324971</xdr:rowOff>
    </xdr:from>
    <xdr:to>
      <xdr:col>21</xdr:col>
      <xdr:colOff>218448</xdr:colOff>
      <xdr:row>17</xdr:row>
      <xdr:rowOff>196876</xdr:rowOff>
    </xdr:to>
    <xdr:cxnSp macro="">
      <xdr:nvCxnSpPr>
        <xdr:cNvPr id="1483" name="꺾인 연결선 260">
          <a:extLst>
            <a:ext uri="{FF2B5EF4-FFF2-40B4-BE49-F238E27FC236}">
              <a16:creationId xmlns:a16="http://schemas.microsoft.com/office/drawing/2014/main" id="{34B06648-4F79-609F-403C-A1761306853B}"/>
            </a:ext>
          </a:extLst>
        </xdr:cNvPr>
        <xdr:cNvCxnSpPr/>
      </xdr:nvCxnSpPr>
      <xdr:spPr>
        <a:xfrm flipV="1">
          <a:off x="12500095" y="6028765"/>
          <a:ext cx="0" cy="1395905"/>
        </a:xfrm>
        <a:prstGeom prst="straightConnector1">
          <a:avLst/>
        </a:prstGeom>
        <a:ln w="28575" cap="flat">
          <a:solidFill>
            <a:srgbClr val="FF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157751</xdr:colOff>
      <xdr:row>14</xdr:row>
      <xdr:rowOff>229536</xdr:rowOff>
    </xdr:from>
    <xdr:to>
      <xdr:col>21</xdr:col>
      <xdr:colOff>273451</xdr:colOff>
      <xdr:row>14</xdr:row>
      <xdr:rowOff>327750</xdr:rowOff>
    </xdr:to>
    <xdr:sp macro="" textlink="">
      <xdr:nvSpPr>
        <xdr:cNvPr id="1508" name="타원 1507">
          <a:extLst>
            <a:ext uri="{FF2B5EF4-FFF2-40B4-BE49-F238E27FC236}">
              <a16:creationId xmlns:a16="http://schemas.microsoft.com/office/drawing/2014/main" id="{94AAB24B-92A5-81BD-62FA-D9E57BF6FF1E}"/>
            </a:ext>
          </a:extLst>
        </xdr:cNvPr>
        <xdr:cNvSpPr>
          <a:spLocks/>
        </xdr:cNvSpPr>
      </xdr:nvSpPr>
      <xdr:spPr>
        <a:xfrm>
          <a:off x="12492626" y="6316011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382141</xdr:colOff>
      <xdr:row>56</xdr:row>
      <xdr:rowOff>217942</xdr:rowOff>
    </xdr:from>
    <xdr:to>
      <xdr:col>42</xdr:col>
      <xdr:colOff>67146</xdr:colOff>
      <xdr:row>56</xdr:row>
      <xdr:rowOff>316156</xdr:rowOff>
    </xdr:to>
    <xdr:sp macro="" textlink="">
      <xdr:nvSpPr>
        <xdr:cNvPr id="1521" name="타원 1520">
          <a:extLst>
            <a:ext uri="{FF2B5EF4-FFF2-40B4-BE49-F238E27FC236}">
              <a16:creationId xmlns:a16="http://schemas.microsoft.com/office/drawing/2014/main" id="{3D4622C4-8134-3ADF-CFA8-902E32215001}"/>
            </a:ext>
          </a:extLst>
        </xdr:cNvPr>
        <xdr:cNvSpPr>
          <a:spLocks/>
        </xdr:cNvSpPr>
      </xdr:nvSpPr>
      <xdr:spPr>
        <a:xfrm>
          <a:off x="21289516" y="12019417"/>
          <a:ext cx="11363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55</xdr:col>
      <xdr:colOff>149649</xdr:colOff>
      <xdr:row>63</xdr:row>
      <xdr:rowOff>213413</xdr:rowOff>
    </xdr:from>
    <xdr:to>
      <xdr:col>55</xdr:col>
      <xdr:colOff>268151</xdr:colOff>
      <xdr:row>63</xdr:row>
      <xdr:rowOff>311627</xdr:rowOff>
    </xdr:to>
    <xdr:sp macro="" textlink="">
      <xdr:nvSpPr>
        <xdr:cNvPr id="191" name="타원 190">
          <a:extLst>
            <a:ext uri="{FF2B5EF4-FFF2-40B4-BE49-F238E27FC236}">
              <a16:creationId xmlns:a16="http://schemas.microsoft.com/office/drawing/2014/main" id="{68D63EF6-54CA-B90F-074A-3F934F26DFE1}"/>
            </a:ext>
          </a:extLst>
        </xdr:cNvPr>
        <xdr:cNvSpPr>
          <a:spLocks/>
        </xdr:cNvSpPr>
      </xdr:nvSpPr>
      <xdr:spPr>
        <a:xfrm>
          <a:off x="26909296" y="14680207"/>
          <a:ext cx="118502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56</xdr:col>
      <xdr:colOff>129038</xdr:colOff>
      <xdr:row>64</xdr:row>
      <xdr:rowOff>202207</xdr:rowOff>
    </xdr:from>
    <xdr:to>
      <xdr:col>56</xdr:col>
      <xdr:colOff>244738</xdr:colOff>
      <xdr:row>64</xdr:row>
      <xdr:rowOff>300421</xdr:rowOff>
    </xdr:to>
    <xdr:sp macro="" textlink="">
      <xdr:nvSpPr>
        <xdr:cNvPr id="1595" name="타원 1594">
          <a:extLst>
            <a:ext uri="{FF2B5EF4-FFF2-40B4-BE49-F238E27FC236}">
              <a16:creationId xmlns:a16="http://schemas.microsoft.com/office/drawing/2014/main" id="{21D9E344-5B64-7A6D-566D-65F7C161F19E}"/>
            </a:ext>
          </a:extLst>
        </xdr:cNvPr>
        <xdr:cNvSpPr>
          <a:spLocks/>
        </xdr:cNvSpPr>
      </xdr:nvSpPr>
      <xdr:spPr>
        <a:xfrm>
          <a:off x="27656288" y="15053880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56</xdr:col>
      <xdr:colOff>249115</xdr:colOff>
      <xdr:row>65</xdr:row>
      <xdr:rowOff>273435</xdr:rowOff>
    </xdr:from>
    <xdr:to>
      <xdr:col>58</xdr:col>
      <xdr:colOff>110393</xdr:colOff>
      <xdr:row>65</xdr:row>
      <xdr:rowOff>273435</xdr:rowOff>
    </xdr:to>
    <xdr:cxnSp macro="">
      <xdr:nvCxnSpPr>
        <xdr:cNvPr id="1546" name="직선 연결선 1545">
          <a:extLst>
            <a:ext uri="{FF2B5EF4-FFF2-40B4-BE49-F238E27FC236}">
              <a16:creationId xmlns:a16="http://schemas.microsoft.com/office/drawing/2014/main" id="{3DD8ABB6-E49E-84C7-E66F-FD21699B7F17}"/>
            </a:ext>
          </a:extLst>
        </xdr:cNvPr>
        <xdr:cNvCxnSpPr/>
      </xdr:nvCxnSpPr>
      <xdr:spPr>
        <a:xfrm>
          <a:off x="27776365" y="15506108"/>
          <a:ext cx="725855" cy="0"/>
        </a:xfrm>
        <a:prstGeom prst="line">
          <a:avLst/>
        </a:prstGeom>
        <a:ln w="508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160414</xdr:colOff>
      <xdr:row>64</xdr:row>
      <xdr:rowOff>202207</xdr:rowOff>
    </xdr:from>
    <xdr:to>
      <xdr:col>55</xdr:col>
      <xdr:colOff>278916</xdr:colOff>
      <xdr:row>64</xdr:row>
      <xdr:rowOff>300421</xdr:rowOff>
    </xdr:to>
    <xdr:sp macro="" textlink="">
      <xdr:nvSpPr>
        <xdr:cNvPr id="1559" name="타원 1558">
          <a:extLst>
            <a:ext uri="{FF2B5EF4-FFF2-40B4-BE49-F238E27FC236}">
              <a16:creationId xmlns:a16="http://schemas.microsoft.com/office/drawing/2014/main" id="{2DC23A60-4483-7754-8050-0D4B915A451E}"/>
            </a:ext>
          </a:extLst>
        </xdr:cNvPr>
        <xdr:cNvSpPr>
          <a:spLocks/>
        </xdr:cNvSpPr>
      </xdr:nvSpPr>
      <xdr:spPr>
        <a:xfrm>
          <a:off x="27255376" y="15053880"/>
          <a:ext cx="118502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56</xdr:col>
      <xdr:colOff>129037</xdr:colOff>
      <xdr:row>65</xdr:row>
      <xdr:rowOff>224619</xdr:rowOff>
    </xdr:from>
    <xdr:to>
      <xdr:col>56</xdr:col>
      <xdr:colOff>244737</xdr:colOff>
      <xdr:row>65</xdr:row>
      <xdr:rowOff>322833</xdr:rowOff>
    </xdr:to>
    <xdr:sp macro="" textlink="">
      <xdr:nvSpPr>
        <xdr:cNvPr id="1562" name="타원 1561">
          <a:extLst>
            <a:ext uri="{FF2B5EF4-FFF2-40B4-BE49-F238E27FC236}">
              <a16:creationId xmlns:a16="http://schemas.microsoft.com/office/drawing/2014/main" id="{923992B7-4E38-9B9F-C72A-B307764D4ED0}"/>
            </a:ext>
          </a:extLst>
        </xdr:cNvPr>
        <xdr:cNvSpPr>
          <a:spLocks/>
        </xdr:cNvSpPr>
      </xdr:nvSpPr>
      <xdr:spPr>
        <a:xfrm>
          <a:off x="27656287" y="15457292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58</xdr:col>
      <xdr:colOff>78611</xdr:colOff>
      <xdr:row>65</xdr:row>
      <xdr:rowOff>217291</xdr:rowOff>
    </xdr:from>
    <xdr:to>
      <xdr:col>58</xdr:col>
      <xdr:colOff>194311</xdr:colOff>
      <xdr:row>65</xdr:row>
      <xdr:rowOff>315505</xdr:rowOff>
    </xdr:to>
    <xdr:sp macro="" textlink="">
      <xdr:nvSpPr>
        <xdr:cNvPr id="1590" name="타원 1589">
          <a:extLst>
            <a:ext uri="{FF2B5EF4-FFF2-40B4-BE49-F238E27FC236}">
              <a16:creationId xmlns:a16="http://schemas.microsoft.com/office/drawing/2014/main" id="{3FCA817D-631A-6463-5ED0-08EF1840B170}"/>
            </a:ext>
          </a:extLst>
        </xdr:cNvPr>
        <xdr:cNvSpPr>
          <a:spLocks/>
        </xdr:cNvSpPr>
      </xdr:nvSpPr>
      <xdr:spPr>
        <a:xfrm>
          <a:off x="28470438" y="15449964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53</xdr:col>
      <xdr:colOff>117230</xdr:colOff>
      <xdr:row>62</xdr:row>
      <xdr:rowOff>253221</xdr:rowOff>
    </xdr:from>
    <xdr:to>
      <xdr:col>55</xdr:col>
      <xdr:colOff>227134</xdr:colOff>
      <xdr:row>62</xdr:row>
      <xdr:rowOff>253221</xdr:rowOff>
    </xdr:to>
    <xdr:cxnSp macro="">
      <xdr:nvCxnSpPr>
        <xdr:cNvPr id="1567" name="직선 연결선 1566">
          <a:extLst>
            <a:ext uri="{FF2B5EF4-FFF2-40B4-BE49-F238E27FC236}">
              <a16:creationId xmlns:a16="http://schemas.microsoft.com/office/drawing/2014/main" id="{B0FA4AD8-190C-B520-FA14-8DCD3EFC93EE}"/>
            </a:ext>
          </a:extLst>
        </xdr:cNvPr>
        <xdr:cNvCxnSpPr/>
      </xdr:nvCxnSpPr>
      <xdr:spPr>
        <a:xfrm>
          <a:off x="26347615" y="14342894"/>
          <a:ext cx="974481" cy="0"/>
        </a:xfrm>
        <a:prstGeom prst="line">
          <a:avLst/>
        </a:prstGeom>
        <a:ln w="508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74413</xdr:colOff>
      <xdr:row>62</xdr:row>
      <xdr:rowOff>206811</xdr:rowOff>
    </xdr:from>
    <xdr:to>
      <xdr:col>53</xdr:col>
      <xdr:colOff>191705</xdr:colOff>
      <xdr:row>62</xdr:row>
      <xdr:rowOff>305025</xdr:rowOff>
    </xdr:to>
    <xdr:sp macro="" textlink="">
      <xdr:nvSpPr>
        <xdr:cNvPr id="1443" name="타원 1442">
          <a:extLst>
            <a:ext uri="{FF2B5EF4-FFF2-40B4-BE49-F238E27FC236}">
              <a16:creationId xmlns:a16="http://schemas.microsoft.com/office/drawing/2014/main" id="{6AD503E8-6FA0-1656-DBB3-65E0724B47A2}"/>
            </a:ext>
          </a:extLst>
        </xdr:cNvPr>
        <xdr:cNvSpPr>
          <a:spLocks/>
        </xdr:cNvSpPr>
      </xdr:nvSpPr>
      <xdr:spPr>
        <a:xfrm>
          <a:off x="26304798" y="14296484"/>
          <a:ext cx="117292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55</xdr:col>
      <xdr:colOff>156977</xdr:colOff>
      <xdr:row>62</xdr:row>
      <xdr:rowOff>213413</xdr:rowOff>
    </xdr:from>
    <xdr:to>
      <xdr:col>55</xdr:col>
      <xdr:colOff>275479</xdr:colOff>
      <xdr:row>62</xdr:row>
      <xdr:rowOff>311627</xdr:rowOff>
    </xdr:to>
    <xdr:sp macro="" textlink="">
      <xdr:nvSpPr>
        <xdr:cNvPr id="1556" name="타원 1555">
          <a:extLst>
            <a:ext uri="{FF2B5EF4-FFF2-40B4-BE49-F238E27FC236}">
              <a16:creationId xmlns:a16="http://schemas.microsoft.com/office/drawing/2014/main" id="{553E6A96-7F08-F24C-F0B0-038B82959FF3}"/>
            </a:ext>
          </a:extLst>
        </xdr:cNvPr>
        <xdr:cNvSpPr>
          <a:spLocks/>
        </xdr:cNvSpPr>
      </xdr:nvSpPr>
      <xdr:spPr>
        <a:xfrm>
          <a:off x="27251939" y="14303086"/>
          <a:ext cx="118502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47</xdr:col>
      <xdr:colOff>63572</xdr:colOff>
      <xdr:row>59</xdr:row>
      <xdr:rowOff>261184</xdr:rowOff>
    </xdr:from>
    <xdr:to>
      <xdr:col>59</xdr:col>
      <xdr:colOff>5153</xdr:colOff>
      <xdr:row>66</xdr:row>
      <xdr:rowOff>224618</xdr:rowOff>
    </xdr:to>
    <xdr:cxnSp macro="">
      <xdr:nvCxnSpPr>
        <xdr:cNvPr id="1572" name="꺾인 연결선 260">
          <a:extLst>
            <a:ext uri="{FF2B5EF4-FFF2-40B4-BE49-F238E27FC236}">
              <a16:creationId xmlns:a16="http://schemas.microsoft.com/office/drawing/2014/main" id="{44B85EA6-0339-6368-1F92-5BC54C097B84}"/>
            </a:ext>
          </a:extLst>
        </xdr:cNvPr>
        <xdr:cNvCxnSpPr>
          <a:cxnSpLocks/>
          <a:stCxn id="1445" idx="6"/>
          <a:endCxn id="686" idx="0"/>
        </xdr:cNvCxnSpPr>
      </xdr:nvCxnSpPr>
      <xdr:spPr>
        <a:xfrm>
          <a:off x="23848858" y="13201577"/>
          <a:ext cx="5166724" cy="2630434"/>
        </a:xfrm>
        <a:prstGeom prst="bentConnector2">
          <a:avLst/>
        </a:prstGeom>
        <a:ln w="28575" cap="flat">
          <a:solidFill>
            <a:schemeClr val="bg1">
              <a:lumMod val="50000"/>
            </a:schemeClr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45335</xdr:colOff>
      <xdr:row>61</xdr:row>
      <xdr:rowOff>268940</xdr:rowOff>
    </xdr:from>
    <xdr:to>
      <xdr:col>59</xdr:col>
      <xdr:colOff>25587</xdr:colOff>
      <xdr:row>61</xdr:row>
      <xdr:rowOff>276161</xdr:rowOff>
    </xdr:to>
    <xdr:cxnSp macro="">
      <xdr:nvCxnSpPr>
        <xdr:cNvPr id="1580" name="꺾인 연결선 260">
          <a:extLst>
            <a:ext uri="{FF2B5EF4-FFF2-40B4-BE49-F238E27FC236}">
              <a16:creationId xmlns:a16="http://schemas.microsoft.com/office/drawing/2014/main" id="{0FF0D2D8-E09E-0348-9580-C11A4E9F12D4}"/>
            </a:ext>
          </a:extLst>
        </xdr:cNvPr>
        <xdr:cNvCxnSpPr>
          <a:stCxn id="1440" idx="6"/>
        </xdr:cNvCxnSpPr>
      </xdr:nvCxnSpPr>
      <xdr:spPr>
        <a:xfrm flipV="1">
          <a:off x="27810710" y="13984940"/>
          <a:ext cx="837502" cy="7221"/>
        </a:xfrm>
        <a:prstGeom prst="straightConnector1">
          <a:avLst/>
        </a:prstGeom>
        <a:ln w="28575" cap="flat">
          <a:solidFill>
            <a:schemeClr val="bg1">
              <a:lumMod val="50000"/>
            </a:schemeClr>
          </a:solidFill>
          <a:prstDash val="sysDash"/>
          <a:round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264686</xdr:colOff>
      <xdr:row>53</xdr:row>
      <xdr:rowOff>276160</xdr:rowOff>
    </xdr:from>
    <xdr:to>
      <xdr:col>53</xdr:col>
      <xdr:colOff>147207</xdr:colOff>
      <xdr:row>58</xdr:row>
      <xdr:rowOff>213412</xdr:rowOff>
    </xdr:to>
    <xdr:cxnSp macro="">
      <xdr:nvCxnSpPr>
        <xdr:cNvPr id="1588" name="꺾인 연결선 260">
          <a:extLst>
            <a:ext uri="{FF2B5EF4-FFF2-40B4-BE49-F238E27FC236}">
              <a16:creationId xmlns:a16="http://schemas.microsoft.com/office/drawing/2014/main" id="{DE9BA3F6-3701-1B6A-0426-D8775664F1B9}"/>
            </a:ext>
          </a:extLst>
        </xdr:cNvPr>
        <xdr:cNvCxnSpPr>
          <a:cxnSpLocks/>
          <a:stCxn id="587" idx="6"/>
          <a:endCxn id="1446" idx="0"/>
        </xdr:cNvCxnSpPr>
      </xdr:nvCxnSpPr>
      <xdr:spPr>
        <a:xfrm>
          <a:off x="22457936" y="10934635"/>
          <a:ext cx="3740146" cy="1842252"/>
        </a:xfrm>
        <a:prstGeom prst="bentConnector2">
          <a:avLst/>
        </a:prstGeom>
        <a:ln w="28575" cap="flat">
          <a:solidFill>
            <a:schemeClr val="bg1">
              <a:lumMod val="50000"/>
            </a:schemeClr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306090</xdr:colOff>
      <xdr:row>16</xdr:row>
      <xdr:rowOff>284440</xdr:rowOff>
    </xdr:from>
    <xdr:to>
      <xdr:col>39</xdr:col>
      <xdr:colOff>18614</xdr:colOff>
      <xdr:row>35</xdr:row>
      <xdr:rowOff>218769</xdr:rowOff>
    </xdr:to>
    <xdr:cxnSp macro="">
      <xdr:nvCxnSpPr>
        <xdr:cNvPr id="298" name="꺾인 연결선 260">
          <a:extLst>
            <a:ext uri="{FF2B5EF4-FFF2-40B4-BE49-F238E27FC236}">
              <a16:creationId xmlns:a16="http://schemas.microsoft.com/office/drawing/2014/main" id="{5FACEB5D-447D-4933-AC83-B66FAF849323}"/>
            </a:ext>
          </a:extLst>
        </xdr:cNvPr>
        <xdr:cNvCxnSpPr>
          <a:cxnSpLocks/>
          <a:stCxn id="557" idx="6"/>
          <a:endCxn id="1465" idx="0"/>
        </xdr:cNvCxnSpPr>
      </xdr:nvCxnSpPr>
      <xdr:spPr>
        <a:xfrm>
          <a:off x="19070340" y="7132915"/>
          <a:ext cx="998399" cy="2601329"/>
        </a:xfrm>
        <a:prstGeom prst="bentConnector2">
          <a:avLst/>
        </a:prstGeom>
        <a:ln w="28575" cap="flat">
          <a:solidFill>
            <a:schemeClr val="bg1">
              <a:lumMod val="50000"/>
            </a:schemeClr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359933</xdr:colOff>
      <xdr:row>15</xdr:row>
      <xdr:rowOff>262554</xdr:rowOff>
    </xdr:from>
    <xdr:to>
      <xdr:col>36</xdr:col>
      <xdr:colOff>10481</xdr:colOff>
      <xdr:row>16</xdr:row>
      <xdr:rowOff>235333</xdr:rowOff>
    </xdr:to>
    <xdr:cxnSp macro="">
      <xdr:nvCxnSpPr>
        <xdr:cNvPr id="301" name="꺾인 연결선 260">
          <a:extLst>
            <a:ext uri="{FF2B5EF4-FFF2-40B4-BE49-F238E27FC236}">
              <a16:creationId xmlns:a16="http://schemas.microsoft.com/office/drawing/2014/main" id="{D7864397-DEF0-4D9B-B533-8DE9EF4875B3}"/>
            </a:ext>
          </a:extLst>
        </xdr:cNvPr>
        <xdr:cNvCxnSpPr>
          <a:cxnSpLocks/>
          <a:endCxn id="576" idx="0"/>
        </xdr:cNvCxnSpPr>
      </xdr:nvCxnSpPr>
      <xdr:spPr>
        <a:xfrm>
          <a:off x="14770698" y="6728348"/>
          <a:ext cx="3908783" cy="353779"/>
        </a:xfrm>
        <a:prstGeom prst="bentConnector2">
          <a:avLst/>
        </a:prstGeom>
        <a:ln w="28575" cap="flat">
          <a:solidFill>
            <a:schemeClr val="bg1">
              <a:lumMod val="50000"/>
            </a:schemeClr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23219</xdr:colOff>
      <xdr:row>60</xdr:row>
      <xdr:rowOff>295313</xdr:rowOff>
    </xdr:from>
    <xdr:to>
      <xdr:col>53</xdr:col>
      <xdr:colOff>145518</xdr:colOff>
      <xdr:row>61</xdr:row>
      <xdr:rowOff>284679</xdr:rowOff>
    </xdr:to>
    <xdr:cxnSp macro="">
      <xdr:nvCxnSpPr>
        <xdr:cNvPr id="178" name="꺾인 연결선 260">
          <a:extLst>
            <a:ext uri="{FF2B5EF4-FFF2-40B4-BE49-F238E27FC236}">
              <a16:creationId xmlns:a16="http://schemas.microsoft.com/office/drawing/2014/main" id="{5C355402-DCF8-CE96-1F7B-059773E2682C}"/>
            </a:ext>
          </a:extLst>
        </xdr:cNvPr>
        <xdr:cNvCxnSpPr>
          <a:cxnSpLocks/>
          <a:stCxn id="1570" idx="4"/>
          <a:endCxn id="1573" idx="2"/>
        </xdr:cNvCxnSpPr>
      </xdr:nvCxnSpPr>
      <xdr:spPr>
        <a:xfrm rot="16200000" flipH="1">
          <a:off x="25840316" y="13538999"/>
          <a:ext cx="370366" cy="552994"/>
        </a:xfrm>
        <a:prstGeom prst="bentConnector2">
          <a:avLst/>
        </a:prstGeom>
        <a:ln w="28575" cap="flat">
          <a:solidFill>
            <a:schemeClr val="bg1">
              <a:lumMod val="50000"/>
            </a:schemeClr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</xdr:colOff>
      <xdr:row>62</xdr:row>
      <xdr:rowOff>248139</xdr:rowOff>
    </xdr:from>
    <xdr:to>
      <xdr:col>38</xdr:col>
      <xdr:colOff>408500</xdr:colOff>
      <xdr:row>62</xdr:row>
      <xdr:rowOff>257629</xdr:rowOff>
    </xdr:to>
    <xdr:cxnSp macro="">
      <xdr:nvCxnSpPr>
        <xdr:cNvPr id="288" name="직선 화살표 연결선 287">
          <a:extLst>
            <a:ext uri="{FF2B5EF4-FFF2-40B4-BE49-F238E27FC236}">
              <a16:creationId xmlns:a16="http://schemas.microsoft.com/office/drawing/2014/main" id="{0537A811-37AD-4AF7-B47F-957FA6C718C4}"/>
            </a:ext>
          </a:extLst>
        </xdr:cNvPr>
        <xdr:cNvCxnSpPr>
          <a:endCxn id="1574" idx="2"/>
        </xdr:cNvCxnSpPr>
      </xdr:nvCxnSpPr>
      <xdr:spPr>
        <a:xfrm flipV="1">
          <a:off x="18764251" y="14345139"/>
          <a:ext cx="1265749" cy="9490"/>
        </a:xfrm>
        <a:prstGeom prst="straightConnector1">
          <a:avLst/>
        </a:prstGeom>
        <a:ln w="31750">
          <a:solidFill>
            <a:schemeClr val="bg1">
              <a:lumMod val="50000"/>
            </a:schemeClr>
          </a:solidFill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4026</xdr:colOff>
      <xdr:row>4</xdr:row>
      <xdr:rowOff>585725</xdr:rowOff>
    </xdr:from>
    <xdr:to>
      <xdr:col>59</xdr:col>
      <xdr:colOff>4026</xdr:colOff>
      <xdr:row>59</xdr:row>
      <xdr:rowOff>235324</xdr:rowOff>
    </xdr:to>
    <xdr:cxnSp macro="">
      <xdr:nvCxnSpPr>
        <xdr:cNvPr id="296" name="꺾인 연결선 260">
          <a:extLst>
            <a:ext uri="{FF2B5EF4-FFF2-40B4-BE49-F238E27FC236}">
              <a16:creationId xmlns:a16="http://schemas.microsoft.com/office/drawing/2014/main" id="{58AFAFEE-2512-4D8F-CF29-E86E67D76F41}"/>
            </a:ext>
          </a:extLst>
        </xdr:cNvPr>
        <xdr:cNvCxnSpPr/>
      </xdr:nvCxnSpPr>
      <xdr:spPr>
        <a:xfrm>
          <a:off x="28466967" y="2613990"/>
          <a:ext cx="0" cy="10564128"/>
        </a:xfrm>
        <a:prstGeom prst="straightConnector1">
          <a:avLst/>
        </a:prstGeom>
        <a:ln w="31750" cap="flat">
          <a:solidFill>
            <a:schemeClr val="bg1">
              <a:lumMod val="50000"/>
            </a:schemeClr>
          </a:solidFill>
          <a:prstDash val="sysDash"/>
          <a:round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10205</xdr:colOff>
      <xdr:row>64</xdr:row>
      <xdr:rowOff>297246</xdr:rowOff>
    </xdr:from>
    <xdr:to>
      <xdr:col>52</xdr:col>
      <xdr:colOff>381173</xdr:colOff>
      <xdr:row>66</xdr:row>
      <xdr:rowOff>272138</xdr:rowOff>
    </xdr:to>
    <xdr:cxnSp macro="">
      <xdr:nvCxnSpPr>
        <xdr:cNvPr id="309" name="꺾인 연결선 260">
          <a:extLst>
            <a:ext uri="{FF2B5EF4-FFF2-40B4-BE49-F238E27FC236}">
              <a16:creationId xmlns:a16="http://schemas.microsoft.com/office/drawing/2014/main" id="{49D43963-1E72-3745-F4A9-64D657E11107}"/>
            </a:ext>
          </a:extLst>
        </xdr:cNvPr>
        <xdr:cNvCxnSpPr>
          <a:cxnSpLocks/>
          <a:stCxn id="1597" idx="4"/>
          <a:endCxn id="1601" idx="2"/>
        </xdr:cNvCxnSpPr>
      </xdr:nvCxnSpPr>
      <xdr:spPr>
        <a:xfrm rot="16200000" flipH="1">
          <a:off x="23306368" y="13196083"/>
          <a:ext cx="736892" cy="4657218"/>
        </a:xfrm>
        <a:prstGeom prst="bentConnector2">
          <a:avLst/>
        </a:prstGeom>
        <a:ln w="28575" cap="flat">
          <a:solidFill>
            <a:schemeClr val="bg1">
              <a:lumMod val="50000"/>
            </a:schemeClr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184447</xdr:colOff>
      <xdr:row>69</xdr:row>
      <xdr:rowOff>377958</xdr:rowOff>
    </xdr:from>
    <xdr:to>
      <xdr:col>38</xdr:col>
      <xdr:colOff>316495</xdr:colOff>
      <xdr:row>70</xdr:row>
      <xdr:rowOff>252091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E883A2-578E-A87C-2B12-B52C7BAEEA91}"/>
            </a:ext>
          </a:extLst>
        </xdr:cNvPr>
        <xdr:cNvSpPr txBox="1"/>
      </xdr:nvSpPr>
      <xdr:spPr>
        <a:xfrm>
          <a:off x="18853447" y="17130752"/>
          <a:ext cx="983695" cy="255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통신배선</a:t>
          </a:r>
          <a:endParaRPr lang="ko-KR" altLang="ko-KR">
            <a:effectLst/>
          </a:endParaRPr>
        </a:p>
      </xdr:txBody>
    </xdr:sp>
    <xdr:clientData/>
  </xdr:twoCellAnchor>
  <xdr:twoCellAnchor>
    <xdr:from>
      <xdr:col>36</xdr:col>
      <xdr:colOff>195653</xdr:colOff>
      <xdr:row>67</xdr:row>
      <xdr:rowOff>355546</xdr:rowOff>
    </xdr:from>
    <xdr:to>
      <xdr:col>38</xdr:col>
      <xdr:colOff>327701</xdr:colOff>
      <xdr:row>68</xdr:row>
      <xdr:rowOff>229679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FD669FF-10D1-1DC2-71E8-F66178D20624}"/>
            </a:ext>
          </a:extLst>
        </xdr:cNvPr>
        <xdr:cNvSpPr txBox="1"/>
      </xdr:nvSpPr>
      <xdr:spPr>
        <a:xfrm>
          <a:off x="18864653" y="16346340"/>
          <a:ext cx="983695" cy="255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급탕설비</a:t>
          </a:r>
          <a:endParaRPr lang="ko-KR" altLang="ko-KR">
            <a:effectLst/>
          </a:endParaRPr>
        </a:p>
      </xdr:txBody>
    </xdr:sp>
    <xdr:clientData/>
  </xdr:twoCellAnchor>
  <xdr:twoCellAnchor>
    <xdr:from>
      <xdr:col>45</xdr:col>
      <xdr:colOff>195653</xdr:colOff>
      <xdr:row>67</xdr:row>
      <xdr:rowOff>355546</xdr:rowOff>
    </xdr:from>
    <xdr:to>
      <xdr:col>47</xdr:col>
      <xdr:colOff>327701</xdr:colOff>
      <xdr:row>68</xdr:row>
      <xdr:rowOff>229679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CB5EA8C-C622-3110-ACAE-6973DE2127BB}"/>
            </a:ext>
          </a:extLst>
        </xdr:cNvPr>
        <xdr:cNvSpPr txBox="1"/>
      </xdr:nvSpPr>
      <xdr:spPr>
        <a:xfrm>
          <a:off x="22697065" y="16346340"/>
          <a:ext cx="983695" cy="255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공조덕트</a:t>
          </a:r>
          <a:endParaRPr lang="ko-KR" altLang="ko-KR">
            <a:effectLst/>
          </a:endParaRPr>
        </a:p>
      </xdr:txBody>
    </xdr:sp>
    <xdr:clientData/>
  </xdr:twoCellAnchor>
  <xdr:twoCellAnchor>
    <xdr:from>
      <xdr:col>36</xdr:col>
      <xdr:colOff>195653</xdr:colOff>
      <xdr:row>68</xdr:row>
      <xdr:rowOff>377958</xdr:rowOff>
    </xdr:from>
    <xdr:to>
      <xdr:col>38</xdr:col>
      <xdr:colOff>327701</xdr:colOff>
      <xdr:row>69</xdr:row>
      <xdr:rowOff>252091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FC83E3D-94DB-65FD-698B-8BB0887E2148}"/>
            </a:ext>
          </a:extLst>
        </xdr:cNvPr>
        <xdr:cNvSpPr txBox="1"/>
      </xdr:nvSpPr>
      <xdr:spPr>
        <a:xfrm>
          <a:off x="18864653" y="16749752"/>
          <a:ext cx="983695" cy="255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수변전설비</a:t>
          </a:r>
          <a:endParaRPr lang="ko-KR" altLang="ko-KR">
            <a:effectLst/>
          </a:endParaRPr>
        </a:p>
      </xdr:txBody>
    </xdr:sp>
    <xdr:clientData/>
  </xdr:twoCellAnchor>
  <xdr:twoCellAnchor>
    <xdr:from>
      <xdr:col>40</xdr:col>
      <xdr:colOff>235323</xdr:colOff>
      <xdr:row>67</xdr:row>
      <xdr:rowOff>336177</xdr:rowOff>
    </xdr:from>
    <xdr:to>
      <xdr:col>43</xdr:col>
      <xdr:colOff>256193</xdr:colOff>
      <xdr:row>68</xdr:row>
      <xdr:rowOff>241323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F89A223-7BA3-4766-812F-0B0FAAE91F01}"/>
            </a:ext>
          </a:extLst>
        </xdr:cNvPr>
        <xdr:cNvSpPr txBox="1"/>
      </xdr:nvSpPr>
      <xdr:spPr>
        <a:xfrm>
          <a:off x="20607617" y="16326971"/>
          <a:ext cx="1298341" cy="2861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오수</a:t>
          </a:r>
          <a:r>
            <a:rPr lang="en-US" altLang="ko-K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배수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49</xdr:col>
      <xdr:colOff>374948</xdr:colOff>
      <xdr:row>67</xdr:row>
      <xdr:rowOff>333134</xdr:rowOff>
    </xdr:from>
    <xdr:to>
      <xdr:col>52</xdr:col>
      <xdr:colOff>395818</xdr:colOff>
      <xdr:row>68</xdr:row>
      <xdr:rowOff>238280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F39428A-D161-42CC-952C-A853A5477F66}"/>
            </a:ext>
          </a:extLst>
        </xdr:cNvPr>
        <xdr:cNvSpPr txBox="1"/>
      </xdr:nvSpPr>
      <xdr:spPr>
        <a:xfrm>
          <a:off x="24579654" y="16323928"/>
          <a:ext cx="1298340" cy="2861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옥외배관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54</xdr:col>
      <xdr:colOff>404082</xdr:colOff>
      <xdr:row>67</xdr:row>
      <xdr:rowOff>351063</xdr:rowOff>
    </xdr:from>
    <xdr:to>
      <xdr:col>57</xdr:col>
      <xdr:colOff>424952</xdr:colOff>
      <xdr:row>68</xdr:row>
      <xdr:rowOff>256209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41FC9F7-58D1-4D60-8BB9-DE16026122D1}"/>
            </a:ext>
          </a:extLst>
        </xdr:cNvPr>
        <xdr:cNvSpPr txBox="1"/>
      </xdr:nvSpPr>
      <xdr:spPr>
        <a:xfrm>
          <a:off x="26737906" y="16341857"/>
          <a:ext cx="1298340" cy="2861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위생기구 설치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40</xdr:col>
      <xdr:colOff>89648</xdr:colOff>
      <xdr:row>68</xdr:row>
      <xdr:rowOff>324971</xdr:rowOff>
    </xdr:from>
    <xdr:to>
      <xdr:col>43</xdr:col>
      <xdr:colOff>417359</xdr:colOff>
      <xdr:row>69</xdr:row>
      <xdr:rowOff>273940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C9F02277-1E52-47B7-B702-B45F3F3EC9A5}"/>
            </a:ext>
          </a:extLst>
        </xdr:cNvPr>
        <xdr:cNvSpPr txBox="1"/>
      </xdr:nvSpPr>
      <xdr:spPr>
        <a:xfrm>
          <a:off x="20461942" y="16696765"/>
          <a:ext cx="1605182" cy="3299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b="1"/>
            <a:t>비상전원설비 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55</xdr:col>
      <xdr:colOff>0</xdr:colOff>
      <xdr:row>68</xdr:row>
      <xdr:rowOff>358588</xdr:rowOff>
    </xdr:from>
    <xdr:to>
      <xdr:col>58</xdr:col>
      <xdr:colOff>20871</xdr:colOff>
      <xdr:row>69</xdr:row>
      <xdr:rowOff>263734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5EABC8B4-53A6-419B-83EC-A620727D1ECE}"/>
            </a:ext>
          </a:extLst>
        </xdr:cNvPr>
        <xdr:cNvSpPr txBox="1"/>
      </xdr:nvSpPr>
      <xdr:spPr>
        <a:xfrm>
          <a:off x="26759647" y="16730382"/>
          <a:ext cx="1298342" cy="2861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조명 설치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45</xdr:col>
      <xdr:colOff>224118</xdr:colOff>
      <xdr:row>69</xdr:row>
      <xdr:rowOff>336177</xdr:rowOff>
    </xdr:from>
    <xdr:to>
      <xdr:col>47</xdr:col>
      <xdr:colOff>372134</xdr:colOff>
      <xdr:row>70</xdr:row>
      <xdr:rowOff>285146</xdr:rowOff>
    </xdr:to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89349E4E-B091-42A9-96ED-9643370A5F2A}"/>
            </a:ext>
          </a:extLst>
        </xdr:cNvPr>
        <xdr:cNvSpPr txBox="1"/>
      </xdr:nvSpPr>
      <xdr:spPr>
        <a:xfrm>
          <a:off x="22725530" y="17088971"/>
          <a:ext cx="999663" cy="3299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방송설비공사</a:t>
          </a:r>
          <a:r>
            <a:rPr lang="ko-KR" altLang="en-US"/>
            <a:t> 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55</xdr:col>
      <xdr:colOff>190499</xdr:colOff>
      <xdr:row>70</xdr:row>
      <xdr:rowOff>0</xdr:rowOff>
    </xdr:from>
    <xdr:to>
      <xdr:col>57</xdr:col>
      <xdr:colOff>286611</xdr:colOff>
      <xdr:row>70</xdr:row>
      <xdr:rowOff>294951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C5256159-4119-4E36-838E-8C8EB49915B7}"/>
            </a:ext>
          </a:extLst>
        </xdr:cNvPr>
        <xdr:cNvSpPr txBox="1"/>
      </xdr:nvSpPr>
      <xdr:spPr>
        <a:xfrm>
          <a:off x="26950146" y="17133794"/>
          <a:ext cx="947759" cy="2949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전관방송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55</xdr:col>
      <xdr:colOff>11205</xdr:colOff>
      <xdr:row>70</xdr:row>
      <xdr:rowOff>358588</xdr:rowOff>
    </xdr:from>
    <xdr:to>
      <xdr:col>58</xdr:col>
      <xdr:colOff>32076</xdr:colOff>
      <xdr:row>71</xdr:row>
      <xdr:rowOff>263734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FDA41623-3393-46F6-985E-025F38DF9453}"/>
            </a:ext>
          </a:extLst>
        </xdr:cNvPr>
        <xdr:cNvSpPr txBox="1"/>
      </xdr:nvSpPr>
      <xdr:spPr>
        <a:xfrm>
          <a:off x="26770852" y="17492382"/>
          <a:ext cx="1298342" cy="2861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소방필증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51</xdr:col>
      <xdr:colOff>369795</xdr:colOff>
      <xdr:row>70</xdr:row>
      <xdr:rowOff>358588</xdr:rowOff>
    </xdr:from>
    <xdr:to>
      <xdr:col>54</xdr:col>
      <xdr:colOff>98791</xdr:colOff>
      <xdr:row>71</xdr:row>
      <xdr:rowOff>307557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1C4BCA8F-C9F7-4604-AFBA-54DFB69CAA1C}"/>
            </a:ext>
          </a:extLst>
        </xdr:cNvPr>
        <xdr:cNvSpPr txBox="1"/>
      </xdr:nvSpPr>
      <xdr:spPr>
        <a:xfrm>
          <a:off x="25426148" y="17492382"/>
          <a:ext cx="1006467" cy="3299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스프링클러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47</xdr:col>
      <xdr:colOff>280147</xdr:colOff>
      <xdr:row>70</xdr:row>
      <xdr:rowOff>347383</xdr:rowOff>
    </xdr:from>
    <xdr:to>
      <xdr:col>50</xdr:col>
      <xdr:colOff>5141</xdr:colOff>
      <xdr:row>71</xdr:row>
      <xdr:rowOff>296352</xdr:rowOff>
    </xdr:to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E1DD0D7F-EA8C-4AC2-9605-6783D46FE44F}"/>
            </a:ext>
          </a:extLst>
        </xdr:cNvPr>
        <xdr:cNvSpPr txBox="1"/>
      </xdr:nvSpPr>
      <xdr:spPr>
        <a:xfrm>
          <a:off x="23633206" y="17481177"/>
          <a:ext cx="1002464" cy="3299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경보시스템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43</xdr:col>
      <xdr:colOff>367602</xdr:colOff>
      <xdr:row>65</xdr:row>
      <xdr:rowOff>56030</xdr:rowOff>
    </xdr:from>
    <xdr:to>
      <xdr:col>45</xdr:col>
      <xdr:colOff>178458</xdr:colOff>
      <xdr:row>65</xdr:row>
      <xdr:rowOff>279012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8BD731C-7412-1C8F-F366-C59960B09D7B}"/>
            </a:ext>
          </a:extLst>
        </xdr:cNvPr>
        <xdr:cNvSpPr txBox="1"/>
      </xdr:nvSpPr>
      <xdr:spPr>
        <a:xfrm>
          <a:off x="22411173" y="15282423"/>
          <a:ext cx="681714" cy="2229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US" altLang="ko-K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Dry Wall</a:t>
          </a:r>
        </a:p>
      </xdr:txBody>
    </xdr:sp>
    <xdr:clientData/>
  </xdr:twoCellAnchor>
  <xdr:twoCellAnchor>
    <xdr:from>
      <xdr:col>53</xdr:col>
      <xdr:colOff>23448</xdr:colOff>
      <xdr:row>65</xdr:row>
      <xdr:rowOff>33618</xdr:rowOff>
    </xdr:from>
    <xdr:to>
      <xdr:col>55</xdr:col>
      <xdr:colOff>272143</xdr:colOff>
      <xdr:row>65</xdr:row>
      <xdr:rowOff>272662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8A08C1F-4AA5-29B1-A500-D9287C4604D3}"/>
            </a:ext>
          </a:extLst>
        </xdr:cNvPr>
        <xdr:cNvSpPr txBox="1"/>
      </xdr:nvSpPr>
      <xdr:spPr>
        <a:xfrm>
          <a:off x="26421305" y="15260011"/>
          <a:ext cx="1119552" cy="239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악세스후로아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52</xdr:col>
      <xdr:colOff>243449</xdr:colOff>
      <xdr:row>63</xdr:row>
      <xdr:rowOff>25586</xdr:rowOff>
    </xdr:from>
    <xdr:to>
      <xdr:col>55</xdr:col>
      <xdr:colOff>164261</xdr:colOff>
      <xdr:row>63</xdr:row>
      <xdr:rowOff>198249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6CB5F30-C58C-3037-89E0-0EDF60D4DBFA}"/>
            </a:ext>
          </a:extLst>
        </xdr:cNvPr>
        <xdr:cNvSpPr txBox="1"/>
      </xdr:nvSpPr>
      <xdr:spPr>
        <a:xfrm>
          <a:off x="26041545" y="14503586"/>
          <a:ext cx="1217678" cy="172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셀프레벨링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44</xdr:col>
      <xdr:colOff>358589</xdr:colOff>
      <xdr:row>68</xdr:row>
      <xdr:rowOff>324971</xdr:rowOff>
    </xdr:from>
    <xdr:to>
      <xdr:col>48</xdr:col>
      <xdr:colOff>260477</xdr:colOff>
      <xdr:row>69</xdr:row>
      <xdr:rowOff>273940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C6E6287-ABCD-8B52-7CD3-9B564DA4C2D3}"/>
            </a:ext>
          </a:extLst>
        </xdr:cNvPr>
        <xdr:cNvSpPr txBox="1"/>
      </xdr:nvSpPr>
      <xdr:spPr>
        <a:xfrm>
          <a:off x="22434177" y="16696765"/>
          <a:ext cx="1605182" cy="3299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b="1"/>
            <a:t>주</a:t>
          </a:r>
          <a:r>
            <a:rPr lang="en-US" altLang="ko-KR" b="1"/>
            <a:t>/</a:t>
          </a:r>
          <a:r>
            <a:rPr lang="ko-KR" altLang="en-US" b="1"/>
            <a:t>분전반 설치 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49</xdr:col>
      <xdr:colOff>235324</xdr:colOff>
      <xdr:row>68</xdr:row>
      <xdr:rowOff>324971</xdr:rowOff>
    </xdr:from>
    <xdr:to>
      <xdr:col>53</xdr:col>
      <xdr:colOff>137212</xdr:colOff>
      <xdr:row>69</xdr:row>
      <xdr:rowOff>273940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5B5CE23-9006-7F6D-E710-95D6A350A301}"/>
            </a:ext>
          </a:extLst>
        </xdr:cNvPr>
        <xdr:cNvSpPr txBox="1"/>
      </xdr:nvSpPr>
      <xdr:spPr>
        <a:xfrm>
          <a:off x="24440030" y="16696765"/>
          <a:ext cx="1605182" cy="3299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의료장비 배선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40</xdr:col>
      <xdr:colOff>262887</xdr:colOff>
      <xdr:row>69</xdr:row>
      <xdr:rowOff>358588</xdr:rowOff>
    </xdr:from>
    <xdr:to>
      <xdr:col>43</xdr:col>
      <xdr:colOff>268939</xdr:colOff>
      <xdr:row>70</xdr:row>
      <xdr:rowOff>240885</xdr:rowOff>
    </xdr:to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576930C8-2B28-6B5F-83A2-8725F2ED2474}"/>
            </a:ext>
          </a:extLst>
        </xdr:cNvPr>
        <xdr:cNvSpPr txBox="1"/>
      </xdr:nvSpPr>
      <xdr:spPr>
        <a:xfrm>
          <a:off x="20635181" y="17111382"/>
          <a:ext cx="1283523" cy="2632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정보통신 시스템</a:t>
          </a:r>
          <a:endParaRPr lang="ko-KR" altLang="ko-KR">
            <a:effectLst/>
          </a:endParaRPr>
        </a:p>
      </xdr:txBody>
    </xdr:sp>
    <xdr:clientData/>
  </xdr:twoCellAnchor>
  <xdr:twoCellAnchor>
    <xdr:from>
      <xdr:col>39</xdr:col>
      <xdr:colOff>173241</xdr:colOff>
      <xdr:row>71</xdr:row>
      <xdr:rowOff>19370</xdr:rowOff>
    </xdr:from>
    <xdr:to>
      <xdr:col>41</xdr:col>
      <xdr:colOff>305289</xdr:colOff>
      <xdr:row>71</xdr:row>
      <xdr:rowOff>274503</xdr:rowOff>
    </xdr:to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327944CD-82F1-5629-5653-39F120DDAF20}"/>
            </a:ext>
          </a:extLst>
        </xdr:cNvPr>
        <xdr:cNvSpPr txBox="1"/>
      </xdr:nvSpPr>
      <xdr:spPr>
        <a:xfrm>
          <a:off x="20119712" y="17534164"/>
          <a:ext cx="983695" cy="255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소화설비</a:t>
          </a:r>
          <a:endParaRPr lang="ko-KR" altLang="ko-KR">
            <a:effectLst/>
          </a:endParaRPr>
        </a:p>
      </xdr:txBody>
    </xdr:sp>
    <xdr:clientData/>
  </xdr:twoCellAnchor>
  <xdr:twoCellAnchor>
    <xdr:from>
      <xdr:col>43</xdr:col>
      <xdr:colOff>67235</xdr:colOff>
      <xdr:row>70</xdr:row>
      <xdr:rowOff>347383</xdr:rowOff>
    </xdr:from>
    <xdr:to>
      <xdr:col>45</xdr:col>
      <xdr:colOff>215251</xdr:colOff>
      <xdr:row>71</xdr:row>
      <xdr:rowOff>296352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3D7D4F4C-F2B7-F9EE-9A17-903B4B5F79CE}"/>
            </a:ext>
          </a:extLst>
        </xdr:cNvPr>
        <xdr:cNvSpPr txBox="1"/>
      </xdr:nvSpPr>
      <xdr:spPr>
        <a:xfrm>
          <a:off x="21717000" y="17481177"/>
          <a:ext cx="999663" cy="3299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감지설비</a:t>
          </a:r>
          <a:r>
            <a:rPr lang="ko-KR" altLang="en-US"/>
            <a:t> 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50</xdr:col>
      <xdr:colOff>123266</xdr:colOff>
      <xdr:row>69</xdr:row>
      <xdr:rowOff>358588</xdr:rowOff>
    </xdr:from>
    <xdr:to>
      <xdr:col>52</xdr:col>
      <xdr:colOff>278086</xdr:colOff>
      <xdr:row>70</xdr:row>
      <xdr:rowOff>307557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33E9F9B1-2649-E189-AD27-8A9C2D8EEE04}"/>
            </a:ext>
          </a:extLst>
        </xdr:cNvPr>
        <xdr:cNvSpPr txBox="1"/>
      </xdr:nvSpPr>
      <xdr:spPr>
        <a:xfrm>
          <a:off x="24753795" y="17111382"/>
          <a:ext cx="1006467" cy="3299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US" altLang="ko-K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CCTV </a:t>
          </a:r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설치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42</xdr:col>
      <xdr:colOff>33194</xdr:colOff>
      <xdr:row>59</xdr:row>
      <xdr:rowOff>16250</xdr:rowOff>
    </xdr:from>
    <xdr:to>
      <xdr:col>44</xdr:col>
      <xdr:colOff>279871</xdr:colOff>
      <xdr:row>59</xdr:row>
      <xdr:rowOff>246272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13A091C5-74F8-C677-559D-D7DB265047DC}"/>
            </a:ext>
          </a:extLst>
        </xdr:cNvPr>
        <xdr:cNvSpPr txBox="1"/>
      </xdr:nvSpPr>
      <xdr:spPr>
        <a:xfrm>
          <a:off x="21641337" y="12956643"/>
          <a:ext cx="1117534" cy="230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내부조적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43</xdr:col>
      <xdr:colOff>136827</xdr:colOff>
      <xdr:row>58</xdr:row>
      <xdr:rowOff>22412</xdr:rowOff>
    </xdr:from>
    <xdr:to>
      <xdr:col>46</xdr:col>
      <xdr:colOff>168089</xdr:colOff>
      <xdr:row>58</xdr:row>
      <xdr:rowOff>273063</xdr:rowOff>
    </xdr:to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56827895-5010-64A2-B093-AF939AD01D4E}"/>
            </a:ext>
          </a:extLst>
        </xdr:cNvPr>
        <xdr:cNvSpPr txBox="1"/>
      </xdr:nvSpPr>
      <xdr:spPr>
        <a:xfrm>
          <a:off x="21786592" y="12584206"/>
          <a:ext cx="1308732" cy="250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구조용 내부코킹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45</xdr:col>
      <xdr:colOff>178636</xdr:colOff>
      <xdr:row>62</xdr:row>
      <xdr:rowOff>206811</xdr:rowOff>
    </xdr:from>
    <xdr:to>
      <xdr:col>45</xdr:col>
      <xdr:colOff>295928</xdr:colOff>
      <xdr:row>62</xdr:row>
      <xdr:rowOff>305025</xdr:rowOff>
    </xdr:to>
    <xdr:sp macro="" textlink="">
      <xdr:nvSpPr>
        <xdr:cNvPr id="308" name="타원 307">
          <a:extLst>
            <a:ext uri="{FF2B5EF4-FFF2-40B4-BE49-F238E27FC236}">
              <a16:creationId xmlns:a16="http://schemas.microsoft.com/office/drawing/2014/main" id="{6192A9B1-5512-4CEF-9BD8-DD1B68176754}"/>
            </a:ext>
          </a:extLst>
        </xdr:cNvPr>
        <xdr:cNvSpPr>
          <a:spLocks/>
        </xdr:cNvSpPr>
      </xdr:nvSpPr>
      <xdr:spPr>
        <a:xfrm>
          <a:off x="22800511" y="14303811"/>
          <a:ext cx="117292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52</xdr:col>
      <xdr:colOff>409575</xdr:colOff>
      <xdr:row>63</xdr:row>
      <xdr:rowOff>255653</xdr:rowOff>
    </xdr:from>
    <xdr:to>
      <xdr:col>55</xdr:col>
      <xdr:colOff>139700</xdr:colOff>
      <xdr:row>63</xdr:row>
      <xdr:rowOff>259767</xdr:rowOff>
    </xdr:to>
    <xdr:cxnSp macro="">
      <xdr:nvCxnSpPr>
        <xdr:cNvPr id="317" name="직선 연결선 316">
          <a:extLst>
            <a:ext uri="{FF2B5EF4-FFF2-40B4-BE49-F238E27FC236}">
              <a16:creationId xmlns:a16="http://schemas.microsoft.com/office/drawing/2014/main" id="{B9F8265A-2CAD-4072-8211-941E8A6EF244}"/>
            </a:ext>
          </a:extLst>
        </xdr:cNvPr>
        <xdr:cNvCxnSpPr/>
      </xdr:nvCxnSpPr>
      <xdr:spPr>
        <a:xfrm flipV="1">
          <a:off x="26031825" y="14733653"/>
          <a:ext cx="1016000" cy="4114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402150</xdr:colOff>
      <xdr:row>63</xdr:row>
      <xdr:rowOff>219763</xdr:rowOff>
    </xdr:from>
    <xdr:to>
      <xdr:col>45</xdr:col>
      <xdr:colOff>85677</xdr:colOff>
      <xdr:row>63</xdr:row>
      <xdr:rowOff>311627</xdr:rowOff>
    </xdr:to>
    <xdr:sp macro="" textlink="">
      <xdr:nvSpPr>
        <xdr:cNvPr id="318" name="타원 317">
          <a:extLst>
            <a:ext uri="{FF2B5EF4-FFF2-40B4-BE49-F238E27FC236}">
              <a16:creationId xmlns:a16="http://schemas.microsoft.com/office/drawing/2014/main" id="{B67E731A-A3BE-44C3-A2E5-2BE72CA4C17C}"/>
            </a:ext>
          </a:extLst>
        </xdr:cNvPr>
        <xdr:cNvSpPr>
          <a:spLocks/>
        </xdr:cNvSpPr>
      </xdr:nvSpPr>
      <xdr:spPr>
        <a:xfrm>
          <a:off x="22595400" y="14697763"/>
          <a:ext cx="112152" cy="9186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52</xdr:col>
      <xdr:colOff>368724</xdr:colOff>
      <xdr:row>63</xdr:row>
      <xdr:rowOff>210238</xdr:rowOff>
    </xdr:from>
    <xdr:to>
      <xdr:col>53</xdr:col>
      <xdr:colOff>58601</xdr:colOff>
      <xdr:row>63</xdr:row>
      <xdr:rowOff>308452</xdr:rowOff>
    </xdr:to>
    <xdr:sp macro="" textlink="">
      <xdr:nvSpPr>
        <xdr:cNvPr id="323" name="타원 322">
          <a:extLst>
            <a:ext uri="{FF2B5EF4-FFF2-40B4-BE49-F238E27FC236}">
              <a16:creationId xmlns:a16="http://schemas.microsoft.com/office/drawing/2014/main" id="{3FD5830C-6B0D-4574-8882-9F02DD08D225}"/>
            </a:ext>
          </a:extLst>
        </xdr:cNvPr>
        <xdr:cNvSpPr>
          <a:spLocks/>
        </xdr:cNvSpPr>
      </xdr:nvSpPr>
      <xdr:spPr>
        <a:xfrm>
          <a:off x="25850900" y="14677032"/>
          <a:ext cx="115701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56</xdr:col>
      <xdr:colOff>29482</xdr:colOff>
      <xdr:row>73</xdr:row>
      <xdr:rowOff>211813</xdr:rowOff>
    </xdr:from>
    <xdr:to>
      <xdr:col>58</xdr:col>
      <xdr:colOff>391832</xdr:colOff>
      <xdr:row>73</xdr:row>
      <xdr:rowOff>220209</xdr:rowOff>
    </xdr:to>
    <xdr:cxnSp macro="">
      <xdr:nvCxnSpPr>
        <xdr:cNvPr id="332" name="직선 연결선 331">
          <a:extLst>
            <a:ext uri="{FF2B5EF4-FFF2-40B4-BE49-F238E27FC236}">
              <a16:creationId xmlns:a16="http://schemas.microsoft.com/office/drawing/2014/main" id="{BFAC0BA7-10F2-46C6-8848-82F543329486}"/>
            </a:ext>
          </a:extLst>
        </xdr:cNvPr>
        <xdr:cNvCxnSpPr/>
      </xdr:nvCxnSpPr>
      <xdr:spPr>
        <a:xfrm>
          <a:off x="27214953" y="18499813"/>
          <a:ext cx="1213997" cy="8396"/>
        </a:xfrm>
        <a:prstGeom prst="line">
          <a:avLst/>
        </a:prstGeom>
        <a:ln w="508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388657</xdr:colOff>
      <xdr:row>73</xdr:row>
      <xdr:rowOff>149250</xdr:rowOff>
    </xdr:from>
    <xdr:to>
      <xdr:col>56</xdr:col>
      <xdr:colOff>69382</xdr:colOff>
      <xdr:row>73</xdr:row>
      <xdr:rowOff>247464</xdr:rowOff>
    </xdr:to>
    <xdr:sp macro="" textlink="">
      <xdr:nvSpPr>
        <xdr:cNvPr id="333" name="타원 332">
          <a:extLst>
            <a:ext uri="{FF2B5EF4-FFF2-40B4-BE49-F238E27FC236}">
              <a16:creationId xmlns:a16="http://schemas.microsoft.com/office/drawing/2014/main" id="{762D7E21-CB19-4D64-823C-CB3B3D4B0722}"/>
            </a:ext>
          </a:extLst>
        </xdr:cNvPr>
        <xdr:cNvSpPr>
          <a:spLocks/>
        </xdr:cNvSpPr>
      </xdr:nvSpPr>
      <xdr:spPr>
        <a:xfrm>
          <a:off x="27296782" y="18437250"/>
          <a:ext cx="10935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47</xdr:col>
      <xdr:colOff>136280</xdr:colOff>
      <xdr:row>65</xdr:row>
      <xdr:rowOff>13607</xdr:rowOff>
    </xdr:from>
    <xdr:to>
      <xdr:col>51</xdr:col>
      <xdr:colOff>149678</xdr:colOff>
      <xdr:row>65</xdr:row>
      <xdr:rowOff>279012</xdr:rowOff>
    </xdr:to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8B9830A8-6704-4B13-9444-D2F18D42113B}"/>
            </a:ext>
          </a:extLst>
        </xdr:cNvPr>
        <xdr:cNvSpPr txBox="1"/>
      </xdr:nvSpPr>
      <xdr:spPr>
        <a:xfrm>
          <a:off x="23921566" y="15240000"/>
          <a:ext cx="1755112" cy="265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영상장비반입 및 차폐공사</a:t>
          </a:r>
          <a:endParaRPr lang="en-US" altLang="ko-KR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211830</xdr:colOff>
      <xdr:row>79</xdr:row>
      <xdr:rowOff>149679</xdr:rowOff>
    </xdr:from>
    <xdr:to>
      <xdr:col>29</xdr:col>
      <xdr:colOff>231322</xdr:colOff>
      <xdr:row>80</xdr:row>
      <xdr:rowOff>165059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6C78F462-0EFF-4E21-BB3F-29C6996DF9F5}"/>
            </a:ext>
          </a:extLst>
        </xdr:cNvPr>
        <xdr:cNvSpPr/>
      </xdr:nvSpPr>
      <xdr:spPr>
        <a:xfrm>
          <a:off x="5709116" y="20710072"/>
          <a:ext cx="10469777" cy="39638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US" altLang="ko-KR" sz="18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** </a:t>
          </a:r>
          <a:r>
            <a:rPr lang="ko-KR" altLang="ko-KR" sz="18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공사 진행시 조달물자의 조달일정을 검토하고 반영하여 공사기간의 지연이 일어나지 않도록 할 것</a:t>
          </a:r>
          <a:r>
            <a:rPr lang="en-US" altLang="ko-KR" sz="18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45</xdr:col>
      <xdr:colOff>280147</xdr:colOff>
      <xdr:row>62</xdr:row>
      <xdr:rowOff>244929</xdr:rowOff>
    </xdr:from>
    <xdr:to>
      <xdr:col>53</xdr:col>
      <xdr:colOff>78441</xdr:colOff>
      <xdr:row>62</xdr:row>
      <xdr:rowOff>244929</xdr:rowOff>
    </xdr:to>
    <xdr:cxnSp macro="">
      <xdr:nvCxnSpPr>
        <xdr:cNvPr id="310" name="직선 화살표 연결선 309">
          <a:extLst>
            <a:ext uri="{FF2B5EF4-FFF2-40B4-BE49-F238E27FC236}">
              <a16:creationId xmlns:a16="http://schemas.microsoft.com/office/drawing/2014/main" id="{0CCDD5CF-06E0-4238-9D85-C6DA3EC2B9CB}"/>
            </a:ext>
          </a:extLst>
        </xdr:cNvPr>
        <xdr:cNvCxnSpPr/>
      </xdr:nvCxnSpPr>
      <xdr:spPr>
        <a:xfrm>
          <a:off x="22781559" y="14330723"/>
          <a:ext cx="3204882" cy="0"/>
        </a:xfrm>
        <a:prstGeom prst="straightConnector1">
          <a:avLst/>
        </a:prstGeom>
        <a:ln w="31750">
          <a:solidFill>
            <a:schemeClr val="bg1">
              <a:lumMod val="50000"/>
            </a:schemeClr>
          </a:solidFill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112059</xdr:colOff>
      <xdr:row>63</xdr:row>
      <xdr:rowOff>267341</xdr:rowOff>
    </xdr:from>
    <xdr:to>
      <xdr:col>52</xdr:col>
      <xdr:colOff>358589</xdr:colOff>
      <xdr:row>63</xdr:row>
      <xdr:rowOff>267341</xdr:rowOff>
    </xdr:to>
    <xdr:cxnSp macro="">
      <xdr:nvCxnSpPr>
        <xdr:cNvPr id="312" name="직선 화살표 연결선 311">
          <a:extLst>
            <a:ext uri="{FF2B5EF4-FFF2-40B4-BE49-F238E27FC236}">
              <a16:creationId xmlns:a16="http://schemas.microsoft.com/office/drawing/2014/main" id="{5F3BB3F0-7FC4-411E-88EF-DAB72B1CFE84}"/>
            </a:ext>
          </a:extLst>
        </xdr:cNvPr>
        <xdr:cNvCxnSpPr/>
      </xdr:nvCxnSpPr>
      <xdr:spPr>
        <a:xfrm>
          <a:off x="22613471" y="14734135"/>
          <a:ext cx="3227294" cy="0"/>
        </a:xfrm>
        <a:prstGeom prst="straightConnector1">
          <a:avLst/>
        </a:prstGeom>
        <a:ln w="31750">
          <a:solidFill>
            <a:schemeClr val="bg1">
              <a:lumMod val="50000"/>
            </a:schemeClr>
          </a:solidFill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375957</xdr:colOff>
      <xdr:row>73</xdr:row>
      <xdr:rowOff>174650</xdr:rowOff>
    </xdr:from>
    <xdr:to>
      <xdr:col>59</xdr:col>
      <xdr:colOff>63032</xdr:colOff>
      <xdr:row>73</xdr:row>
      <xdr:rowOff>272864</xdr:rowOff>
    </xdr:to>
    <xdr:sp macro="" textlink="">
      <xdr:nvSpPr>
        <xdr:cNvPr id="316" name="타원 315">
          <a:extLst>
            <a:ext uri="{FF2B5EF4-FFF2-40B4-BE49-F238E27FC236}">
              <a16:creationId xmlns:a16="http://schemas.microsoft.com/office/drawing/2014/main" id="{3386CBAF-AF5B-4BF9-8F22-792AB6698E95}"/>
            </a:ext>
          </a:extLst>
        </xdr:cNvPr>
        <xdr:cNvSpPr>
          <a:spLocks/>
        </xdr:cNvSpPr>
      </xdr:nvSpPr>
      <xdr:spPr>
        <a:xfrm>
          <a:off x="28569957" y="18453125"/>
          <a:ext cx="115700" cy="98214"/>
        </a:xfrm>
        <a:prstGeom prst="ellipse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116542</xdr:colOff>
      <xdr:row>7</xdr:row>
      <xdr:rowOff>128384</xdr:rowOff>
    </xdr:from>
    <xdr:ext cx="4627632" cy="349092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712"/>
        <a:stretch/>
      </xdr:blipFill>
      <xdr:spPr>
        <a:xfrm>
          <a:off x="5583892" y="2195309"/>
          <a:ext cx="4627632" cy="3490925"/>
        </a:xfrm>
        <a:prstGeom prst="rect">
          <a:avLst/>
        </a:prstGeom>
      </xdr:spPr>
    </xdr:pic>
    <xdr:clientData/>
  </xdr:oneCellAnchor>
  <xdr:oneCellAnchor>
    <xdr:from>
      <xdr:col>0</xdr:col>
      <xdr:colOff>137274</xdr:colOff>
      <xdr:row>7</xdr:row>
      <xdr:rowOff>119291</xdr:rowOff>
    </xdr:from>
    <xdr:ext cx="4693399" cy="3055709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121" b="12797"/>
        <a:stretch/>
      </xdr:blipFill>
      <xdr:spPr>
        <a:xfrm>
          <a:off x="137274" y="2186216"/>
          <a:ext cx="4693399" cy="305570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436;&#47448;\&#49457;&#51648;&#44277;&#5478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73;&#49345;\&#48148;&#53461;%20&#54868;&#47732;\My%20Documents\&#44204;%20%20%20%20&#51201;\&#54869;&#50557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MSI\&#44600;&#51020;&#46041;&#51116;&#44060;&#48156;&#50500;&#54028;&#53944;\JABO\O12060\INFORM\MYENGBU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EC_EB\EB_1\2PROJECT\PLANT\Z98037\SUM-CT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884;&#44032;&#51648;&#50864;&#5492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DS\PROJECT\&#52628;%20&#54413;%20&#47161;\&#52628;&#54413;&#52572;&#51333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840;&#49453;\2001&#45380;&#44204;&#51201;\&#44608;&#50857;&#44592;\&#50641;&#49472;\GUMI4B2\&#44396;&#48120;4&#45800;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mb\project\2PROJECT\PLANT\Z98037\SUM-CT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KGM\Documents\&#48155;&#51008;%20&#54028;&#51068;\&#50896;&#44032;(&#45824;&#51204;&#46020;&#50504;8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840;&#49453;\2001&#45380;&#44204;&#51201;\My%20Documents\Khdata99\&#44288;&#47532;&#52397;\&#50896;&#45224;-&#50872;&#51652;\&#50896;&#45224;&#50872;&#51652;&#45209;&#52272;&#45236;&#50669;(99.4.13%20&#48512;&#49328;&#52397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840;&#49453;\2001&#45380;&#44204;&#51201;\My%20Documents\Khdata99\&#44288;&#47532;&#52397;\&#49436;&#50872;\&#44053;&#48320;&#48513;&#47196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840;&#49453;\2001&#45380;&#44204;&#51201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840;&#49453;\2001&#45380;&#44204;&#51201;\My%20Documents\Khdata99\&#44288;&#47532;&#52397;\&#49436;&#50872;\&#44053;&#48320;&#48513;&#47196;\My%20Documents\KHDATA\&#54620;&#44397;&#51204;&#47141;\&#49888;&#49457;&#45224;-&#44552;&#44257;\&#49888;&#49457;&#45224;&#53804;&#52272;&#45236;&#50669;(1&#48264;&#45236;&#50669;)(2)\KHDATA\&#44288;&#47532;&#52397;\&#50896;&#45224;-&#50872;&#51652;\&#50896;&#45224;&#50872;&#51652;&#45209;&#52272;&#45236;&#50669;(99.4.13%20&#48512;&#49328;&#52397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4018\c\ESTI96\&#44053;&#51652;&#51109;&#55141;\&#54980;&#45796;&#45236;&#50669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840;&#49453;\2001&#45380;&#44204;&#51201;\&#51077;&#52272;&#45236;&#50669;\&#44592;&#50500;&#45824;&#44368;\&#44592;&#50500;&#45824;&#4436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775\c\ESTI96\&#44053;&#51652;&#51109;&#55141;\&#54980;&#45796;&#45236;&#506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"/>
      <sheetName val="ELECTRIC"/>
      <sheetName val="CTEMCOST"/>
      <sheetName val="토목주소"/>
      <sheetName val="프랜트면허"/>
      <sheetName val="일위대가"/>
      <sheetName val="#REF"/>
      <sheetName val="2.내역"/>
      <sheetName val="1,2공구원가계산서"/>
      <sheetName val="2공구산출내역"/>
      <sheetName val="1공구산출내역서"/>
      <sheetName val="내역서"/>
      <sheetName val="견적"/>
      <sheetName val="갑지(추정)"/>
      <sheetName val="설산1.나"/>
      <sheetName val="본사S"/>
      <sheetName val="원가"/>
      <sheetName val="화전내"/>
      <sheetName val="합천내역"/>
      <sheetName val="중기일위대가"/>
      <sheetName val="계화총괄"/>
      <sheetName val="계화배수(3대)"/>
      <sheetName val="6PILE  (돌출)"/>
      <sheetName val="간접비"/>
      <sheetName val="방배동내역(리라)"/>
      <sheetName val="예가표"/>
      <sheetName val="Y-WORK"/>
      <sheetName val="원가계산"/>
      <sheetName val="공문"/>
      <sheetName val="품셈TABLE"/>
      <sheetName val="Sheet2"/>
      <sheetName val="TOWER 12TON"/>
      <sheetName val="TOWER 10TON"/>
      <sheetName val="산출내역서"/>
      <sheetName val="변경내역을"/>
      <sheetName val="자재단가"/>
      <sheetName val="옥외"/>
      <sheetName val="아파트"/>
      <sheetName val="복지시설"/>
      <sheetName val="지하주차장"/>
      <sheetName val="근린생활시설"/>
      <sheetName val="보합산출근거"/>
      <sheetName val="실행철강하도"/>
      <sheetName val="금액내역서"/>
      <sheetName val="공틀공사"/>
      <sheetName val="본사공가현황"/>
      <sheetName val="Sheet1"/>
      <sheetName val="본선 토공 분배표"/>
      <sheetName val="단면 _2_"/>
      <sheetName val="영동(D)"/>
      <sheetName val="유림골조"/>
      <sheetName val="Sheet5"/>
      <sheetName val="EP0618"/>
      <sheetName val="데이타"/>
      <sheetName val="공사내역"/>
      <sheetName val="FB25JN"/>
      <sheetName val="입력시트"/>
      <sheetName val="원하도급내역서(당초)"/>
      <sheetName val="data2"/>
      <sheetName val="정보매체A동"/>
      <sheetName val="할증 "/>
      <sheetName val="Eq. Mobiliz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비"/>
      <sheetName val="#REF"/>
      <sheetName val="예가표"/>
      <sheetName val="확약서"/>
      <sheetName val="제6-2공구"/>
      <sheetName val="투안점수"/>
      <sheetName val="자재및인력 (투안)"/>
      <sheetName val="내역서"/>
      <sheetName val="현장관리계획서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토목"/>
      <sheetName val="연결임시"/>
      <sheetName val="수목일위"/>
      <sheetName val="식재"/>
      <sheetName val="유지관리"/>
      <sheetName val="기계(소방기계)"/>
      <sheetName val="기계(기계설비)"/>
      <sheetName val="건축(부대)"/>
      <sheetName val="시설물"/>
      <sheetName val="복갑"/>
      <sheetName val="원가"/>
      <sheetName val="철콘"/>
      <sheetName val="일위대가"/>
      <sheetName val="단가결정"/>
      <sheetName val="원가서"/>
      <sheetName val="적점"/>
      <sheetName val="건축(경비실)"/>
      <sheetName val="견적내역"/>
      <sheetName val="가설공사"/>
      <sheetName val="교량전기"/>
      <sheetName val="수목데이타"/>
      <sheetName val="공비입력"/>
      <sheetName val="실행대비"/>
      <sheetName val="참고"/>
      <sheetName val="총괄-1"/>
      <sheetName val="내역"/>
      <sheetName val="설계가추정 (2)"/>
      <sheetName val="Macro1"/>
      <sheetName val="중기조종사 단위단가"/>
      <sheetName val="기준액"/>
      <sheetName val="기계(소방전기)"/>
      <sheetName val="96노임기준"/>
      <sheetName val="노무비단가"/>
      <sheetName val="SG"/>
      <sheetName val="덕소내역"/>
      <sheetName val="관급총괄"/>
      <sheetName val="자재"/>
      <sheetName val="내역아"/>
      <sheetName val="4차원가계산서"/>
      <sheetName val="시설물일위"/>
      <sheetName val="식재출력용"/>
      <sheetName val="원가계산서"/>
      <sheetName val="토공"/>
      <sheetName val="건축(본관분)"/>
      <sheetName val="부대tu"/>
      <sheetName val="노임"/>
      <sheetName val="단가조사"/>
      <sheetName val="울타리"/>
      <sheetName val="토목내역"/>
      <sheetName val="식재인부"/>
      <sheetName val="산출내역서"/>
      <sheetName val="단가"/>
      <sheetName val="계수시트"/>
      <sheetName val="결재원가"/>
      <sheetName val="견적"/>
      <sheetName val="신표지1"/>
      <sheetName val="현장경비"/>
      <sheetName val="부흥(실행)"/>
      <sheetName val="복을"/>
      <sheetName val="백호우계수"/>
      <sheetName val="마감사양"/>
      <sheetName val="MAT_N048"/>
      <sheetName val="01"/>
      <sheetName val="252K444"/>
      <sheetName val="방배동내역(리라)"/>
      <sheetName val="공통가설"/>
      <sheetName val="건축공사집계표"/>
      <sheetName val="방배동내역 (총괄)"/>
      <sheetName val="부대공사총괄"/>
      <sheetName val="공사비예산서(토목분)"/>
      <sheetName val="일위대가(건축)"/>
      <sheetName val="중동상가"/>
      <sheetName val="H-pile(298x299)"/>
      <sheetName val="H-pile(250x250)"/>
      <sheetName val="결과조달"/>
      <sheetName val="집계표"/>
      <sheetName val="참조"/>
      <sheetName val="입찰"/>
      <sheetName val="현경"/>
      <sheetName val="1,2공구원가계산서"/>
      <sheetName val="2공구산출내역"/>
      <sheetName val="1공구산출내역서"/>
      <sheetName val="기계경비(시간당)"/>
      <sheetName val="램머"/>
      <sheetName val="전체내역"/>
      <sheetName val="법면"/>
      <sheetName val="부대공"/>
      <sheetName val="구조물공"/>
      <sheetName val="중기일위대가"/>
      <sheetName val="포장공"/>
      <sheetName val="배수공1"/>
      <sheetName val="실행철강하도"/>
      <sheetName val="건축공사"/>
      <sheetName val="표지"/>
      <sheetName val="자재및인력_(투안)"/>
      <sheetName val="설계가추정_(2)"/>
      <sheetName val="중기조종사_단위단가"/>
      <sheetName val="현황산출서"/>
      <sheetName val="BID"/>
      <sheetName val="FILE1"/>
      <sheetName val="전계가"/>
      <sheetName val="조명시설"/>
      <sheetName val="찍기"/>
      <sheetName val="밸브설치"/>
      <sheetName val="노임단가"/>
      <sheetName val="유림골조"/>
      <sheetName val="가격조사서"/>
      <sheetName val="물량표"/>
      <sheetName val="맨홀되메우기"/>
      <sheetName val="합천내역"/>
      <sheetName val="C3"/>
      <sheetName val="집계표(육상)"/>
      <sheetName val="변경현황"/>
      <sheetName val="Sheet1 (2)"/>
      <sheetName val="총괄표"/>
      <sheetName val="실행"/>
      <sheetName val="SAKUB"/>
      <sheetName val="영동(D)"/>
      <sheetName val="Ⅴ-2.공종별내역"/>
      <sheetName val="Eq. Mobilization"/>
      <sheetName val="기초1"/>
      <sheetName val="가도공"/>
      <sheetName val="변경집계표"/>
      <sheetName val="데이타"/>
      <sheetName val="공량산출서"/>
      <sheetName val="하도금액분계"/>
      <sheetName val="INPUT"/>
      <sheetName val="지급자재"/>
      <sheetName val="09년콘크리트타설현황 (교량공)"/>
      <sheetName val="09년콘크리트타설현황 (공통공)"/>
      <sheetName val="09년콘크리트타설현황 (배수공)"/>
      <sheetName val="09년콘크리트타설현황 (포장공부대공)"/>
      <sheetName val="수량산출"/>
      <sheetName val="배수및물푸기시설"/>
      <sheetName val="02.월별투입현황"/>
      <sheetName val="총괄내역서"/>
      <sheetName val="차액보증"/>
      <sheetName val="공사비집계"/>
      <sheetName val="광양 3기 유입수"/>
      <sheetName val="경비"/>
      <sheetName val="공사비증감"/>
      <sheetName val="A-4"/>
      <sheetName val="장비"/>
      <sheetName val="산근1"/>
      <sheetName val="노무"/>
      <sheetName val="갑지"/>
      <sheetName val="총괄집계표"/>
      <sheetName val="기초일위대가"/>
      <sheetName val="식재일위대가"/>
      <sheetName val="단가대비표"/>
      <sheetName val="일위대가-1"/>
      <sheetName val="준공조서갑지"/>
      <sheetName val="단면가정"/>
      <sheetName val="Sheet1"/>
      <sheetName val="토적집계표(토공)"/>
      <sheetName val="흙운반(총괄)"/>
      <sheetName val="2차운반후 토량집계"/>
      <sheetName val="이기(집계)"/>
      <sheetName val="JUCKEYK"/>
      <sheetName val="기자재비"/>
      <sheetName val="교각1"/>
      <sheetName val="교통처리우회도로토공집계표 (2)"/>
      <sheetName val="우회도로포장수량집계표 (2)"/>
      <sheetName val="가시설총괄집계_서제교"/>
      <sheetName val="포장수량집계"/>
      <sheetName val="4.2.1 마루높이 검토"/>
      <sheetName val="을"/>
      <sheetName val="간접"/>
      <sheetName val="감액총괄표"/>
      <sheetName val="수정"/>
      <sheetName val="설계내역서"/>
      <sheetName val="토적표"/>
      <sheetName val="약품공급2"/>
      <sheetName val="Baby일위대가"/>
      <sheetName val="소요자재"/>
      <sheetName val="기본DATA"/>
      <sheetName val="산정표"/>
      <sheetName val="산재 안전"/>
      <sheetName val="노무비 경비"/>
      <sheetName val="산출내역서집계표"/>
      <sheetName val="부대내역"/>
      <sheetName val="우수"/>
      <sheetName val="CTEMCOST"/>
      <sheetName val="타공종 이월수량"/>
      <sheetName val="산출내역(K2)"/>
      <sheetName val="이기(공통)"/>
      <sheetName val="이기(배수)"/>
      <sheetName val="이기(교량)"/>
      <sheetName val="이기(부대)"/>
      <sheetName val="이기(터널)"/>
      <sheetName val="6PILE  (돌출)"/>
      <sheetName val="SCHEDULE"/>
      <sheetName val="ELECTRIC"/>
      <sheetName val="철근단면적"/>
      <sheetName val="전기일위대가"/>
      <sheetName val="이건 두번째에"/>
      <sheetName val="제출내역 (2)"/>
      <sheetName val="7.PILE  (돌출)"/>
      <sheetName val="부속동"/>
      <sheetName val="금융비용"/>
      <sheetName val="입찰안"/>
      <sheetName val="실행내역"/>
      <sheetName val="현장지지물물량"/>
      <sheetName val="용산1(해보)"/>
      <sheetName val="3.바닥판설계"/>
      <sheetName val="Macro2"/>
      <sheetName val="단면 (2)"/>
      <sheetName val="LTR-2"/>
      <sheetName val="DB1"/>
      <sheetName val="DB10"/>
      <sheetName val="DB11"/>
      <sheetName val="DB12"/>
      <sheetName val="DB13"/>
      <sheetName val="DB14"/>
      <sheetName val="DB15"/>
      <sheetName val="DB16"/>
      <sheetName val="DB17"/>
      <sheetName val="DB18"/>
      <sheetName val="DB19"/>
      <sheetName val="DB2"/>
      <sheetName val="DB3"/>
      <sheetName val="DB4"/>
      <sheetName val="DB5"/>
      <sheetName val="DB6"/>
      <sheetName val="DB7"/>
      <sheetName val="DB8"/>
      <sheetName val="DB9"/>
      <sheetName val="PARAMETERS"/>
      <sheetName val="FitOutConfCentre"/>
      <sheetName val="조도계산서 (도서)"/>
      <sheetName val="3.공통공사대비"/>
      <sheetName val="단위수량"/>
      <sheetName val="프랜트면허"/>
      <sheetName val="토목주소"/>
      <sheetName val="증감내역서"/>
      <sheetName val="하부철근수량"/>
      <sheetName val="공통부대비"/>
      <sheetName val="토목-물가"/>
      <sheetName val="배관내역"/>
      <sheetName val="DATE"/>
      <sheetName val="대운산출"/>
      <sheetName val="경상비"/>
      <sheetName val="철근집계표"/>
      <sheetName val="금액내역서"/>
      <sheetName val="내역서적용수량 (지방도893)"/>
      <sheetName val="전선 및 전선관"/>
      <sheetName val="Balance"/>
      <sheetName val="Medagama"/>
      <sheetName val="Sandunpura"/>
      <sheetName val="Veheragala"/>
      <sheetName val="Collection"/>
      <sheetName val="Rainfall Data"/>
      <sheetName val="Mahawanawela"/>
      <sheetName val="Nuwaragala"/>
      <sheetName val="Siripura"/>
      <sheetName val="Background"/>
      <sheetName val="L형집계"/>
      <sheetName val="갑지(추정)"/>
      <sheetName val="3.하중계산"/>
      <sheetName val="간접비"/>
      <sheetName val="북방3터널"/>
      <sheetName val="조건표"/>
      <sheetName val="설계조건"/>
      <sheetName val="단가산출서"/>
      <sheetName val="한강운반비"/>
      <sheetName val="표준건축비"/>
      <sheetName val="2"/>
      <sheetName val="업무처리전"/>
      <sheetName val="1공구 건정토건 토공"/>
      <sheetName val="BOQ"/>
      <sheetName val="LEGEND"/>
      <sheetName val="법면단"/>
      <sheetName val="석축단"/>
      <sheetName val="법면수집"/>
      <sheetName val="석축설면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(추정)"/>
      <sheetName val="GAEYO"/>
      <sheetName val="JOKUN"/>
      <sheetName val="Sheet5"/>
      <sheetName val="총괄표"/>
      <sheetName val="BSD (2)"/>
      <sheetName val="부하계산서"/>
      <sheetName val="현장지지물물량"/>
      <sheetName val="1.우편집중내역서"/>
      <sheetName val="적용률"/>
      <sheetName val="ACDIM6D"/>
      <sheetName val="을지"/>
      <sheetName val="기계시공"/>
      <sheetName val="danga"/>
      <sheetName val="ilch"/>
      <sheetName val="직노"/>
      <sheetName val="AP1"/>
      <sheetName val="토공"/>
      <sheetName val="공통가설"/>
      <sheetName val="갑지1"/>
      <sheetName val="CAT_5"/>
      <sheetName val="갑지_추정_"/>
      <sheetName val="Sheet1"/>
      <sheetName val="노임"/>
      <sheetName val="DATE"/>
      <sheetName val="산근"/>
      <sheetName val="Sheet6"/>
      <sheetName val="EKOG10건축"/>
      <sheetName val="일위대가"/>
      <sheetName val="토공(우물통,기타) "/>
      <sheetName val="DATA"/>
      <sheetName val="설산1.나"/>
      <sheetName val="본사S"/>
      <sheetName val="SG"/>
      <sheetName val="공종단가"/>
      <sheetName val="예가표"/>
      <sheetName val="표지 (2)"/>
      <sheetName val="SUM-CTI"/>
      <sheetName val="전기"/>
      <sheetName val="전체"/>
      <sheetName val="정부노임단가"/>
      <sheetName val="원형맨홀수량"/>
      <sheetName val="ABUT수량-A1"/>
      <sheetName val="토목주소"/>
      <sheetName val="프랜트면허"/>
      <sheetName val="토목"/>
      <sheetName val="골조시행"/>
      <sheetName val="돌담교 상부수량"/>
      <sheetName val="부표총괄"/>
      <sheetName val="내역(전체)"/>
      <sheetName val="WORK"/>
      <sheetName val="입찰안"/>
      <sheetName val="중기일위대가"/>
      <sheetName val="공사원가계산서"/>
      <sheetName val="내역서"/>
      <sheetName val="집계표"/>
      <sheetName val="내역"/>
      <sheetName val="#REF"/>
      <sheetName val="°©Áö(ÃßÁ¤)"/>
      <sheetName val="ºÎÇÏ°è»ê¼­"/>
      <sheetName val="ÇöÀåÁöÁö¹°¹°·®"/>
      <sheetName val="±â°è½Ã°ø"/>
      <sheetName val="Àû¿ë·ü"/>
      <sheetName val="»ê±Ù"/>
      <sheetName val="°øÅë°¡¼³"/>
      <sheetName val="EKOG10°ÇÃà"/>
      <sheetName val="À»Áö"/>
      <sheetName val="Åä°ø(¿ì¹°Åë,±âÅ¸) "/>
      <sheetName val="¼³»ê1.³ª"/>
      <sheetName val="º»»çS"/>
      <sheetName val="조경"/>
      <sheetName val="대우단가(풍산)"/>
      <sheetName val="Sheet2"/>
      <sheetName val="해평견적"/>
      <sheetName val="총물량"/>
      <sheetName val="CATV"/>
      <sheetName val="아파트 기성내역서"/>
      <sheetName val="주소록"/>
      <sheetName val="설직재-1"/>
      <sheetName val="데이타"/>
      <sheetName val="식재인부"/>
      <sheetName val="1-1"/>
      <sheetName val="Breakdown"/>
      <sheetName val="UnitRate"/>
      <sheetName val="단가표"/>
      <sheetName val="c_balju"/>
      <sheetName val="을"/>
      <sheetName val="정공공사"/>
      <sheetName val="Total"/>
      <sheetName val="hvac(제어동)"/>
      <sheetName val="공통비(전체)"/>
      <sheetName val="소방사항"/>
      <sheetName val="목록"/>
      <sheetName val="중기"/>
      <sheetName val="내역1"/>
      <sheetName val="건축집계"/>
      <sheetName val="자재(원원+원대)"/>
      <sheetName val="입찰"/>
      <sheetName val="현경"/>
      <sheetName val="출력일지(01월)"/>
      <sheetName val="설계"/>
      <sheetName val="기초일위"/>
      <sheetName val="CTEMCOST"/>
      <sheetName val="ELECTRIC"/>
      <sheetName val="1월"/>
      <sheetName val="설계명세"/>
      <sheetName val="실행(표지,갑,을)"/>
      <sheetName val="백호우계수"/>
      <sheetName val="6호기"/>
      <sheetName val="Indirect Cost"/>
      <sheetName val="건축공사실행"/>
      <sheetName val="실행(ALT1)"/>
      <sheetName val="투찰"/>
      <sheetName val="본공사"/>
      <sheetName val="개산공사비"/>
      <sheetName val="원가계산서"/>
      <sheetName val="정화조동내역"/>
      <sheetName val="총괄"/>
      <sheetName val="코드"/>
      <sheetName val="단위수량"/>
      <sheetName val="공사비산출내역"/>
      <sheetName val="4.2유효폭의 계산"/>
      <sheetName val="차액보증"/>
      <sheetName val="대가목록"/>
      <sheetName val="남양시작동자105노65기1.3화1.2"/>
      <sheetName val="9GNG운반"/>
      <sheetName val="공내역"/>
      <sheetName val="설비원가"/>
      <sheetName val="표지"/>
      <sheetName val="관리,공감"/>
      <sheetName val="1차설계변경내역"/>
      <sheetName val="수량산출"/>
      <sheetName val="설비단가표"/>
      <sheetName val="기본일위"/>
      <sheetName val="견적내역"/>
      <sheetName val="준검 내역서"/>
      <sheetName val="노임단가"/>
      <sheetName val="°©Áö_ÃßÁ¤_"/>
      <sheetName val="³»¿ª1"/>
      <sheetName val="ÀÏÀ§´ë°¡"/>
      <sheetName val="1¿ù"/>
      <sheetName val="¸ñ·Ï"/>
      <sheetName val="½ÇÇà(Ç¥Áö,°©,À»)"/>
      <sheetName val="¼³°è¸í¼¼"/>
      <sheetName val="°ÇÃà°ø»ç½ÇÇà"/>
      <sheetName val="³ëÀÓ"/>
      <sheetName val="ÀÚÀç(¿ø¿ø+¿ø´ë)"/>
      <sheetName val="Ãâ·ÂÀÏÁö(01¿ù)"/>
      <sheetName val="°ÇÃàÁý°è"/>
      <sheetName val="¼³°è"/>
      <sheetName val="ÄÚµå"/>
      <sheetName val="Á¤ºÎ³ëÀÓ´Ü°¡"/>
      <sheetName val="ÃÑ¹°·®"/>
      <sheetName val="½ÇÇà(ALT1)"/>
      <sheetName val="ÀÔÂû"/>
      <sheetName val="Çö°æ"/>
      <sheetName val="¼³ºñ¿ø°¡"/>
      <sheetName val="Ç¥Áö"/>
      <sheetName val="±âÃÊÀÏÀ§"/>
      <sheetName val="6È£±â"/>
      <sheetName val="Åä¸ñ"/>
      <sheetName val="º»°ø»ç"/>
      <sheetName val="°ø³»¿ª"/>
      <sheetName val="1Â÷¼³°èº¯°æ³»¿ª"/>
      <sheetName val="¿ø°¡°è»ê¼­"/>
      <sheetName val="인건비"/>
      <sheetName val="대전-교대(A1-A2)"/>
      <sheetName val="저"/>
      <sheetName val="유림골조"/>
      <sheetName val="공사내역"/>
      <sheetName val="업체견적(거푸집)"/>
      <sheetName val="은행"/>
      <sheetName val="단가"/>
      <sheetName val="BSD _2_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간접비내역-1"/>
      <sheetName val="콘크리트타설집계표"/>
      <sheetName val="시화점실행"/>
      <sheetName val="ITB COST"/>
      <sheetName val="내역서1999.8최종"/>
      <sheetName val="KMT물량"/>
      <sheetName val="물가자료"/>
      <sheetName val="TB-내역서"/>
      <sheetName val="입고현황(전체)"/>
      <sheetName val="INPUT"/>
      <sheetName val="손익분석"/>
      <sheetName val="간접경상비"/>
      <sheetName val="s"/>
      <sheetName val="건축내역서"/>
      <sheetName val="설비내역서"/>
      <sheetName val="전기내역서"/>
      <sheetName val="토공집계표"/>
      <sheetName val="기계내역서"/>
      <sheetName val="97 사업추정(WEKI)"/>
      <sheetName val="인사자료총집계"/>
      <sheetName val="200"/>
      <sheetName val="Y-WORK"/>
      <sheetName val="HVAC"/>
      <sheetName val="BID"/>
      <sheetName val="조명시설"/>
      <sheetName val="작성"/>
      <sheetName val="백암비스타내역"/>
      <sheetName val="주경기-오배수"/>
      <sheetName val="당진1,2호기전선관설치및접지4차공사내역서-을지"/>
      <sheetName val="입찰보고"/>
      <sheetName val="기계"/>
      <sheetName val="자재단가비교표"/>
      <sheetName val="견적단가"/>
      <sheetName val="수량-가로등"/>
      <sheetName val="1차 내역서"/>
      <sheetName val="참조"/>
      <sheetName val="전차선로 물량표"/>
      <sheetName val="포장복구집계"/>
      <sheetName val="공사수행방안"/>
      <sheetName val="기계내역"/>
      <sheetName val="음료실행"/>
      <sheetName val="Macro"/>
      <sheetName val="실행철강하도"/>
      <sheetName val="수목단가"/>
      <sheetName val="식재수량표"/>
      <sheetName val="일위목록"/>
      <sheetName val="자재단가"/>
      <sheetName val="단면 (2)"/>
      <sheetName val="설계개요"/>
      <sheetName val="암거공"/>
      <sheetName val="경비"/>
      <sheetName val="인부신상자료"/>
      <sheetName val="기기리스트"/>
      <sheetName val="Chiet tinh dz35"/>
      <sheetName val="내역서 "/>
      <sheetName val="기둥(원형)"/>
      <sheetName val="단면가정"/>
      <sheetName val="2000년1차"/>
      <sheetName val="2000전체분"/>
      <sheetName val="노임이"/>
      <sheetName val="부산4"/>
      <sheetName val="판매시설"/>
      <sheetName val="9-1차이내역"/>
      <sheetName val="판"/>
      <sheetName val="ASALTOTA"/>
      <sheetName val="PBS"/>
      <sheetName val="Sheet10"/>
      <sheetName val="시설수량표"/>
      <sheetName val="시설일위"/>
      <sheetName val="식재일위"/>
      <sheetName val="실행간접비용"/>
      <sheetName val="SPEC"/>
      <sheetName val="기준"/>
      <sheetName val="대공종"/>
      <sheetName val="대비내역"/>
      <sheetName val="동력부하계산"/>
      <sheetName val="년도별노임표"/>
      <sheetName val="중기목록표"/>
      <sheetName val="설계조건"/>
      <sheetName val="철거산출근거"/>
      <sheetName val="거래처등록"/>
      <sheetName val="참고자료"/>
      <sheetName val="유류대관리"/>
      <sheetName val="S0"/>
      <sheetName val="설계기준"/>
      <sheetName val="지수"/>
      <sheetName val="CB"/>
      <sheetName val="우수공"/>
      <sheetName val="1.설계조건"/>
      <sheetName val="CSA-Rate Build Up"/>
      <sheetName val="SOURCE"/>
      <sheetName val="건축내역"/>
      <sheetName val="Eq. Mobilization"/>
      <sheetName val="견적대비"/>
      <sheetName val="단가조사서"/>
      <sheetName val="목차"/>
      <sheetName val="시멘트"/>
      <sheetName val="부하(성남)"/>
      <sheetName val="금액내역서"/>
      <sheetName val="회사99"/>
      <sheetName val="CAL."/>
      <sheetName val="그림"/>
      <sheetName val="구성1"/>
      <sheetName val="구성2"/>
      <sheetName val="구성3"/>
      <sheetName val="구성4"/>
      <sheetName val="그림2"/>
      <sheetName val="교각1"/>
      <sheetName val="상계견적"/>
      <sheetName val="3.하중산정4.지지력"/>
      <sheetName val="Ⅴ-2.공종별내역"/>
      <sheetName val="Macro(차단기)"/>
      <sheetName val="건축공사"/>
      <sheetName val="JUCKEYK"/>
      <sheetName val="조정금액결과표 (차수별)"/>
      <sheetName val="STORAGE"/>
      <sheetName val="별표 "/>
      <sheetName val="조명율표"/>
      <sheetName val="단가조사-2"/>
      <sheetName val="내역분기"/>
      <sheetName val="직공비"/>
      <sheetName val="단가산출1"/>
      <sheetName val="단가산출2"/>
      <sheetName val="지주목시비량산출서"/>
      <sheetName val="단가조사"/>
      <sheetName val="정보매체A동"/>
      <sheetName val="APT내역"/>
      <sheetName val="시설이용권명세서"/>
      <sheetName val="FORM-0"/>
      <sheetName val="Tables"/>
      <sheetName val="금액"/>
      <sheetName val="대비표(토공1안)"/>
      <sheetName val=" BM 셈플"/>
      <sheetName val="돈암사업"/>
      <sheetName val="시중노임단가"/>
      <sheetName val="건축"/>
      <sheetName val="Sheet1 (2)"/>
      <sheetName val="실행대비"/>
      <sheetName val="시점교대"/>
      <sheetName val="공동"/>
      <sheetName val="단독"/>
      <sheetName val="NP-총정리"/>
      <sheetName val="3_공통공사대비"/>
      <sheetName val="기본사항"/>
      <sheetName val="N賃率-職"/>
      <sheetName val="gyun"/>
      <sheetName val="(1)본선수량집계"/>
      <sheetName val="재료비"/>
      <sheetName val="경비일반이윤"/>
      <sheetName val="노무비"/>
      <sheetName val="을-ATYPE"/>
      <sheetName val="기존단가 (2)"/>
      <sheetName val="I一般比"/>
      <sheetName val="새공통"/>
      <sheetName val="안내"/>
      <sheetName val="증감대비"/>
      <sheetName val="45,46"/>
      <sheetName val="갑지"/>
      <sheetName val="원내역서3"/>
      <sheetName val="설계서"/>
      <sheetName val="집계"/>
      <sheetName val="TYPE-A"/>
      <sheetName val="위생기구"/>
      <sheetName val="기계실냉난방"/>
      <sheetName val="일위대가 "/>
      <sheetName val="전력"/>
      <sheetName val="골조"/>
      <sheetName val=" 냉각수펌프"/>
      <sheetName val="공조기휀"/>
      <sheetName val="AHU집계"/>
      <sheetName val="도급FORM"/>
      <sheetName val="2공구산출내역"/>
      <sheetName val="건축2"/>
      <sheetName val="토목설계(배수지+관로)"/>
      <sheetName val="수납장배치도"/>
      <sheetName val="터파기및재료"/>
      <sheetName val="노임,재료비"/>
      <sheetName val="3.공통공사대비"/>
      <sheetName val="파일의이용"/>
      <sheetName val="기성내역서표지"/>
      <sheetName val="변경내역서간지"/>
      <sheetName val="1.취수장"/>
      <sheetName val="DATA1"/>
      <sheetName val="난방열교"/>
      <sheetName val="급탕열교"/>
      <sheetName val="국내조달(통합-1)"/>
      <sheetName val="기본단가표"/>
      <sheetName val="건축원가"/>
      <sheetName val="b_balju_cho"/>
      <sheetName val="부하집계표"/>
      <sheetName val="수량집계(방송설비)"/>
      <sheetName val="조직"/>
      <sheetName val="수량집계(전기시계)"/>
      <sheetName val="수량집계(출입통제)"/>
      <sheetName val="수량집계(통합배선)"/>
      <sheetName val="수량집계(CATV)"/>
      <sheetName val="수량집계(CCTV)"/>
      <sheetName val="경산"/>
      <sheetName val="Baby일위대가"/>
      <sheetName val="계약내역서(을지)"/>
      <sheetName val="guard(mac)"/>
      <sheetName val="Y_WORK"/>
      <sheetName val="실행내역서 "/>
      <sheetName val="PROJECT BRIEF(EX.NEW)"/>
      <sheetName val="TEST1"/>
      <sheetName val="연돌일위집계"/>
      <sheetName val="개요"/>
      <sheetName val="DS기성최종"/>
      <sheetName val="DS설변내역서"/>
      <sheetName val="정산내역서"/>
      <sheetName val="일반전기"/>
      <sheetName val="LEGEND"/>
      <sheetName val="예산서"/>
      <sheetName val="P-산#1-1(WOWA1)"/>
      <sheetName val="Customer Databas"/>
      <sheetName val="CAB_OD"/>
      <sheetName val="NEYOK"/>
      <sheetName val="1F"/>
      <sheetName val="KLHT"/>
      <sheetName val="1995년 섹터별 매출"/>
      <sheetName val="총괄갑 "/>
      <sheetName val="자재비"/>
      <sheetName val="금융비용"/>
      <sheetName val="환산"/>
      <sheetName val="wall"/>
      <sheetName val="BM"/>
      <sheetName val="부대공"/>
      <sheetName val="포장공"/>
      <sheetName val="청천내"/>
      <sheetName val="Salary(해외)"/>
      <sheetName val="DJ1"/>
      <sheetName val="주요기준"/>
      <sheetName val="도급실행(본관-주차장)"/>
      <sheetName val="내   역"/>
      <sheetName val="소비자가"/>
      <sheetName val="수량집계"/>
      <sheetName val="Front"/>
      <sheetName val="실행단가철(ems코드적용)"/>
      <sheetName val="관급"/>
      <sheetName val="시중노임"/>
      <sheetName val="날개벽수량표"/>
      <sheetName val="세부내역"/>
      <sheetName val="기술부 VENDOR LIST"/>
      <sheetName val="설계내역서"/>
      <sheetName val="Macro7"/>
      <sheetName val="조명율"/>
      <sheetName val="중기사용료"/>
      <sheetName val="패널"/>
      <sheetName val="대비"/>
      <sheetName val="조건표"/>
      <sheetName val="말뚝지지력산정"/>
      <sheetName val="3BL공동구 수량"/>
      <sheetName val="일반공사"/>
      <sheetName val="변경내역"/>
      <sheetName val="스포회원매출"/>
      <sheetName val="일위대가(목록)"/>
      <sheetName val="수리결과"/>
      <sheetName val="하수급견적대비"/>
      <sheetName val="아파트"/>
      <sheetName val="기초단가"/>
      <sheetName val="명세"/>
      <sheetName val="토목2"/>
      <sheetName val="노무비단가"/>
      <sheetName val="시설물일위"/>
      <sheetName val="건축원가계산서"/>
      <sheetName val="샤워실위생"/>
      <sheetName val="EIB010831"/>
      <sheetName val="코드표"/>
      <sheetName val="우석문틀"/>
      <sheetName val="수지예산"/>
      <sheetName val="예정공정완"/>
      <sheetName val="비교표"/>
      <sheetName val="공문"/>
      <sheetName val="Internal Floor"/>
      <sheetName val="현금"/>
      <sheetName val="부산만덕"/>
      <sheetName val="수원율전"/>
      <sheetName val="안양주공"/>
      <sheetName val="표준일위대가"/>
      <sheetName val="파주"/>
      <sheetName val="부재리스트"/>
      <sheetName val="unit 4"/>
      <sheetName val="익산"/>
      <sheetName val="노원열병합  건축공사기성내역서"/>
      <sheetName val="TEL"/>
      <sheetName val="수수료율표"/>
      <sheetName val="아파트건축"/>
      <sheetName val="감액총괄표"/>
      <sheetName val="설비내역"/>
      <sheetName val="설계내역2"/>
      <sheetName val="설계내역"/>
      <sheetName val="행거,슈,볼트,펌프,잡재"/>
      <sheetName val="현장"/>
      <sheetName val="기계공사"/>
      <sheetName val="현장관리비"/>
      <sheetName val="나.건축"/>
      <sheetName val="도근좌표"/>
      <sheetName val="SP-B1"/>
      <sheetName val="단위단가"/>
      <sheetName val="저수조"/>
      <sheetName val="급,배기팬"/>
      <sheetName val="급탕순환펌프"/>
      <sheetName val="순환펌프"/>
      <sheetName val="담파단가"/>
      <sheetName val="일위대가목록(ems)"/>
      <sheetName val="적현로"/>
      <sheetName val="총괄원가계산서"/>
      <sheetName val="설계서(건축분)"/>
      <sheetName val="요율"/>
      <sheetName val="108동"/>
      <sheetName val="101동"/>
      <sheetName val="7~8사이내림기초"/>
      <sheetName val="영업소실적"/>
      <sheetName val="기계설비"/>
      <sheetName val="실행예산"/>
      <sheetName val="재료"/>
      <sheetName val="설치자재"/>
      <sheetName val="물량표"/>
      <sheetName val="일반부표"/>
      <sheetName val="비용산식"/>
      <sheetName val="인원계획-미화"/>
      <sheetName val="일위대가(가설)"/>
      <sheetName val="COVER"/>
      <sheetName val="구리토평1전기"/>
      <sheetName val="열린교실"/>
      <sheetName val="의왕내역"/>
      <sheetName val="Sheet4"/>
      <sheetName val="수지"/>
      <sheetName val="CON'C"/>
      <sheetName val="Uint보온"/>
      <sheetName val="자  재"/>
      <sheetName val="건축외주"/>
      <sheetName val="신청서"/>
      <sheetName val="철콘공사"/>
      <sheetName val="변경서식"/>
      <sheetName val="미장"/>
      <sheetName val="철골"/>
      <sheetName val="부대내역"/>
      <sheetName val="견적"/>
      <sheetName val="일위대가표"/>
      <sheetName val="일용직내역"/>
      <sheetName val="20관리비율"/>
      <sheetName val="DATA테이블1 (2)"/>
      <sheetName val="공사개요"/>
      <sheetName val="참조자료"/>
      <sheetName val="수로교총재료집계"/>
      <sheetName val="일위대가목차"/>
      <sheetName val="LD"/>
      <sheetName val="상승요인분석"/>
      <sheetName val="가설공사"/>
      <sheetName val="REINF."/>
      <sheetName val="SKETCH"/>
      <sheetName val="LOADS"/>
      <sheetName val="공틀공사"/>
      <sheetName val="완도-군외"/>
      <sheetName val="구조물철거타공정이월"/>
      <sheetName val="직접공사비집계표_7"/>
      <sheetName val="공통가설_8"/>
      <sheetName val="기타시설"/>
      <sheetName val="아파트_9"/>
      <sheetName val="주민복지관"/>
      <sheetName val="지하주차장"/>
      <sheetName val="Macro(전동기)"/>
      <sheetName val="Condition"/>
      <sheetName val="VXXXXXXX"/>
      <sheetName val="미드수량"/>
      <sheetName val="견"/>
      <sheetName val="사급자재"/>
      <sheetName val="회로내역(승인)"/>
      <sheetName val="설계예산"/>
      <sheetName val="내역서(음성금왕)"/>
      <sheetName val="COPING"/>
      <sheetName val="동해title"/>
      <sheetName val="커튼월(pfg)"/>
      <sheetName val="5사남"/>
      <sheetName val="b_balju"/>
      <sheetName val="내역총괄표"/>
      <sheetName val="마산방향철근집계"/>
      <sheetName val="진주방향"/>
      <sheetName val="마산방향"/>
      <sheetName val="품셈TABLE"/>
      <sheetName val="제품정보"/>
      <sheetName val="36+45-113-18+19+20I"/>
      <sheetName val="COVER-P"/>
      <sheetName val="적용기준"/>
      <sheetName val="노임대장"/>
      <sheetName val="대치판정"/>
      <sheetName val="자료입력"/>
      <sheetName val="준공시전망_원본"/>
      <sheetName val="PAINT"/>
      <sheetName val="일위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9811"/>
      <sheetName val="덕전리"/>
      <sheetName val="분당임차변경"/>
      <sheetName val="미디어고등학교"/>
      <sheetName val="EQT-ESTN"/>
      <sheetName val="IN2"/>
      <sheetName val="설비"/>
      <sheetName val="견적서"/>
      <sheetName val="납부서"/>
      <sheetName val="Sheet17"/>
      <sheetName val="사업자등록증"/>
      <sheetName val="인원자료"/>
      <sheetName val="참고"/>
      <sheetName val="공조기"/>
      <sheetName val="금융"/>
      <sheetName val=" 견적서"/>
      <sheetName val="TIE-IN"/>
      <sheetName val="B1(반포1차)"/>
      <sheetName val="건축토목내역"/>
      <sheetName val="연결관암거"/>
      <sheetName val="실행내역"/>
      <sheetName val="간접비"/>
      <sheetName val="fs-e"/>
      <sheetName val="tax1"/>
      <sheetName val="내역서을지"/>
      <sheetName val="방수"/>
      <sheetName val="내역표지"/>
      <sheetName val="96노임기준"/>
      <sheetName val="수원공사비"/>
      <sheetName val="자재대"/>
      <sheetName val="안양1공구_건축"/>
      <sheetName val="내역(중앙)"/>
      <sheetName val="내역(창신)"/>
      <sheetName val="시장성초안camera"/>
      <sheetName val="MATERIAL"/>
      <sheetName val="배수펌프"/>
      <sheetName val="등가관장표"/>
      <sheetName val="결재갑지"/>
      <sheetName val="CAPVC"/>
      <sheetName val="미지급금"/>
      <sheetName val="별첨1(공사견적 양식) (재제출-0713)"/>
      <sheetName val="별첨1(공사견적 양식)"/>
      <sheetName val="공사비비교 (호텔0723-"/>
      <sheetName val="충주"/>
      <sheetName val="플랜트 설치"/>
      <sheetName val="Assumption"/>
      <sheetName val="Sheet3"/>
      <sheetName val="BSD_(2)"/>
      <sheetName val="토공(우물통,기타)_"/>
      <sheetName val="아파트_기성내역서"/>
      <sheetName val="설산1_나"/>
      <sheetName val="1_우편집중내역서"/>
      <sheetName val="Åä°ø(¿ì¹°Åë,±âÅ¸)_"/>
      <sheetName val="¼³»ê1_³ª"/>
      <sheetName val="표지_(2)"/>
      <sheetName val="Indirect_Cost"/>
      <sheetName val="4_2유효폭의_계산"/>
      <sheetName val="남양시작동자105노65기1_3화1_2"/>
      <sheetName val="준검_내역서"/>
      <sheetName val="BSD__2_"/>
      <sheetName val="BLR_1"/>
      <sheetName val="ITB_COST"/>
      <sheetName val="내역서1999_8최종"/>
      <sheetName val="실행분석표"/>
      <sheetName val="물량표(신)"/>
      <sheetName val="품목납기"/>
      <sheetName val="자료"/>
      <sheetName val="대운산출"/>
      <sheetName val="b_gunmul"/>
      <sheetName val="b_balju (2)"/>
      <sheetName val="간접"/>
      <sheetName val="견적대비 견적서"/>
      <sheetName val="설명서 "/>
      <sheetName val="환경기계공정표 (3)"/>
      <sheetName val="남양시작동010313100%"/>
      <sheetName val="원본"/>
      <sheetName val="을_ATYPE"/>
      <sheetName val="OCT.FDN"/>
      <sheetName val="DESIGN"/>
      <sheetName val="도급양식"/>
      <sheetName val="내역전기"/>
      <sheetName val="C1ㅇ"/>
      <sheetName val="J直材4"/>
      <sheetName val="일위대가(건축)"/>
      <sheetName val="토공집계"/>
      <sheetName val="사유서제출현황-2"/>
      <sheetName val="측량요율"/>
      <sheetName val="원가"/>
      <sheetName val="단가 "/>
      <sheetName val="조명일위"/>
      <sheetName val="방식총괄"/>
      <sheetName val="crude.SLAB RE-bar"/>
      <sheetName val="CRUDE RE-bar"/>
      <sheetName val="현장관리Assumption"/>
      <sheetName val="직원투입계획"/>
      <sheetName val="가설전기별첨"/>
      <sheetName val="개화1교"/>
      <sheetName val="백룡교차로"/>
      <sheetName val="산정교차로"/>
      <sheetName val="신영교차로"/>
      <sheetName val="원가 (2)"/>
      <sheetName val="주관사업"/>
      <sheetName val="기초자료"/>
      <sheetName val="Macro3"/>
      <sheetName val="추천서"/>
      <sheetName val="산출내역서집계표"/>
      <sheetName val="1,2공구원가계산서"/>
      <sheetName val="우,오수"/>
      <sheetName val="교대(A1-A2)"/>
      <sheetName val="지급자재"/>
      <sheetName val="인부임"/>
      <sheetName val="현장별계약현황('98.10.31)"/>
      <sheetName val="STEEL BOX 단면설계(SEC.8)"/>
      <sheetName val="안전시설내역서"/>
      <sheetName val="205동"/>
      <sheetName val="빗물받이(910-510-410)"/>
      <sheetName val="수목표준대가"/>
      <sheetName val="광양방향"/>
      <sheetName val="本年收入合计"/>
      <sheetName val="슬래브(PF)(하류)"/>
      <sheetName val="1TL종점(1)"/>
      <sheetName val="전기공사일위대가"/>
      <sheetName val="현대실행 (실투입최종)"/>
      <sheetName val="기타 정보통신공사"/>
      <sheetName val="유효폭의 계산"/>
      <sheetName val="계약내역"/>
      <sheetName val="옥외부분합"/>
      <sheetName val="b_babun (2)"/>
      <sheetName val="공정별금액"/>
      <sheetName val="S1"/>
      <sheetName val="CLAUSE"/>
      <sheetName val="삼성전기"/>
      <sheetName val="음봉방향"/>
      <sheetName val="제수"/>
      <sheetName val="공기"/>
      <sheetName val="Works Cost"/>
      <sheetName val="점수계산1-2"/>
      <sheetName val="FAB별"/>
      <sheetName val="MAT_N048"/>
      <sheetName val="tank list"/>
      <sheetName val="도"/>
      <sheetName val="날개벽"/>
      <sheetName val="견적대비표"/>
      <sheetName val="단가대비"/>
      <sheetName val="집계표(4공구)"/>
      <sheetName val="내역서(4공구)"/>
      <sheetName val="시스템운영비(4공구)"/>
      <sheetName val="일위대가목록"/>
      <sheetName val="단가대비표"/>
      <sheetName val="견적결과(1공구)"/>
      <sheetName val="견적결과(2공구)"/>
      <sheetName val="견적결과(3공구)"/>
      <sheetName val="견적결과(4공구)OT"/>
      <sheetName val="견적결과(4공구)APT"/>
      <sheetName val="내역서(4공구)오피스텔"/>
      <sheetName val="집계표(4공구)APT"/>
      <sheetName val="집계표(4공구)OT"/>
      <sheetName val="노임근거"/>
      <sheetName val="집계표(개별)"/>
      <sheetName val="내역서(개별)"/>
      <sheetName val="소액공사비(변경후)"/>
      <sheetName val="Maine"/>
      <sheetName val="산출근거"/>
      <sheetName val="부대"/>
      <sheetName val="인력터파기"/>
      <sheetName val="CC16-내역서"/>
      <sheetName val="MASTER00.7月"/>
      <sheetName val="견적조건"/>
      <sheetName val="2000.05"/>
      <sheetName val="계좌번호"/>
      <sheetName val="형틀공사"/>
      <sheetName val="노무산출서"/>
      <sheetName val="설계명세서(종합)"/>
      <sheetName val="소요자재"/>
      <sheetName val="부속동"/>
      <sheetName val="명세서"/>
      <sheetName val="토공사(흙막이)"/>
      <sheetName val="기성청구내역서"/>
      <sheetName val="변화치수"/>
      <sheetName val="단가대비표 (3)"/>
      <sheetName val="남양내역"/>
      <sheetName val="횡배수관토공수량"/>
      <sheetName val="전선 및 전선관"/>
      <sheetName val="단가산출"/>
      <sheetName val="횡배수관집현황(2공구)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공사내역서(을)실행"/>
      <sheetName val="갑지(과세)"/>
      <sheetName val="SUMMARY(S)"/>
      <sheetName val="전기일위대가"/>
      <sheetName val="계수시트"/>
      <sheetName val="유첨3.적용기준"/>
      <sheetName val="단가비교표"/>
      <sheetName val="종현황"/>
      <sheetName val="9509"/>
      <sheetName val="기술조건"/>
      <sheetName val="삭제내역1차"/>
      <sheetName val="기성내역서"/>
      <sheetName val="PI"/>
      <sheetName val="관경별내역서"/>
      <sheetName val="총괄내역서"/>
      <sheetName val="해외(원화)"/>
      <sheetName val="기안"/>
      <sheetName val="파이프류"/>
      <sheetName val="중기사용료산출근거"/>
      <sheetName val="남양주부대"/>
      <sheetName val="단중표"/>
      <sheetName val="안전장치"/>
      <sheetName val="B시설가격"/>
      <sheetName val="시추주상도"/>
      <sheetName val="일위_파일"/>
      <sheetName val="PAC"/>
      <sheetName val="교대일반수량총괄집계표"/>
      <sheetName val="안정계산"/>
      <sheetName val="단면검토"/>
      <sheetName val="70%"/>
      <sheetName val="정보"/>
      <sheetName val="정부노임(2000.상)"/>
      <sheetName val="NAI"/>
      <sheetName val="한일양산"/>
      <sheetName val="CONCRETE"/>
      <sheetName val="교통대책내역"/>
      <sheetName val="104동"/>
      <sheetName val="2.토목공사"/>
      <sheetName val="분석항목"/>
      <sheetName val="Summary"/>
      <sheetName val="도급및 실행내역"/>
      <sheetName val="이토변실"/>
      <sheetName val="대목"/>
      <sheetName val="7.수지"/>
      <sheetName val="변경하세요"/>
      <sheetName val="1승인신청서"/>
      <sheetName val="Calc V1.2"/>
      <sheetName val="Calc V1.2 (2)"/>
      <sheetName val="기성현황집계표"/>
      <sheetName val="카메라"/>
      <sheetName val=" 노무비결의서_17년07월.xlsx"/>
      <sheetName val="감가상각"/>
      <sheetName val="일위대가표(DEEP)"/>
      <sheetName val="목동1절주.bh01"/>
      <sheetName val="발송list(2절)"/>
      <sheetName val="CODE"/>
      <sheetName val="#2_일위대가목록"/>
      <sheetName val="NYS"/>
      <sheetName val="종단계산"/>
      <sheetName val="1층LOAD"/>
      <sheetName val="참조(인건비)"/>
      <sheetName val="하도정산"/>
      <sheetName val="铝合金"/>
      <sheetName val="예총"/>
      <sheetName val="N-001_내역서"/>
      <sheetName val="지구단위계획"/>
      <sheetName val="도급원가"/>
      <sheetName val="유첨3.적용기㐘"/>
      <sheetName val="工程材料"/>
      <sheetName val="기초자료입력"/>
      <sheetName val="요약본"/>
      <sheetName val="Proposal"/>
      <sheetName val="6공구(당초)"/>
      <sheetName val="작업내역서"/>
      <sheetName val="울산시산표"/>
      <sheetName val="수량산출(방송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임시AFC)"/>
      <sheetName val="수량산출(임시CCTV)"/>
      <sheetName val="수량산출(임시TV)"/>
      <sheetName val="수량산출(장애자)"/>
      <sheetName val="수량산출(본전화)"/>
      <sheetName val="수량산출(본통신)"/>
      <sheetName val="전기집계표"/>
      <sheetName val="산출서"/>
      <sheetName val="2008년상반기"/>
      <sheetName val="KCS-CA"/>
      <sheetName val="실행"/>
      <sheetName val="4-10"/>
      <sheetName val="6동"/>
      <sheetName val="지급자재조서"/>
      <sheetName val="2002년"/>
      <sheetName val="취합표"/>
      <sheetName val="건축(산출)"/>
      <sheetName val="토목(산출)"/>
      <sheetName val="견적의뢰"/>
      <sheetName val="순공사비"/>
      <sheetName val="D.B"/>
      <sheetName val="갈현동"/>
      <sheetName val="대비표"/>
      <sheetName val="자재표"/>
      <sheetName val="소개"/>
      <sheetName val="대전노은1차_조적_집계표"/>
      <sheetName val="별표2"/>
      <sheetName val="복구일위대가표"/>
      <sheetName val="물가기준년"/>
      <sheetName val="장비기준"/>
      <sheetName val="부대공수량산출"/>
      <sheetName val="T13(P68~72,78)"/>
      <sheetName val="공종목록표"/>
      <sheetName val="참고사항"/>
      <sheetName val="TRE TABLE"/>
      <sheetName val="부대집계"/>
      <sheetName val="resp"/>
      <sheetName val="주식"/>
      <sheetName val="내역서_"/>
      <sheetName val="돌담교_상부수량"/>
      <sheetName val="전차선로_물량표"/>
      <sheetName val="1차_내역서"/>
      <sheetName val="97_사업추정(WEKI)"/>
      <sheetName val="단면_(2)"/>
      <sheetName val="Chiet_tinh_dz35"/>
      <sheetName val="1_설계조건"/>
      <sheetName val="3_하중산정4_지지력"/>
      <sheetName val="Ⅴ-2_공종별내역"/>
      <sheetName val="CSA-Rate_Build_Up"/>
      <sheetName val="Eq__Mobilization"/>
      <sheetName val="CAL_"/>
      <sheetName val="조정금액결과표_(차수별)"/>
      <sheetName val="별표_"/>
      <sheetName val="_BM_셈플"/>
      <sheetName val="Sheet1_(2)"/>
      <sheetName val="기존단가_(2)"/>
      <sheetName val="일위대가_"/>
      <sheetName val="_냉각수펌프"/>
      <sheetName val="3_공통공사대비1"/>
      <sheetName val="1_취수장"/>
      <sheetName val="실행내역서_"/>
      <sheetName val="PROJECT_BRIEF(EX_NEW)"/>
      <sheetName val="Customer_Databas"/>
      <sheetName val="1995년_섹터별_매출"/>
      <sheetName val="총괄갑_"/>
      <sheetName val="내___역"/>
      <sheetName val="기술부_VENDOR_LIST"/>
      <sheetName val="3BL공동구_수량"/>
      <sheetName val="Internal_Floor"/>
      <sheetName val="unit_4"/>
      <sheetName val="노원열병합__건축공사기성내역서"/>
      <sheetName val="나_건축"/>
      <sheetName val="자__재"/>
      <sheetName val="DATA테이블1_(2)"/>
      <sheetName val="REINF_"/>
      <sheetName val="토목 (2)"/>
      <sheetName val="예산내역서"/>
      <sheetName val="견적집계표"/>
      <sheetName val="Project Brief"/>
      <sheetName val="XXXXXXXX"/>
      <sheetName val="북부"/>
      <sheetName val="점검내역서(data) (2)"/>
      <sheetName val="총체보활공정표"/>
      <sheetName val="토목내역"/>
      <sheetName val="수량산출(TDI)"/>
      <sheetName val="수량집계(본역사)"/>
      <sheetName val="수량집계(임시역사)"/>
      <sheetName val="수량산출(AFC)"/>
      <sheetName val="수량산출(CCTV)"/>
      <sheetName val="수량_작성"/>
      <sheetName val="출고"/>
      <sheetName val="산출"/>
      <sheetName val="공사원가내역서"/>
      <sheetName val="제경비산출"/>
      <sheetName val="관급자재"/>
      <sheetName val="전기변내역"/>
      <sheetName val="원가계산"/>
      <sheetName val="인명별연차내역"/>
      <sheetName val="출입자명단"/>
      <sheetName val="1~6 설계조건...."/>
      <sheetName val="토적계산서"/>
      <sheetName val="MOKDONG(1)"/>
      <sheetName val="배수내역"/>
      <sheetName val="토적표"/>
      <sheetName val="CAUDIT"/>
      <sheetName val="프로젝트"/>
      <sheetName val="95하U$가격"/>
      <sheetName val="구분테이블"/>
      <sheetName val="DATA(BAC)"/>
      <sheetName val="SE-611"/>
      <sheetName val="내역(토목)"/>
      <sheetName val="견적을지"/>
      <sheetName val="적용노임(09상)"/>
      <sheetName val="목표세부명세"/>
      <sheetName val="BSD_(2)1"/>
      <sheetName val="토공(우물통,기타)_1"/>
      <sheetName val="아파트_기성내역서1"/>
      <sheetName val="설산1_나1"/>
      <sheetName val="1_우편집중내역서1"/>
      <sheetName val="Åä°ø(¿ì¹°Åë,±âÅ¸)_1"/>
      <sheetName val="¼³»ê1_³ª1"/>
      <sheetName val="표지_(2)1"/>
      <sheetName val="BLR_11"/>
      <sheetName val="Indirect_Cost1"/>
      <sheetName val="4_2유효폭의_계산1"/>
      <sheetName val="남양시작동자105노65기1_3화1_21"/>
      <sheetName val="준검_내역서1"/>
      <sheetName val="BSD__2_1"/>
      <sheetName val="ITB_COST1"/>
      <sheetName val="내역서1999_8최종1"/>
      <sheetName val="_견적서"/>
      <sheetName val="별첨1(공사견적_양식)_(재제출-0713)"/>
      <sheetName val="별첨1(공사견적_양식)"/>
      <sheetName val="공사비비교_(호텔0723-"/>
      <sheetName val="플랜트_설치"/>
      <sheetName val="설명서_"/>
      <sheetName val="b_balju_(2)"/>
      <sheetName val="환경기계공정표_(3)"/>
      <sheetName val="OCT_FDN"/>
      <sheetName val="단가_"/>
      <sheetName val="crude_SLAB_RE-bar"/>
      <sheetName val="CRUDE_RE-bar"/>
      <sheetName val="원가_(2)"/>
      <sheetName val="현장별계약현황('98_10_31)"/>
      <sheetName val="STEEL_BOX_단면설계(SEC_8)"/>
      <sheetName val="현대실행_(실투입최종)"/>
      <sheetName val="기타_정보통신공사"/>
      <sheetName val="유효폭의_계산"/>
      <sheetName val="b_babun_(2)"/>
      <sheetName val="_노무비결의서_17년07월_xlsx"/>
      <sheetName val="견적대비_견적서"/>
      <sheetName val="Works_Cost"/>
      <sheetName val="tank_list"/>
      <sheetName val="MASTER00_7月"/>
      <sheetName val="2000_05"/>
      <sheetName val="전선_및_전선관"/>
      <sheetName val="단가대비표_(3)"/>
      <sheetName val="Flaer_Area"/>
      <sheetName val="유첨3_적용기준"/>
      <sheetName val="Calc_V1_2"/>
      <sheetName val="Calc_V1_2_(2)"/>
      <sheetName val="7_수지"/>
      <sheetName val="목동1절주_bh01"/>
      <sheetName val="2_토목공사"/>
      <sheetName val="정부노임(2000_상)"/>
      <sheetName val="유첨3_적용기㐘"/>
      <sheetName val="도급및_실행내역"/>
      <sheetName val="부하"/>
      <sheetName val="Sheet14"/>
      <sheetName val="Sheet13"/>
      <sheetName val="단"/>
      <sheetName val="AV시스템"/>
      <sheetName val="분당임堑Ä_x0000_"/>
      <sheetName val="BSD"/>
      <sheetName val="BSD 1"/>
      <sheetName val="금액집계"/>
      <sheetName val="Galaxy 소비자가격표"/>
      <sheetName val="수량산출서"/>
      <sheetName val="단가 (2)"/>
      <sheetName val="입력"/>
      <sheetName val="부대대비"/>
      <sheetName val="냉연집계"/>
      <sheetName val="설변물량"/>
      <sheetName val="0217상가미분양자산"/>
      <sheetName val="Macro1"/>
      <sheetName val="2경간"/>
      <sheetName val="1.설_x0000__x0000_Ԁ"/>
      <sheetName val="1.설퀀䩦謂"/>
      <sheetName val="1.설퐀Ⲩ렀"/>
      <sheetName val="D_B"/>
      <sheetName val="TRE_TABLE"/>
      <sheetName val="BSD_1"/>
      <sheetName val="Galaxy_소비자가격표"/>
      <sheetName val="단가_(2)"/>
      <sheetName val="파일항타"/>
      <sheetName val="98수문일위"/>
      <sheetName val="일위CODE"/>
      <sheetName val="참_x0000_"/>
      <sheetName val="정렬"/>
      <sheetName val="MOTOR"/>
      <sheetName val="작성기준"/>
      <sheetName val="Form A.1.III"/>
      <sheetName val="Form A.1"/>
      <sheetName val="Form A.1.1"/>
      <sheetName val="BOM Indirect"/>
      <sheetName val="Form A.1.II.1"/>
      <sheetName val="Form A.1.II.2"/>
      <sheetName val="Rekap-Base Price"/>
      <sheetName val="inter"/>
      <sheetName val="달력"/>
      <sheetName val="총투입계"/>
      <sheetName val="옥룡잡비"/>
      <sheetName val="경영계획1월"/>
      <sheetName val="맨홀수량산출"/>
      <sheetName val="을지(가로-한)"/>
      <sheetName val="견_x0000_h曘"/>
      <sheetName val="견_x0000__x0000__x0005_"/>
      <sheetName val="BEND LOSS"/>
      <sheetName val="1,2,3,4,5단위수량"/>
      <sheetName val="1.설"/>
      <sheetName val="건축내역(교사동)"/>
      <sheetName val="1.설Ȁ_x0000_쀀"/>
      <sheetName val="1.설吀亘码"/>
      <sheetName val="1.설吀亘䠁"/>
      <sheetName val="원가계산서_남측_"/>
      <sheetName val="2000년탍䁦"/>
      <sheetName val="저장품"/>
      <sheetName val="날개벽(좌,우=45도,75도)"/>
      <sheetName val="현황"/>
      <sheetName val="설계(안)"/>
      <sheetName val="공사비 내역 (가)"/>
      <sheetName val="C1.공사개요"/>
      <sheetName val="A1.스케쥴"/>
      <sheetName val="마감사양"/>
      <sheetName val="aa"/>
      <sheetName val="sheet"/>
      <sheetName val="D-3503"/>
      <sheetName val="C.배수관공"/>
      <sheetName val="base"/>
      <sheetName val="빙설"/>
      <sheetName val="첨부1-1"/>
      <sheetName val="광혁기성"/>
      <sheetName val="마산월령동골조물량변경"/>
      <sheetName val="건축비목군분류"/>
      <sheetName val="기성내역"/>
      <sheetName val="통신물량"/>
      <sheetName val="전열"/>
      <sheetName val="단가표 "/>
      <sheetName val="9_x0000__x0000__x0000_"/>
      <sheetName val="01"/>
      <sheetName val="VST재료산출"/>
      <sheetName val="참조M"/>
      <sheetName val="장비(냉동기)"/>
      <sheetName val="공사비산출서"/>
      <sheetName val="기기리_x0000__x0000_"/>
      <sheetName val="산출내역"/>
      <sheetName val="삭제금지단가"/>
      <sheetName val="RENUN"/>
      <sheetName val="1.설Ȁ"/>
      <sheetName val="TB(BS)"/>
      <sheetName val="TB(PL)"/>
      <sheetName val="공사비총괄표"/>
      <sheetName val="카니발(자105노60)"/>
      <sheetName val="영동(D)"/>
      <sheetName val="인제내역"/>
      <sheetName val="1공구을지"/>
      <sheetName val="금호"/>
      <sheetName val="산정기준"/>
      <sheetName val="MATRLDATA"/>
      <sheetName val="가설배관"/>
      <sheetName val="강재창호(작업중)"/>
      <sheetName val="강재창호(변경후작업중)"/>
      <sheetName val="WEON"/>
      <sheetName val="매립"/>
      <sheetName val="물량산출근거"/>
      <sheetName val="합천내역"/>
      <sheetName val="목공사품의서"/>
      <sheetName val="하수실행"/>
      <sheetName val="CODE(2)"/>
      <sheetName val="기준 LIST"/>
      <sheetName val="2-1. 경관조명 내역총괄표"/>
      <sheetName val="U-TYPE(1)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5차설계"/>
      <sheetName val="Architecture Work"/>
      <sheetName val="Main Gate House"/>
      <sheetName val="LGBOM1절_CheckList"/>
      <sheetName val="Infrastructure"/>
      <sheetName val="직급실적"/>
      <sheetName val="8.PILE  (돌출)"/>
      <sheetName val="12호기내역서(건축분)"/>
      <sheetName val="DAN"/>
      <sheetName val="co-no.2"/>
      <sheetName val="basic_info"/>
      <sheetName val="업체명"/>
      <sheetName val="관리"/>
      <sheetName val="A(Rev.3)"/>
      <sheetName val="TOTAL "/>
      <sheetName val="2000년1޸"/>
      <sheetName val="2000년1䘭"/>
      <sheetName val="2000년1扈"/>
      <sheetName val=""/>
      <sheetName val="소유권관련비"/>
      <sheetName val="토건"/>
      <sheetName val="입력자료"/>
      <sheetName val="단면치수"/>
      <sheetName val="XREF"/>
      <sheetName val="__SKEC_EB_EB_1_2PROJECT_PLANT_2"/>
      <sheetName val="예정(3)"/>
      <sheetName val="단가목록"/>
      <sheetName val="공통가설공사"/>
      <sheetName val="2000전체"/>
      <sheetName val="잡철단가대비"/>
      <sheetName val="기초입력 DATA"/>
      <sheetName val="특수선일위대가"/>
      <sheetName val="변수"/>
      <sheetName val="dV&amp;Cl"/>
      <sheetName val="CAP"/>
      <sheetName val="R"/>
      <sheetName val="배수통관(좌)"/>
      <sheetName val="3-3. 실행분석표(개산)"/>
      <sheetName val="견적공통"/>
      <sheetName val="2000ｙV̠"/>
      <sheetName val="SOURC퇀"/>
      <sheetName val="배수집"/>
      <sheetName val="기흥하도용"/>
      <sheetName val="설계예산서"/>
      <sheetName val="연령현황"/>
      <sheetName val="MAIN_TABLE"/>
      <sheetName val="화재 탐지 설비"/>
      <sheetName val="점공통경비배부"/>
      <sheetName val="특별교실"/>
      <sheetName val="약품공급2"/>
      <sheetName val="L-type"/>
      <sheetName val="토공사"/>
      <sheetName val="(C)원내역"/>
      <sheetName val="자재죖"/>
      <sheetName val="자재룖"/>
      <sheetName val="자재Ⴠ"/>
      <sheetName val="점검내역서(data)_(2)"/>
      <sheetName val="결_x0000__x0000__x0005_"/>
      <sheetName val="04.01"/>
      <sheetName val="기둥(원형䫈"/>
      <sheetName val="기둥(원형랸"/>
      <sheetName val="기둥(원형ᰐ"/>
      <sheetName val="포장물량집계"/>
      <sheetName val="원형1호맨홀토공수량"/>
      <sheetName val="문10"/>
      <sheetName val="98지급계획"/>
      <sheetName val="평야부단가"/>
      <sheetName val="B2 다목적홀 화장실  계단실 9"/>
      <sheetName val="셔틀 B2~B8"/>
      <sheetName val="5층 변경계약내역서"/>
      <sheetName val="7층 변경계약내역서"/>
      <sheetName val="기초데이타"/>
      <sheetName val="경량"/>
      <sheetName val="A0N"/>
      <sheetName val="테이블"/>
      <sheetName val="터널조도"/>
      <sheetName val="G2설비도급"/>
      <sheetName val="12CGOU"/>
      <sheetName val="기본데이타입력"/>
      <sheetName val="3.경비"/>
      <sheetName val="1.급료"/>
      <sheetName val="도체종-상수표"/>
      <sheetName val="FC-01"/>
      <sheetName val="FC-06"/>
      <sheetName val="5.소재"/>
      <sheetName val="잡비"/>
      <sheetName val="분전함신설"/>
      <sheetName val="접지1종"/>
      <sheetName val="b_balju-단가단가단가"/>
      <sheetName val="유첨3.적용기槜"/>
      <sheetName val="리 스 트"/>
      <sheetName val="__Bomb_project_2PROJECT_PLANT_2"/>
      <sheetName val="도(내)"/>
      <sheetName val="1"/>
      <sheetName val="12"/>
      <sheetName val="14"/>
      <sheetName val="15"/>
      <sheetName val="16"/>
      <sheetName val="17"/>
      <sheetName val="18"/>
      <sheetName val="19"/>
      <sheetName val="2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"/>
      <sheetName val="30"/>
      <sheetName val="4"/>
      <sheetName val="5"/>
      <sheetName val="제경비율"/>
      <sheetName val="NPC500"/>
      <sheetName val="조정금액결과표 ꗝ1푘ᛐ_x0000_"/>
      <sheetName val="조정금액결과표 Ȍ_x0000_釈ɡꗝ"/>
      <sheetName val="몰운대초견적"/>
      <sheetName val="업무분장 "/>
      <sheetName val="99년신청"/>
      <sheetName val="내역서2안"/>
      <sheetName val="KLH爋"/>
      <sheetName val="Mc1"/>
      <sheetName val="변전실재분리"/>
      <sheetName val="복구경비"/>
      <sheetName val="4BL ,ELEV.HALL 통합로비 연결층 걸레받이 재시"/>
      <sheetName val="107동 통합로비"/>
      <sheetName val="목동세대 산출근거"/>
      <sheetName val="APT"/>
      <sheetName val="김해식"/>
      <sheetName val="추가예산"/>
      <sheetName val="비목코드"/>
      <sheetName val="SUM-CTI.XLS"/>
      <sheetName val="교_xdfc0_魚"/>
      <sheetName val="교_x0000__x0000_"/>
      <sheetName val="교헾⼓"/>
      <sheetName val="부대공수량"/>
      <sheetName val="공사설계서"/>
      <sheetName val="내력서"/>
      <sheetName val="상불"/>
      <sheetName val="sort"/>
      <sheetName val="1-6(반품내역)"/>
      <sheetName val="잡철물"/>
      <sheetName val="6PILE  (돌출)"/>
      <sheetName val="DW9911301"/>
      <sheetName val="배수내역 (2)"/>
      <sheetName val="사  업  비  수  지  예  산  서"/>
      <sheetName val="중기비"/>
      <sheetName val="투찰가"/>
      <sheetName val="Staffing Plan"/>
      <sheetName val="Staffing_Plan"/>
      <sheetName val="??(??)"/>
      <sheetName val="ENFOCADO INT. VERT."/>
      <sheetName val="Ref. nº 14 presup."/>
      <sheetName val="바닥판(1)"/>
      <sheetName val="품셈"/>
      <sheetName val="관람석제출"/>
      <sheetName val="2F 회의실견적(5_14 일대)"/>
      <sheetName val="__Bomb_project_2PROJECT_PLANT_3"/>
      <sheetName val="__Bomb_project_2PROJECT_PLANT_4"/>
      <sheetName val="보증금(전신전화가입권)"/>
      <sheetName val="Factor"/>
      <sheetName val="산5-3"/>
      <sheetName val="경영혁신본부"/>
      <sheetName val="PLAN"/>
      <sheetName val="제1안"/>
      <sheetName val="제2안"/>
      <sheetName val="금액대비"/>
      <sheetName val="토공가실행"/>
      <sheetName val="97_사업추정(WEKI)1"/>
      <sheetName val="돌담교_상부수량1"/>
      <sheetName val="1차_내역서1"/>
      <sheetName val="전차선로_물량표1"/>
      <sheetName val="단면_(2)1"/>
      <sheetName val="Chiet_tinh_dz351"/>
      <sheetName val="내역서_1"/>
      <sheetName val="CAL_1"/>
      <sheetName val="1_설계조건1"/>
      <sheetName val="CSA-Rate_Build_Up1"/>
      <sheetName val="Eq__Mobilization1"/>
      <sheetName val="3_하중산정4_지지력1"/>
      <sheetName val="Ⅴ-2_공종별내역1"/>
      <sheetName val="조정금액결과표_(차수별)1"/>
      <sheetName val="별표_1"/>
      <sheetName val="_BM_셈플1"/>
      <sheetName val="Sheet1_(2)1"/>
      <sheetName val="기존단가_(2)1"/>
      <sheetName val="일위대가_1"/>
      <sheetName val="_냉각수펌프1"/>
      <sheetName val="3_공통공사대비2"/>
      <sheetName val="1_취수장1"/>
      <sheetName val="실행내역서_1"/>
      <sheetName val="PROJECT_BRIEF(EX_NEW)1"/>
      <sheetName val="Customer_Databas1"/>
      <sheetName val="1995년_섹터별_매출1"/>
      <sheetName val="총괄갑_1"/>
      <sheetName val="내___역1"/>
      <sheetName val="기술부_VENDOR_LIST1"/>
      <sheetName val="3BL공동구_수량1"/>
      <sheetName val="Internal_Floor1"/>
      <sheetName val="unit_41"/>
      <sheetName val="노원열병합__건축공사기성내역서1"/>
      <sheetName val="나_건축1"/>
      <sheetName val="자__재1"/>
      <sheetName val="DATA테이블1_(2)1"/>
      <sheetName val="REINF_1"/>
      <sheetName val="2.대외공문"/>
      <sheetName val="가도공"/>
      <sheetName val="각사별공사비분개 "/>
      <sheetName val=" 견_x0000__x0000_"/>
      <sheetName val="인력자료"/>
      <sheetName val="버팀목"/>
      <sheetName val="Element"/>
      <sheetName val="44"/>
      <sheetName val="현장별계약현황('98.10悾⪒_x0000__x0000_"/>
      <sheetName val="설계명세서"/>
      <sheetName val="화산경계"/>
      <sheetName val="기계설비-내역서"/>
      <sheetName val="중기조종사 단위단가"/>
      <sheetName val="지점장"/>
      <sheetName val="TOWER 12TON"/>
      <sheetName val="TOWER 10TON"/>
      <sheetName val="_견적서1"/>
      <sheetName val="b_balju_(2)1"/>
      <sheetName val="환경기계공정표_(3)1"/>
      <sheetName val="별첨1(공사견적_양식)_(재제출-0713)1"/>
      <sheetName val="별첨1(공사견적_양식)1"/>
      <sheetName val="공사비비교_(호텔0723-1"/>
      <sheetName val="플랜트_설치1"/>
      <sheetName val="원가_(2)1"/>
      <sheetName val="crude_SLAB_RE-bar1"/>
      <sheetName val="CRUDE_RE-bar1"/>
      <sheetName val="현장별계약현황('98_10_31)1"/>
      <sheetName val="STEEL_BOX_단면설계(SEC_8)1"/>
      <sheetName val="OCT_FDN1"/>
      <sheetName val="현대실행_(실투입최종)1"/>
      <sheetName val="기타_정보통신공사1"/>
      <sheetName val="MASTER00_7月1"/>
      <sheetName val="b_babun_(2)1"/>
      <sheetName val="전선_및_전선관1"/>
      <sheetName val="2000_051"/>
      <sheetName val="단가_1"/>
      <sheetName val="유첨3_적용기준1"/>
      <sheetName val="단가대비표_(3)1"/>
      <sheetName val="유첨3_적용기㐘1"/>
      <sheetName val="Flaer_Area1"/>
      <sheetName val="도급및_실행내역1"/>
      <sheetName val="유효폭의_계산1"/>
      <sheetName val="정부노임(2000_상)1"/>
      <sheetName val="2_토목공사1"/>
      <sheetName val="7_수지1"/>
      <sheetName val="1~6_설계조건____"/>
      <sheetName val="TRE_TABLE1"/>
      <sheetName val="D_B1"/>
      <sheetName val="1_설Ԁ"/>
      <sheetName val="1_설퀀䩦謂"/>
      <sheetName val="1_설퐀Ⲩ렀"/>
      <sheetName val="1_설Ȁ쀀"/>
      <sheetName val="1_설吀亘码"/>
      <sheetName val="1_설吀亘䠁"/>
      <sheetName val="BSD_11"/>
      <sheetName val="Galaxy_소비자가격표1"/>
      <sheetName val="단가_(2)1"/>
      <sheetName val="공사비_내역_(가)"/>
      <sheetName val="BEND_LOSS"/>
      <sheetName val="C1_공사개요"/>
      <sheetName val="A1_스케쥴"/>
      <sheetName val="1_설"/>
      <sheetName val="1_설Ȁ"/>
      <sheetName val="C_배수관공"/>
      <sheetName val="Project_Brief"/>
      <sheetName val="3-3__실행분석표(개산)"/>
      <sheetName val="신천3호용수로"/>
      <sheetName val="일위대가표 (2)"/>
      <sheetName val="36신설수량"/>
      <sheetName val="8_PILE__(돌출)"/>
      <sheetName val="세부내역서(전기)"/>
      <sheetName val="교?魚"/>
      <sheetName val="첨"/>
      <sheetName val="적용노임"/>
      <sheetName val="일반자재"/>
      <sheetName val="9609추"/>
      <sheetName val="단가및재료비"/>
      <sheetName val="결"/>
      <sheetName val="P280297"/>
      <sheetName val="코스모공장 (어음)"/>
      <sheetName val="WPL"/>
      <sheetName val="구매차입"/>
      <sheetName val="수원공사_x0000_"/>
      <sheetName val="옥내아파트(전기)"/>
      <sheetName val="철거현황"/>
      <sheetName val="XXXXXX"/>
      <sheetName val="총공사비"/>
      <sheetName val="20_10_100"/>
      <sheetName val="발생집계"/>
      <sheetName val="부대공주요자재집계표"/>
      <sheetName val="99입장목표"/>
      <sheetName val="주요자재단가"/>
      <sheetName val="토목내역서집계"/>
      <sheetName val="대구은행"/>
      <sheetName val="SULKEA"/>
      <sheetName val="2000년 공정표"/>
      <sheetName val="연못방수쉬트"/>
      <sheetName val="B"/>
      <sheetName val="O＆P"/>
      <sheetName val="여과지동"/>
      <sheetName val="형틀물량집계(내역별)"/>
      <sheetName val="형틀물량집계(부재별)"/>
      <sheetName val="Eq. Mobiliz_x0000__x0000__x0005__x0000_꺠"/>
      <sheetName val="table(삭제금지)"/>
      <sheetName val="2.냉난방설비공사"/>
      <sheetName val="EQUIP LIST"/>
      <sheetName val="설비(제출)"/>
      <sheetName val="확산동"/>
      <sheetName val="배수"/>
      <sheetName val="POL6차-PIPING"/>
      <sheetName val="배관"/>
      <sheetName val="Key Data"/>
      <sheetName val="사출실적(ERP)_DATA"/>
      <sheetName val="원재료 출고실적(품목번호별)"/>
      <sheetName val="원부재료1"/>
      <sheetName val="4차원가계산서"/>
      <sheetName val="교�魚"/>
      <sheetName val="98년BS"/>
      <sheetName val="잉여금"/>
      <sheetName val="조정금액결과표 Ȍ"/>
      <sheetName val="원가계산서(남측)"/>
      <sheetName val="장비 (2)"/>
      <sheetName val="공통비총괄표"/>
      <sheetName val="I.설계조건"/>
      <sheetName val="구성비"/>
      <sheetName val="__SKEC_EB_EB_1_2PROJECT_PLANT_3"/>
      <sheetName val="P.M 별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/>
      <sheetData sheetId="1001" refreshError="1"/>
      <sheetData sheetId="1002" refreshError="1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/>
      <sheetData sheetId="133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/>
      <sheetData sheetId="1339"/>
      <sheetData sheetId="1340" refreshError="1"/>
      <sheetData sheetId="1341" refreshError="1"/>
      <sheetData sheetId="1342" refreshError="1"/>
      <sheetData sheetId="1343" refreshError="1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 refreshError="1"/>
      <sheetData sheetId="1453" refreshError="1"/>
      <sheetData sheetId="1454" refreshError="1"/>
      <sheetData sheetId="1455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/>
      <sheetData sheetId="15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가지우회도로공내역서"/>
      <sheetName val="부대tu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적격점수"/>
      <sheetName val="심사평가"/>
      <sheetName val="자재인력"/>
      <sheetName val="설계실행"/>
      <sheetName val="관리비"/>
      <sheetName val="표지1"/>
      <sheetName val="총괄1"/>
      <sheetName val="하도사항1"/>
      <sheetName val="별지1"/>
      <sheetName val="토공11"/>
      <sheetName val="토공12"/>
      <sheetName val="토공13"/>
      <sheetName val="토공14"/>
      <sheetName val="토공15"/>
      <sheetName val="철콘11"/>
      <sheetName val="철콘12"/>
      <sheetName val="철콘13"/>
      <sheetName val="철콘14"/>
      <sheetName val="철콘15"/>
      <sheetName val="철강1"/>
      <sheetName val="표지2"/>
      <sheetName val="총괄2"/>
      <sheetName val="하도사항2"/>
      <sheetName val="별지2"/>
      <sheetName val="토공21"/>
      <sheetName val="토공22"/>
      <sheetName val="토공23"/>
      <sheetName val="토공24"/>
      <sheetName val="토공25"/>
      <sheetName val="철콘21"/>
      <sheetName val="철콘22"/>
      <sheetName val="철콘23"/>
      <sheetName val="철콘24"/>
      <sheetName val="철콘25"/>
      <sheetName val="철강2"/>
      <sheetName val="조경"/>
      <sheetName val="포장"/>
      <sheetName val="P-F"/>
      <sheetName val="선정.1"/>
      <sheetName val="선정.2"/>
      <sheetName val="선정.3"/>
      <sheetName val="선정.4"/>
      <sheetName val="선정.5"/>
      <sheetName val="견적결과"/>
      <sheetName val="집행(1)"/>
      <sheetName val="집행(2)"/>
      <sheetName val="합의서"/>
      <sheetName val="견적조건"/>
      <sheetName val="전기집계"/>
      <sheetName val="전기투찰"/>
      <sheetName val="토목총괄"/>
      <sheetName val="전기총괄"/>
      <sheetName val="BSD (2)"/>
      <sheetName val="전계가"/>
      <sheetName val="추풍최종"/>
      <sheetName val="청천내"/>
      <sheetName val="설 계"/>
      <sheetName val="입출재고현황 (2)"/>
      <sheetName val="내역서"/>
      <sheetName val="차액보증"/>
      <sheetName val="내역(설계)"/>
      <sheetName val="일위대가(가설)"/>
      <sheetName val="INPUT"/>
      <sheetName val="양수장(기계)"/>
      <sheetName val="단가"/>
      <sheetName val="45,46"/>
      <sheetName val="전기"/>
      <sheetName val="표지"/>
      <sheetName val="3F"/>
      <sheetName val="점수계산1-2"/>
      <sheetName val="품셈TABLE"/>
      <sheetName val="단가표"/>
      <sheetName val="공문"/>
      <sheetName val="기본DATA"/>
      <sheetName val="지급자재"/>
      <sheetName val="노임"/>
      <sheetName val="A-4"/>
      <sheetName val="도급"/>
      <sheetName val="갑지"/>
      <sheetName val="2000년하반기"/>
      <sheetName val="원본"/>
      <sheetName val="ABUT수량-A1"/>
      <sheetName val="취수탑"/>
      <sheetName val="원가"/>
      <sheetName val="토공실행"/>
      <sheetName val="시멘트"/>
      <sheetName val="7.가스"/>
      <sheetName val="공사비집계"/>
      <sheetName val="MEXICO-C"/>
      <sheetName val="준검 내역서"/>
      <sheetName val="일위대가(계측기설치)"/>
      <sheetName val="Sheet5"/>
      <sheetName val="건축내역"/>
      <sheetName val="횡배수관토공수량"/>
      <sheetName val="G.R300경비"/>
      <sheetName val="기계내역"/>
      <sheetName val="전신환매도율"/>
      <sheetName val="BID"/>
      <sheetName val="반중력식옹벽"/>
      <sheetName val="기초자료(x)"/>
      <sheetName val="2000년1차"/>
      <sheetName val="2000전체분"/>
      <sheetName val="낙찰표"/>
      <sheetName val="슬래브"/>
      <sheetName val="1호맨홀토공"/>
      <sheetName val="설계"/>
      <sheetName val="부대내역"/>
      <sheetName val="ASP포장"/>
      <sheetName val="통합"/>
      <sheetName val="내역"/>
      <sheetName val="궤간정정"/>
      <sheetName val="면(37)"/>
      <sheetName val="면맞춤"/>
      <sheetName val="줄(37)"/>
      <sheetName val="줄맞춤"/>
      <sheetName val="유간(37)"/>
      <sheetName val="유간정정"/>
      <sheetName val="처짐(37)"/>
      <sheetName val="이음처짐"/>
      <sheetName val="위치(37)"/>
      <sheetName val="위치정정"/>
      <sheetName val="다지기(37)"/>
      <sheetName val="총다지기"/>
      <sheetName val="자갈치기(37)"/>
      <sheetName val="자갈치기"/>
      <sheetName val="분기보수"/>
      <sheetName val="기타"/>
      <sheetName val="98수문일위"/>
      <sheetName val="국공유지및사유지"/>
      <sheetName val="현경"/>
      <sheetName val="EACT10"/>
      <sheetName val="조명율표"/>
      <sheetName val="단면 (2)"/>
      <sheetName val="1.취수장"/>
      <sheetName val="예산변경사항"/>
      <sheetName val="단가(반정1교-원주)"/>
      <sheetName val="DC-O-4-S(설명서)"/>
      <sheetName val="현장"/>
      <sheetName val="본관"/>
      <sheetName val="옹벽철근"/>
      <sheetName val="인건비"/>
      <sheetName val="IMPEADENCE MAP 취수장"/>
      <sheetName val="danga"/>
      <sheetName val="ilch"/>
      <sheetName val="교통대책내역"/>
      <sheetName val="개요"/>
      <sheetName val="예산변경원인분석"/>
      <sheetName val="부안일위"/>
      <sheetName val="Apt내역"/>
      <sheetName val="경상비"/>
      <sheetName val="4)유동표"/>
      <sheetName val="일위대가"/>
      <sheetName val="내역표지"/>
      <sheetName val="물량집계"/>
      <sheetName val="관개"/>
      <sheetName val="공사내역"/>
      <sheetName val="구조물공"/>
      <sheetName val="배수공"/>
      <sheetName val="부대공"/>
      <sheetName val="토공"/>
      <sheetName val="포장공"/>
      <sheetName val="단면"/>
      <sheetName val="총공사내역서"/>
      <sheetName val="공사비예산서(토목분)"/>
      <sheetName val="EQUIPMENT -2"/>
      <sheetName val="설계예산서"/>
      <sheetName val="배수통관토공수량"/>
      <sheetName val="Sheet2"/>
      <sheetName val="노무비"/>
      <sheetName val="말뚝기초"/>
      <sheetName val="전신"/>
      <sheetName val="직공비"/>
      <sheetName val="Macro1"/>
      <sheetName val="DATA 입력란"/>
      <sheetName val="1. 설계조건 2.단면가정 3. 하중계산"/>
      <sheetName val="기기리스트"/>
      <sheetName val="SG"/>
      <sheetName val="양수장내역"/>
      <sheetName val="설계개요"/>
      <sheetName val="별표집계"/>
      <sheetName val="교량전기"/>
      <sheetName val="일위대가표"/>
      <sheetName val="수량이동"/>
      <sheetName val="장비"/>
      <sheetName val="산근1"/>
      <sheetName val="노무"/>
      <sheetName val="자재"/>
      <sheetName val="기초1"/>
      <sheetName val="200"/>
      <sheetName val="총내역서"/>
      <sheetName val="토목주소"/>
      <sheetName val="프랜트면허"/>
      <sheetName val="소요자금청구서 10월"/>
      <sheetName val="공사대금 12월"/>
      <sheetName val="장비 12월"/>
      <sheetName val="노무(출)12월"/>
      <sheetName val="Sheet1"/>
      <sheetName val="크레인"/>
      <sheetName val="지계차"/>
      <sheetName val="국제12"/>
      <sheetName val="원광12월"/>
      <sheetName val="서화12월."/>
      <sheetName val="기장건기"/>
      <sheetName val="도자"/>
      <sheetName val="팔팔건기"/>
      <sheetName val="팔팔건기 (2)"/>
      <sheetName val="운송"/>
      <sheetName val="최규헌"/>
      <sheetName val="인력"/>
      <sheetName val="목재"/>
      <sheetName val="앙카체"/>
      <sheetName val="철제"/>
      <sheetName val="일용직"/>
      <sheetName val="위"/>
      <sheetName val="아래"/>
      <sheetName val="전체"/>
      <sheetName val="차선도색현황"/>
      <sheetName val="D-3109"/>
      <sheetName val="주방환기"/>
      <sheetName val="실행철강하도"/>
      <sheetName val="관급"/>
      <sheetName val="8S발주관리대장"/>
      <sheetName val="남양내역"/>
      <sheetName val="부대시설"/>
      <sheetName val="물량표"/>
      <sheetName val="견적대비"/>
      <sheetName val="좌측"/>
      <sheetName val="송라터널총괄"/>
      <sheetName val="매원개착터널총괄"/>
      <sheetName val="이방변동"/>
      <sheetName val="AIR SHOWER(3인용)"/>
      <sheetName val="단가산출"/>
      <sheetName val="간접1"/>
      <sheetName val="ITEM"/>
      <sheetName val="1.설계조건"/>
      <sheetName val="현장관리비 산출내역"/>
      <sheetName val="품셈(기초)"/>
      <sheetName val="전차선로 물량표"/>
      <sheetName val="청산공사"/>
      <sheetName val="98비정기소모"/>
      <sheetName val="계산중"/>
      <sheetName val="횡배위치"/>
      <sheetName val="제수"/>
      <sheetName val="공기"/>
      <sheetName val="MAT"/>
      <sheetName val="DATE"/>
      <sheetName val="2.대외공문"/>
      <sheetName val="인사자료총집계"/>
      <sheetName val="갑지1"/>
      <sheetName val="금액"/>
      <sheetName val="준공시전망_원본"/>
      <sheetName val="3.공통공사대비"/>
      <sheetName val="하수실행"/>
      <sheetName val="Sheet1 (2)"/>
      <sheetName val="DATA"/>
      <sheetName val="총괄표"/>
      <sheetName val="양수장기계"/>
      <sheetName val="Sheet17"/>
      <sheetName val="JUCKEYK"/>
      <sheetName val="변경후-SHEET"/>
      <sheetName val="소방사항"/>
      <sheetName val="EJ"/>
      <sheetName val="단가일람표"/>
      <sheetName val="산출내역서집계표"/>
      <sheetName val="직노"/>
      <sheetName val="일반공사"/>
      <sheetName val="하수급견적대비"/>
      <sheetName val="설계내역서"/>
      <sheetName val="401"/>
      <sheetName val="가설공사내역"/>
      <sheetName val="토사(PE)"/>
      <sheetName val="주상도"/>
      <sheetName val="대비"/>
      <sheetName val="자압"/>
      <sheetName val="접지수량"/>
      <sheetName val="견적서"/>
      <sheetName val="XL4Poppy"/>
      <sheetName val="sw1"/>
      <sheetName val="NOMUBI"/>
      <sheetName val="식재총괄"/>
      <sheetName val="수량산출"/>
      <sheetName val="C1ㅇ"/>
      <sheetName val="#REF"/>
      <sheetName val="원가계산서"/>
      <sheetName val="APT"/>
      <sheetName val="부속동"/>
      <sheetName val="을지"/>
      <sheetName val="품셈총괄표"/>
      <sheetName val="처리현황"/>
      <sheetName val="학생내역"/>
      <sheetName val="위치조서"/>
      <sheetName val="공사개요"/>
      <sheetName val="정보"/>
      <sheetName val="별표"/>
      <sheetName val="자재조사표"/>
      <sheetName val="지질조사"/>
      <sheetName val="중기손료"/>
      <sheetName val="실행내역서 "/>
      <sheetName val="입출재고현황 _2_"/>
      <sheetName val="기초자료"/>
      <sheetName val="기초입력"/>
      <sheetName val="실행대비"/>
      <sheetName val="환율change"/>
      <sheetName val="PAINT"/>
      <sheetName val="판"/>
      <sheetName val="정부노임단가"/>
      <sheetName val="실행내역"/>
      <sheetName val="계약내역서(을지)"/>
      <sheetName val="일위대가목차"/>
      <sheetName val="내역서 "/>
      <sheetName val="차수"/>
      <sheetName val="TEBAK2"/>
      <sheetName val="구미"/>
      <sheetName val="시화점실행"/>
      <sheetName val="데리네이타현황"/>
      <sheetName val="흄관기초"/>
      <sheetName val="집계표"/>
      <sheetName val="노임단가"/>
      <sheetName val="실행"/>
      <sheetName val="철거산출근거"/>
      <sheetName val="하조서"/>
      <sheetName val="CODE"/>
      <sheetName val="s"/>
      <sheetName val="을"/>
      <sheetName val="노임이"/>
      <sheetName val="ETC"/>
      <sheetName val="6호기"/>
      <sheetName val="입찰보고"/>
      <sheetName val="97년추정손익계산서"/>
      <sheetName val="산근"/>
      <sheetName val="손익현황"/>
      <sheetName val="단가 및 재료비"/>
      <sheetName val="잡비"/>
      <sheetName val="자동제어"/>
      <sheetName val="토목"/>
      <sheetName val="단가대비표"/>
      <sheetName val="투찰가"/>
      <sheetName val="신기1-LINE별연장"/>
      <sheetName val="S0"/>
      <sheetName val="인부신상자료"/>
      <sheetName val="단면가정"/>
      <sheetName val="2003년내역"/>
      <sheetName val="전화번호DATA (2001)"/>
      <sheetName val="견"/>
      <sheetName val="Y-WORK"/>
      <sheetName val="배수통관(좌)"/>
      <sheetName val="sort"/>
      <sheetName val="BLOCK(1)"/>
      <sheetName val="c_balju"/>
      <sheetName val="부표총괄"/>
      <sheetName val="NYS"/>
      <sheetName val="정렬"/>
      <sheetName val="토공사"/>
      <sheetName val="단위수량(출력X)"/>
      <sheetName val="수량집계"/>
      <sheetName val="MCC제원"/>
      <sheetName val="매입세"/>
      <sheetName val="총괄내역서"/>
      <sheetName val="guard(mac)"/>
      <sheetName val="대전-교대(A1-A2)"/>
      <sheetName val="구의33고"/>
      <sheetName val="FURNITURE-01"/>
      <sheetName val="일위대가_계측기설치_"/>
      <sheetName val="MOTOR"/>
      <sheetName val="설계명세서"/>
      <sheetName val="내역서단가산출용"/>
      <sheetName val="Total"/>
      <sheetName val="부대공사비"/>
      <sheetName val="날개벽수량표"/>
      <sheetName val="Requirement(Work Crew)"/>
      <sheetName val="단가조사"/>
      <sheetName val="수량산출서"/>
      <sheetName val="원가계산(2)"/>
      <sheetName val="제철"/>
      <sheetName val="Sheet10"/>
      <sheetName val="건축집계"/>
      <sheetName val="가도공"/>
      <sheetName val="용소리교"/>
      <sheetName val="포장공사"/>
      <sheetName val="8.PILE  (돌출)"/>
      <sheetName val="날개벽"/>
      <sheetName val="옥외"/>
      <sheetName val="수정시산표"/>
      <sheetName val="취합표"/>
      <sheetName val="물량산출"/>
      <sheetName val="자료"/>
      <sheetName val="도급원가"/>
      <sheetName val="2공구산출내역"/>
      <sheetName val="현금"/>
      <sheetName val="품셈표"/>
      <sheetName val="내역서1"/>
      <sheetName val="일위집계표"/>
      <sheetName val="tggwan(mac)"/>
      <sheetName val="GAEYO"/>
      <sheetName val="산출"/>
      <sheetName val="견적대비표"/>
      <sheetName val="L_RPTB02_01"/>
      <sheetName val="FACTOR"/>
      <sheetName val="수입"/>
      <sheetName val="물량"/>
      <sheetName val="2_대외공문"/>
      <sheetName val="대목"/>
      <sheetName val="지장물C"/>
      <sheetName val="LEGEND"/>
      <sheetName val="금액내역서"/>
      <sheetName val="집계"/>
      <sheetName val="납부서"/>
      <sheetName val="단가산출1"/>
      <sheetName val="6PILE  (돌출)"/>
      <sheetName val="1-1"/>
      <sheetName val="보고서"/>
      <sheetName val="제경비"/>
      <sheetName val="교각1"/>
      <sheetName val="I一般比"/>
      <sheetName val="1월"/>
      <sheetName val="배방교"/>
      <sheetName val="woo(mac)"/>
      <sheetName val="주관사업"/>
      <sheetName val="내역서(총괄)"/>
      <sheetName val="수습"/>
      <sheetName val="원도급내역"/>
      <sheetName val="변경별표"/>
      <sheetName val="현장별"/>
      <sheetName val="역T형"/>
      <sheetName val="MAIN_TABLE"/>
      <sheetName val="기둥(원형)"/>
      <sheetName val="SLAB"/>
      <sheetName val="발파유용(3)"/>
      <sheetName val="배선(낙차)"/>
      <sheetName val="총집계표"/>
      <sheetName val="4-3 보온 기본물량집계"/>
      <sheetName val="단가조건(02년)"/>
      <sheetName val="전선"/>
      <sheetName val="계화배수"/>
      <sheetName val="단가비교"/>
      <sheetName val="건축설비내역"/>
      <sheetName val="단가산출서"/>
      <sheetName val="A"/>
      <sheetName val="WORK"/>
      <sheetName val="예가표"/>
      <sheetName val="TEST1"/>
      <sheetName val="중기가동(7)"/>
      <sheetName val="횡날개수집"/>
      <sheetName val="9GNG운반"/>
      <sheetName val="CTEMCOST"/>
      <sheetName val="재료"/>
      <sheetName val="1"/>
      <sheetName val="터파기및재료"/>
      <sheetName val="변경집계표"/>
      <sheetName val="유림골조"/>
      <sheetName val="전기일위대가"/>
      <sheetName val="매입세율"/>
      <sheetName val="토공(우물통,기타) "/>
      <sheetName val="공사비SUM"/>
      <sheetName val="내역(전체)"/>
      <sheetName val="계약ITEM"/>
      <sheetName val="간접경상비"/>
      <sheetName val="투찰"/>
      <sheetName val="기본사항"/>
      <sheetName val="INPUT-DATA"/>
      <sheetName val="갑지(추정)"/>
      <sheetName val="총괄"/>
      <sheetName val="현장관리비참조"/>
      <sheetName val="AC포장수량"/>
      <sheetName val="선반OPT"/>
      <sheetName val="실행(1)"/>
      <sheetName val="옥외배관기본공량"/>
      <sheetName val="설비공사"/>
      <sheetName val="설계조건"/>
      <sheetName val="안정계산"/>
      <sheetName val="단면검토"/>
      <sheetName val="자금청구(건축)"/>
      <sheetName val="당초수량"/>
      <sheetName val="경성자금"/>
      <sheetName val="다이꾸"/>
      <sheetName val="한일양산"/>
      <sheetName val="견적을지"/>
      <sheetName val="000000"/>
      <sheetName val="현대물량"/>
      <sheetName val="9902"/>
      <sheetName val="일위"/>
      <sheetName val="예산내역"/>
      <sheetName val="도급내역(20061공구)"/>
      <sheetName val="양수장_기계_"/>
      <sheetName val="ELECTRIC"/>
      <sheetName val="SCHEDULE"/>
      <sheetName val="99총공사내역서"/>
      <sheetName val="조건표"/>
      <sheetName val="기본단가"/>
      <sheetName val="Baby일위대가"/>
      <sheetName val="에너지동"/>
      <sheetName val="선정_1"/>
      <sheetName val="선정_2"/>
      <sheetName val="선정_3"/>
      <sheetName val="선정_4"/>
      <sheetName val="선정_5"/>
      <sheetName val="설_계"/>
      <sheetName val="입출재고현황_(2)"/>
      <sheetName val="G_R300경비"/>
      <sheetName val="7_가스"/>
      <sheetName val="준검_내역서"/>
      <sheetName val="BSD_(2)"/>
      <sheetName val="단면_(2)"/>
      <sheetName val="1_취수장"/>
      <sheetName val="소요자금청구서_10월"/>
      <sheetName val="공사대금_12월"/>
      <sheetName val="장비_12월"/>
      <sheetName val="서화12월_"/>
      <sheetName val="팔팔건기_(2)"/>
      <sheetName val="DATA_입력란"/>
      <sheetName val="1__설계조건_2_단면가정_3__하중계산"/>
      <sheetName val="EQUIPMENT_-2"/>
      <sheetName val="Sheet1_(2)"/>
      <sheetName val="AIR_SHOWER(3인용)"/>
      <sheetName val="IMPEADENCE_MAP_취수장"/>
      <sheetName val="전차선로_물량표"/>
      <sheetName val="내역서_"/>
      <sheetName val="내역(2000년)"/>
      <sheetName val="연결임시"/>
      <sheetName val="여흥"/>
      <sheetName val="3차토목내역"/>
      <sheetName val="기흥하도용"/>
      <sheetName val="첨부파일"/>
      <sheetName val="전체도급"/>
      <sheetName val="최종견"/>
      <sheetName val="상가지급현황"/>
      <sheetName val="SUMMARY"/>
      <sheetName val="건축-물가변동"/>
      <sheetName val="기계설비-물가변동"/>
      <sheetName val="D25"/>
      <sheetName val="D16"/>
      <sheetName val="D22"/>
      <sheetName val="#3_일위대가목록"/>
      <sheetName val="공통비배부기준"/>
      <sheetName val="7월11일"/>
      <sheetName val="unit 4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월별수입"/>
      <sheetName val="약품공급2"/>
      <sheetName val=" ｹ-ﾌﾞﾙ"/>
      <sheetName val="보도공제면적"/>
      <sheetName val="개산공사비"/>
      <sheetName val="예총"/>
      <sheetName val="수곡내역"/>
      <sheetName val="3층LOAD"/>
      <sheetName val="1층LOAD"/>
      <sheetName val="C_d"/>
      <sheetName val="토공총괄표"/>
      <sheetName val="DS적용내역서"/>
      <sheetName val="YM-IL1"/>
      <sheetName val="플랜트 설치"/>
      <sheetName val="찍기"/>
      <sheetName val="정공공사"/>
      <sheetName val="2000,9월 일위"/>
      <sheetName val="공통단가"/>
      <sheetName val="단위단가"/>
      <sheetName val="경상직원"/>
      <sheetName val="조건"/>
      <sheetName val="코드표"/>
      <sheetName val="재료비"/>
      <sheetName val="단가일람"/>
      <sheetName val="조경일람"/>
      <sheetName val="운반비"/>
      <sheetName val="부대대비"/>
      <sheetName val="냉연집계"/>
      <sheetName val="SLAB&quot;1&quot;"/>
      <sheetName val="choose"/>
      <sheetName val="내역및총괄"/>
      <sheetName val="적용토목"/>
      <sheetName val="부대공(BOQ)"/>
      <sheetName val="7.전산해석결과"/>
      <sheetName val="4.하중"/>
      <sheetName val="우각부검토"/>
      <sheetName val="간접비"/>
      <sheetName val="이자율"/>
      <sheetName val="PI"/>
      <sheetName val="SULKEA"/>
      <sheetName val="경산"/>
      <sheetName val="적용단가"/>
      <sheetName val="과단위"/>
      <sheetName val="쌍송교"/>
      <sheetName val="WEIGHT LIST"/>
      <sheetName val="산#2-1 (2)"/>
      <sheetName val="POL6차-PIPING"/>
      <sheetName val="산#3-1"/>
      <sheetName val="단가목록"/>
      <sheetName val="전문품의"/>
      <sheetName val="DAN"/>
      <sheetName val="공통부대비"/>
      <sheetName val="간선계산"/>
      <sheetName val="검색"/>
      <sheetName val="1.전력공사"/>
      <sheetName val="8.DC"/>
      <sheetName val="3.전열"/>
      <sheetName val="2.조명제어"/>
      <sheetName val="국내조달(통합-1)"/>
      <sheetName val="설치공사2"/>
      <sheetName val="총체보활공정표"/>
      <sheetName val="이름정의"/>
      <sheetName val="경비"/>
      <sheetName val="98지급계획"/>
      <sheetName val="별제권_정리담보권"/>
      <sheetName val="추가예산"/>
      <sheetName val="신표지1"/>
      <sheetName val="견적서(토공)"/>
      <sheetName val="투찰(하수)"/>
      <sheetName val="PIPE"/>
      <sheetName val="TYPE-A"/>
      <sheetName val="BUDAI"/>
      <sheetName val="실행기성 갑지"/>
      <sheetName val="말뚝물량"/>
      <sheetName val="광혁기성"/>
      <sheetName val="건축공사실행"/>
      <sheetName val="조명시설"/>
      <sheetName val="제경비율"/>
      <sheetName val="연습"/>
      <sheetName val="능률(기성)"/>
      <sheetName val="포장복구집계"/>
      <sheetName val="내역서-2"/>
      <sheetName val="발주현황"/>
      <sheetName val="토목내역서 (도급단가) (2)"/>
      <sheetName val="MSG 수량"/>
      <sheetName val="REDUCER"/>
      <sheetName val="WE'T"/>
      <sheetName val="N賃率-職"/>
      <sheetName val="현장관리비내역서"/>
      <sheetName val="일위집계"/>
      <sheetName val="교량"/>
      <sheetName val="수문일1"/>
      <sheetName val="종단계산"/>
      <sheetName val="예정(3)"/>
      <sheetName val="경영상태"/>
      <sheetName val="상각율"/>
      <sheetName val="산3"/>
      <sheetName val="평3"/>
      <sheetName val="공사개요(사업승인변경)"/>
      <sheetName val="품셈"/>
      <sheetName val="SIL98"/>
      <sheetName val="건축"/>
      <sheetName val="귀래 설계 공내역서"/>
      <sheetName val="제수변수량"/>
      <sheetName val="공기변수량"/>
      <sheetName val="구조물철거타공정이월"/>
      <sheetName val="날개벽(좌,우=60도-4개)"/>
      <sheetName val="고압"/>
      <sheetName val="견적990322"/>
      <sheetName val="영동(D)"/>
      <sheetName val="새공통"/>
      <sheetName val="자재단가"/>
      <sheetName val="우배수"/>
      <sheetName val="총괄집계 "/>
      <sheetName val="장비손료"/>
      <sheetName val="시중노임단가"/>
      <sheetName val="FAX"/>
      <sheetName val="손익분석"/>
      <sheetName val="간접비계산"/>
      <sheetName val="직접공사비집계표_7"/>
      <sheetName val="공통가설_8"/>
      <sheetName val="기타시설"/>
      <sheetName val="판매시설"/>
      <sheetName val="주민복지관"/>
      <sheetName val="지하주차장"/>
      <sheetName val="요율"/>
      <sheetName val="토적계산"/>
      <sheetName val="지불내역1"/>
      <sheetName val="REPORT"/>
      <sheetName val="환율"/>
      <sheetName val="SCH"/>
      <sheetName val="대로근거"/>
      <sheetName val="약품설비"/>
      <sheetName val="각종장비전압강하계산"/>
      <sheetName val="95MAKER"/>
      <sheetName val="일위목록"/>
      <sheetName val=" 토목 처리장도급내역서 "/>
      <sheetName val="기초자료입력"/>
      <sheetName val="우수맨홀토공단위수량"/>
      <sheetName val="1.토공"/>
      <sheetName val="공사설계서"/>
      <sheetName val="자금청구"/>
      <sheetName val="덕전리"/>
      <sheetName val="재료비단가(VALVE)"/>
      <sheetName val="2.입력sheet"/>
      <sheetName val="반중력식옹벽3.5"/>
      <sheetName val="상 부"/>
      <sheetName val="상부집계표"/>
      <sheetName val="방배동내역(리라)"/>
      <sheetName val="건축공사집계표"/>
      <sheetName val="현장경비"/>
      <sheetName val="부대공사총괄"/>
      <sheetName val="증감대비"/>
      <sheetName val="입력DATA"/>
      <sheetName val="바닥판"/>
      <sheetName val="3BL공동구 수량"/>
      <sheetName val="순서도"/>
      <sheetName val="바닥판(1)"/>
      <sheetName val="간접"/>
      <sheetName val="세부내역"/>
      <sheetName val="중기"/>
      <sheetName val="일반설비내역서"/>
      <sheetName val="sh1"/>
      <sheetName val="부하계산서"/>
      <sheetName val="보차도경계석"/>
      <sheetName val="부하(성남)"/>
      <sheetName val="주beam"/>
      <sheetName val="3_공통공사대비"/>
      <sheetName val="Customer Databas"/>
      <sheetName val="단중표"/>
      <sheetName val="빙축열내역대비입고현황"/>
      <sheetName val="계산서"/>
      <sheetName val="별표 "/>
      <sheetName val="준공조서갑지"/>
      <sheetName val="기초코드"/>
      <sheetName val="3.3"/>
      <sheetName val="감독1130"/>
      <sheetName val="일위대가-1"/>
      <sheetName val="SUB일위대가"/>
      <sheetName val="b_balju"/>
      <sheetName val="사본 - b_balju"/>
      <sheetName val="Sheet4"/>
      <sheetName val="스포회원매출"/>
      <sheetName val="SKETCH"/>
      <sheetName val="REINF."/>
      <sheetName val="LOADS"/>
      <sheetName val="CHECK1"/>
      <sheetName val="청구"/>
      <sheetName val="비탈면보호공수량산출"/>
      <sheetName val="(포장)BOQ-실적공사"/>
      <sheetName val="화해(함평)"/>
      <sheetName val="화해(장성)"/>
      <sheetName val="b_balju_cho"/>
      <sheetName val="문산방향-교대(A2)"/>
      <sheetName val="식재인부"/>
      <sheetName val="물량표(신)"/>
      <sheetName val="각현장분석"/>
      <sheetName val="아스팔트 포장총괄집계표"/>
      <sheetName val="공종목록표"/>
      <sheetName val="BEND LOSS"/>
      <sheetName val="충주"/>
      <sheetName val="총괄-1"/>
      <sheetName val="월별품의현황"/>
      <sheetName val="예산M2"/>
      <sheetName val="시가지우회도로공내역서"/>
      <sheetName val="맨홀토공(3)"/>
      <sheetName val="DATA98"/>
      <sheetName val="목창호"/>
      <sheetName val="처리단락"/>
      <sheetName val="조건 (A)"/>
      <sheetName val="삼보지질"/>
      <sheetName val="뚝토공"/>
      <sheetName val="저"/>
      <sheetName val="현금흐름"/>
      <sheetName val="9-1차이내역"/>
      <sheetName val="중기일위대가"/>
      <sheetName val="준공현장"/>
      <sheetName val="판매46"/>
      <sheetName val="1안98Billing"/>
      <sheetName val="현장관리비"/>
      <sheetName val="장비비"/>
      <sheetName val="광주운남을"/>
      <sheetName val="매립"/>
      <sheetName val="지구단위계획"/>
      <sheetName val="건축내역서"/>
      <sheetName val="밸브설치"/>
      <sheetName val="간이영수증"/>
      <sheetName val="증감분석"/>
      <sheetName val="입찰내역서"/>
      <sheetName val="TRE TABLE"/>
      <sheetName val="기계경비일람"/>
      <sheetName val="해운대V-B"/>
      <sheetName val="하도급대비"/>
      <sheetName val="기성내역"/>
      <sheetName val="토목공사일반"/>
      <sheetName val="용지매수"/>
      <sheetName val="원형맨홀수량"/>
      <sheetName val="오억미만"/>
      <sheetName val="CAT_5"/>
      <sheetName val="96보완계획7.12"/>
      <sheetName val="업무처리전"/>
      <sheetName val="001"/>
      <sheetName val="조명일위"/>
      <sheetName val="공조기"/>
      <sheetName val="Macro2"/>
      <sheetName val="제출내역 (2)"/>
      <sheetName val="45_46"/>
      <sheetName val="VENT"/>
      <sheetName val="뜃맟뭁돽띿맟?-BLDG"/>
      <sheetName val="참조 (2)"/>
      <sheetName val="입력"/>
      <sheetName val="동력부하계산"/>
      <sheetName val="산출근거"/>
      <sheetName val="1단계"/>
      <sheetName val="기본단가표"/>
      <sheetName val="J01"/>
      <sheetName val="단-토공"/>
      <sheetName val="DB"/>
      <sheetName val="EL90"/>
      <sheetName val="archi(본사)"/>
      <sheetName val="식재가격"/>
      <sheetName val="ⴭⴭⴭⴭ"/>
      <sheetName val="부대토목"/>
      <sheetName val="산출2-기기동력"/>
      <sheetName val="시설일위"/>
      <sheetName val="Type(123)"/>
      <sheetName val="성남여성복지내역"/>
      <sheetName val="기자재집계"/>
      <sheetName val="플랜트"/>
      <sheetName val="현장목차"/>
      <sheetName val="00건설추정대차대조표"/>
      <sheetName val="소야공정계획표"/>
      <sheetName val="기계내역서"/>
      <sheetName val="방배동내역 (총괄)"/>
      <sheetName val="7.PILE  (돌출)"/>
      <sheetName val="일위_파일"/>
      <sheetName val="B부대공"/>
      <sheetName val="철근총괄"/>
      <sheetName val="가시설수량"/>
      <sheetName val="2.단면가정3.모델링4.하중"/>
      <sheetName val="카메라"/>
      <sheetName val="경비2내역"/>
      <sheetName val="열교환기"/>
      <sheetName val="계산내역(설비)"/>
      <sheetName val="광통신 견적내역서1"/>
      <sheetName val="LD"/>
      <sheetName val="단위세대물량"/>
      <sheetName val="MixBed"/>
      <sheetName val="CondPol"/>
      <sheetName val="품목"/>
      <sheetName val="TOT"/>
      <sheetName val="수안보-MBR1"/>
      <sheetName val="집수정(600-700)"/>
      <sheetName val="단가비교표"/>
      <sheetName val="단가보완"/>
      <sheetName val="평균터파기고(1-2,ASP)"/>
      <sheetName val="갑근세납세필증명원"/>
      <sheetName val="종합"/>
      <sheetName val="가시설(TYPE-A)"/>
      <sheetName val="1-1평균터파기고(1)"/>
      <sheetName val="PROJECT BRIEF(EX.NEW)"/>
      <sheetName val="아파트_9"/>
      <sheetName val="합천내역"/>
      <sheetName val="토적_x0000__x0000_"/>
      <sheetName val="기본자료"/>
      <sheetName val="단"/>
      <sheetName val="수장"/>
      <sheetName val="SAKUB"/>
      <sheetName val="방음벽기초(H=4m)"/>
      <sheetName val="선정_11"/>
      <sheetName val="선정_21"/>
      <sheetName val="선정_31"/>
      <sheetName val="선정_41"/>
      <sheetName val="선정_51"/>
      <sheetName val="설_계1"/>
      <sheetName val="입출재고현황_(2)1"/>
      <sheetName val="G_R300경비1"/>
      <sheetName val="BSD_(2)1"/>
      <sheetName val="7_가스1"/>
      <sheetName val="준검_내역서1"/>
      <sheetName val="Sheet1_(2)1"/>
      <sheetName val="단면_(2)1"/>
      <sheetName val="1_취수장1"/>
      <sheetName val="현장관리비_산출내역"/>
      <sheetName val="소요자금청구서_10월1"/>
      <sheetName val="공사대금_12월1"/>
      <sheetName val="장비_12월1"/>
      <sheetName val="서화12월_1"/>
      <sheetName val="팔팔건기_(2)1"/>
      <sheetName val="DATA_입력란1"/>
      <sheetName val="1__설계조건_2_단면가정_3__하중계산1"/>
      <sheetName val="EQUIPMENT_-21"/>
      <sheetName val="AIR_SHOWER(3인용)1"/>
      <sheetName val="IMPEADENCE_MAP_취수장1"/>
      <sheetName val="전차선로_물량표1"/>
      <sheetName val="내역서_1"/>
      <sheetName val="1_설계조건"/>
      <sheetName val="입출재고현황__2_"/>
      <sheetName val="토공(우물통,기타)_"/>
      <sheetName val="2_대외공문1"/>
      <sheetName val="단가_및_재료비"/>
      <sheetName val="실행내역서_"/>
      <sheetName val="전화번호DATA_(2001)"/>
      <sheetName val="4-3_보온_기본물량집계"/>
      <sheetName val="Data&amp;Result"/>
      <sheetName val="도장수량(하1)"/>
      <sheetName val="주형"/>
      <sheetName val="Requirement(Work_Crew)"/>
      <sheetName val="8_PILE__(돌출)"/>
      <sheetName val="Option"/>
      <sheetName val="와동25-3(변경)"/>
      <sheetName val="사전공사"/>
      <sheetName val="세골재  T2 변경 현황"/>
      <sheetName val="품목단가"/>
      <sheetName val="현황산출서"/>
      <sheetName val="말뚝지지력산정"/>
      <sheetName val="교대(A1)"/>
      <sheetName val="단위수량"/>
      <sheetName val="01"/>
      <sheetName val="동학"/>
      <sheetName val="동학1"/>
      <sheetName val="경북안동"/>
      <sheetName val="진해"/>
      <sheetName val="당항포"/>
      <sheetName val="일위(거제) "/>
      <sheetName val="농업기반"/>
      <sheetName val="일위(달서)"/>
      <sheetName val="일위(숭실)"/>
      <sheetName val="숭실1"/>
      <sheetName val="일위(완도)"/>
      <sheetName val="완도1"/>
      <sheetName val="내역(청마)"/>
      <sheetName val="내역(청마) (2)"/>
      <sheetName val="공사 Scope 표지"/>
      <sheetName val="공사 Scope"/>
      <sheetName val="원가표"/>
      <sheetName val="내역-1"/>
      <sheetName val="내역-2"/>
      <sheetName val="일위2"/>
      <sheetName val="일위3"/>
      <sheetName val="금융"/>
      <sheetName val="출자한도"/>
      <sheetName val="Sump,Pit,MH"/>
      <sheetName val="표  지"/>
      <sheetName val="내역서변경성원"/>
      <sheetName val="활성탄 여과지토공"/>
      <sheetName val="내역1"/>
      <sheetName val="설직재-1"/>
      <sheetName val="ASALTOTA"/>
      <sheetName val="원가계산서(1차)"/>
      <sheetName val="아파트"/>
      <sheetName val="가연천"/>
      <sheetName val="수 량 명 세 서 - 1"/>
      <sheetName val="입력변수"/>
      <sheetName val="bi"/>
      <sheetName val="SUMMARY(S)"/>
      <sheetName val="부서코드표"/>
      <sheetName val="6동"/>
      <sheetName val="골조"/>
      <sheetName val="직재"/>
      <sheetName val="0226"/>
      <sheetName val=" 일본대사 관저 누수 보수공사120719.xlsx"/>
      <sheetName val="장비가동"/>
      <sheetName val="공사별총괄표(도급)"/>
      <sheetName val="수원역(전체분)설계서"/>
      <sheetName val="진접"/>
      <sheetName val="중기사용료"/>
      <sheetName val="안정검토"/>
      <sheetName val="직접경비"/>
      <sheetName val="개요입력"/>
      <sheetName val="수량기준"/>
      <sheetName val="단가기준"/>
      <sheetName val="구분자"/>
      <sheetName val="음료실행"/>
      <sheetName val="산식3"/>
      <sheetName val="관급자재"/>
      <sheetName val="도담구내 개소별 명세"/>
      <sheetName val="공정코드"/>
      <sheetName val="Ext. Stone-P"/>
      <sheetName val="12용지"/>
      <sheetName val="맨홀수량산출"/>
      <sheetName val="목차"/>
      <sheetName val="BOX"/>
      <sheetName val="피벗테이블데이터분석"/>
      <sheetName val="적용단위길이"/>
      <sheetName val="특수기호강도거푸집"/>
      <sheetName val="종배수관(신)"/>
      <sheetName val="자료입력"/>
      <sheetName val="명단"/>
      <sheetName val="11.1 단면hwp"/>
      <sheetName val="공내역"/>
      <sheetName val="연돌일위집계"/>
      <sheetName val="하중계산"/>
      <sheetName val="평자재단가"/>
      <sheetName val="제수변 수량집계표(보통)"/>
      <sheetName val="4.장비손료"/>
      <sheetName val="팔당터널(1공구)"/>
      <sheetName val="흙쌓기도수로설치현황(1)"/>
      <sheetName val="Sheet3"/>
      <sheetName val="버스운행안내"/>
      <sheetName val="예방접종계획"/>
      <sheetName val="근태계획서"/>
      <sheetName val="소업1교"/>
      <sheetName val="노무비단가"/>
      <sheetName val="당진1,2호기전선관설치및접지4차공사내역서-을지"/>
      <sheetName val="자재단가비교표"/>
      <sheetName val="sgbw"/>
      <sheetName val="설산1.나"/>
      <sheetName val="본사S"/>
      <sheetName val="특수선일위대가"/>
      <sheetName val="HANDHOLE(2)"/>
      <sheetName val="실적"/>
      <sheetName val="입력(K0)"/>
      <sheetName val="1.수인터널"/>
      <sheetName val="정보LIST"/>
      <sheetName val="구역화물"/>
      <sheetName val="Ⅴ-2.공종별내역"/>
      <sheetName val="주현(해보)"/>
      <sheetName val="주현(영광)"/>
      <sheetName val="토적표"/>
      <sheetName val="NYS(집계)"/>
      <sheetName val="하남내역"/>
      <sheetName val="3.하중산정4.지지력"/>
      <sheetName val="총계"/>
      <sheetName val="종배수관면벽신"/>
      <sheetName val="기초정보입력"/>
      <sheetName val="표층포설및다짐"/>
      <sheetName val="가설공사"/>
      <sheetName val="기준"/>
      <sheetName val="내역서 (2)"/>
      <sheetName val="단양 00 아파트-세부내역"/>
      <sheetName val="포장총괄집계표"/>
      <sheetName val="공사비"/>
      <sheetName val="2000.05"/>
      <sheetName val="CAPVC"/>
      <sheetName val="COPING"/>
      <sheetName val="목동세대 산출근거"/>
      <sheetName val="업무분장"/>
      <sheetName val="대비표"/>
      <sheetName val="5-6공구"/>
      <sheetName val="5-7공구"/>
      <sheetName val="5-8공구"/>
      <sheetName val="변경후원본2"/>
      <sheetName val="선정_12"/>
      <sheetName val="선정_22"/>
      <sheetName val="선정_32"/>
      <sheetName val="선정_42"/>
      <sheetName val="선정_52"/>
      <sheetName val="설_계2"/>
      <sheetName val="입출재고현황_(2)2"/>
      <sheetName val="7_가스2"/>
      <sheetName val="BSD_(2)2"/>
      <sheetName val="준검_내역서2"/>
      <sheetName val="G_R300경비2"/>
      <sheetName val="단면_(2)2"/>
      <sheetName val="1_취수장2"/>
      <sheetName val="소요자금청구서_10월2"/>
      <sheetName val="공사대금_12월2"/>
      <sheetName val="장비_12월2"/>
      <sheetName val="서화12월_2"/>
      <sheetName val="팔팔건기_(2)2"/>
      <sheetName val="EQUIPMENT_-22"/>
      <sheetName val="DATA_입력란2"/>
      <sheetName val="1__설계조건_2_단면가정_3__하중계산2"/>
      <sheetName val="Sheet1_(2)2"/>
      <sheetName val="AIR_SHOWER(3인용)2"/>
      <sheetName val="IMPEADENCE_MAP_취수장2"/>
      <sheetName val="내역서_2"/>
      <sheetName val="1_설계조건1"/>
      <sheetName val="현장관리비_산출내역1"/>
      <sheetName val="전화번호DATA_(2001)1"/>
      <sheetName val="2_대외공문2"/>
      <sheetName val="전차선로_물량표2"/>
      <sheetName val="입출재고현황__2_1"/>
      <sheetName val="4-3_보온_기본물량집계1"/>
      <sheetName val="실행내역서_1"/>
      <sheetName val="3_공통공사대비1"/>
      <sheetName val="단가_및_재료비1"/>
      <sheetName val="토공(우물통,기타)_1"/>
      <sheetName val="Requirement(Work_Crew)1"/>
      <sheetName val="8_PILE__(돌출)1"/>
      <sheetName val="unit_4"/>
      <sheetName val="6PILE__(돌출)"/>
      <sheetName val="_ｹ-ﾌﾞﾙ"/>
      <sheetName val="실행기성_갑지"/>
      <sheetName val="플랜트_설치"/>
      <sheetName val="WEIGHT_LIST"/>
      <sheetName val="산#2-1_(2)"/>
      <sheetName val="7_전산해석결과"/>
      <sheetName val="4_하중"/>
      <sheetName val="3_3"/>
      <sheetName val="2000,9월_일위"/>
      <sheetName val="토목내역서_(도급단가)_(2)"/>
      <sheetName val="MSG_수량"/>
      <sheetName val="1_전력공사"/>
      <sheetName val="8_DC"/>
      <sheetName val="3_전열"/>
      <sheetName val="2_조명제어"/>
      <sheetName val="귀래_설계_공내역서"/>
      <sheetName val="총괄집계_"/>
      <sheetName val="Customer_Databas"/>
      <sheetName val="별표_"/>
      <sheetName val="반중력식옹벽3_5"/>
      <sheetName val="사본_-_b_balju"/>
      <sheetName val="2_입력sheet"/>
      <sheetName val="REINF_"/>
      <sheetName val="1_토공"/>
      <sheetName val="아스팔트_포장총괄집계표"/>
      <sheetName val="BEND_LOSS"/>
      <sheetName val="조건_(A)"/>
      <sheetName val="_토목_처리장도급내역서_"/>
      <sheetName val="TRE_TABLE"/>
      <sheetName val="상_부"/>
      <sheetName val="3BL공동구_수량"/>
      <sheetName val="96보완계획7_12"/>
      <sheetName val="제출내역_(2)"/>
      <sheetName val="참조_(2)"/>
      <sheetName val="방배동내역_(총괄)"/>
      <sheetName val="표__지"/>
      <sheetName val="7_PILE__(돌출)"/>
      <sheetName val="활성탄_여과지토공"/>
      <sheetName val="수_량_명_세_서_-_1"/>
      <sheetName val="_일본대사_관저_누수_보수공사120719_xlsx"/>
      <sheetName val="2_단면가정3_모델링4_하중"/>
      <sheetName val="광통신_견적내역서1"/>
      <sheetName val="PROJECT_BRIEF(EX_NEW)"/>
      <sheetName val="세골재__T2_변경_현황"/>
      <sheetName val="날개벽(시점좌측)"/>
      <sheetName val="수로교총재료집계"/>
      <sheetName val="단가조사서"/>
      <sheetName val="TOTAL3"/>
      <sheetName val="연결관암거"/>
      <sheetName val="동일대내"/>
      <sheetName val="본체"/>
      <sheetName val="간접재료비산출표-27-30"/>
      <sheetName val="공통가설"/>
      <sheetName val="조명_x0005__x0000_"/>
      <sheetName val="laroux"/>
      <sheetName val="BJJIN"/>
      <sheetName val="총괄대장"/>
      <sheetName val="ES대장 양식"/>
      <sheetName val="공사비결정처별"/>
      <sheetName val="실정보고현황 (2)"/>
      <sheetName val="실정보고"/>
      <sheetName val="설변대장"/>
      <sheetName val="실정보고현황"/>
      <sheetName val="포항상수도"/>
      <sheetName val="포항상수도 (2)"/>
      <sheetName val="시화아파트보증현황"/>
      <sheetName val="시화아파트보증현황 (2)"/>
      <sheetName val="기안"/>
      <sheetName val="현장지지물물량"/>
      <sheetName val="구성비"/>
      <sheetName val="결과조달"/>
      <sheetName val="22인공"/>
      <sheetName val="4.전기"/>
      <sheetName val="득점현황"/>
      <sheetName val="동해title"/>
      <sheetName val="전기혼잡제경비(45)"/>
      <sheetName val="데이타"/>
      <sheetName val="집행예산"/>
      <sheetName val="깨기"/>
      <sheetName val="단위가격"/>
      <sheetName val="절취및터파기"/>
      <sheetName val="견적"/>
      <sheetName val="적용률"/>
      <sheetName val="1SGATE97"/>
      <sheetName val="총공비"/>
      <sheetName val="재료집계표"/>
      <sheetName val="환산표"/>
      <sheetName val="패널"/>
      <sheetName val="공종"/>
      <sheetName val="주식"/>
      <sheetName val="양식"/>
      <sheetName val="9609추"/>
      <sheetName val="공통비총괄표"/>
      <sheetName val="자재수량"/>
      <sheetName val="수정계획3"/>
      <sheetName val="부대공Ⅱ"/>
      <sheetName val="을-ATYPE"/>
      <sheetName val="매출그래프"/>
      <sheetName val="진도말"/>
      <sheetName val="1단지 단위세대 내역서"/>
      <sheetName val="BRAKE"/>
      <sheetName val="시설투자"/>
      <sheetName val="주요수량증감"/>
      <sheetName val="3차설계"/>
      <sheetName val="Bill-7"/>
      <sheetName val="Bill-8"/>
      <sheetName val="Bill-6"/>
      <sheetName val="터널구조물산근"/>
      <sheetName val="교각계산"/>
      <sheetName val="계림(함평)"/>
      <sheetName val="계림(장성)"/>
      <sheetName val="현장일반사항"/>
      <sheetName val="3본사"/>
      <sheetName val="기안지"/>
      <sheetName val="O＆P"/>
      <sheetName val="조건_(A)1"/>
      <sheetName val="금액유형"/>
      <sheetName val="우수"/>
      <sheetName val="여암교"/>
      <sheetName val="상수도토공집계표"/>
      <sheetName val="_x0000__x000a__x0000__x0005__x0000__x0006__x0000__x0007__x0000_"/>
      <sheetName val="_x0000_ _x0000__x0005__x0000__x0002__x0000__x000c__x0000_"/>
      <sheetName val="Ѐ਀ఀ؀؀଀"/>
      <sheetName val="_x0000__x0009__x0000__x0005__x0000__x0002__x0000__x000c__x0000_"/>
      <sheetName val="직원인원"/>
      <sheetName val="월간공정표(04월))"/>
      <sheetName val="본부소개"/>
      <sheetName val="재료표"/>
      <sheetName val="P-산#1-1(WOWA1)"/>
      <sheetName val="fursys"/>
      <sheetName val="정보매체A동"/>
      <sheetName val="전열"/>
      <sheetName val="토량산출서"/>
      <sheetName val="NEYOK"/>
      <sheetName val="FB25JN"/>
      <sheetName val="탑(을지)"/>
      <sheetName val="99노임기준"/>
      <sheetName val="종합기별"/>
      <sheetName val="노무비명세서"/>
      <sheetName val="소요자재명세서"/>
      <sheetName val="일위대가목록"/>
      <sheetName val=" "/>
      <sheetName val="각종장비전압강하계"/>
      <sheetName val="총괄갑 "/>
      <sheetName val="AS복구"/>
      <sheetName val="YES-T"/>
      <sheetName val="Table"/>
      <sheetName val="40단가산출서"/>
      <sheetName val="40집계"/>
      <sheetName val="4.2.1 마루높이 검토"/>
      <sheetName val="토공집계"/>
      <sheetName val="CC16-내역서"/>
      <sheetName val="착공계(전체)"/>
      <sheetName val="우수공,맨홀,집수정"/>
      <sheetName val="세부내역(직접인건비)"/>
      <sheetName val="7+160암거변경"/>
      <sheetName val="부대공자재"/>
      <sheetName val="환_x0000_"/>
      <sheetName val="고창방향"/>
      <sheetName val="신흥교"/>
      <sheetName val="도로단위당"/>
      <sheetName val="전도금"/>
      <sheetName val="건축공사이월"/>
      <sheetName val="방송(체육관)"/>
      <sheetName val="맨홀토공산출"/>
      <sheetName val="Sheet9"/>
      <sheetName val="집계표(육상)"/>
      <sheetName val="적격"/>
      <sheetName val="평가"/>
      <sheetName val="적정"/>
      <sheetName val="관리"/>
      <sheetName val="내역실행"/>
      <sheetName val="하도"/>
      <sheetName val="별지"/>
      <sheetName val="총괄설계"/>
      <sheetName val="내역설계"/>
      <sheetName val="조사"/>
      <sheetName val="의뢰"/>
      <sheetName val="AS"/>
      <sheetName val="여과지동"/>
      <sheetName val="단호교"/>
      <sheetName val="마포토정"/>
      <sheetName val="wall"/>
      <sheetName val="Front"/>
      <sheetName val="국내"/>
      <sheetName val="1.개요및면적"/>
      <sheetName val="입상내역"/>
      <sheetName val="합의경상"/>
      <sheetName val="동원(3)"/>
      <sheetName val="외자배분"/>
      <sheetName val="외자내역"/>
      <sheetName val="공사개요(¡_x0000_Ԁ_x0000_䀀횶_x0009_"/>
      <sheetName val="현장관리비집계표"/>
      <sheetName val="집수A"/>
      <sheetName val="Layout_Data "/>
      <sheetName val="inter"/>
      <sheetName val="CAL"/>
      <sheetName val="하도급"/>
      <sheetName val="조경수량"/>
      <sheetName val="1.우편집중내역서"/>
      <sheetName val="공사개요(¡_x0000_Ԁ_x0000_䀀횶 "/>
      <sheetName val="물질수지(2011)"/>
      <sheetName val="̀؀Ȁ턀"/>
      <sheetName val="̀؀Ȁ_x0000_"/>
      <sheetName val="SUB일위대가(손료)"/>
      <sheetName val="노안2지구총(시행계획)"/>
      <sheetName val="계약서"/>
      <sheetName val="토목내역서"/>
      <sheetName val="대치판정"/>
      <sheetName val="Vendors"/>
      <sheetName val="중기터파기"/>
      <sheetName val="변수값"/>
      <sheetName val="중기상차"/>
      <sheetName val="장척총괄"/>
      <sheetName val="1공구 배수통관 산출근거"/>
      <sheetName val="일위대가목록표"/>
      <sheetName val="전기,계장"/>
      <sheetName val="미결사항"/>
      <sheetName val="문학간접"/>
      <sheetName val="전체실행"/>
      <sheetName val="자동차폐수처리장"/>
      <sheetName val="마산방향철근집계"/>
      <sheetName val="진주방향"/>
      <sheetName val="마산방향"/>
      <sheetName val="시행후면적"/>
      <sheetName val="quotation"/>
      <sheetName val="잉여처분"/>
      <sheetName val="CIVIL"/>
      <sheetName val="전체제잡비"/>
      <sheetName val="참조-(1)"/>
      <sheetName val="L-type"/>
      <sheetName val="계수시트"/>
      <sheetName val="C3"/>
      <sheetName val="투찰내역"/>
      <sheetName val="수량산출1"/>
      <sheetName val="자재단가표"/>
      <sheetName val="2차공사변경현장관리비"/>
      <sheetName val="토공산출(주차장)"/>
      <sheetName val="배수내역"/>
      <sheetName val="5. FIREPROOF"/>
      <sheetName val="대비내역"/>
      <sheetName val="2.주요계수총괄"/>
      <sheetName val="그림"/>
      <sheetName val="그림2"/>
      <sheetName val="예산서"/>
      <sheetName val="당초내역서"/>
      <sheetName val="산근터빈"/>
      <sheetName val="설계도1"/>
      <sheetName val="기초(1)"/>
      <sheetName val="미드수량"/>
      <sheetName val="공성대비표"/>
      <sheetName val="참조자료"/>
      <sheetName val="인건비 "/>
      <sheetName val="종단耀⃤"/>
      <sheetName val="건설성적"/>
      <sheetName val="가압장(토목)"/>
      <sheetName val="할증 "/>
      <sheetName val="예가대비"/>
      <sheetName val="주공 갑지"/>
      <sheetName val="공용정보"/>
      <sheetName val="영업소실적"/>
      <sheetName val="__"/>
      <sheetName val="내역(청마- (2)"/>
      <sheetName val="설계변경(수정전)"/>
      <sheetName val="1승인신청서"/>
      <sheetName val="공종분류"/>
      <sheetName val="3련 BOX"/>
      <sheetName val="2)보강토수량집계"/>
      <sheetName val="터널조도"/>
      <sheetName val="과천MAIN"/>
      <sheetName val="집수정"/>
      <sheetName val="토적1"/>
      <sheetName val="샘플표지"/>
      <sheetName val="장비투입계획"/>
      <sheetName val="직원투입계획"/>
      <sheetName val="배수공 시멘트 및 골재량 산출"/>
      <sheetName val="RE9604"/>
      <sheetName val="90.03실행 "/>
      <sheetName val="원내역"/>
      <sheetName val="청구내역(9807)"/>
      <sheetName val="내역(최종본4.5)"/>
      <sheetName val="적현로"/>
      <sheetName val="등가관장표"/>
      <sheetName val="방음벽기초"/>
      <sheetName val="설치자재"/>
      <sheetName val="구성1"/>
      <sheetName val="구성2"/>
      <sheetName val="구성3"/>
      <sheetName val="구성4"/>
      <sheetName val="Mc1"/>
      <sheetName val="평균높이산출근거"/>
      <sheetName val="횡배수관위치조서"/>
      <sheetName val="골조시행"/>
      <sheetName val="VENDOR LIST"/>
      <sheetName val="구조"/>
      <sheetName val="기계시공"/>
      <sheetName val="기계경비(시간당)"/>
      <sheetName val="샤워실위생"/>
      <sheetName val="TB-내역서"/>
      <sheetName val="BND"/>
      <sheetName val="P.M 별"/>
      <sheetName val="김포IO"/>
      <sheetName val="일지-H"/>
      <sheetName val="약전닥트"/>
      <sheetName val="FD"/>
      <sheetName val="건축부하"/>
      <sheetName val="FA설치명세"/>
      <sheetName val="99관저"/>
      <sheetName val="G2설비도급"/>
      <sheetName val="집계장(대목_실행)"/>
      <sheetName val="BOX(1.5X1.5)"/>
      <sheetName val="가격조사서"/>
      <sheetName val="VXXXXXX"/>
      <sheetName val="난이도"/>
      <sheetName val="단가산출2"/>
      <sheetName val="중기사용료산출근거"/>
      <sheetName val="전문품"/>
      <sheetName val="능률(기성怀"/>
      <sheetName val="능률(기성쀀"/>
      <sheetName val="능률(기성砀"/>
      <sheetName val="능률(기성԰"/>
      <sheetName val="능률(기성倀"/>
      <sheetName val="능률(기성ጀ"/>
      <sheetName val="능률(기성䠀"/>
      <sheetName val="능률(기성 "/>
      <sheetName val="선정_13"/>
      <sheetName val="선정_23"/>
      <sheetName val="선정_33"/>
      <sheetName val="선정_43"/>
      <sheetName val="선정_53"/>
      <sheetName val="설_계3"/>
      <sheetName val="입출재고현황_(2)3"/>
      <sheetName val="7_가스3"/>
      <sheetName val="준검_내역서3"/>
      <sheetName val="BSD_(2)3"/>
      <sheetName val="G_R300경비3"/>
      <sheetName val="단면_(2)3"/>
      <sheetName val="1_취수장3"/>
      <sheetName val="소요자금청구서_10월3"/>
      <sheetName val="공사대금_12월3"/>
      <sheetName val="장비_12월3"/>
      <sheetName val="서화12월_3"/>
      <sheetName val="팔팔건기_(2)3"/>
      <sheetName val="EQUIPMENT_-23"/>
      <sheetName val="Sheet1_(2)3"/>
      <sheetName val="AIR_SHOWER(3인용)3"/>
      <sheetName val="3_공통공사대비2"/>
      <sheetName val="DATA_입력란3"/>
      <sheetName val="1__설계조건_2_단면가정_3__하중계산3"/>
      <sheetName val="IMPEADENCE_MAP_취수장3"/>
      <sheetName val="1_설계조건2"/>
      <sheetName val="현장관리비_산출내역2"/>
      <sheetName val="2_대외공문3"/>
      <sheetName val="전차선로_물량표3"/>
      <sheetName val="내역서_3"/>
      <sheetName val="실행내역서_2"/>
      <sheetName val="입출재고현황__2_2"/>
      <sheetName val="단가_및_재료비2"/>
      <sheetName val="토공(우물통,기타)_2"/>
      <sheetName val="전화번호DATA_(2001)2"/>
      <sheetName val="4-3_보온_기본물량집계2"/>
      <sheetName val="Requirement(Work_Crew)2"/>
      <sheetName val="8_PILE__(돌출)2"/>
      <sheetName val="6PILE__(돌출)1"/>
      <sheetName val="unit_41"/>
      <sheetName val="_ｹ-ﾌﾞﾙ1"/>
      <sheetName val="플랜트_설치1"/>
      <sheetName val="WEIGHT_LIST1"/>
      <sheetName val="산#2-1_(2)1"/>
      <sheetName val="7_전산해석결과1"/>
      <sheetName val="4_하중1"/>
      <sheetName val="2000,9월_일위1"/>
      <sheetName val="실행기성_갑지1"/>
      <sheetName val="3_31"/>
      <sheetName val="토목내역서_(도급단가)_(2)1"/>
      <sheetName val="MSG_수량1"/>
      <sheetName val="1_전력공사1"/>
      <sheetName val="8_DC1"/>
      <sheetName val="3_전열1"/>
      <sheetName val="2_조명제어1"/>
      <sheetName val="REINF_1"/>
      <sheetName val="사본_-_b_balju1"/>
      <sheetName val="2_입력sheet1"/>
      <sheetName val="반중력식옹벽3_51"/>
      <sheetName val="귀래_설계_공내역서1"/>
      <sheetName val="총괄집계_1"/>
      <sheetName val="Customer_Databas1"/>
      <sheetName val="별표_1"/>
      <sheetName val="아스팔트_포장총괄집계표1"/>
      <sheetName val="BEND_LOSS1"/>
      <sheetName val="1_토공1"/>
      <sheetName val="_토목_처리장도급내역서_1"/>
      <sheetName val="96보완계획7_121"/>
      <sheetName val="7_PILE__(돌출)1"/>
      <sheetName val="참조_(2)1"/>
      <sheetName val="상_부1"/>
      <sheetName val="3BL공동구_수량1"/>
      <sheetName val="제출내역_(2)1"/>
      <sheetName val="방배동내역_(총괄)1"/>
      <sheetName val="2_단면가정3_모델링4_하중1"/>
      <sheetName val="광통신_견적내역서11"/>
      <sheetName val="TRE_TABLE1"/>
      <sheetName val="PROJECT_BRIEF(EX_NEW)1"/>
      <sheetName val="세골재__T2_변경_현황1"/>
      <sheetName val="활성탄_여과지토공1"/>
      <sheetName val="_일본대사_관저_누수_보수공사120719_xlsx1"/>
      <sheetName val="Ext__Stone-P1"/>
      <sheetName val="ES대장_양식1"/>
      <sheetName val="실정보고현황_(2)1"/>
      <sheetName val="포항상수도_(2)1"/>
      <sheetName val="시화아파트보증현황_(2)1"/>
      <sheetName val="표__지1"/>
      <sheetName val="수_량_명_세_서_-_11"/>
      <sheetName val="도담구내_개소별_명세1"/>
      <sheetName val="1_수인터널1"/>
      <sheetName val="일위(거제)_1"/>
      <sheetName val="내역(청마)_(2)1"/>
      <sheetName val="공사_Scope_표지1"/>
      <sheetName val="공사_Scope1"/>
      <sheetName val="목동세대_산출근거1"/>
      <sheetName val="11_1_단면hwp1"/>
      <sheetName val="2000_051"/>
      <sheetName val="1단지_단위세대_내역서1"/>
      <sheetName val="제수변_수량집계표(보통)1"/>
      <sheetName val="Ext__Stone-P"/>
      <sheetName val="ES대장_양식"/>
      <sheetName val="실정보고현황_(2)"/>
      <sheetName val="포항상수도_(2)"/>
      <sheetName val="시화아파트보증현황_(2)"/>
      <sheetName val="1_수인터널"/>
      <sheetName val="일위(거제)_"/>
      <sheetName val="내역(청마)_(2)"/>
      <sheetName val="공사_Scope_표지"/>
      <sheetName val="공사_Scope"/>
      <sheetName val="목동세대_산출근거"/>
      <sheetName val="11_1_단면hwp"/>
      <sheetName val="2000_05"/>
      <sheetName val="1단지_단위세대_내역서"/>
      <sheetName val="제수변_수량집계표(보통)"/>
      <sheetName val="도담구내_개소별_명세"/>
      <sheetName val="4_장비손료"/>
      <sheetName val="내역서_(2)"/>
      <sheetName val="단양_00_아파트-세부내역"/>
      <sheetName val="설산1_나"/>
      <sheetName val="3_하중산정4_지지력"/>
      <sheetName val="선정_14"/>
      <sheetName val="선정_24"/>
      <sheetName val="선정_34"/>
      <sheetName val="선정_44"/>
      <sheetName val="선정_54"/>
      <sheetName val="설_계4"/>
      <sheetName val="입출재고현황_(2)4"/>
      <sheetName val="7_가스4"/>
      <sheetName val="준검_내역서4"/>
      <sheetName val="BSD_(2)4"/>
      <sheetName val="G_R300경비4"/>
      <sheetName val="단면_(2)4"/>
      <sheetName val="1_취수장4"/>
      <sheetName val="EQUIPMENT_-24"/>
      <sheetName val="IMPEADENCE_MAP_취수장4"/>
      <sheetName val="소요자금청구서_10월4"/>
      <sheetName val="공사대금_12월4"/>
      <sheetName val="장비_12월4"/>
      <sheetName val="서화12월_4"/>
      <sheetName val="팔팔건기_(2)4"/>
      <sheetName val="Sheet1_(2)4"/>
      <sheetName val="AIR_SHOWER(3인용)4"/>
      <sheetName val="3_공통공사대비3"/>
      <sheetName val="DATA_입력란4"/>
      <sheetName val="1__설계조건_2_단면가정_3__하중계산4"/>
      <sheetName val="1_설계조건3"/>
      <sheetName val="현장관리비_산출내역3"/>
      <sheetName val="2_대외공문4"/>
      <sheetName val="전차선로_물량표4"/>
      <sheetName val="내역서_4"/>
      <sheetName val="실행내역서_3"/>
      <sheetName val="입출재고현황__2_3"/>
      <sheetName val="단가_및_재료비3"/>
      <sheetName val="토공(우물통,기타)_3"/>
      <sheetName val="전화번호DATA_(2001)3"/>
      <sheetName val="4-3_보온_기본물량집계3"/>
      <sheetName val="Requirement(Work_Crew)3"/>
      <sheetName val="8_PILE__(돌출)3"/>
      <sheetName val="6PILE__(돌출)2"/>
      <sheetName val="unit_42"/>
      <sheetName val="_ｹ-ﾌﾞﾙ2"/>
      <sheetName val="플랜트_설치2"/>
      <sheetName val="WEIGHT_LIST2"/>
      <sheetName val="산#2-1_(2)2"/>
      <sheetName val="7_전산해석결과2"/>
      <sheetName val="4_하중2"/>
      <sheetName val="2000,9월_일위2"/>
      <sheetName val="실행기성_갑지2"/>
      <sheetName val="3_32"/>
      <sheetName val="토목내역서_(도급단가)_(2)2"/>
      <sheetName val="MSG_수량2"/>
      <sheetName val="1_전력공사2"/>
      <sheetName val="8_DC2"/>
      <sheetName val="3_전열2"/>
      <sheetName val="2_조명제어2"/>
      <sheetName val="REINF_2"/>
      <sheetName val="사본_-_b_balju2"/>
      <sheetName val="2_입력sheet2"/>
      <sheetName val="반중력식옹벽3_52"/>
      <sheetName val="귀래_설계_공내역서2"/>
      <sheetName val="총괄집계_2"/>
      <sheetName val="Customer_Databas2"/>
      <sheetName val="별표_2"/>
      <sheetName val="아스팔트_포장총괄집계표2"/>
      <sheetName val="BEND_LOSS2"/>
      <sheetName val="1_토공2"/>
      <sheetName val="_토목_처리장도급내역서_2"/>
      <sheetName val="조건_(A)2"/>
      <sheetName val="96보완계획7_122"/>
      <sheetName val="7_PILE__(돌출)2"/>
      <sheetName val="참조_(2)2"/>
      <sheetName val="상_부2"/>
      <sheetName val="3BL공동구_수량2"/>
      <sheetName val="제출내역_(2)2"/>
      <sheetName val="방배동내역_(총괄)2"/>
      <sheetName val="2_단면가정3_모델링4_하중2"/>
      <sheetName val="광통신_견적내역서12"/>
      <sheetName val="TRE_TABLE2"/>
      <sheetName val="PROJECT_BRIEF(EX_NEW)2"/>
      <sheetName val="활성탄_여과지토공2"/>
      <sheetName val="세골재__T2_변경_현황2"/>
      <sheetName val="_일본대사_관저_누수_보수공사120719_xlsx2"/>
      <sheetName val="Ext__Stone-P2"/>
      <sheetName val="ES대장_양식2"/>
      <sheetName val="실정보고현황_(2)2"/>
      <sheetName val="포항상수도_(2)2"/>
      <sheetName val="시화아파트보증현황_(2)2"/>
      <sheetName val="표__지2"/>
      <sheetName val="수_량_명_세_서_-_12"/>
      <sheetName val="도담구내_개소별_명세2"/>
      <sheetName val="1_수인터널2"/>
      <sheetName val="일위(거제)_2"/>
      <sheetName val="내역(청마)_(2)2"/>
      <sheetName val="공사_Scope_표지2"/>
      <sheetName val="공사_Scope2"/>
      <sheetName val="목동세대_산출근거2"/>
      <sheetName val="11_1_단면hwp2"/>
      <sheetName val="2000_052"/>
      <sheetName val="1단지_단위세대_내역서2"/>
      <sheetName val="제수변_수량집계표(보통)2"/>
      <sheetName val="예산총괄표"/>
      <sheetName val="A 견적"/>
      <sheetName val="자재코드"/>
      <sheetName val="예산명세서"/>
      <sheetName val="사통공사비"/>
      <sheetName val="다곡2교"/>
      <sheetName val="공사개요(¡"/>
      <sheetName val="준공조서"/>
      <sheetName val="공사준공계"/>
      <sheetName val="준공검사보고서"/>
      <sheetName val="토목내역서 (도급단가)렀ꔇ砯"/>
      <sheetName val="HW일위"/>
      <sheetName val="구조     ."/>
      <sheetName val="97노임단가"/>
      <sheetName val="수주추정"/>
      <sheetName val="업체별기성내역"/>
      <sheetName val="추진계획서"/>
      <sheetName val="환경기계공정표 (3)"/>
      <sheetName val="제잡비요율"/>
      <sheetName val="설비"/>
      <sheetName val="하도급업체"/>
      <sheetName val="제경餀ኘ"/>
      <sheetName val="남양시작동010313100%"/>
      <sheetName val="MTL$-INTER"/>
      <sheetName val="CB"/>
      <sheetName val="예산대비"/>
      <sheetName val="날개벽(좌,우=60"/>
      <sheetName val="단가입력창"/>
      <sheetName val="工완성공사율"/>
      <sheetName val="CABLE SIZE-3"/>
      <sheetName val="3지구단위"/>
      <sheetName val="총괄표(을)"/>
      <sheetName val="연부97-1"/>
      <sheetName val="변화치수"/>
      <sheetName val="기초단가"/>
      <sheetName val="Paint,Fire-Proof,Insul(48)"/>
      <sheetName val="Pier 3"/>
      <sheetName val="(포장)BOQ-실적공ꀀ"/>
      <sheetName val="재료단가"/>
      <sheetName val="암거날개벽재료집계"/>
      <sheetName val="근로자자료입력"/>
      <sheetName val="하천제원"/>
      <sheetName val="분야별 집계표"/>
      <sheetName val="인테리어"/>
      <sheetName val="원가계산서(인테리어)"/>
      <sheetName val="공종별집계표(인테리어)"/>
      <sheetName val="공종별내역서(인테리어)"/>
      <sheetName val="기계설비"/>
      <sheetName val="원가계산서(기계설비)"/>
      <sheetName val="공종별집계표(기계설비)"/>
      <sheetName val="공종별내역서(기계설비)"/>
      <sheetName val="원가(전기)"/>
      <sheetName val="총괄표(전기)"/>
      <sheetName val="내역서(전기)"/>
      <sheetName val="통신"/>
      <sheetName val="원가(통신)"/>
      <sheetName val="총괄표(통신)"/>
      <sheetName val="내역서(통신)"/>
      <sheetName val="소방설비"/>
      <sheetName val="원가계산서(소방설비)"/>
      <sheetName val="공종별집계표(소방설비)"/>
      <sheetName val="공종별내역서(소방설비)"/>
      <sheetName val="소방전기"/>
      <sheetName val="원가(소방전기)"/>
      <sheetName val="총괄표(소방전기)"/>
      <sheetName val="내역서(소방전기)"/>
      <sheetName val="중기단가목록"/>
      <sheetName val="중기단가산출서"/>
      <sheetName val=" 공사설정 "/>
      <sheetName val="mcc일위대가"/>
      <sheetName val="내역검토"/>
      <sheetName val="음성cable"/>
      <sheetName val="WE轰翟"/>
      <sheetName val="WE鈀쑷"/>
      <sheetName val="WE述쑷"/>
      <sheetName val="WE鐠犘"/>
      <sheetName val="WE犘"/>
      <sheetName val="1.전_x0010_"/>
      <sheetName val="1.전׃"/>
      <sheetName val="WE軐鳅"/>
      <sheetName val="WE賀鳅"/>
      <sheetName val="국내조달(朌Õ羈ᕑ_x0000_"/>
      <sheetName val="대운산출"/>
      <sheetName val="현장식당(1)"/>
      <sheetName val="물량내역"/>
      <sheetName val="주배관TYPE현황"/>
      <sheetName val="설계가"/>
      <sheetName val="열린교실"/>
      <sheetName val="2002공임"/>
      <sheetName val="2002자재가격"/>
      <sheetName val="빙축열내역대_x0000__x0000__x0005__x0000_憐"/>
      <sheetName val="EVALUATE"/>
      <sheetName val="현장관리贈%͈"/>
      <sheetName val="비용"/>
      <sheetName val="선수금"/>
      <sheetName val="계약정보"/>
      <sheetName val="착공-공문"/>
      <sheetName val="착공계"/>
      <sheetName val="예정공정표"/>
      <sheetName val="현장대리인계"/>
      <sheetName val="수첩사본"/>
      <sheetName val="재직증명서"/>
      <sheetName val="위임장"/>
      <sheetName val="계약내역서"/>
      <sheetName val="계약내역서-1"/>
      <sheetName val="인원장비투입"/>
      <sheetName val="안전관리계획서"/>
      <sheetName val="산업안전보건관리비사용계획서"/>
      <sheetName val="환경관리계획서"/>
      <sheetName val="환경보전비사용계획서"/>
      <sheetName val="품질관리"/>
      <sheetName val="착공전사진표지"/>
      <sheetName val="사진대지"/>
      <sheetName val="기본일위"/>
      <sheetName val="경비_원본"/>
      <sheetName val="원가산출근거"/>
      <sheetName val="Macro(전선)"/>
      <sheetName val="기성2"/>
      <sheetName val="AHU집계"/>
      <sheetName val="공조기휀"/>
      <sheetName val="변경총괄표"/>
      <sheetName val="예산"/>
      <sheetName val="가공비"/>
      <sheetName val="공사비총괄표"/>
      <sheetName val="건축원가"/>
      <sheetName val="아스팔트 포장총괄집계㕈"/>
      <sheetName val="뜃맟뭁돽띿맟_-BLDG"/>
      <sheetName val="시설물일위"/>
      <sheetName val="내역서 표지 "/>
      <sheetName val="원가계산서(전기)"/>
      <sheetName val="파일항타"/>
      <sheetName val="SCHE"/>
      <sheetName val="UPRI"/>
      <sheetName val="재무가정"/>
      <sheetName val="기성"/>
      <sheetName val="산출근거1"/>
      <sheetName val="말뚝설계"/>
      <sheetName val="최적단면"/>
      <sheetName val="(C)원내역"/>
      <sheetName val="묘발입력"/>
      <sheetName val="공동도급 지분"/>
      <sheetName val="첨부(원가상승분석)"/>
      <sheetName val="Master Schedule_161025.xlsx"/>
      <sheetName val="세부내역서"/>
      <sheetName val="내역서(당초변경)"/>
      <sheetName val="5단지"/>
      <sheetName val="빙축열내역대_x0000__x0000__x0005__x0000_鲀"/>
      <sheetName val="계획고"/>
      <sheetName val="EP0618"/>
      <sheetName val="별제권_정ԯ_x0000_缀_x0000_"/>
      <sheetName val="별제권_정ﻔ_xded5_ԯ_x0000_"/>
      <sheetName val="별제권_정ﻔᣕԯ_x0000_"/>
      <sheetName val="별제권_정ﻔ⫕ԯ_x0000_"/>
      <sheetName val="조명 _x0000_"/>
      <sheetName val="STS내역서"/>
      <sheetName val="SRC-B3U2"/>
      <sheetName val="기계단가"/>
      <sheetName val="Sheet13"/>
      <sheetName val="Sheet14"/>
      <sheetName val="갈현동"/>
      <sheetName val="물질수지"/>
      <sheetName val="시점교대"/>
      <sheetName val="콘크리트"/>
      <sheetName val="COVER-P"/>
      <sheetName val="날개벽(좌,우=60_x0000__x0000__x0005__x0000_銠"/>
      <sheetName val="Definitions"/>
      <sheetName val="Material&amp;Equipment"/>
      <sheetName val="각종장비닑⾂_x0005__x0000__x0000_"/>
      <sheetName val="각종장비׃⽯_x0000__x0000_▰_x0000_"/>
      <sheetName val="COVER"/>
      <sheetName val="토공집계표"/>
      <sheetName val="BSD _2_"/>
      <sheetName val="_x0000_ _x0000__x0005__x0000__x0006__x0000__x0007__x0000_"/>
      <sheetName val="능률(기성䀀"/>
      <sheetName val="능률(기성쌌"/>
      <sheetName val="능률(기성鬀"/>
      <sheetName val="능률(기성⠀"/>
      <sheetName val="능률(기성/"/>
      <sheetName val="능률(기성쌑"/>
      <sheetName val="능률(기성쌔"/>
      <sheetName val="능률(기성က"/>
      <sheetName val="능률(기성쌈"/>
      <sheetName val="부안변전"/>
      <sheetName val=" 토목 처리장도_xd804_㉙_x0005_"/>
      <sheetName val="선정.ဲ"/>
      <sheetName val="토목내역서 (도급단가) (_x0000__x0000_"/>
      <sheetName val="전문޸á"/>
      <sheetName val="빙축열내역대비입_x0000__x0000__x0005_"/>
      <sheetName val="빙축열내역대"/>
      <sheetName val="95M㦘&quot;ｐɉ"/>
      <sheetName val="95M㑸4鉨M"/>
      <sheetName val="부대공사"/>
      <sheetName val="물가자료"/>
      <sheetName val="FAB4생산"/>
      <sheetName val="화전내"/>
      <sheetName val="상부집계_x0005_"/>
      <sheetName val="상부집계誀"/>
      <sheetName val="상부집계"/>
      <sheetName val="수목단가"/>
      <sheetName val="증감내역서"/>
      <sheetName val="맨홀공제"/>
      <sheetName val="접속도로1"/>
      <sheetName val="접속도로"/>
      <sheetName val="사업내역"/>
      <sheetName val="우각부보강"/>
      <sheetName val="횡 연장"/>
      <sheetName val="공작물조직표(용배수)"/>
      <sheetName val="날개수량1.5"/>
      <sheetName val="계산서(곡선부)"/>
      <sheetName val="위치"/>
      <sheetName val="실행품의서"/>
      <sheetName val="여수토토적"/>
      <sheetName val="투찰_x0000__x0000__x0005__x0000_"/>
      <sheetName val="견적서(토공曘"/>
      <sheetName val="토목내역서 (도급단_x0000__x0000__x0005__x0000_퍀ӷ"/>
      <sheetName val="월간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조도계산서 (도서)"/>
      <sheetName val="능률_x0000__x0000__x0005__x0000_"/>
      <sheetName val="현장관리_x0000__x0000__x0000_"/>
      <sheetName val="월별"/>
      <sheetName val="월별뀀"/>
      <sheetName val="내역(협의)"/>
      <sheetName val="(포장)BOQ-실_x0005__x0000_"/>
      <sheetName val="(포장)BOQ-실_x0000__x0000_界"/>
      <sheetName val="기초"/>
      <sheetName val="40총괄"/>
      <sheetName val="필리핀전용요청"/>
      <sheetName val="기존단가 (2)"/>
      <sheetName val="토적??"/>
      <sheetName val="기초ၒ_x0000_"/>
      <sheetName val="중로근거"/>
      <sheetName val="제안서"/>
      <sheetName val="행정표준(1)"/>
      <sheetName val="행정표준(2)"/>
      <sheetName val="자재가격"/>
      <sheetName val="VA_code"/>
      <sheetName val="유입부 (2)"/>
      <sheetName val="유입부"/>
      <sheetName val="EQT-ESTN"/>
      <sheetName val="토적계산서"/>
      <sheetName val="단중표-ST"/>
      <sheetName val="선정_15"/>
      <sheetName val="선정_25"/>
      <sheetName val="선정_35"/>
      <sheetName val="선정_45"/>
      <sheetName val="선정_55"/>
      <sheetName val="설_계5"/>
      <sheetName val="입출재고현황_(2)5"/>
      <sheetName val="G_R300경비5"/>
      <sheetName val="BSD_(2)5"/>
      <sheetName val="7_가스5"/>
      <sheetName val="준검_내역서5"/>
      <sheetName val="Sheet1_(2)5"/>
      <sheetName val="단면_(2)5"/>
      <sheetName val="1_취수장5"/>
      <sheetName val="IMPEADENCE_MAP_취수장5"/>
      <sheetName val="1_설계조건4"/>
      <sheetName val="EQUIPMENT_-25"/>
      <sheetName val="소요자금청구서_10월5"/>
      <sheetName val="공사대금_12월5"/>
      <sheetName val="장비_12월5"/>
      <sheetName val="서화12월_5"/>
      <sheetName val="팔팔건기_(2)5"/>
      <sheetName val="DATA_입력란5"/>
      <sheetName val="1__설계조건_2_단면가정_3__하중계산5"/>
      <sheetName val="현장관리비_산출내역4"/>
      <sheetName val="전화번호DATA_(2001)4"/>
      <sheetName val="2_대외공문5"/>
      <sheetName val="내역서_5"/>
      <sheetName val="8_PILE__(돌출)4"/>
      <sheetName val="AIR_SHOWER(3인용)5"/>
      <sheetName val="3_공통공사대비4"/>
      <sheetName val="실행내역서_4"/>
      <sheetName val="입출재고현황__2_4"/>
      <sheetName val="전차선로_물량표5"/>
      <sheetName val="단가_및_재료비4"/>
      <sheetName val="4-3_보온_기본물량집계4"/>
      <sheetName val="Requirement(Work_Crew)4"/>
      <sheetName val="실행기성_갑지3"/>
      <sheetName val="unit_43"/>
      <sheetName val="토공(우물통,기타)_4"/>
      <sheetName val="6PILE__(돌출)3"/>
      <sheetName val="_ｹ-ﾌﾞﾙ3"/>
      <sheetName val="7_전산해석결과3"/>
      <sheetName val="4_하중3"/>
      <sheetName val="플랜트_설치3"/>
      <sheetName val="WEIGHT_LIST3"/>
      <sheetName val="산#2-1_(2)3"/>
      <sheetName val="3_33"/>
      <sheetName val="1_전력공사3"/>
      <sheetName val="8_DC3"/>
      <sheetName val="3_전열3"/>
      <sheetName val="2_조명제어3"/>
      <sheetName val="2000,9월_일위3"/>
      <sheetName val="토목내역서_(도급단가)_(2)3"/>
      <sheetName val="귀래_설계_공내역서3"/>
      <sheetName val="아스팔트_포장총괄집계표3"/>
      <sheetName val="별표_3"/>
      <sheetName val="Customer_Databas3"/>
      <sheetName val="총괄집계_3"/>
      <sheetName val="MSG_수량3"/>
      <sheetName val="2_입력sheet3"/>
      <sheetName val="반중력식옹벽3_53"/>
      <sheetName val="사본_-_b_balju3"/>
      <sheetName val="REINF_3"/>
      <sheetName val="BEND_LOSS3"/>
      <sheetName val="_토목_처리장도급내역서_3"/>
      <sheetName val="1_토공3"/>
      <sheetName val="조건_(A)3"/>
      <sheetName val="방배동내역_(총괄)3"/>
      <sheetName val="Ext__Stone-P3"/>
      <sheetName val="3BL공동구_수량3"/>
      <sheetName val="활성탄_여과지토공3"/>
      <sheetName val="96보완계획7_123"/>
      <sheetName val="상_부3"/>
      <sheetName val="참조_(2)3"/>
      <sheetName val="제출내역_(2)3"/>
      <sheetName val="세골재__T2_변경_현황3"/>
      <sheetName val="TRE_TABLE3"/>
      <sheetName val="2_단면가정3_모델링4_하중3"/>
      <sheetName val="7_PILE__(돌출)3"/>
      <sheetName val="PROJECT_BRIEF(EX_NEW)3"/>
      <sheetName val="광통신_견적내역서13"/>
      <sheetName val="_일본대사_관저_누수_보수공사120719_xlsx3"/>
      <sheetName val="ES대장_양식3"/>
      <sheetName val="실정보고현황_(2)3"/>
      <sheetName val="포항상수도_(2)3"/>
      <sheetName val="시화아파트보증현황_(2)3"/>
      <sheetName val="1_수인터널3"/>
      <sheetName val="일위(거제)_3"/>
      <sheetName val="내역(청마)_(2)3"/>
      <sheetName val="공사_Scope_표지3"/>
      <sheetName val="공사_Scope3"/>
      <sheetName val="제수변_수량집계표(보통)3"/>
      <sheetName val="2000_053"/>
      <sheetName val="표__지3"/>
      <sheetName val="목동세대_산출근거3"/>
      <sheetName val="도담구내_개소별_명세3"/>
      <sheetName val="수_량_명_세_서_-_13"/>
      <sheetName val="4_장비손료1"/>
      <sheetName val="11_1_단면hwp3"/>
      <sheetName val="3_하중산정4_지지력1"/>
      <sheetName val="조명"/>
      <sheetName val="4_전기"/>
      <sheetName val="설산1_나1"/>
      <sheetName val="Ⅴ-2_공종별내역"/>
      <sheetName val="내역서_(2)1"/>
      <sheetName val="단양_00_아파트-세부내역1"/>
      <sheetName val="1단지_단위세대_내역서3"/>
      <sheetName val="_x000a_"/>
      <sheetName val="_"/>
      <sheetName val="총괄갑_"/>
      <sheetName val="4_2_1_마루높이_검토"/>
      <sheetName val="1_개요및면적"/>
      <sheetName val="공사개요(¡Ԁ䀀횶_"/>
      <sheetName val="Layout_Data_"/>
      <sheetName val="1_우편집중내역서"/>
      <sheetName val="1공구_배수통관_산출근거"/>
      <sheetName val="A_견적"/>
      <sheetName val="5__FIREPROOF"/>
      <sheetName val="2_주요계수총괄"/>
      <sheetName val="인건비_"/>
      <sheetName val="할증_"/>
      <sheetName val="P_M_별"/>
      <sheetName val="빙축열내역대憐"/>
      <sheetName val="3련_BOX"/>
      <sheetName val="배수공_시멘트_및_골재량_산출"/>
      <sheetName val="90_03실행_"/>
      <sheetName val="내역(최종본4_5)"/>
      <sheetName val="내역(청마-_(2)"/>
      <sheetName val="1_전"/>
      <sheetName val="1_전׃"/>
      <sheetName val="토목내역서_(도급단가)렀ꔇ砯"/>
      <sheetName val="환경기계공정표_(3)"/>
      <sheetName val="주공_갑지"/>
      <sheetName val="VENDOR_LIST"/>
      <sheetName val="BOX(1_5X1_5)"/>
      <sheetName val="구조______"/>
      <sheetName val="CABLE_SIZE-3"/>
      <sheetName val="Pier_3"/>
      <sheetName val="분야별_집계표"/>
      <sheetName val="_공사설정_"/>
      <sheetName val="총체보활偤°"/>
      <sheetName val="별제권_정ԯ"/>
      <sheetName val="HO ENG MH CAL"/>
      <sheetName val="예산서新"/>
      <sheetName val="부대(갑)"/>
      <sheetName val="아파트(갑)"/>
      <sheetName val="능률"/>
      <sheetName val="빙축열내역대비입"/>
      <sheetName val="설계변경내역서"/>
      <sheetName val="95M槜で_x0000__x0000_"/>
      <sheetName val="95M槜⿙_x0000__x0000_"/>
      <sheetName val="토목내역서 (도급단"/>
      <sheetName val="[추풍최종.xls]능률(기성/"/>
      <sheetName val="Eq. Mobilization"/>
      <sheetName val="전 기"/>
      <sheetName val="HX"/>
      <sheetName val="가정급수관"/>
      <sheetName val="교대시점"/>
      <sheetName val="간지"/>
      <sheetName val="안산기계장치"/>
      <sheetName val="토공a"/>
      <sheetName val="단위량당중기"/>
      <sheetName val="기초일위"/>
      <sheetName val="식재수량표"/>
      <sheetName val="식재일위"/>
      <sheetName val="공정회의자료(월요일 10시까지)"/>
      <sheetName val="내역및"/>
      <sheetName val="당초"/>
      <sheetName val="소방"/>
      <sheetName val="토목내역서 (_x0000__x0000_Ԁ_x0000_倀䞓ꜙ_x0001__x0000_"/>
      <sheetName val="토목내역서 (ⶌ쌈괅/_x0000_ꠀp_x0000_"/>
      <sheetName val="choၒ_x0000__x0000_"/>
      <sheetName val="토목내역서 (도급단가)ꗝ1푘ᛐ"/>
      <sheetName val="토목내역서 (도급단가)Ȍ_x0000_釈ɡ"/>
      <sheetName val="[추풍최종.xls]A__KDS_PROJECT______2"/>
      <sheetName val="시설장비"/>
      <sheetName val="예빐"/>
      <sheetName val="예酰"/>
      <sheetName val="예쁀"/>
      <sheetName val="공통부'ሀ"/>
      <sheetName val="별제권_정ﻔ?ԯ"/>
      <sheetName val="각종장비닑⾂_x0005_"/>
      <sheetName val="각종장비׃⽯"/>
      <sheetName val=" 토목 처리장도?_x0005_"/>
      <sheetName val="D-623D"/>
      <sheetName val="토목내역서 ("/>
      <sheetName val="토목내역서 (ⶌ쌈괅/"/>
      <sheetName val="내역_FILE"/>
      <sheetName val="토공운반 내역"/>
      <sheetName val="결재판"/>
      <sheetName val="사  업  비  수  지  예  산  서"/>
      <sheetName val="현관비DATA"/>
      <sheetName val="SIL9惥"/>
      <sheetName val="2.조명제¬"/>
      <sheetName val="을 2"/>
      <sheetName val="을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/>
      <sheetData sheetId="1393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/>
      <sheetData sheetId="1770"/>
      <sheetData sheetId="1771"/>
      <sheetData sheetId="1772" refreshError="1"/>
      <sheetData sheetId="1773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/>
      <sheetData sheetId="1792" refreshError="1"/>
      <sheetData sheetId="1793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/>
      <sheetData sheetId="2048" refreshError="1"/>
      <sheetData sheetId="2049"/>
      <sheetData sheetId="2050"/>
      <sheetData sheetId="2051"/>
      <sheetData sheetId="2052" refreshError="1"/>
      <sheetData sheetId="2053"/>
      <sheetData sheetId="2054"/>
      <sheetData sheetId="2055"/>
      <sheetData sheetId="2056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EYO"/>
      <sheetName val="JOKUN"/>
      <sheetName val="갑지(추정)"/>
      <sheetName val="갑지_추정_"/>
      <sheetName val="Sheet5"/>
      <sheetName val="식재인부"/>
      <sheetName val="노임"/>
      <sheetName val="돈암사업"/>
      <sheetName val="총물량"/>
      <sheetName val="원내역서3"/>
      <sheetName val="설계서"/>
      <sheetName val="실행(표지,갑,을)"/>
      <sheetName val="정부노임단가"/>
      <sheetName val="실행(ALT1)"/>
      <sheetName val="SUM-CTI"/>
      <sheetName val="내역1"/>
      <sheetName val="목록"/>
      <sheetName val="설계"/>
      <sheetName val="출력일지(01월)"/>
      <sheetName val="자재(원원+원대)"/>
      <sheetName val="건축집계"/>
      <sheetName val="입찰"/>
      <sheetName val="현경"/>
      <sheetName val="일위대가"/>
      <sheetName val="BSD (2)"/>
      <sheetName val="기초일위"/>
      <sheetName val="CTEMCOST"/>
      <sheetName val="Total"/>
      <sheetName val="ELECTRIC"/>
      <sheetName val="1월"/>
      <sheetName val="Sheet6"/>
      <sheetName val="설계명세"/>
      <sheetName val="입찰안"/>
      <sheetName val="공통가설"/>
      <sheetName val="건축공사실행"/>
      <sheetName val="6호기"/>
      <sheetName val="Indirect Cost"/>
      <sheetName val="투찰"/>
      <sheetName val="직노"/>
      <sheetName val="개산공사비"/>
      <sheetName val="적용률"/>
      <sheetName val="백호우계수"/>
      <sheetName val="총괄"/>
      <sheetName val="코드"/>
      <sheetName val="토목"/>
      <sheetName val="본공사"/>
      <sheetName val="남양시작동자105노65기1.3화1.2"/>
      <sheetName val="표지"/>
      <sheetName val="설비원가"/>
      <sheetName val="수납장배치도"/>
      <sheetName val="공사내역"/>
      <sheetName val="CAT_5"/>
      <sheetName val="공내역"/>
      <sheetName val="1차설계변경내역"/>
      <sheetName val="원가계산서"/>
      <sheetName val="차액보증"/>
      <sheetName val="°©Áö(ÃßÁ¤)"/>
      <sheetName val="°©Áö_ÃßÁ¤_"/>
      <sheetName val="³»¿ª1"/>
      <sheetName val="ÀÏÀ§´ë°¡"/>
      <sheetName val="1¿ù"/>
      <sheetName val="¸ñ·Ï"/>
      <sheetName val="½ÇÇà(Ç¥Áö,°©,À»)"/>
      <sheetName val="¼³°è¸í¼¼"/>
      <sheetName val="°ÇÃà°ø»ç½ÇÇà"/>
      <sheetName val="³ëÀÓ"/>
      <sheetName val="ÀÚÀç(¿ø¿ø+¿ø´ë)"/>
      <sheetName val="Ãâ·ÂÀÏÁö(01¿ù)"/>
      <sheetName val="°ÇÃàÁý°è"/>
      <sheetName val="¼³°è"/>
      <sheetName val="ÄÚµå"/>
      <sheetName val="Á¤ºÎ³ëÀÓ´Ü°¡"/>
      <sheetName val="ÃÑ¹°·®"/>
      <sheetName val="½ÇÇà(ALT1)"/>
      <sheetName val="ÀÔÂû"/>
      <sheetName val="Çö°æ"/>
      <sheetName val="¼³ºñ¿ø°¡"/>
      <sheetName val="Ç¥Áö"/>
      <sheetName val="±âÃÊÀÏÀ§"/>
      <sheetName val="°øÅë°¡¼³"/>
      <sheetName val="6È£±â"/>
      <sheetName val="Åä¸ñ"/>
      <sheetName val="º»°ø»ç"/>
      <sheetName val="°ø³»¿ª"/>
      <sheetName val="1Â÷¼³°èº¯°æ³»¿ª"/>
      <sheetName val="¿ø°¡°è»ê¼­"/>
      <sheetName val="인건비"/>
      <sheetName val="대전-교대(A1-A2)"/>
      <sheetName val="재료비"/>
      <sheetName val="경비일반이윤"/>
      <sheetName val="노무비"/>
      <sheetName val="저"/>
      <sheetName val="공사비산출내역"/>
      <sheetName val="관리,공감"/>
      <sheetName val="4.2유효폭의 계산"/>
      <sheetName val="데이타"/>
      <sheetName val="노임단가"/>
      <sheetName val="단위수량"/>
      <sheetName val="수량산출"/>
      <sheetName val="9GNG운반"/>
      <sheetName val="을지"/>
      <sheetName val="내역"/>
      <sheetName val="공통비(전체)"/>
      <sheetName val="해평견적"/>
      <sheetName val="대가목록"/>
      <sheetName val="준검 내역서"/>
      <sheetName val="설비단가표"/>
      <sheetName val="견적내역"/>
      <sheetName val="안내"/>
      <sheetName val="부하계산서"/>
      <sheetName val="기본일위"/>
      <sheetName val="업체견적(거푸집)"/>
      <sheetName val="은행"/>
      <sheetName val="단가"/>
      <sheetName val="건축"/>
      <sheetName val="시점교대"/>
      <sheetName val="노임,재료비"/>
      <sheetName val="내역서"/>
      <sheetName val="유림골조"/>
      <sheetName val="시중노임단가"/>
      <sheetName val="노임이"/>
      <sheetName val="파일의이용"/>
      <sheetName val="기성내역서표지"/>
      <sheetName val="변경내역서간지"/>
      <sheetName val="기본사항"/>
      <sheetName val="DATA1"/>
      <sheetName val="난방열교"/>
      <sheetName val="급탕열교"/>
      <sheetName val="건축2"/>
      <sheetName val="3.공통공사대비"/>
      <sheetName val="대비표(토공1안)"/>
      <sheetName val="3_공통공사대비"/>
      <sheetName val="을-ATYPE"/>
      <sheetName val="(1)본선수량집계"/>
      <sheetName val="자재단가"/>
      <sheetName val="집계"/>
      <sheetName val="TYPE-A"/>
      <sheetName val="인사자료총집계"/>
      <sheetName val="위생기구"/>
      <sheetName val="기계실냉난방"/>
      <sheetName val="일위대가 "/>
      <sheetName val="N賃率-職"/>
      <sheetName val="gyun"/>
      <sheetName val="전력"/>
      <sheetName val="증감대비"/>
      <sheetName val="기존단가 (2)"/>
      <sheetName val="골조"/>
      <sheetName val="I一般比"/>
      <sheetName val="새공통"/>
      <sheetName val=" 냉각수펌프"/>
      <sheetName val="공조기휀"/>
      <sheetName val="AHU집계"/>
      <sheetName val="토목설계(배수지+관로)"/>
      <sheetName val=" BM 셈플"/>
      <sheetName val="Sheet1 (2)"/>
      <sheetName val="실행대비"/>
      <sheetName val="공동"/>
      <sheetName val="단독"/>
      <sheetName val="터파기및재료"/>
      <sheetName val="실행철강하도"/>
      <sheetName val="NP-총정리"/>
      <sheetName val="단가표"/>
      <sheetName val="45,46"/>
      <sheetName val="도급FORM"/>
      <sheetName val="2공구산출내역"/>
      <sheetName val="1.취수장"/>
      <sheetName val="기본단가표"/>
      <sheetName val="건축원가"/>
      <sheetName val="국내조달(통합-1)"/>
      <sheetName val="sheet1"/>
      <sheetName val="b_balju_cho"/>
      <sheetName val="부하집계표"/>
      <sheetName val="설계내역서"/>
      <sheetName val="수량집계(방송설비)"/>
      <sheetName val="조직"/>
      <sheetName val="수량집계(전기시계)"/>
      <sheetName val="수량집계(출입통제)"/>
      <sheetName val="수량집계(통합배선)"/>
      <sheetName val="수량집계(CATV)"/>
      <sheetName val="수량집계(CCTV)"/>
      <sheetName val="총괄갑 "/>
      <sheetName val="자재비"/>
      <sheetName val="BID"/>
      <sheetName val="금융비용"/>
      <sheetName val="날개벽수량표"/>
      <sheetName val="갑지"/>
      <sheetName val="내   역"/>
      <sheetName val="기술부 VENDOR LIST"/>
      <sheetName val="경산"/>
      <sheetName val="주요기준"/>
      <sheetName val="환산"/>
      <sheetName val="금액"/>
      <sheetName val="wall"/>
      <sheetName val="BM"/>
      <sheetName val="부대공"/>
      <sheetName val="포장공"/>
      <sheetName val="토공"/>
      <sheetName val="청천내"/>
      <sheetName val="Salary(해외)"/>
      <sheetName val="연돌일위집계"/>
      <sheetName val="DJ1"/>
      <sheetName val="#REF"/>
      <sheetName val="도급실행(본관-주차장)"/>
      <sheetName val="Baby일위대가"/>
      <sheetName val="정화조동내역"/>
      <sheetName val="소비자가"/>
      <sheetName val="수량집계"/>
      <sheetName val="Front"/>
      <sheetName val="실행단가철(ems코드적용)"/>
      <sheetName val="관급"/>
      <sheetName val="중기"/>
      <sheetName val="시중노임"/>
      <sheetName val="세부내역"/>
      <sheetName val="패널"/>
      <sheetName val="대비"/>
      <sheetName val="집계표"/>
      <sheetName val="조건표"/>
      <sheetName val="말뚝지지력산정"/>
      <sheetName val="3BL공동구 수량"/>
      <sheetName val="일반공사"/>
      <sheetName val="변경내역"/>
      <sheetName val="스포회원매출"/>
      <sheetName val="BSD _2_"/>
      <sheetName val="전차선로 물량표"/>
      <sheetName val="일위대가(목록)"/>
      <sheetName val="프랜트면허"/>
      <sheetName val="수리결과"/>
      <sheetName val="하수급견적대비"/>
      <sheetName val="전기"/>
      <sheetName val="Macro7"/>
      <sheetName val="일위대가(가설)"/>
      <sheetName val="노무비단가"/>
      <sheetName val="시설물일위"/>
      <sheetName val="조명율"/>
      <sheetName val="수목단가"/>
      <sheetName val="시설수량표"/>
      <sheetName val="식재수량표"/>
      <sheetName val="일위목록"/>
      <sheetName val="기초단가"/>
      <sheetName val="명세"/>
      <sheetName val="중기사용료"/>
      <sheetName val="구리토평1전기"/>
      <sheetName val="아파트"/>
      <sheetName val="Customer Databas"/>
      <sheetName val="익산"/>
      <sheetName val="단가조사"/>
      <sheetName val="현금"/>
      <sheetName val="COVER"/>
      <sheetName val="판매시설"/>
      <sheetName val="일위대가표"/>
      <sheetName val="DATA테이블1 (2)"/>
      <sheetName val="공사개요"/>
      <sheetName val="부재리스트"/>
      <sheetName val="unit 4"/>
      <sheetName val="행거,슈,볼트,펌프,잡재"/>
      <sheetName val="예산서"/>
      <sheetName val="일용직내역"/>
      <sheetName val="신청서"/>
      <sheetName val="그림"/>
      <sheetName val="구성1"/>
      <sheetName val="구성2"/>
      <sheetName val="구성3"/>
      <sheetName val="구성4"/>
      <sheetName val="그림2"/>
      <sheetName val="20관리비율"/>
      <sheetName val="토목2"/>
      <sheetName val="코드표"/>
      <sheetName val="공사원가계산서"/>
      <sheetName val="우석문틀"/>
      <sheetName val="수지예산"/>
      <sheetName val="샤워실위생"/>
      <sheetName val="건축원가계산서"/>
      <sheetName val="예정공정완"/>
      <sheetName val="비교표"/>
      <sheetName val="공문"/>
      <sheetName val="Internal Floor"/>
      <sheetName val="부산만덕"/>
      <sheetName val="수원율전"/>
      <sheetName val="안양주공"/>
      <sheetName val="표준일위대가"/>
      <sheetName val="파주"/>
      <sheetName val="수수료율표"/>
      <sheetName val="감액총괄표"/>
      <sheetName val="설비내역"/>
      <sheetName val="설계내역2"/>
      <sheetName val="아파트건축"/>
      <sheetName val="설계내역"/>
      <sheetName val="노원열병합  건축공사기성내역서"/>
      <sheetName val="TEL"/>
      <sheetName val="Tables"/>
      <sheetName val="을"/>
      <sheetName val="철콘공사"/>
      <sheetName val="단위단가"/>
      <sheetName val="저수조"/>
      <sheetName val="급,배기팬"/>
      <sheetName val="급탕순환펌프"/>
      <sheetName val="순환펌프"/>
      <sheetName val="분당임차변경"/>
      <sheetName val="콘크리트타설집계표"/>
      <sheetName val="덕전리"/>
      <sheetName val="미디어고등학교"/>
      <sheetName val="Sheet2"/>
      <sheetName val="나.건축"/>
      <sheetName val="도근좌표"/>
      <sheetName val="변경서식"/>
      <sheetName val="미장"/>
      <sheetName val="철골"/>
      <sheetName val="부대내역"/>
      <sheetName val="견적"/>
      <sheetName val="1차 내역서"/>
      <sheetName val="요율"/>
      <sheetName val="EQT-ESTN"/>
      <sheetName val="9811"/>
      <sheetName val="재료"/>
      <sheetName val="설치자재"/>
      <sheetName val="IN2"/>
      <sheetName val="Y-WORK"/>
      <sheetName val="총괄표"/>
      <sheetName val="DATA"/>
      <sheetName val="계약내역서(을지)"/>
      <sheetName val="danga"/>
      <sheetName val="ilch"/>
      <sheetName val="Y_WORK"/>
      <sheetName val="실행내역서 "/>
      <sheetName val="갑지1"/>
      <sheetName val="음료실행"/>
      <sheetName val="guard(mac)"/>
      <sheetName val="INPUT"/>
      <sheetName val="표지 (2)"/>
      <sheetName val="지주목시비량산출서"/>
      <sheetName val="내역서 "/>
      <sheetName val="실행간접비용"/>
      <sheetName val="EKOG10건축"/>
      <sheetName val="설직재-1"/>
      <sheetName val="AP1"/>
      <sheetName val="PROJECT BRIEF(EX.NEW)"/>
      <sheetName val="TEST1"/>
      <sheetName val="DS기성최종"/>
      <sheetName val="DS설변내역서"/>
      <sheetName val="1.우편집중내역서"/>
      <sheetName val="개요"/>
      <sheetName val="대우단가(풍산)"/>
      <sheetName val="정산내역서"/>
      <sheetName val="일반전기"/>
      <sheetName val="LEGEND"/>
      <sheetName val="P-산#1-1(WOWA1)"/>
      <sheetName val="CAB_OD"/>
      <sheetName val="1F"/>
      <sheetName val="NEYOK"/>
      <sheetName val="1995년 섹터별 매출"/>
      <sheetName val="판"/>
      <sheetName val="현장지지물물량"/>
      <sheetName val="1-1"/>
      <sheetName val="대비내역"/>
      <sheetName val="입고현황(전체)"/>
      <sheetName val="전체"/>
      <sheetName val="ACDIM6D"/>
      <sheetName val="기계시공"/>
      <sheetName val="산근"/>
      <sheetName val="토공(우물통,기타) "/>
      <sheetName val="아파트 기성내역서"/>
      <sheetName val="정공공사"/>
      <sheetName val="토목주소"/>
      <sheetName val="Macro"/>
      <sheetName val="공사수행방안"/>
      <sheetName val="ºÎÇÏ°è»ê¼­"/>
      <sheetName val="ÇöÀåÁöÁö¹°¹°·®"/>
      <sheetName val="±â°è½Ã°ø"/>
      <sheetName val="Àû¿ë·ü"/>
      <sheetName val="»ê±Ù"/>
      <sheetName val="EKOG10°ÇÃà"/>
      <sheetName val="À»Áö"/>
      <sheetName val="Åä°ø(¿ì¹°Åë,±âÅ¸) "/>
      <sheetName val="¼³»ê1.³ª"/>
      <sheetName val="º»»çS"/>
      <sheetName val="SG"/>
      <sheetName val="설산1.나"/>
      <sheetName val="본사S"/>
      <sheetName val="조경"/>
      <sheetName val="공종단가"/>
      <sheetName val="예가표"/>
      <sheetName val="DATE"/>
      <sheetName val="내역(전체)"/>
      <sheetName val="주소록"/>
      <sheetName val="입찰보고"/>
      <sheetName val="견적서"/>
      <sheetName val="Sheet17"/>
      <sheetName val="담파단가"/>
      <sheetName val="일위대가목록(ems)"/>
      <sheetName val="일반부표"/>
      <sheetName val="Uint보온"/>
      <sheetName val="기계설비"/>
      <sheetName val="설비"/>
      <sheetName val="수지"/>
      <sheetName val="200"/>
      <sheetName val="사업자등록증"/>
      <sheetName val="인원자료"/>
      <sheetName val="금융"/>
      <sheetName val="참고"/>
      <sheetName val="납부서"/>
      <sheetName val="조명시설"/>
      <sheetName val="B1(반포1차)"/>
      <sheetName val="영업소실적"/>
      <sheetName val="건축토목내역"/>
      <sheetName val="물량표"/>
      <sheetName val="연결관암거"/>
      <sheetName val="실행내역"/>
      <sheetName val="실행예산"/>
      <sheetName val="간접비"/>
      <sheetName val="공조기"/>
      <sheetName val="SP-B1"/>
      <sheetName val="현장관리비"/>
      <sheetName val=" 견적서"/>
      <sheetName val="TIE-IN"/>
      <sheetName val="가설전기별첨"/>
      <sheetName val="내역표지"/>
      <sheetName val="96노임기준"/>
      <sheetName val="수원공사비"/>
      <sheetName val="자재대"/>
      <sheetName val="안양1공구_건축"/>
      <sheetName val="현장"/>
      <sheetName val="기계공사"/>
      <sheetName val="적현로"/>
      <sheetName val="총괄원가계산서"/>
      <sheetName val="설계서(건축분)"/>
      <sheetName val="CON'C"/>
      <sheetName val="비용산식"/>
      <sheetName val="인원계획-미화"/>
      <sheetName val="J直材4"/>
      <sheetName val="추천서"/>
      <sheetName val="개화1교"/>
      <sheetName val="충주"/>
      <sheetName val="별첨1(공사견적 양식) (재제출-0713)"/>
      <sheetName val="별첨1(공사견적 양식)"/>
      <sheetName val="공사비비교 (호텔0723-"/>
      <sheetName val="플랜트 설치"/>
      <sheetName val="CAPVC"/>
      <sheetName val="Macro3"/>
      <sheetName val="산출내역서집계표"/>
      <sheetName val="1,2공구원가계산서"/>
      <sheetName val="간접"/>
      <sheetName val="b_gunmul"/>
      <sheetName val="b_balju (2)"/>
      <sheetName val="원가 (2)"/>
      <sheetName val="주관사업"/>
      <sheetName val="결재갑지"/>
      <sheetName val="원본"/>
      <sheetName val="현장관리Assumption"/>
      <sheetName val="직원투입계획"/>
      <sheetName val="내역(중앙)"/>
      <sheetName val="내역(창신)"/>
      <sheetName val="108동"/>
      <sheetName val="101동"/>
      <sheetName val="7~8사이내림기초"/>
      <sheetName val="시장성초안camera"/>
      <sheetName val="MATERIAL"/>
      <sheetName val="열린교실"/>
      <sheetName val="의왕내역"/>
      <sheetName val="Sheet4"/>
      <sheetName val="本年收入合计"/>
      <sheetName val="KLHT"/>
      <sheetName val="견적단가"/>
      <sheetName val="수량-가로등"/>
      <sheetName val="원형맨홀수량"/>
      <sheetName val="ABUT수량-A1"/>
      <sheetName val="골조시행"/>
      <sheetName val="돌담교 상부수량"/>
      <sheetName val="부표총괄"/>
      <sheetName val="참조"/>
      <sheetName val="포장복구집계"/>
      <sheetName val="CATV"/>
      <sheetName val="Breakdown"/>
      <sheetName val="UnitRate"/>
      <sheetName val="c_balju"/>
      <sheetName val="hvac(제어동)"/>
      <sheetName val="WORK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간접비내역-1"/>
      <sheetName val="소방사항"/>
      <sheetName val="시화점실행"/>
      <sheetName val="ITB COST"/>
      <sheetName val="내역서1999.8최종"/>
      <sheetName val="KMT물량"/>
      <sheetName val="TB-내역서"/>
      <sheetName val="물가자료"/>
      <sheetName val="인부신상자료"/>
      <sheetName val="토공집계표"/>
      <sheetName val="정보매체A동"/>
      <sheetName val="APT내역"/>
      <sheetName val="시설이용권명세서"/>
      <sheetName val="FORM-0"/>
      <sheetName val="교각1"/>
      <sheetName val="금액내역서"/>
      <sheetName val="손익분석"/>
      <sheetName val="s"/>
      <sheetName val="간접경상비"/>
      <sheetName val="당진1,2호기전선관설치및접지4차공사내역서-을지"/>
      <sheetName val="기계내역서"/>
      <sheetName val="97 사업추정(WEKI)"/>
      <sheetName val="HVAC"/>
      <sheetName val="작성"/>
      <sheetName val="건축내역서"/>
      <sheetName val="설비내역서"/>
      <sheetName val="전기내역서"/>
      <sheetName val="Macro(차단기)"/>
      <sheetName val="건축공사"/>
      <sheetName val="JUCKEYK"/>
      <sheetName val="조정금액결과표 (차수별)"/>
      <sheetName val="STORAGE"/>
      <sheetName val="별표 "/>
      <sheetName val="조명율표"/>
      <sheetName val="단가조사-2"/>
      <sheetName val="EIB010831"/>
      <sheetName val="기계"/>
      <sheetName val="자재단가비교표"/>
      <sheetName val="경비"/>
      <sheetName val="자  재"/>
      <sheetName val="건축외주"/>
      <sheetName val="빗물받이(910-510-410)"/>
      <sheetName val="환경기계공정표 (3)"/>
      <sheetName val="백룡교차로"/>
      <sheetName val="산정교차로"/>
      <sheetName val="신영교차로"/>
      <sheetName val="일위대가(건축)"/>
      <sheetName val="토공집계"/>
      <sheetName val="사유서제출현황-2"/>
      <sheetName val="건축내역"/>
      <sheetName val="슬래브(PF)(하류)"/>
      <sheetName val="배수펌프"/>
      <sheetName val="등가관장표"/>
      <sheetName val="우,오수"/>
      <sheetName val="미지급금"/>
      <sheetName val="단면가정"/>
      <sheetName val="시설일위"/>
      <sheetName val="식재일위"/>
      <sheetName val="Sheet10"/>
      <sheetName val="조명일위"/>
      <sheetName val="교대(A1-A2)"/>
      <sheetName val="지급자재"/>
      <sheetName val="방식총괄"/>
      <sheetName val="crude.SLAB RE-bar"/>
      <sheetName val="CRUDE RE-bar"/>
      <sheetName val="인부임"/>
      <sheetName val="현장별계약현황('98.10.31)"/>
      <sheetName val="STEEL BOX 단면설계(SEC.8)"/>
      <sheetName val="안전시설내역서"/>
      <sheetName val="205동"/>
      <sheetName val="수목표준대가"/>
      <sheetName val="광양방향"/>
      <sheetName val="C1ㅇ"/>
      <sheetName val="S0"/>
      <sheetName val="설계기준"/>
      <sheetName val="지수"/>
      <sheetName val="거래처등록"/>
      <sheetName val="참고자료"/>
      <sheetName val="유류대관리"/>
      <sheetName val="CB"/>
      <sheetName val="우수공"/>
      <sheetName val="기계내역"/>
      <sheetName val="1.설계조건"/>
      <sheetName val="CSA-Rate Build Up"/>
      <sheetName val="SOURCE"/>
      <sheetName val="기둥(원형)"/>
      <sheetName val="단면 (2)"/>
      <sheetName val="2000년1차"/>
      <sheetName val="2000전체분"/>
      <sheetName val="Eq. Mobilization"/>
      <sheetName val="견적대비"/>
      <sheetName val="단가조사서"/>
      <sheetName val="목차"/>
      <sheetName val="시멘트"/>
      <sheetName val="부산4"/>
      <sheetName val="설계개요"/>
      <sheetName val="백암비스타내역"/>
      <sheetName val="주경기-오배수"/>
      <sheetName val="기기리스트"/>
      <sheetName val="Chiet tinh dz35"/>
      <sheetName val="암거공"/>
      <sheetName val="중기일위대가"/>
      <sheetName val="직공비"/>
      <sheetName val="적용기준"/>
      <sheetName val="노임대장"/>
      <sheetName val="대치판정"/>
      <sheetName val="자료입력"/>
      <sheetName val="준공시전망_원본"/>
      <sheetName val="PAINT"/>
      <sheetName val="일위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fs-e"/>
      <sheetName val="tax1"/>
      <sheetName val="내역서을지"/>
      <sheetName val="방수"/>
      <sheetName val="남양시작동010313100%"/>
      <sheetName val="부하(성남)"/>
      <sheetName val="년도별노임표"/>
      <sheetName val="중기목록표"/>
      <sheetName val="설계조건"/>
      <sheetName val="동력부하계산"/>
      <sheetName val="SPEC"/>
      <sheetName val="회사99"/>
      <sheetName val="CAL."/>
      <sheetName val="상계견적"/>
      <sheetName val="1TL종점(1)"/>
      <sheetName val="내역전기"/>
      <sheetName val="노무산출서"/>
      <sheetName val="설계명세서(종합)"/>
      <sheetName val="소요자재"/>
      <sheetName val="시추주상도"/>
      <sheetName val="미드수량"/>
      <sheetName val="일위_파일"/>
      <sheetName val="단가비교표"/>
      <sheetName val="종현황"/>
      <sheetName val="9509"/>
      <sheetName val="기술조건"/>
      <sheetName val="토공사(흙막이)"/>
      <sheetName val="인력터파기"/>
      <sheetName val="삭제내역1차"/>
      <sheetName val="옥룡잡비"/>
      <sheetName val="공정별금액"/>
      <sheetName val="기초자료"/>
      <sheetName val="형틀공사"/>
      <sheetName val="공사내역서(을)실행"/>
      <sheetName val="부대"/>
      <sheetName val="을_ATYPE"/>
      <sheetName val="관경별내역서"/>
      <sheetName val="현대실행 (실투입최종)"/>
      <sheetName val="기타 정보통신공사"/>
      <sheetName val="MASTER00.7月"/>
      <sheetName val="SUMMARY(S)"/>
      <sheetName val="횡배수관토공수량"/>
      <sheetName val="명세서"/>
      <sheetName val="기성청구내역서"/>
      <sheetName val="도급양식"/>
      <sheetName val="변화치수"/>
      <sheetName val="OCT.FDN"/>
      <sheetName val="DESIGN"/>
      <sheetName val="일위대가목차"/>
      <sheetName val="CC16-내역서"/>
      <sheetName val="측량요율"/>
      <sheetName val="원가"/>
      <sheetName val="단가 "/>
      <sheetName val="옥외부분합"/>
      <sheetName val="b_babun (2)"/>
      <sheetName val="전기공사일위대가"/>
      <sheetName val="유효폭의 계산"/>
      <sheetName val="견"/>
      <sheetName val="계약내역"/>
      <sheetName val="기성내역서"/>
      <sheetName val="단가대비표 (3)"/>
      <sheetName val="계좌번호"/>
      <sheetName val="PI"/>
      <sheetName val="3.하중산정4.지지력"/>
      <sheetName val="Ⅴ-2.공종별내역"/>
      <sheetName val="9-1차이내역"/>
      <sheetName val="PBS"/>
      <sheetName val="기준"/>
      <sheetName val="대공종"/>
      <sheetName val="내역분기"/>
      <sheetName val="LD"/>
      <sheetName val="직접공사비집계표_7"/>
      <sheetName val="공통가설_8"/>
      <sheetName val="기타시설"/>
      <sheetName val="아파트_9"/>
      <sheetName val="주민복지관"/>
      <sheetName val="지하주차장"/>
      <sheetName val="구조물철거타공정이월"/>
      <sheetName val="Macro(전동기)"/>
      <sheetName val="가설공사"/>
      <sheetName val="상승요인분석"/>
      <sheetName val="철거산출근거"/>
      <sheetName val="Assumption"/>
      <sheetName val="Sheet3"/>
      <sheetName val="참조자료"/>
      <sheetName val="수로교총재료집계"/>
      <sheetName val="ASALTOTA"/>
      <sheetName val="단가산출1"/>
      <sheetName val="단가산출2"/>
      <sheetName val="REINF."/>
      <sheetName val="SKETCH"/>
      <sheetName val="LOADS"/>
      <sheetName val="공틀공사"/>
      <sheetName val="완도-군외"/>
      <sheetName val="Condition"/>
      <sheetName val="VXXXXXXX"/>
      <sheetName val="사급자재"/>
      <sheetName val="회로내역(승인)"/>
      <sheetName val="설계예산"/>
      <sheetName val="제품정보"/>
      <sheetName val="산출근거"/>
      <sheetName val="견적조건"/>
      <sheetName val="남양내역"/>
      <sheetName val="전선 및 전선관"/>
      <sheetName val="단가산출"/>
      <sheetName val="일위대가목록"/>
      <sheetName val="횡배수관집현황(2공구)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갑지(과세)"/>
      <sheetName val="전기일위대가"/>
      <sheetName val="커튼월(pfg)"/>
      <sheetName val="NYS"/>
      <sheetName val="참조(인건비)"/>
      <sheetName val="PAC"/>
      <sheetName val="종단계산"/>
      <sheetName val="2000.05"/>
      <sheetName val="계수시트"/>
      <sheetName val="유첨3.적용기준"/>
      <sheetName val="예총"/>
      <sheetName val="정보"/>
      <sheetName val="변경하세요"/>
      <sheetName val="NAI"/>
      <sheetName val="104동"/>
      <sheetName val="하도정산"/>
      <sheetName val="#2_일위대가목록"/>
      <sheetName val="铝合金"/>
      <sheetName val="N-001_내역서"/>
      <sheetName val="총괄내역서"/>
      <sheetName val="해외(원화)"/>
      <sheetName val="기안"/>
      <sheetName val="중기사용료산출근거"/>
      <sheetName val="남양주부대"/>
      <sheetName val="파이프류"/>
      <sheetName val="동해title"/>
      <sheetName val="1층LOAD"/>
      <sheetName val="70%"/>
      <sheetName val="부속동"/>
      <sheetName val="자료"/>
      <sheetName val="한일양산"/>
      <sheetName val="기초자료입력"/>
      <sheetName val="요약본"/>
      <sheetName val="도급원가"/>
      <sheetName val="유첨3.적용기㐘"/>
      <sheetName val="도급및 실행내역"/>
      <sheetName val="工程材料"/>
      <sheetName val="작업내역서"/>
      <sheetName val="울산시산표"/>
      <sheetName val="별표2"/>
      <sheetName val="품셈TABLE"/>
      <sheetName val="7.수지"/>
      <sheetName val="지구단위계획"/>
      <sheetName val="안정계산"/>
      <sheetName val="단면검토"/>
      <sheetName val="수량산출(방송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임시AFC)"/>
      <sheetName val="수량산출(임시CCTV)"/>
      <sheetName val="수량산출(임시TV)"/>
      <sheetName val="수량산출(장애자)"/>
      <sheetName val="수량산출(본전화)"/>
      <sheetName val="수량산출(본통신)"/>
      <sheetName val="B시설가격"/>
      <sheetName val="교대일반수량총괄집계표"/>
      <sheetName val="전기집계표"/>
      <sheetName val="산출서"/>
      <sheetName val="2008년상반기"/>
      <sheetName val="정부노임(2000.상)"/>
      <sheetName val="이토변실"/>
      <sheetName val="공종목록표"/>
      <sheetName val="참고사항"/>
      <sheetName val="CONCRETE"/>
      <sheetName val="교통대책내역"/>
      <sheetName val="2.토목공사"/>
      <sheetName val="분석항목"/>
      <sheetName val="Summary"/>
      <sheetName val="KCS-CA"/>
      <sheetName val="Proposal"/>
      <sheetName val="순공사비"/>
      <sheetName val="소개"/>
      <sheetName val="대전노은1차_조적_집계표"/>
      <sheetName val="복구일위대가표"/>
      <sheetName val="수량산출(TDI)"/>
      <sheetName val="수량집계(본역사)"/>
      <sheetName val="수량집계(임시역사)"/>
      <sheetName val="수량산출(AFC)"/>
      <sheetName val="수량산출(CCTV)"/>
      <sheetName val="수량_작성"/>
      <sheetName val="출고"/>
      <sheetName val="6공구(당초)"/>
      <sheetName val="산출"/>
      <sheetName val="COPING"/>
      <sheetName val="내역서(음성금왕)"/>
      <sheetName val="36+45-113-18+19+20I"/>
      <sheetName val="5사남"/>
      <sheetName val="b_balju"/>
      <sheetName val="내역총괄표"/>
      <sheetName val="마산방향철근집계"/>
      <sheetName val="진주방향"/>
      <sheetName val="마산방향"/>
      <sheetName val="COVER-P"/>
      <sheetName val="MOKDONG(1)"/>
      <sheetName val="배수내역"/>
      <sheetName val="공사원가내역서"/>
      <sheetName val="제경비산출"/>
      <sheetName val="관급자재"/>
      <sheetName val="전기변내역"/>
      <sheetName val="경영계획1월"/>
      <sheetName val="CAUDIT"/>
      <sheetName val="TRE TABLE"/>
      <sheetName val="부대집계"/>
      <sheetName val="인명별연차내역"/>
      <sheetName val="출입자명단"/>
      <sheetName val="1~6 설계조건...."/>
      <sheetName val="대목"/>
      <sheetName val="SE-611"/>
      <sheetName val="견적의뢰"/>
      <sheetName val="D.B"/>
      <sheetName val="자재표"/>
      <sheetName val="갈현동"/>
      <sheetName val="DATA(BAC)"/>
      <sheetName val="95하U$가격"/>
      <sheetName val="FAB별"/>
      <sheetName val="대비표"/>
      <sheetName val="C1.공사개요"/>
      <sheetName val="A1.스케쥴"/>
      <sheetName val="취합표"/>
      <sheetName val="원가계산"/>
      <sheetName val="내역(토목)"/>
      <sheetName val="BSD_(2)"/>
      <sheetName val="Indirect_Cost"/>
      <sheetName val="남양시작동자105노65기1_3화1_2"/>
      <sheetName val="일위대가_"/>
      <sheetName val="4_2유효폭의_계산"/>
      <sheetName val="준검_내역서"/>
      <sheetName val="기존단가_(2)"/>
      <sheetName val="_냉각수펌프"/>
      <sheetName val="_BM_셈플"/>
      <sheetName val="Sheet1_(2)"/>
      <sheetName val="3_공통공사대비1"/>
      <sheetName val="총괄갑_"/>
      <sheetName val="1.설_x0000__x0000_Ԁ"/>
      <sheetName val="1.설퀀䩦謂"/>
      <sheetName val="1.설퐀Ⲩ렀"/>
      <sheetName val="물가기준년"/>
      <sheetName val="장비기준"/>
      <sheetName val="건축(산출)"/>
      <sheetName val="토목(산출)"/>
      <sheetName val="구분테이블"/>
      <sheetName val="토적표"/>
      <sheetName val="을지(가로-한)"/>
      <sheetName val="견_x0000_h曘"/>
      <sheetName val="견_x0000__x0000__x0005_"/>
      <sheetName val="Flaer_Area"/>
      <sheetName val="OCT_FDN"/>
      <sheetName val="1_취수장"/>
      <sheetName val="3BL공동구_수량"/>
      <sheetName val="BSD__2_"/>
      <sheetName val="전차선로_물량표"/>
      <sheetName val="내___역"/>
      <sheetName val="Internal_Floor"/>
      <sheetName val="기술부_VENDOR_LIST"/>
      <sheetName val="unit_4"/>
      <sheetName val="노원열병합__건축공사기성내역서"/>
      <sheetName val="나_건축"/>
      <sheetName val="Customer_Databas"/>
      <sheetName val="DATA테이블1_(2)"/>
      <sheetName val="실행내역서_"/>
      <sheetName val="표지_(2)"/>
      <sheetName val="내역서_"/>
      <sheetName val="PROJECT_BRIEF(EX_NEW)"/>
      <sheetName val="1_우편집중내역서"/>
      <sheetName val="1995년_섹터별_매출"/>
      <sheetName val="토공(우물통,기타)_"/>
      <sheetName val="아파트_기성내역서"/>
      <sheetName val="Åä°ø(¿ì¹°Åë,±âÅ¸)_"/>
      <sheetName val="¼³»ê1_³ª"/>
      <sheetName val="설산1_나"/>
      <sheetName val="1차_내역서"/>
      <sheetName val="별첨1(공사견적_양식)_(재제출-0713)"/>
      <sheetName val="별첨1(공사견적_양식)"/>
      <sheetName val="공사비비교_(호텔0723-"/>
      <sheetName val="플랜트_설치"/>
      <sheetName val="_견적서"/>
      <sheetName val="원가_(2)"/>
      <sheetName val="b_balju_(2)"/>
      <sheetName val="자__재"/>
      <sheetName val="BSD"/>
      <sheetName val="BSD 1"/>
      <sheetName val="금액집계"/>
      <sheetName val="날개벽"/>
      <sheetName val="Galaxy 소비자가격표"/>
      <sheetName val="수량산출서"/>
      <sheetName val="단가 (2)"/>
      <sheetName val="입력"/>
      <sheetName val="부대대비"/>
      <sheetName val="냉연집계"/>
      <sheetName val="설변물량"/>
      <sheetName val="0217상가미분양자산"/>
      <sheetName val="토목내역"/>
      <sheetName val="Macro1"/>
      <sheetName val="건축내역(교사동)"/>
      <sheetName val="토건"/>
      <sheetName val="입력자료"/>
      <sheetName val="2경간"/>
      <sheetName val="4-10"/>
      <sheetName val="실행분석표"/>
      <sheetName val="BLR_1"/>
      <sheetName val="ITB_COST"/>
      <sheetName val="내역서1999_8최종"/>
      <sheetName val="물량표(신)"/>
      <sheetName val="품목납기"/>
      <sheetName val="설명서 "/>
      <sheetName val="대운산출"/>
      <sheetName val="S1"/>
      <sheetName val="CLAUSE"/>
      <sheetName val="삼성전기"/>
      <sheetName val="음봉방향"/>
      <sheetName val="도"/>
      <sheetName val="견적대비표"/>
      <sheetName val="단가대비"/>
      <sheetName val="견적대비 견적서"/>
      <sheetName val="MAT_N048"/>
      <sheetName val="Maine"/>
      <sheetName val="Calc V1.2"/>
      <sheetName val="Calc V1.2 (2)"/>
      <sheetName val="2002년"/>
      <sheetName val="1.설Ȁ_x0000_쀀"/>
      <sheetName val="1.설吀亘码"/>
      <sheetName val="1.설吀亘䠁"/>
      <sheetName val="감가상각"/>
      <sheetName val="일위대가표(DEEP)"/>
      <sheetName val="목동1절주.bh01"/>
      <sheetName val="발송list(2절)"/>
      <sheetName val="CODE"/>
      <sheetName val="원가계산서_남측_"/>
      <sheetName val="2000년탍䁦"/>
      <sheetName val="저장품"/>
      <sheetName val="날개벽(좌,우=45도,75도)"/>
      <sheetName val="현황"/>
      <sheetName val="설계(안)"/>
      <sheetName val="공사비 내역 (가)"/>
      <sheetName val="BEND LOSS"/>
      <sheetName val="토적계산서"/>
      <sheetName val="돌담교_상부수량"/>
      <sheetName val="97_사업추정(WEKI)"/>
      <sheetName val="조정금액결과표_(차수별)"/>
      <sheetName val="별표_"/>
      <sheetName val="환경기계공정표_(3)"/>
      <sheetName val="crude_SLAB_RE-bar"/>
      <sheetName val="CRUDE_RE-bar"/>
      <sheetName val="현장별계약현황('98_10_31)"/>
      <sheetName val="STEEL_BOX_단면설계(SEC_8)"/>
      <sheetName val="1_설계조건"/>
      <sheetName val="CSA-Rate_Build_Up"/>
      <sheetName val="단면_(2)"/>
      <sheetName val="Eq__Mobilization"/>
      <sheetName val="Chiet_tinh_dz35"/>
      <sheetName val="현대실행_(실투입최종)"/>
      <sheetName val="기타_정보통신공사"/>
      <sheetName val="MASTER00_7月"/>
      <sheetName val="전선_및_전선관"/>
      <sheetName val="CAL_"/>
      <sheetName val="단가_"/>
      <sheetName val="유효폭의_계산"/>
      <sheetName val="단가대비표_(3)"/>
      <sheetName val="b_babun_(2)"/>
      <sheetName val="도급및_실행내역"/>
      <sheetName val="정부노임(2000_상)"/>
      <sheetName val="2000_05"/>
      <sheetName val="유첨3_적용기준"/>
      <sheetName val="3_하중산정4_지지력"/>
      <sheetName val="Ⅴ-2_공종별내역"/>
      <sheetName val="REINF_"/>
      <sheetName val="유첨3_적용기㐘"/>
      <sheetName val="2_토목공사"/>
      <sheetName val="D_B"/>
      <sheetName val="7_수지"/>
      <sheetName val="TRE_TABLE"/>
      <sheetName val="BSD_1"/>
      <sheetName val="Galaxy_소비자가격표"/>
      <sheetName val="단가_(2)"/>
      <sheetName val="파일항타"/>
      <sheetName val="sheet"/>
      <sheetName val="D-3503"/>
      <sheetName val="RENUN"/>
      <sheetName val="aa"/>
      <sheetName val="전열"/>
      <sheetName val="프로젝트"/>
      <sheetName val="C.배수관공"/>
      <sheetName val="마감사양"/>
      <sheetName val="기기리_x0000__x0000_"/>
      <sheetName val="산출내역"/>
      <sheetName val="삭제금지단가"/>
      <sheetName val="DAN"/>
      <sheetName val="Works Cost"/>
      <sheetName val="1,2,3,4,5단위수량"/>
      <sheetName val="8.PILE  (돌출)"/>
      <sheetName val="LGBOM1절_CheckList"/>
      <sheetName val="맨홀수량산출"/>
      <sheetName val="VST재료산출"/>
      <sheetName val="3-3. 실행분석표(개산)"/>
      <sheetName val="견적공통"/>
      <sheetName val="견적을지"/>
      <sheetName val="tank list"/>
      <sheetName val="제수"/>
      <sheetName val="공기"/>
      <sheetName val="점수계산1-2"/>
      <sheetName val="기성현황집계표"/>
      <sheetName val="카메라"/>
      <sheetName val=" 노무비결의서_17년07월.xlsx"/>
      <sheetName val="1승인신청서"/>
      <sheetName val="Project Brief"/>
      <sheetName val="XXXXXXXX"/>
      <sheetName val="북부"/>
      <sheetName val="점검내역서(data) (2)"/>
      <sheetName val="총체보활공정표"/>
      <sheetName val="단중표"/>
      <sheetName val="집계표(4공구)"/>
      <sheetName val="내역서(4공구)"/>
      <sheetName val="시스템운영비(4공구)"/>
      <sheetName val="단가대비표"/>
      <sheetName val="견적결과(1공구)"/>
      <sheetName val="견적결과(2공구)"/>
      <sheetName val="견적결과(3공구)"/>
      <sheetName val="견적결과(4공구)OT"/>
      <sheetName val="견적결과(4공구)APT"/>
      <sheetName val="내역서(4공구)오피스텔"/>
      <sheetName val="집계표(4공구)APT"/>
      <sheetName val="집계표(4공구)OT"/>
      <sheetName val="노임근거"/>
      <sheetName val="집계표(개별)"/>
      <sheetName val="내역서(개별)"/>
      <sheetName val="소액공사비(변경후)"/>
      <sheetName val="실행"/>
      <sheetName val="직급실적"/>
      <sheetName val="참조M"/>
      <sheetName val="장비(냉동기)"/>
      <sheetName val="공사비산출서"/>
      <sheetName val="01"/>
      <sheetName val=""/>
      <sheetName val="2000년1޸"/>
      <sheetName val="2000년1䘭"/>
      <sheetName val="2000년1扈"/>
      <sheetName val="basic_info"/>
      <sheetName val="업체명"/>
      <sheetName val="관리"/>
      <sheetName val="소유권관련비"/>
      <sheetName val="98수문일위"/>
      <sheetName val="평야부단가"/>
      <sheetName val="배수집"/>
      <sheetName val="총투입계"/>
      <sheetName val="포장물량집계"/>
      <sheetName val="도(내)"/>
      <sheetName val="1"/>
      <sheetName val="12"/>
      <sheetName val="14"/>
      <sheetName val="15"/>
      <sheetName val="16"/>
      <sheetName val="17"/>
      <sheetName val="18"/>
      <sheetName val="19"/>
      <sheetName val="2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"/>
      <sheetName val="30"/>
      <sheetName val="4"/>
      <sheetName val="5"/>
      <sheetName val="제경비율"/>
      <sheetName val="설계예산서"/>
      <sheetName val="공통가설공사"/>
      <sheetName val="2000전체"/>
      <sheetName val="기흥하도용"/>
      <sheetName val="안전장치"/>
      <sheetName val="부대공수량산출"/>
      <sheetName val="T13(P68~72,78)"/>
      <sheetName val="주식"/>
      <sheetName val="A(Rev.3)"/>
      <sheetName val="TOTAL "/>
      <sheetName val="5.소재"/>
      <sheetName val="98지급계획"/>
      <sheetName val="2000ｙV̠"/>
      <sheetName val="일위CODE"/>
      <sheetName val="6동"/>
      <sheetName val="지급자재조서"/>
      <sheetName val="1.설"/>
      <sheetName val="12호기내역서(건축분)"/>
      <sheetName val="문10"/>
      <sheetName val="99년신청"/>
      <sheetName val="기둥(원형䫈"/>
      <sheetName val="기둥(원형랸"/>
      <sheetName val="기둥(원형ᰐ"/>
      <sheetName val="기초데이타"/>
      <sheetName val="SOURC퇀"/>
      <sheetName val="리 스 트"/>
      <sheetName val="업무분장 "/>
      <sheetName val="터널조도"/>
      <sheetName val="NPC500"/>
      <sheetName val="몰운대초견적"/>
      <sheetName val="1.설Ȁ"/>
      <sheetName val="B2 다목적홀 화장실  계단실 9"/>
      <sheetName val="셔틀 B2~B8"/>
      <sheetName val="5층 변경계약내역서"/>
      <sheetName val="7층 변경계약내역서"/>
      <sheetName val="현장별계약현황('98.10悾⪒_x0000__x0000_"/>
      <sheetName val="경량"/>
      <sheetName val="내역서2안"/>
      <sheetName val="KLH爋"/>
      <sheetName val="44"/>
      <sheetName val="b_balju-단가단가단가"/>
      <sheetName val="분전함신설"/>
      <sheetName val="접지1종"/>
      <sheetName val="잡비"/>
      <sheetName val="4BL ,ELEV.HALL 통합로비 연결층 걸레받이 재시"/>
      <sheetName val="107동 통합로비"/>
      <sheetName val="목동세대 산출근거"/>
      <sheetName val="APT"/>
      <sheetName val="__Bomb_project_2PROJECT_PLANT_2"/>
      <sheetName val="비목코드"/>
      <sheetName val="단가목록"/>
      <sheetName val="resp"/>
      <sheetName val="토목 (2)"/>
      <sheetName val="부하"/>
      <sheetName val="Sheet14"/>
      <sheetName val="Sheet13"/>
      <sheetName val="변전실재분리"/>
      <sheetName val="TOWER 12TON"/>
      <sheetName val="TOWER 10TON"/>
      <sheetName val="김해식"/>
      <sheetName val="추가예산"/>
      <sheetName val="경영혁신본부"/>
      <sheetName val="Mc1"/>
      <sheetName val="교_xdfc0_魚"/>
      <sheetName val="교_x0000__x0000_"/>
      <sheetName val="교헾⼓"/>
      <sheetName val="지점장"/>
      <sheetName val="원형1호맨홀토공수량"/>
      <sheetName val="설계명세서"/>
      <sheetName val="유첨3.적용기槜"/>
      <sheetName val="예산내역서"/>
      <sheetName val="base"/>
      <sheetName val="빙설"/>
      <sheetName val="첨부1-1"/>
      <sheetName val="광혁기성"/>
      <sheetName val="마산월령동골조물량변경"/>
      <sheetName val="건축비목군분류"/>
      <sheetName val="기성내역"/>
      <sheetName val="부대공수량"/>
      <sheetName val="20_10_100"/>
      <sheetName val="BSD_(2)1"/>
      <sheetName val="Indirect_Cost1"/>
      <sheetName val="4_2유효폭의_계산1"/>
      <sheetName val="남양시작동자105노65기1_3화1_21"/>
      <sheetName val="준검_내역서1"/>
      <sheetName val="3_공통공사대비2"/>
      <sheetName val="1_취수장1"/>
      <sheetName val="기존단가_(2)1"/>
      <sheetName val="일위대가_1"/>
      <sheetName val="Sheet1_(2)1"/>
      <sheetName val="3BL공동구_수량1"/>
      <sheetName val="전차선로_물량표1"/>
      <sheetName val="BSD__2_1"/>
      <sheetName val="_BM_셈플1"/>
      <sheetName val="내___역1"/>
      <sheetName val="_냉각수펌프1"/>
      <sheetName val="기술부_VENDOR_LIST1"/>
      <sheetName val="총괄갑_1"/>
      <sheetName val="Internal_Floor1"/>
      <sheetName val="Customer_Databas1"/>
      <sheetName val="나_건축1"/>
      <sheetName val="b_balju_(2)1"/>
      <sheetName val="unit_41"/>
      <sheetName val="노원열병합__건축공사기성내역서1"/>
      <sheetName val="DATA테이블1_(2)1"/>
      <sheetName val="실행내역서_1"/>
      <sheetName val="표지_(2)1"/>
      <sheetName val="내역서_1"/>
      <sheetName val="PROJECT_BRIEF(EX_NEW)1"/>
      <sheetName val="1_우편집중내역서1"/>
      <sheetName val="1995년_섹터별_매출1"/>
      <sheetName val="토공(우물통,기타)_1"/>
      <sheetName val="아파트_기성내역서1"/>
      <sheetName val="Åä°ø(¿ì¹°Åë,±âÅ¸)_1"/>
      <sheetName val="¼³»ê1_³ª1"/>
      <sheetName val="설산1_나1"/>
      <sheetName val="1차_내역서1"/>
      <sheetName val="자__재1"/>
      <sheetName val="별첨1(공사견적_양식)_(재제출-0713)1"/>
      <sheetName val="별첨1(공사견적_양식)1"/>
      <sheetName val="공사비비교_(호텔0723-1"/>
      <sheetName val="플랜트_설치1"/>
      <sheetName val="OCT_FDN1"/>
      <sheetName val="_견적서1"/>
      <sheetName val="원가_(2)1"/>
      <sheetName val="Flaer_Area1"/>
      <sheetName val="3-3__실행분석표(개산)"/>
      <sheetName val="1~6_설계조건____"/>
      <sheetName val="C1_공사개요"/>
      <sheetName val="A1_스케쥴"/>
      <sheetName val="Calc_V1_2"/>
      <sheetName val="Calc_V1_2_(2)"/>
      <sheetName val="목동1절주_bh01"/>
      <sheetName val="설명서_"/>
      <sheetName val="Works_Cost"/>
      <sheetName val="견적대비_견적서"/>
      <sheetName val="공사비_내역_(가)"/>
      <sheetName val="세부내역서(전기)"/>
      <sheetName val="SULKEA"/>
      <sheetName val="__Bomb_project_2PROJECT_PLANT_3"/>
      <sheetName val="__Bomb_project_2PROJECT_PLANT_4"/>
      <sheetName val="화산경계"/>
      <sheetName val="환경기계공정표_(3)1"/>
      <sheetName val="돌담교_상부수량1"/>
      <sheetName val="BLR_11"/>
      <sheetName val="ITB_COST1"/>
      <sheetName val="내역서1999_8최종1"/>
      <sheetName val="97_사업추정(WEKI)1"/>
      <sheetName val="조정금액결과표_(차수별)1"/>
      <sheetName val="별표_1"/>
      <sheetName val="crude_SLAB_RE-bar1"/>
      <sheetName val="CRUDE_RE-bar1"/>
      <sheetName val="현장별계약현황('98_10_31)1"/>
      <sheetName val="STEEL_BOX_단면설계(SEC_8)1"/>
      <sheetName val="1_설계조건1"/>
      <sheetName val="CSA-Rate_Build_Up1"/>
      <sheetName val="단면_(2)1"/>
      <sheetName val="Eq__Mobilization1"/>
      <sheetName val="Chiet_tinh_dz351"/>
      <sheetName val="CAL_1"/>
      <sheetName val="현대실행_(실투입최종)1"/>
      <sheetName val="기타_정보통신공사1"/>
      <sheetName val="MASTER00_7月1"/>
      <sheetName val="b_babun_(2)1"/>
      <sheetName val="전선_및_전선관1"/>
      <sheetName val="2000_051"/>
      <sheetName val="단가_1"/>
      <sheetName val="유첨3_적용기준1"/>
      <sheetName val="단가대비표_(3)1"/>
      <sheetName val="유첨3_적용기㐘1"/>
      <sheetName val="도급및_실행내역1"/>
      <sheetName val="유효폭의_계산1"/>
      <sheetName val="정부노임(2000_상)1"/>
      <sheetName val="3_하중산정4_지지력1"/>
      <sheetName val="Ⅴ-2_공종별내역1"/>
      <sheetName val="REINF_1"/>
      <sheetName val="2_토목공사1"/>
      <sheetName val="7_수지1"/>
      <sheetName val="TRE_TABLE1"/>
      <sheetName val="D_B1"/>
      <sheetName val="1_설Ԁ"/>
      <sheetName val="1_설퀀䩦謂"/>
      <sheetName val="1_설퐀Ⲩ렀"/>
      <sheetName val="1_설Ȁ쀀"/>
      <sheetName val="1_설吀亘码"/>
      <sheetName val="1_설吀亘䠁"/>
      <sheetName val="BSD_11"/>
      <sheetName val="Galaxy_소비자가격표1"/>
      <sheetName val="단가_(2)1"/>
      <sheetName val="BEND_LOSS"/>
      <sheetName val="tank_list"/>
      <sheetName val="1_설"/>
      <sheetName val="1_설Ȁ"/>
      <sheetName val="C_배수관공"/>
      <sheetName val="_노무비결의서_17년07월_xlsx"/>
      <sheetName val="Project_Brief"/>
      <sheetName val="점검내역서(data)_(2)"/>
      <sheetName val="2F 회의실견적(5_14 일대)"/>
      <sheetName val="조정금액결과표 ꗝ1푘ᛐ_x0000_"/>
      <sheetName val="조정금액결과표 Ȍ_x0000_釈ɡꗝ"/>
      <sheetName val="36신설수량"/>
      <sheetName val="버팀목"/>
      <sheetName val="복구경비"/>
      <sheetName val="중기조종사 단위단가"/>
      <sheetName val="보증금(전신전화가입권)"/>
      <sheetName val="??(??)"/>
      <sheetName val="8_PILE__(돌출)"/>
      <sheetName val="목표세부명세"/>
      <sheetName val="견적집계표"/>
      <sheetName val="통신물량"/>
      <sheetName val="연령현황"/>
      <sheetName val="MAIN_TABLE"/>
      <sheetName val="화재 탐지 설비"/>
      <sheetName val="점공통경비배부"/>
      <sheetName val="특별교실"/>
      <sheetName val="약품공급2"/>
      <sheetName val="L-type"/>
      <sheetName val="토공사"/>
      <sheetName val="(C)원내역"/>
      <sheetName val="자재죖"/>
      <sheetName val="자재룖"/>
      <sheetName val="자재Ⴠ"/>
      <sheetName val="결_x0000__x0000__x0005_"/>
      <sheetName val="04.01"/>
      <sheetName val="Form A.1.III"/>
      <sheetName val="Form A.1"/>
      <sheetName val="Form A.1.1"/>
      <sheetName val="BOM Indirect"/>
      <sheetName val="Form A.1.II.1"/>
      <sheetName val="Form A.1.II.2"/>
      <sheetName val="Rekap-Base Price"/>
      <sheetName val="inter"/>
      <sheetName val="적용노임(09상)"/>
      <sheetName val="단"/>
      <sheetName val="AV시스템"/>
      <sheetName val="참_x0000_"/>
      <sheetName val="co-no.2"/>
      <sheetName val="정렬"/>
      <sheetName val="MOTOR"/>
      <sheetName val="U-TYPE(1)"/>
      <sheetName val="SUM-CTI.XLS"/>
      <sheetName val="O＆P"/>
      <sheetName val="Eq. Mobiliz_x0000__x0000__x0005__x0000_꺠"/>
      <sheetName val="관람석제출"/>
      <sheetName val="신천3호용수로"/>
      <sheetName val="달력"/>
      <sheetName val="품셈"/>
      <sheetName val="투찰가"/>
      <sheetName val="첨"/>
      <sheetName val="Key Data"/>
      <sheetName val="주요자재단가"/>
      <sheetName val="토목내역서집계"/>
      <sheetName val="99입장목표"/>
      <sheetName val="대구은행"/>
      <sheetName val="일위대가표 (2)"/>
      <sheetName val="연못방수쉬트"/>
      <sheetName val="B"/>
      <sheetName val="교?魚"/>
      <sheetName val="table(삭제금지)"/>
      <sheetName val="공통비총괄표"/>
      <sheetName val="2.냉난방설비공사"/>
      <sheetName val="발생집계"/>
      <sheetName val="사출실적(ERP)_DATA"/>
      <sheetName val="원재료 출고실적(품목번호별)"/>
      <sheetName val="원부재료1"/>
      <sheetName val="4차원가계산서"/>
      <sheetName val="부대공주요자재집계표"/>
      <sheetName val="Element"/>
      <sheetName val="2-1. 경관조명 내역총괄표"/>
      <sheetName val="9_x0000__x0000__x0000_"/>
      <sheetName val="1공구을지"/>
      <sheetName val="분당임堑Ä_x0000_"/>
      <sheetName val="TB(BS)"/>
      <sheetName val="TB(PL)"/>
      <sheetName val="공사비총괄표"/>
      <sheetName val="단가표 "/>
      <sheetName val="작성기준"/>
      <sheetName val="하수실행"/>
      <sheetName val="공사설계서"/>
      <sheetName val="CAP_x0000__x0000_"/>
      <sheetName val="2000년 공정표"/>
      <sheetName val="교�魚"/>
      <sheetName val="조정금액결과표 Ȍ"/>
      <sheetName val="기계설비-내역서"/>
      <sheetName val="단면치수"/>
      <sheetName val="카니발(자105노60)"/>
      <sheetName val="강재창호(작업중)"/>
      <sheetName val="강재창호(변경후작업중)"/>
      <sheetName val="WEON"/>
      <sheetName val="금호"/>
      <sheetName val="산정기준"/>
      <sheetName val="인제내역"/>
      <sheetName val="영동(D)"/>
      <sheetName val="합천내역"/>
      <sheetName val="5차설계"/>
      <sheetName val="여과지동"/>
      <sheetName val="형틀물량집계(내역별)"/>
      <sheetName val="형틀물량집계(부재별)"/>
      <sheetName val="배수"/>
      <sheetName val="변수"/>
      <sheetName val="dV&amp;Cl"/>
      <sheetName val="R"/>
      <sheetName val="CODE(2)"/>
      <sheetName val="XREF"/>
      <sheetName val="기초입력 DATA"/>
      <sheetName val="기준 LIST"/>
      <sheetName val="매립"/>
      <sheetName val="물량산출근거"/>
      <sheetName val="확산동"/>
      <sheetName val="1-6(반품내역)"/>
      <sheetName val="POL6차-PIPING"/>
      <sheetName val="배관"/>
      <sheetName val="도급예산내역서봉투"/>
      <sheetName val="설계산출표지"/>
      <sheetName val="도급예산내역서총괄표"/>
      <sheetName val="을부담운반비"/>
      <sheetName val="운반비산출"/>
      <sheetName val="98년BS"/>
      <sheetName val="잉여금"/>
      <sheetName val="기본데이타입력"/>
      <sheetName val="3.경비"/>
      <sheetName val="1.급료"/>
      <sheetName val="WPL"/>
      <sheetName val="구매차입"/>
      <sheetName val="PAY"/>
      <sheetName val="ITEM_QTY"/>
      <sheetName val="전등설비"/>
      <sheetName val="제작운반"/>
      <sheetName val="제작운반변경"/>
      <sheetName val="원가계산서(남측)"/>
      <sheetName val="장비 (2)"/>
      <sheetName val="__SKEC_EB_EB_1_2PROJECT_PLANT_2"/>
      <sheetName val="A0N"/>
      <sheetName val="예정(3)"/>
      <sheetName val="FC-01"/>
      <sheetName val="FC-06"/>
      <sheetName val="상불"/>
      <sheetName val="잡철단가대비"/>
      <sheetName val="특수선일위대가"/>
      <sheetName val="목공사품의서"/>
      <sheetName val="배수통관(좌)"/>
      <sheetName val="G2설비도급"/>
      <sheetName val="Architecture Work"/>
      <sheetName val="Main Gate House"/>
      <sheetName val="도체종-상수표"/>
      <sheetName val="MATRLDATA"/>
      <sheetName val="Staffing Plan"/>
      <sheetName val="Staffing_Plan"/>
      <sheetName val="ENFOCADO INT. VERT."/>
      <sheetName val="Ref. nº 14 presup."/>
      <sheetName val="DW9911301"/>
      <sheetName val="내력서"/>
      <sheetName val="6PILE  (돌출)"/>
      <sheetName val="인력자료"/>
      <sheetName val="배수내역 (2)"/>
      <sheetName val="적용노임"/>
      <sheetName val="일반자재"/>
      <sheetName val="테이블"/>
      <sheetName val="5.경상직원"/>
      <sheetName val="BSD_(2)2"/>
      <sheetName val="Indirect_Cost2"/>
      <sheetName val="4_2유효폭의_계산2"/>
      <sheetName val="남양시작동자105노65기1_3화1_22"/>
      <sheetName val="준검_내역서2"/>
      <sheetName val="내___역2"/>
      <sheetName val="기존단가_(2)2"/>
      <sheetName val="Sheet1_(2)2"/>
      <sheetName val="3_공통공사대비3"/>
      <sheetName val="일위대가_2"/>
      <sheetName val="_냉각수펌프2"/>
      <sheetName val="_BM_셈플2"/>
      <sheetName val="총괄갑_2"/>
      <sheetName val="기술부_VENDOR_LIST2"/>
      <sheetName val="나_건축2"/>
      <sheetName val="1_취수장2"/>
      <sheetName val="3BL공동구_수량2"/>
      <sheetName val="전차선로_물량표2"/>
      <sheetName val="BSD__2_2"/>
      <sheetName val="unit_42"/>
      <sheetName val="b_balju_(2)2"/>
      <sheetName val="Internal_Floor2"/>
      <sheetName val="자__재2"/>
      <sheetName val="Customer_Databas2"/>
      <sheetName val="DATA테이블1_(2)2"/>
      <sheetName val="노원열병합__건축공사기성내역서2"/>
      <sheetName val="실행내역서_2"/>
      <sheetName val="표지_(2)2"/>
      <sheetName val="내역서_2"/>
      <sheetName val="PROJECT_BRIEF(EX_NEW)2"/>
      <sheetName val="1_우편집중내역서2"/>
      <sheetName val="1995년_섹터별_매출2"/>
      <sheetName val="토공(우물통,기타)_2"/>
      <sheetName val="아파트_기성내역서2"/>
      <sheetName val="Åä°ø(¿ì¹°Åë,±âÅ¸)_2"/>
      <sheetName val="¼³»ê1_³ª2"/>
      <sheetName val="설산1_나2"/>
      <sheetName val="환경기계공정표_(3)2"/>
      <sheetName val="STEEL_BOX_단면설계(SEC_8)2"/>
      <sheetName val="ITB_COST2"/>
      <sheetName val="BLR_12"/>
      <sheetName val="내역서1999_8최종2"/>
      <sheetName val="돌담교_상부수량2"/>
      <sheetName val="1차_내역서2"/>
      <sheetName val="97_사업추정(WEKI)2"/>
      <sheetName val="1_설계조건2"/>
      <sheetName val="CSA-Rate_Build_Up2"/>
      <sheetName val="단면_(2)2"/>
      <sheetName val="Eq__Mobilization2"/>
      <sheetName val="Chiet_tinh_dz352"/>
      <sheetName val="_견적서2"/>
      <sheetName val="별첨1(공사견적_양식)_(재제출-0713)2"/>
      <sheetName val="별첨1(공사견적_양식)2"/>
      <sheetName val="공사비비교_(호텔0723-2"/>
      <sheetName val="플랜트_설치2"/>
      <sheetName val="조정금액결과표_(차수별)2"/>
      <sheetName val="별표_2"/>
      <sheetName val="OCT_FDN2"/>
      <sheetName val="crude_SLAB_RE-bar2"/>
      <sheetName val="CRUDE_RE-bar2"/>
      <sheetName val="원가_(2)2"/>
      <sheetName val="현장별계약현황('98_10_31)2"/>
      <sheetName val="CAL_2"/>
      <sheetName val="현대실행_(실투입최종)2"/>
      <sheetName val="기타_정보통신공사2"/>
      <sheetName val="MASTER00_7月2"/>
      <sheetName val="b_babun_(2)2"/>
      <sheetName val="전선_및_전선관2"/>
      <sheetName val="2000_052"/>
      <sheetName val="단가_2"/>
      <sheetName val="유첨3_적용기준2"/>
      <sheetName val="유효폭의_계산2"/>
      <sheetName val="단가대비표_(3)2"/>
      <sheetName val="공사비_내역_(가)1"/>
      <sheetName val="7_수지2"/>
      <sheetName val="Flaer_Area2"/>
      <sheetName val="정부노임(2000_상)2"/>
      <sheetName val="유첨3_적용기㐘2"/>
      <sheetName val="도급및_실행내역2"/>
      <sheetName val="3_하중산정4_지지력2"/>
      <sheetName val="Ⅴ-2_공종별내역2"/>
      <sheetName val="REINF_2"/>
      <sheetName val="2_토목공사2"/>
      <sheetName val="1~6_설계조건____1"/>
      <sheetName val="D_B2"/>
      <sheetName val="Calc_V1_21"/>
      <sheetName val="Calc_V1_2_(2)1"/>
      <sheetName val="목동1절주_bh011"/>
      <sheetName val="설명서_1"/>
      <sheetName val="Works_Cost1"/>
      <sheetName val="견적대비_견적서1"/>
      <sheetName val="TRE_TABLE2"/>
      <sheetName val="1_설퀀䩦謂1"/>
      <sheetName val="1_설퐀Ⲩ렀1"/>
      <sheetName val="BSD_12"/>
      <sheetName val="Galaxy_소비자가격표2"/>
      <sheetName val="단가_(2)2"/>
      <sheetName val="1_설吀亘码1"/>
      <sheetName val="1_설吀亘䠁1"/>
      <sheetName val="BEND_LOSS1"/>
      <sheetName val="C1_공사개요1"/>
      <sheetName val="A1_스케쥴1"/>
      <sheetName val="현장별계약현황('98_10悾⪒"/>
      <sheetName val="C_배수관공1"/>
      <sheetName val="3-3__실행분석표(개산)1"/>
      <sheetName val="tank_list1"/>
      <sheetName val="B2_다목적홀_화장실__계단실_9"/>
      <sheetName val="셔틀_B2~B8"/>
      <sheetName val="5층_변경계약내역서"/>
      <sheetName val="7층_변경계약내역서"/>
      <sheetName val="_노무비결의서_17년07월_xlsx1"/>
      <sheetName val="Project_Brief1"/>
      <sheetName val="점검내역서(data)_(2)1"/>
      <sheetName val="1_설1"/>
      <sheetName val="1_설Ȁ1"/>
      <sheetName val="8_PILE__(돌출)1"/>
      <sheetName val="A(Rev_3)"/>
      <sheetName val="TOTAL_"/>
      <sheetName val="2F_회의실견적(5_14_일대)"/>
      <sheetName val="4BL_,ELEV_HALL_통합로비_연결층_걸레받이_재시"/>
      <sheetName val="107동_통합로비"/>
      <sheetName val="목동세대_산출근거"/>
      <sheetName val="5_경상직원"/>
      <sheetName val="리_스_트"/>
      <sheetName val="토목_(2)"/>
      <sheetName val="Key_Data"/>
      <sheetName val="기본가정"/>
      <sheetName val="위치조서"/>
      <sheetName val="사업총괄"/>
      <sheetName val="DA"/>
      <sheetName val="사  업  비  수  지  예  산  서"/>
      <sheetName val="중기비"/>
      <sheetName val="FUSE_MCB"/>
      <sheetName val="대창(장성)"/>
      <sheetName val="대창(함평)-창열"/>
      <sheetName val="사용자정의"/>
      <sheetName val="제품표준규격"/>
      <sheetName val="기준FACTOR"/>
      <sheetName val="페이지전경"/>
      <sheetName val="1페이지보고"/>
      <sheetName val="이름표"/>
      <sheetName val="5-1.본관동건축(전체집계표포함)"/>
      <sheetName val="5-3.음수대"/>
      <sheetName val="도급"/>
      <sheetName val="①매출"/>
      <sheetName val="05"/>
      <sheetName val="급여data"/>
      <sheetName val="흙쌓기도수로설치현황"/>
      <sheetName val="수목데이타"/>
      <sheetName val="회사정보"/>
      <sheetName val="단가결정"/>
      <sheetName val="견_x005f_x0000_h曘"/>
      <sheetName val="견_x005f_x0000__x005f_x0000__x005f_x0005_"/>
      <sheetName val="1.설_x005f_x0000__x005f_x0000_Ԁ"/>
      <sheetName val="1.설Ȁ_x005f_x0000_쀀"/>
      <sheetName val="기기리_x005f_x0000__x005f_x0000_"/>
      <sheetName val="교_x005f_xdfc0_魚"/>
      <sheetName val="교_x005f_x0000__x005f_x0000_"/>
      <sheetName val="코드관리"/>
      <sheetName val="Spool Index"/>
      <sheetName val="간접비 총괄표"/>
      <sheetName val="BSD_(2)5"/>
      <sheetName val="Indirect_Cost5"/>
      <sheetName val="남양시작동자105노65기1_3화1_25"/>
      <sheetName val="일위대가_5"/>
      <sheetName val="4_2유효폭의_계산5"/>
      <sheetName val="준검_내역서5"/>
      <sheetName val="기존단가_(2)5"/>
      <sheetName val="_냉각수펌프5"/>
      <sheetName val="_BM_셈플5"/>
      <sheetName val="Sheet1_(2)5"/>
      <sheetName val="3_공통공사대비6"/>
      <sheetName val="총괄갑_5"/>
      <sheetName val="1_취수장5"/>
      <sheetName val="내___역5"/>
      <sheetName val="기술부_VENDOR_LIST5"/>
      <sheetName val="3BL공동구_수량5"/>
      <sheetName val="BSD__2_5"/>
      <sheetName val="전차선로_물량표5"/>
      <sheetName val="Customer_Databas5"/>
      <sheetName val="unit_45"/>
      <sheetName val="Internal_Floor5"/>
      <sheetName val="노원열병합__건축공사기성내역서5"/>
      <sheetName val="DATA테이블1_(2)5"/>
      <sheetName val="나_건축5"/>
      <sheetName val="실행내역서_5"/>
      <sheetName val="표지_(2)5"/>
      <sheetName val="내역서_5"/>
      <sheetName val="PROJECT_BRIEF(EX_NEW)5"/>
      <sheetName val="1_우편집중내역서5"/>
      <sheetName val="1995년_섹터별_매출5"/>
      <sheetName val="토공(우물통,기타)_5"/>
      <sheetName val="아파트_기성내역서5"/>
      <sheetName val="Åä°ø(¿ì¹°Åë,±âÅ¸)_5"/>
      <sheetName val="¼³»ê1_³ª5"/>
      <sheetName val="설산1_나5"/>
      <sheetName val="1차_내역서5"/>
      <sheetName val="_견적서5"/>
      <sheetName val="별첨1(공사견적_양식)_(재제출-0713)5"/>
      <sheetName val="별첨1(공사견적_양식)5"/>
      <sheetName val="공사비비교_(호텔0723-5"/>
      <sheetName val="플랜트_설치5"/>
      <sheetName val="원가_(2)5"/>
      <sheetName val="돌담교_상부수량5"/>
      <sheetName val="BLR_15"/>
      <sheetName val="ITB_COST5"/>
      <sheetName val="내역서1999_8최종5"/>
      <sheetName val="97_사업추정(WEKI)5"/>
      <sheetName val="조정금액결과표_(차수별)5"/>
      <sheetName val="별표_5"/>
      <sheetName val="자__재5"/>
      <sheetName val="b_balju_(2)5"/>
      <sheetName val="환경기계공정표_(3)5"/>
      <sheetName val="crude_SLAB_RE-bar5"/>
      <sheetName val="CRUDE_RE-bar5"/>
      <sheetName val="현장별계약현황('98_10_31)5"/>
      <sheetName val="STEEL_BOX_단면설계(SEC_8)5"/>
      <sheetName val="1_설계조건5"/>
      <sheetName val="CSA-Rate_Build_Up5"/>
      <sheetName val="단면_(2)5"/>
      <sheetName val="Eq__Mobilization5"/>
      <sheetName val="Chiet_tinh_dz355"/>
      <sheetName val="CAL_5"/>
      <sheetName val="OCT_FDN5"/>
      <sheetName val="현대실행_(실투입최종)5"/>
      <sheetName val="기타_정보통신공사5"/>
      <sheetName val="단가_5"/>
      <sheetName val="MASTER00_7月5"/>
      <sheetName val="전선_및_전선관5"/>
      <sheetName val="단가대비표_(3)5"/>
      <sheetName val="Flaer_Area5"/>
      <sheetName val="7_수지5"/>
      <sheetName val="b_babun_(2)5"/>
      <sheetName val="2000_055"/>
      <sheetName val="유첨3_적용기준5"/>
      <sheetName val="유효폭의_계산5"/>
      <sheetName val="유첨3_적용기㐘5"/>
      <sheetName val="3_하중산정4_지지력5"/>
      <sheetName val="Ⅴ-2_공종별내역5"/>
      <sheetName val="REINF_5"/>
      <sheetName val="도급및_실행내역5"/>
      <sheetName val="정부노임(2000_상)5"/>
      <sheetName val="2_토목공사5"/>
      <sheetName val="TRE_TABLE5"/>
      <sheetName val="1~6_설계조건____4"/>
      <sheetName val="BSD_15"/>
      <sheetName val="Galaxy_소비자가격표5"/>
      <sheetName val="단가_(2)5"/>
      <sheetName val="D_B5"/>
      <sheetName val="설명서_4"/>
      <sheetName val="견적대비_견적서4"/>
      <sheetName val="Calc_V1_24"/>
      <sheetName val="Calc_V1_2_(2)4"/>
      <sheetName val="1_설퀀䩦謂4"/>
      <sheetName val="1_설퐀Ⲩ렀4"/>
      <sheetName val="1_설吀亘码4"/>
      <sheetName val="1_설吀亘䠁4"/>
      <sheetName val="C1_공사개요4"/>
      <sheetName val="A1_스케쥴4"/>
      <sheetName val="목동1절주_bh014"/>
      <sheetName val="Works_Cost4"/>
      <sheetName val="3-3__실행분석표(개산)4"/>
      <sheetName val="공사비_내역_(가)4"/>
      <sheetName val="BEND_LOSS4"/>
      <sheetName val="tank_list4"/>
      <sheetName val="8_PILE__(돌출)4"/>
      <sheetName val="C_배수관공4"/>
      <sheetName val="B2_다목적홀_화장실__계단실_93"/>
      <sheetName val="셔틀_B2~B83"/>
      <sheetName val="5층_변경계약내역서3"/>
      <sheetName val="7층_변경계약내역서3"/>
      <sheetName val="1_설4"/>
      <sheetName val="1_설Ȁ4"/>
      <sheetName val="Project_Brief4"/>
      <sheetName val="점검내역서(data)_(2)4"/>
      <sheetName val="_노무비결의서_17년07월_xlsx4"/>
      <sheetName val="A(Rev_3)3"/>
      <sheetName val="TOTAL_3"/>
      <sheetName val="리_스_트3"/>
      <sheetName val="4BL_,ELEV_HALL_통합로비_연결층_걸레받이_재3"/>
      <sheetName val="107동_통합로비3"/>
      <sheetName val="목동세대_산출근거3"/>
      <sheetName val="2F_회의실견적(5_14_일대)3"/>
      <sheetName val="토목_(2)3"/>
      <sheetName val="TOWER_12TON2"/>
      <sheetName val="TOWER_10TON2"/>
      <sheetName val="5_소재2"/>
      <sheetName val="유첨3_적용기槜2"/>
      <sheetName val="업무분장_2"/>
      <sheetName val="조정금액결과표_ꗝ1푘ᛐ"/>
      <sheetName val="조정금액결과표_Ȍ釈ɡꗝ"/>
      <sheetName val="Form_A_1_III2"/>
      <sheetName val="Form_A_12"/>
      <sheetName val="Form_A_1_12"/>
      <sheetName val="BOM_Indirect2"/>
      <sheetName val="Form_A_1_II_12"/>
      <sheetName val="Form_A_1_II_22"/>
      <sheetName val="Rekap-Base_Price2"/>
      <sheetName val="SUM-CTI_XLS2"/>
      <sheetName val="중기조종사_단위단가2"/>
      <sheetName val="Key_Data3"/>
      <sheetName val="5_경상직원3"/>
      <sheetName val="일위대가표_(2)2"/>
      <sheetName val="장비_(2)2"/>
      <sheetName val="BSD_(2)3"/>
      <sheetName val="Indirect_Cost3"/>
      <sheetName val="남양시작동자105노65기1_3화1_23"/>
      <sheetName val="일위대가_3"/>
      <sheetName val="4_2유효폭의_계산3"/>
      <sheetName val="준검_내역서3"/>
      <sheetName val="기존단가_(2)3"/>
      <sheetName val="_냉각수펌프3"/>
      <sheetName val="_BM_셈플3"/>
      <sheetName val="Sheet1_(2)3"/>
      <sheetName val="3_공통공사대비4"/>
      <sheetName val="총괄갑_3"/>
      <sheetName val="1_취수장3"/>
      <sheetName val="내___역3"/>
      <sheetName val="기술부_VENDOR_LIST3"/>
      <sheetName val="3BL공동구_수량3"/>
      <sheetName val="BSD__2_3"/>
      <sheetName val="전차선로_물량표3"/>
      <sheetName val="Customer_Databas3"/>
      <sheetName val="unit_43"/>
      <sheetName val="Internal_Floor3"/>
      <sheetName val="노원열병합__건축공사기성내역서3"/>
      <sheetName val="DATA테이블1_(2)3"/>
      <sheetName val="나_건축3"/>
      <sheetName val="실행내역서_3"/>
      <sheetName val="표지_(2)3"/>
      <sheetName val="내역서_3"/>
      <sheetName val="PROJECT_BRIEF(EX_NEW)3"/>
      <sheetName val="1_우편집중내역서3"/>
      <sheetName val="1995년_섹터별_매출3"/>
      <sheetName val="토공(우물통,기타)_3"/>
      <sheetName val="아파트_기성내역서3"/>
      <sheetName val="Åä°ø(¿ì¹°Åë,±âÅ¸)_3"/>
      <sheetName val="¼³»ê1_³ª3"/>
      <sheetName val="설산1_나3"/>
      <sheetName val="1차_내역서3"/>
      <sheetName val="_견적서3"/>
      <sheetName val="별첨1(공사견적_양식)_(재제출-0713)3"/>
      <sheetName val="별첨1(공사견적_양식)3"/>
      <sheetName val="공사비비교_(호텔0723-3"/>
      <sheetName val="플랜트_설치3"/>
      <sheetName val="원가_(2)3"/>
      <sheetName val="돌담교_상부수량3"/>
      <sheetName val="BLR_13"/>
      <sheetName val="ITB_COST3"/>
      <sheetName val="내역서1999_8최종3"/>
      <sheetName val="97_사업추정(WEKI)3"/>
      <sheetName val="조정금액결과표_(차수별)3"/>
      <sheetName val="별표_3"/>
      <sheetName val="자__재3"/>
      <sheetName val="b_balju_(2)3"/>
      <sheetName val="환경기계공정표_(3)3"/>
      <sheetName val="crude_SLAB_RE-bar3"/>
      <sheetName val="CRUDE_RE-bar3"/>
      <sheetName val="현장별계약현황('98_10_31)3"/>
      <sheetName val="STEEL_BOX_단면설계(SEC_8)3"/>
      <sheetName val="1_설계조건3"/>
      <sheetName val="CSA-Rate_Build_Up3"/>
      <sheetName val="단면_(2)3"/>
      <sheetName val="Eq__Mobilization3"/>
      <sheetName val="Chiet_tinh_dz353"/>
      <sheetName val="CAL_3"/>
      <sheetName val="OCT_FDN3"/>
      <sheetName val="현대실행_(실투입최종)3"/>
      <sheetName val="기타_정보통신공사3"/>
      <sheetName val="단가_3"/>
      <sheetName val="MASTER00_7月3"/>
      <sheetName val="전선_및_전선관3"/>
      <sheetName val="단가대비표_(3)3"/>
      <sheetName val="Flaer_Area3"/>
      <sheetName val="7_수지3"/>
      <sheetName val="b_babun_(2)3"/>
      <sheetName val="2000_053"/>
      <sheetName val="유첨3_적용기준3"/>
      <sheetName val="유효폭의_계산3"/>
      <sheetName val="유첨3_적용기㐘3"/>
      <sheetName val="3_하중산정4_지지력3"/>
      <sheetName val="Ⅴ-2_공종별내역3"/>
      <sheetName val="REINF_3"/>
      <sheetName val="도급및_실행내역3"/>
      <sheetName val="정부노임(2000_상)3"/>
      <sheetName val="2_토목공사3"/>
      <sheetName val="TRE_TABLE3"/>
      <sheetName val="1~6_설계조건____2"/>
      <sheetName val="BSD_13"/>
      <sheetName val="Galaxy_소비자가격표3"/>
      <sheetName val="단가_(2)3"/>
      <sheetName val="D_B3"/>
      <sheetName val="설명서_2"/>
      <sheetName val="견적대비_견적서2"/>
      <sheetName val="Calc_V1_22"/>
      <sheetName val="Calc_V1_2_(2)2"/>
      <sheetName val="1_설퀀䩦謂2"/>
      <sheetName val="1_설퐀Ⲩ렀2"/>
      <sheetName val="1_설吀亘码2"/>
      <sheetName val="1_설吀亘䠁2"/>
      <sheetName val="C1_공사개요2"/>
      <sheetName val="A1_스케쥴2"/>
      <sheetName val="목동1절주_bh012"/>
      <sheetName val="Works_Cost2"/>
      <sheetName val="3-3__실행분석표(개산)2"/>
      <sheetName val="공사비_내역_(가)2"/>
      <sheetName val="BEND_LOSS2"/>
      <sheetName val="tank_list2"/>
      <sheetName val="8_PILE__(돌출)2"/>
      <sheetName val="C_배수관공2"/>
      <sheetName val="B2_다목적홀_화장실__계단실_91"/>
      <sheetName val="셔틀_B2~B81"/>
      <sheetName val="5층_변경계약내역서1"/>
      <sheetName val="7층_변경계약내역서1"/>
      <sheetName val="1_설2"/>
      <sheetName val="1_설Ȁ2"/>
      <sheetName val="Project_Brief2"/>
      <sheetName val="점검내역서(data)_(2)2"/>
      <sheetName val="_노무비결의서_17년07월_xlsx2"/>
      <sheetName val="A(Rev_3)1"/>
      <sheetName val="TOTAL_1"/>
      <sheetName val="리_스_트1"/>
      <sheetName val="4BL_,ELEV_HALL_통합로비_연결층_걸레받이_재1"/>
      <sheetName val="107동_통합로비1"/>
      <sheetName val="목동세대_산출근거1"/>
      <sheetName val="2F_회의실견적(5_14_일대)1"/>
      <sheetName val="토목_(2)1"/>
      <sheetName val="TOWER_12TON"/>
      <sheetName val="TOWER_10TON"/>
      <sheetName val="5_소재"/>
      <sheetName val="유첨3_적용기槜"/>
      <sheetName val="업무분장_"/>
      <sheetName val="Form_A_1_III"/>
      <sheetName val="Form_A_1"/>
      <sheetName val="Form_A_1_1"/>
      <sheetName val="BOM_Indirect"/>
      <sheetName val="Form_A_1_II_1"/>
      <sheetName val="Form_A_1_II_2"/>
      <sheetName val="Rekap-Base_Price"/>
      <sheetName val="SUM-CTI_XLS"/>
      <sheetName val="중기조종사_단위단가"/>
      <sheetName val="Key_Data1"/>
      <sheetName val="5_경상직원1"/>
      <sheetName val="일위대가표_(2)"/>
      <sheetName val="장비_(2)"/>
      <sheetName val="BSD_(2)4"/>
      <sheetName val="Indirect_Cost4"/>
      <sheetName val="남양시작동자105노65기1_3화1_24"/>
      <sheetName val="일위대가_4"/>
      <sheetName val="4_2유효폭의_계산4"/>
      <sheetName val="준검_내역서4"/>
      <sheetName val="기존단가_(2)4"/>
      <sheetName val="_냉각수펌프4"/>
      <sheetName val="_BM_셈플4"/>
      <sheetName val="Sheet1_(2)4"/>
      <sheetName val="3_공통공사대비5"/>
      <sheetName val="총괄갑_4"/>
      <sheetName val="1_취수장4"/>
      <sheetName val="내___역4"/>
      <sheetName val="기술부_VENDOR_LIST4"/>
      <sheetName val="3BL공동구_수량4"/>
      <sheetName val="BSD__2_4"/>
      <sheetName val="전차선로_물량표4"/>
      <sheetName val="Customer_Databas4"/>
      <sheetName val="unit_44"/>
      <sheetName val="Internal_Floor4"/>
      <sheetName val="노원열병합__건축공사기성내역서4"/>
      <sheetName val="DATA테이블1_(2)4"/>
      <sheetName val="나_건축4"/>
      <sheetName val="실행내역서_4"/>
      <sheetName val="표지_(2)4"/>
      <sheetName val="내역서_4"/>
      <sheetName val="PROJECT_BRIEF(EX_NEW)4"/>
      <sheetName val="1_우편집중내역서4"/>
      <sheetName val="1995년_섹터별_매출4"/>
      <sheetName val="토공(우물통,기타)_4"/>
      <sheetName val="아파트_기성내역서4"/>
      <sheetName val="Åä°ø(¿ì¹°Åë,±âÅ¸)_4"/>
      <sheetName val="¼³»ê1_³ª4"/>
      <sheetName val="설산1_나4"/>
      <sheetName val="1차_내역서4"/>
      <sheetName val="_견적서4"/>
      <sheetName val="별첨1(공사견적_양식)_(재제출-0713)4"/>
      <sheetName val="별첨1(공사견적_양식)4"/>
      <sheetName val="공사비비교_(호텔0723-4"/>
      <sheetName val="플랜트_설치4"/>
      <sheetName val="원가_(2)4"/>
      <sheetName val="돌담교_상부수량4"/>
      <sheetName val="BLR_14"/>
      <sheetName val="ITB_COST4"/>
      <sheetName val="내역서1999_8최종4"/>
      <sheetName val="97_사업추정(WEKI)4"/>
      <sheetName val="조정금액결과표_(차수별)4"/>
      <sheetName val="별표_4"/>
      <sheetName val="자__재4"/>
      <sheetName val="b_balju_(2)4"/>
      <sheetName val="환경기계공정표_(3)4"/>
      <sheetName val="crude_SLAB_RE-bar4"/>
      <sheetName val="CRUDE_RE-bar4"/>
      <sheetName val="현장별계약현황('98_10_31)4"/>
      <sheetName val="STEEL_BOX_단면설계(SEC_8)4"/>
      <sheetName val="1_설계조건4"/>
      <sheetName val="CSA-Rate_Build_Up4"/>
      <sheetName val="단면_(2)4"/>
      <sheetName val="Eq__Mobilization4"/>
      <sheetName val="Chiet_tinh_dz354"/>
      <sheetName val="CAL_4"/>
      <sheetName val="OCT_FDN4"/>
      <sheetName val="현대실행_(실투입최종)4"/>
      <sheetName val="기타_정보통신공사4"/>
      <sheetName val="단가_4"/>
      <sheetName val="MASTER00_7月4"/>
      <sheetName val="전선_및_전선관4"/>
      <sheetName val="단가대비표_(3)4"/>
      <sheetName val="Flaer_Area4"/>
      <sheetName val="7_수지4"/>
      <sheetName val="b_babun_(2)4"/>
      <sheetName val="2000_054"/>
      <sheetName val="유첨3_적용기준4"/>
      <sheetName val="유효폭의_계산4"/>
      <sheetName val="유첨3_적용기㐘4"/>
      <sheetName val="3_하중산정4_지지력4"/>
      <sheetName val="Ⅴ-2_공종별내역4"/>
      <sheetName val="REINF_4"/>
      <sheetName val="도급및_실행내역4"/>
      <sheetName val="정부노임(2000_상)4"/>
      <sheetName val="2_토목공사4"/>
      <sheetName val="TRE_TABLE4"/>
      <sheetName val="1~6_설계조건____3"/>
      <sheetName val="BSD_14"/>
      <sheetName val="Galaxy_소비자가격표4"/>
      <sheetName val="단가_(2)4"/>
      <sheetName val="D_B4"/>
      <sheetName val="설명서_3"/>
      <sheetName val="견적대비_견적서3"/>
      <sheetName val="Calc_V1_23"/>
      <sheetName val="Calc_V1_2_(2)3"/>
      <sheetName val="1_설퀀䩦謂3"/>
      <sheetName val="1_설퐀Ⲩ렀3"/>
      <sheetName val="1_설吀亘码3"/>
      <sheetName val="1_설吀亘䠁3"/>
      <sheetName val="C1_공사개요3"/>
      <sheetName val="A1_스케쥴3"/>
      <sheetName val="목동1절주_bh013"/>
      <sheetName val="Works_Cost3"/>
      <sheetName val="3-3__실행분석표(개산)3"/>
      <sheetName val="공사비_내역_(가)3"/>
      <sheetName val="BEND_LOSS3"/>
      <sheetName val="tank_list3"/>
      <sheetName val="8_PILE__(돌출)3"/>
      <sheetName val="C_배수관공3"/>
      <sheetName val="B2_다목적홀_화장실__계단실_92"/>
      <sheetName val="셔틀_B2~B82"/>
      <sheetName val="5층_변경계약내역서2"/>
      <sheetName val="7층_변경계약내역서2"/>
      <sheetName val="1_설3"/>
      <sheetName val="1_설Ȁ3"/>
      <sheetName val="Project_Brief3"/>
      <sheetName val="점검내역서(data)_(2)3"/>
      <sheetName val="_노무비결의서_17년07월_xlsx3"/>
      <sheetName val="A(Rev_3)2"/>
      <sheetName val="TOTAL_2"/>
      <sheetName val="리_스_트2"/>
      <sheetName val="4BL_,ELEV_HALL_통합로비_연결층_걸레받이_재2"/>
      <sheetName val="107동_통합로비2"/>
      <sheetName val="목동세대_산출근거2"/>
      <sheetName val="2F_회의실견적(5_14_일대)2"/>
      <sheetName val="토목_(2)2"/>
      <sheetName val="TOWER_12TON1"/>
      <sheetName val="TOWER_10TON1"/>
      <sheetName val="5_소재1"/>
      <sheetName val="유첨3_적용기槜1"/>
      <sheetName val="업무분장_1"/>
      <sheetName val="Form_A_1_III1"/>
      <sheetName val="Form_A_11"/>
      <sheetName val="Form_A_1_11"/>
      <sheetName val="BOM_Indirect1"/>
      <sheetName val="Form_A_1_II_11"/>
      <sheetName val="Form_A_1_II_21"/>
      <sheetName val="Rekap-Base_Price1"/>
      <sheetName val="SUM-CTI_XLS1"/>
      <sheetName val="중기조종사_단위단가1"/>
      <sheetName val="Key_Data2"/>
      <sheetName val="5_경상직원2"/>
      <sheetName val="일위대가표_(2)1"/>
      <sheetName val="장비_(2)1"/>
      <sheetName val="수량조서"/>
      <sheetName val="현장리스트 (실예산,기준예산,변경예산)"/>
      <sheetName val="예산"/>
      <sheetName val="정산서 "/>
      <sheetName val="사업부배부A"/>
      <sheetName val="세금자료"/>
      <sheetName val="수주추정"/>
      <sheetName val="자재집계 &amp; 총괄표"/>
      <sheetName val="결"/>
      <sheetName val="배관내경(삭제하지마시오)"/>
      <sheetName val="증가분"/>
      <sheetName val="정보매체AÈ"/>
      <sheetName val="일위목차"/>
      <sheetName val="가도공"/>
      <sheetName val="수원공사_x0000_"/>
      <sheetName val="옥내아파트(전기)"/>
      <sheetName val="ILBAN"/>
      <sheetName val="지성학원"/>
      <sheetName val="집수정(600-700)"/>
      <sheetName val="갑"/>
      <sheetName val="costing_CV"/>
      <sheetName val="costing_ESDV"/>
      <sheetName val="costing_FE"/>
      <sheetName val="costing_Misc"/>
      <sheetName val="costing_MOV"/>
      <sheetName val="costing_Press"/>
      <sheetName val="BLDG_MCI"/>
      <sheetName val="BLDG_DCI"/>
      <sheetName val="송라터널총괄"/>
      <sheetName val="투찰판"/>
      <sheetName val="부대입찰"/>
      <sheetName val="하도내역"/>
      <sheetName val="하도"/>
      <sheetName val="VXXXX"/>
      <sheetName val="설변현황 (사업소제출전체포함)"/>
      <sheetName val="설변현황 (사업소제출보류제외최종) (2)"/>
      <sheetName val="계획 (9.29) (제출용)"/>
      <sheetName val="상황판"/>
      <sheetName val="자재인력"/>
      <sheetName val="집계장"/>
      <sheetName val="신흥교"/>
      <sheetName val="결재란"/>
      <sheetName val="저가1"/>
      <sheetName val="다곡2교"/>
      <sheetName val="공주-교대(A1)"/>
      <sheetName val="관리본관골조 집계"/>
      <sheetName val="관리본관 골조"/>
      <sheetName val="관리본관마감집계"/>
      <sheetName val="관리본관 마감"/>
      <sheetName val="Module1"/>
      <sheetName val="총집계"/>
      <sheetName val="갑지 "/>
      <sheetName val="수량1"/>
      <sheetName val="수량 2"/>
      <sheetName val="연회장"/>
      <sheetName val="오크밸리 연회장 실물량 "/>
      <sheetName val="오크밸리 연회장철근증 실물량  (3)"/>
      <sheetName val="오크밸리 연회장 실물량  (2)"/>
      <sheetName val="변경갑지"/>
      <sheetName val="내역갑지"/>
      <sheetName val="대연회장도급내역"/>
      <sheetName val="오크밸리 관리비"/>
      <sheetName val="당초실행내역"/>
      <sheetName val="실행내역변경"/>
      <sheetName val="오크밸리 변경관리비"/>
      <sheetName val="실행내역재변경"/>
      <sheetName val="대연회장최종도급내역"/>
      <sheetName val="최종도급갑지"/>
      <sheetName val="최종도급갑지 (2)"/>
      <sheetName val="일위(통합 기존)"/>
      <sheetName val="배수공"/>
      <sheetName val="구조물공"/>
      <sheetName val="제출내역 (2)"/>
      <sheetName val="L_RPTB~1"/>
      <sheetName val="금리계산"/>
      <sheetName val="내역서(원안분)"/>
      <sheetName val="공사비집계"/>
      <sheetName val="룡전상부"/>
      <sheetName val="(포장)BOQ-실적공사"/>
      <sheetName val="값"/>
      <sheetName val="변경집계2"/>
      <sheetName val="사급비"/>
      <sheetName val="부관맨홀조서"/>
      <sheetName val="아포2당초"/>
      <sheetName val="기타backdata"/>
      <sheetName val="누가토량"/>
      <sheetName val="장비가동"/>
      <sheetName val="DATA 입력부"/>
      <sheetName val="변전실"/>
      <sheetName val="자재목록"/>
      <sheetName val="노임목록"/>
      <sheetName val="집계표(육상)"/>
      <sheetName val="변경현황"/>
      <sheetName val="중기명"/>
      <sheetName val="목포방향"/>
      <sheetName val="종배수관"/>
      <sheetName val="가설건물"/>
      <sheetName val="5Strand-장기처짐PCI"/>
      <sheetName val="기계경비"/>
      <sheetName val="시노"/>
      <sheetName val="확약서"/>
      <sheetName val="계약서"/>
      <sheetName val="변경내역서"/>
      <sheetName val="초기화면"/>
      <sheetName val="계약내역서"/>
      <sheetName val="성원계약"/>
      <sheetName val="1공구산출내역서"/>
      <sheetName val="배수공 내역서 적용수량"/>
      <sheetName val="내역(설계)"/>
      <sheetName val="가중치 종합"/>
      <sheetName val="DATA 입력란"/>
      <sheetName val="전산output"/>
      <sheetName val="투찰내역"/>
      <sheetName val="총공사내역서"/>
      <sheetName val="MYUN(MAC)"/>
      <sheetName val="중기손료"/>
      <sheetName val="000000"/>
      <sheetName val="직접노무비"/>
      <sheetName val="단위가격"/>
      <sheetName val="공사비예산서(토목분)"/>
      <sheetName val="철근총괄"/>
      <sheetName val="ysn"/>
      <sheetName val="기간등록"/>
      <sheetName val="연결임시"/>
      <sheetName val="단면설계"/>
      <sheetName val="안정검토"/>
      <sheetName val="일위총괄표"/>
      <sheetName val="변경내역을"/>
      <sheetName val="설계변경"/>
      <sheetName val="내역최종"/>
      <sheetName val="장비종합부표"/>
      <sheetName val="부표"/>
      <sheetName val="인건비 "/>
      <sheetName val="현황산출서"/>
      <sheetName val="옹벽기초자료"/>
      <sheetName val="예측단가간지"/>
      <sheetName val="콘_재료분리(1)"/>
      <sheetName val="02자재"/>
      <sheetName val="기타공"/>
      <sheetName val="바닥판"/>
      <sheetName val="TYPE1"/>
      <sheetName val="철근량"/>
      <sheetName val="삼홍테크"/>
      <sheetName val="비탈면보호공수량산출"/>
      <sheetName val="설변현황_(사업소제출전체포함)"/>
      <sheetName val="설변현황_(사업소제출보류제외최종)_(2)"/>
      <sheetName val="계획_(9_29)_(제출용)"/>
      <sheetName val="일위(통합_기존)"/>
      <sheetName val="관리본관골조_집계"/>
      <sheetName val="관리본관_골조"/>
      <sheetName val="관리본관_마감"/>
      <sheetName val="갑지_"/>
      <sheetName val="수량_2"/>
      <sheetName val="오크밸리_연회장_실물량_"/>
      <sheetName val="오크밸리_연회장철근증_실물량__(3)"/>
      <sheetName val="오크밸리_연회장_실물량__(2)"/>
      <sheetName val="오크밸리_관리비"/>
      <sheetName val="오크밸리_변경관리비"/>
      <sheetName val="최종도급갑지_(2)"/>
      <sheetName val="제출내역_(2)"/>
      <sheetName val="DATA_입력부"/>
      <sheetName val="DATA_입력란"/>
      <sheetName val="배수공_내역서_적용수량"/>
      <sheetName val="수수료"/>
      <sheetName val="교각 P3"/>
      <sheetName val="BOJUNGGM"/>
      <sheetName val="내역서(변경)"/>
      <sheetName val="TOTAL_BOQ"/>
      <sheetName val="간선"/>
      <sheetName val="1호구조물"/>
      <sheetName val="내역서(삼호)"/>
      <sheetName val="업자내역서"/>
      <sheetName val="설계서식"/>
      <sheetName val="01AC"/>
      <sheetName val="화해(함평)"/>
      <sheetName val="화해(장성)"/>
      <sheetName val="데리네이타현황"/>
      <sheetName val="간지"/>
      <sheetName val="잡설비내역"/>
      <sheetName val="6.단면검토"/>
      <sheetName val="금액결정"/>
      <sheetName val="배지거총재료집계표"/>
      <sheetName val="공사비"/>
      <sheetName val="1호철근량"/>
      <sheetName val="입력창"/>
      <sheetName val="배수공수집"/>
      <sheetName val="웅진교-S2"/>
      <sheetName val="수공기"/>
      <sheetName val="9902"/>
      <sheetName val="POOM_MOTO"/>
      <sheetName val="POOM_MOTO2"/>
      <sheetName val="2.수량조서(발주용)"/>
      <sheetName val="토사(PE)"/>
      <sheetName val="7.2품셈"/>
      <sheetName val="Tool"/>
      <sheetName val="국내총괄"/>
      <sheetName val="일용노임단가2001상"/>
      <sheetName val="화전내"/>
      <sheetName val="토적계산"/>
      <sheetName val="암거단위"/>
      <sheetName val="시설장비"/>
      <sheetName val="기초일위대가"/>
      <sheetName val="식재일위대가"/>
      <sheetName val="자재"/>
      <sheetName val="7+160암거변경"/>
      <sheetName val="수안보-MBR1"/>
      <sheetName val="총괄표 "/>
      <sheetName val="제출내역 (3)"/>
      <sheetName val="별표"/>
      <sheetName val="기술부대조건"/>
      <sheetName val="소일위대가코드표"/>
      <sheetName val="단1"/>
      <sheetName val="잡철물"/>
      <sheetName val="2.대외공문"/>
      <sheetName val="12CGOU"/>
      <sheetName val=" 견_x0000__x0000_"/>
      <sheetName val="Factor"/>
      <sheetName val="sort"/>
      <sheetName val="바닥판(1)"/>
      <sheetName val="연습"/>
      <sheetName val="가설배관"/>
      <sheetName val="9609추"/>
      <sheetName val="각사별공사비분개 "/>
      <sheetName val="archi(본사)"/>
      <sheetName val="구성비"/>
      <sheetName val="산5-3"/>
      <sheetName val="P280297"/>
      <sheetName val="코스모공장 (어음)"/>
      <sheetName val="설계산출기초"/>
      <sheetName val="Infrastructure"/>
      <sheetName val="PLAN"/>
      <sheetName val="제1안"/>
      <sheetName val="제2안"/>
      <sheetName val="금액대비"/>
      <sheetName val="토공가실행"/>
      <sheetName val="부대공사"/>
      <sheetName val="Column"/>
      <sheetName val="별첨1(공사견적 양_x0000__x0000_"/>
      <sheetName val="SITE-E"/>
      <sheetName val="DHEQSUPT"/>
      <sheetName val="analysis"/>
      <sheetName val="단가일람"/>
      <sheetName val="자재일람"/>
      <sheetName val="조경일람"/>
      <sheetName val="95MAKER"/>
      <sheetName val="Eq. Mobiliz"/>
      <sheetName val="Macr_x0000__x0000__x0005__x0000_ᱰქ"/>
      <sheetName val="조정금액결과표_Ȍ"/>
      <sheetName val="화재_탐지_설비"/>
      <sheetName val="04_01"/>
      <sheetName val="co-no_2"/>
      <sheetName val="2-1__경관조명_내역총괄표"/>
      <sheetName val="단가표_"/>
      <sheetName val="원재료_출고실적(품목번호별)"/>
      <sheetName val="2_냉난방설비공사"/>
      <sheetName val="Eq__Mobiliz꺠"/>
      <sheetName val="제출내역_(3)"/>
      <sheetName val="3_경비"/>
      <sheetName val="1_급료"/>
      <sheetName val="2000년_공정표"/>
      <sheetName val="상하"/>
      <sheetName val="서철"/>
      <sheetName val="서토"/>
      <sheetName val="포장"/>
      <sheetName val="휴철"/>
      <sheetName val="휴토"/>
      <sheetName val="도급정산"/>
      <sheetName val="도급내역"/>
      <sheetName val="월별매출"/>
      <sheetName val="집계표(1905)"/>
      <sheetName val="직원투입계획(1인)"/>
      <sheetName val="__Bomb_project_2PROJECT_PLANT_5"/>
      <sheetName val="1.인건비"/>
      <sheetName val="I.설계조건"/>
      <sheetName val="EQUIP LIST"/>
      <sheetName val="단가및재료비"/>
      <sheetName val="__SKEC_EB_EB_1_2PROJECT_PLANT_3"/>
      <sheetName val="맨홀토공수량"/>
      <sheetName val="설비(제출)"/>
      <sheetName val="1-최종안"/>
      <sheetName val="사업분석-분양가결정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/>
      <sheetData sheetId="959"/>
      <sheetData sheetId="960"/>
      <sheetData sheetId="961" refreshError="1"/>
      <sheetData sheetId="962"/>
      <sheetData sheetId="963" refreshError="1"/>
      <sheetData sheetId="964" refreshError="1"/>
      <sheetData sheetId="965"/>
      <sheetData sheetId="966"/>
      <sheetData sheetId="967"/>
      <sheetData sheetId="968" refreshError="1"/>
      <sheetData sheetId="969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/>
      <sheetData sheetId="989" refreshError="1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 refreshError="1"/>
      <sheetData sheetId="1016" refreshError="1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 refreshError="1"/>
      <sheetData sheetId="1262" refreshError="1"/>
      <sheetData sheetId="1263"/>
      <sheetData sheetId="1264"/>
      <sheetData sheetId="1265" refreshError="1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/>
      <sheetData sheetId="1330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/>
      <sheetData sheetId="1773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/>
      <sheetData sheetId="2103"/>
      <sheetData sheetId="2104"/>
      <sheetData sheetId="2105"/>
      <sheetData sheetId="2106"/>
      <sheetData sheetId="2107"/>
      <sheetData sheetId="2108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/>
      <sheetData sheetId="2115"/>
      <sheetData sheetId="2116"/>
      <sheetData sheetId="2117"/>
      <sheetData sheetId="2118" refreshError="1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/>
      <sheetData sheetId="2217"/>
      <sheetData sheetId="2218" refreshError="1"/>
      <sheetData sheetId="2219" refreshError="1"/>
      <sheetData sheetId="2220" refreshError="1"/>
      <sheetData sheetId="2221" refreshError="1"/>
      <sheetData sheetId="2222"/>
      <sheetData sheetId="2223" refreshError="1"/>
      <sheetData sheetId="2224" refreshError="1"/>
      <sheetData sheetId="2225"/>
      <sheetData sheetId="2226"/>
      <sheetData sheetId="2227"/>
      <sheetData sheetId="2228" refreshError="1"/>
      <sheetData sheetId="2229" refreshError="1"/>
      <sheetData sheetId="2230" refreshError="1"/>
      <sheetData sheetId="223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/>
      <sheetData sheetId="2300"/>
      <sheetData sheetId="2301"/>
      <sheetData sheetId="2302"/>
      <sheetData sheetId="2303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 refreshError="1"/>
      <sheetData sheetId="2342" refreshError="1"/>
      <sheetData sheetId="2343" refreshError="1"/>
      <sheetData sheetId="2344" refreshError="1"/>
      <sheetData sheetId="2345"/>
      <sheetData sheetId="2346" refreshError="1"/>
      <sheetData sheetId="2347" refreshError="1"/>
      <sheetData sheetId="2348" refreshError="1"/>
      <sheetData sheetId="234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적정심사"/>
      <sheetName val="사유서제출항목"/>
      <sheetName val="미제출세부공종조정창"/>
      <sheetName val="세부공종투찰비율"/>
      <sheetName val="심사공종집계"/>
      <sheetName val="건원가"/>
      <sheetName val="기원가"/>
      <sheetName val="토원가"/>
      <sheetName val="총원가"/>
      <sheetName val="기준"/>
      <sheetName val="단가"/>
      <sheetName val="보할"/>
      <sheetName val="건내역"/>
      <sheetName val="기내역"/>
      <sheetName val="토내역"/>
      <sheetName val="하도급계획서(제출)"/>
      <sheetName val="사유일위"/>
      <sheetName val="속"/>
      <sheetName val="Sheet1"/>
    </sheetNames>
    <sheetDataSet>
      <sheetData sheetId="0" refreshError="1">
        <row r="5">
          <cell r="D5" t="str">
            <v>A01</v>
          </cell>
          <cell r="E5" t="str">
            <v>공통가설공사</v>
          </cell>
          <cell r="F5">
            <v>399348016</v>
          </cell>
          <cell r="G5">
            <v>645471601</v>
          </cell>
          <cell r="H5">
            <v>635652698</v>
          </cell>
          <cell r="I5">
            <v>1680472315</v>
          </cell>
          <cell r="J5">
            <v>1.7275405090758457E-2</v>
          </cell>
          <cell r="K5">
            <v>399348016</v>
          </cell>
          <cell r="L5">
            <v>645471601</v>
          </cell>
          <cell r="M5">
            <v>635652698</v>
          </cell>
          <cell r="N5">
            <v>1680472315</v>
          </cell>
          <cell r="O5">
            <v>1</v>
          </cell>
          <cell r="P5">
            <v>292714050</v>
          </cell>
          <cell r="Q5">
            <v>471176885</v>
          </cell>
          <cell r="R5">
            <v>517012727</v>
          </cell>
          <cell r="S5">
            <v>1280903662</v>
          </cell>
          <cell r="T5">
            <v>0.22852151858396358</v>
          </cell>
          <cell r="U5">
            <v>0.36784724642312716</v>
          </cell>
          <cell r="V5">
            <v>0.40363123499290926</v>
          </cell>
          <cell r="W5">
            <v>0.76222836316110332</v>
          </cell>
          <cell r="X5">
            <v>0.76174225564286679</v>
          </cell>
          <cell r="Y5">
            <v>0.76193999999999995</v>
          </cell>
          <cell r="Z5">
            <v>0.95238800000000001</v>
          </cell>
          <cell r="AA5">
            <v>0.95799999999999996</v>
          </cell>
          <cell r="AB5" t="str">
            <v/>
          </cell>
          <cell r="AC5">
            <v>67.700200000000009</v>
          </cell>
          <cell r="AD5">
            <v>0</v>
          </cell>
          <cell r="AE5">
            <v>5</v>
          </cell>
          <cell r="AF5">
            <v>72.700200000000009</v>
          </cell>
          <cell r="AG5" t="str">
            <v>NG</v>
          </cell>
          <cell r="AI5">
            <v>1</v>
          </cell>
          <cell r="AJ5">
            <v>0.23764034220343583</v>
          </cell>
          <cell r="AK5">
            <v>0.38410130011573562</v>
          </cell>
          <cell r="AL5">
            <v>0.37825835768082855</v>
          </cell>
          <cell r="AM5">
            <v>0.96162762797376411</v>
          </cell>
          <cell r="AN5">
            <v>0.95768289852778199</v>
          </cell>
          <cell r="AO5">
            <v>1.0670781670698475</v>
          </cell>
          <cell r="AP5">
            <v>0.76144408276145237</v>
          </cell>
          <cell r="AQ5">
            <v>0.76193</v>
          </cell>
          <cell r="AR5">
            <v>-2.9836316110332106E-4</v>
          </cell>
          <cell r="AS5">
            <v>0.76174225564286679</v>
          </cell>
        </row>
        <row r="6">
          <cell r="D6" t="str">
            <v>A02</v>
          </cell>
          <cell r="E6" t="str">
            <v>가설공사</v>
          </cell>
          <cell r="F6">
            <v>410283023</v>
          </cell>
          <cell r="G6">
            <v>2576741308</v>
          </cell>
          <cell r="H6">
            <v>280885815</v>
          </cell>
          <cell r="I6">
            <v>3267910106</v>
          </cell>
          <cell r="J6">
            <v>3.3594406987498278E-2</v>
          </cell>
          <cell r="K6">
            <v>410283023</v>
          </cell>
          <cell r="L6">
            <v>2576741308</v>
          </cell>
          <cell r="M6">
            <v>280885815</v>
          </cell>
          <cell r="N6">
            <v>3267910146</v>
          </cell>
          <cell r="O6">
            <v>1.0000000122402388</v>
          </cell>
          <cell r="P6">
            <v>301929600</v>
          </cell>
          <cell r="Q6">
            <v>1880164253</v>
          </cell>
          <cell r="R6">
            <v>307547214</v>
          </cell>
          <cell r="S6">
            <v>2489641067</v>
          </cell>
          <cell r="T6">
            <v>0.12127434914295619</v>
          </cell>
          <cell r="U6">
            <v>0.75519490657566346</v>
          </cell>
          <cell r="V6">
            <v>0.12353074428138038</v>
          </cell>
          <cell r="W6">
            <v>0.76184502824264655</v>
          </cell>
          <cell r="X6">
            <v>0.76156150830790559</v>
          </cell>
          <cell r="Y6">
            <v>0.76193999999999995</v>
          </cell>
          <cell r="Z6">
            <v>0.95238800000000001</v>
          </cell>
          <cell r="AA6">
            <v>0.95799999999999996</v>
          </cell>
          <cell r="AB6" t="str">
            <v>부적정</v>
          </cell>
          <cell r="AC6">
            <v>64.320099999999996</v>
          </cell>
          <cell r="AD6">
            <v>0</v>
          </cell>
          <cell r="AE6">
            <v>4</v>
          </cell>
          <cell r="AF6">
            <v>68.320099999999996</v>
          </cell>
          <cell r="AG6" t="str">
            <v>NG</v>
          </cell>
          <cell r="AI6">
            <v>2</v>
          </cell>
          <cell r="AJ6">
            <v>0.12554905419420984</v>
          </cell>
          <cell r="AK6">
            <v>0.78849822192752816</v>
          </cell>
          <cell r="AL6">
            <v>8.5952736118500808E-2</v>
          </cell>
          <cell r="AM6">
            <v>0.965951913547344</v>
          </cell>
          <cell r="AN6">
            <v>0.95776361388557996</v>
          </cell>
          <cell r="AO6">
            <v>1.4371938562964621</v>
          </cell>
          <cell r="AP6">
            <v>0.76164644844309681</v>
          </cell>
          <cell r="AQ6">
            <v>0.76193</v>
          </cell>
          <cell r="AR6">
            <v>8.4971757353446975E-5</v>
          </cell>
          <cell r="AS6">
            <v>0.76156150830790559</v>
          </cell>
        </row>
        <row r="7">
          <cell r="D7" t="str">
            <v>A03</v>
          </cell>
          <cell r="E7" t="str">
            <v>철근콘크리트공사</v>
          </cell>
          <cell r="F7">
            <v>6119427120</v>
          </cell>
          <cell r="G7">
            <v>0</v>
          </cell>
          <cell r="H7">
            <v>0</v>
          </cell>
          <cell r="I7">
            <v>6119427075</v>
          </cell>
          <cell r="J7">
            <v>6.2908255435306079E-2</v>
          </cell>
          <cell r="K7">
            <v>6119427120</v>
          </cell>
          <cell r="L7">
            <v>0</v>
          </cell>
          <cell r="M7">
            <v>0</v>
          </cell>
          <cell r="N7">
            <v>6119427120</v>
          </cell>
          <cell r="O7">
            <v>1.0000000073536295</v>
          </cell>
          <cell r="P7">
            <v>4661272724</v>
          </cell>
          <cell r="Q7">
            <v>0</v>
          </cell>
          <cell r="R7">
            <v>0</v>
          </cell>
          <cell r="S7">
            <v>4661272724</v>
          </cell>
          <cell r="T7">
            <v>1</v>
          </cell>
          <cell r="U7">
            <v>0</v>
          </cell>
          <cell r="V7">
            <v>0</v>
          </cell>
          <cell r="W7">
            <v>0.76171717823763752</v>
          </cell>
          <cell r="X7">
            <v>0.76171636450402214</v>
          </cell>
          <cell r="Y7">
            <v>0.76193999999999995</v>
          </cell>
          <cell r="Z7">
            <v>0.95238800000000001</v>
          </cell>
          <cell r="AA7">
            <v>0.95799999999999996</v>
          </cell>
          <cell r="AB7" t="str">
            <v>부적정</v>
          </cell>
          <cell r="AC7">
            <v>63.980099999999993</v>
          </cell>
          <cell r="AD7">
            <v>0</v>
          </cell>
          <cell r="AE7">
            <v>5</v>
          </cell>
          <cell r="AF7">
            <v>68.980099999999993</v>
          </cell>
          <cell r="AG7" t="str">
            <v>NG</v>
          </cell>
          <cell r="AI7">
            <v>3</v>
          </cell>
          <cell r="AJ7">
            <v>1.0000000073536295</v>
          </cell>
          <cell r="AK7">
            <v>0</v>
          </cell>
          <cell r="AL7">
            <v>0</v>
          </cell>
          <cell r="AM7">
            <v>0.99999999264637052</v>
          </cell>
          <cell r="AN7">
            <v>1</v>
          </cell>
          <cell r="AO7">
            <v>1</v>
          </cell>
          <cell r="AP7">
            <v>0.76192918603902959</v>
          </cell>
          <cell r="AQ7">
            <v>0.76193</v>
          </cell>
          <cell r="AR7">
            <v>2.1282176236248063E-4</v>
          </cell>
          <cell r="AS7">
            <v>0.76171636450402214</v>
          </cell>
        </row>
        <row r="8">
          <cell r="D8" t="str">
            <v>A04</v>
          </cell>
          <cell r="E8" t="str">
            <v>철근공사2</v>
          </cell>
          <cell r="F8">
            <v>1070470690</v>
          </cell>
          <cell r="G8">
            <v>628372894</v>
          </cell>
          <cell r="H8">
            <v>16021604</v>
          </cell>
          <cell r="I8">
            <v>1714865188</v>
          </cell>
          <cell r="J8">
            <v>1.7628966888835453E-2</v>
          </cell>
          <cell r="K8">
            <v>1070470690</v>
          </cell>
          <cell r="L8">
            <v>628372894</v>
          </cell>
          <cell r="M8">
            <v>16021604</v>
          </cell>
          <cell r="N8">
            <v>1714865188</v>
          </cell>
          <cell r="O8">
            <v>1</v>
          </cell>
          <cell r="P8">
            <v>781428811</v>
          </cell>
          <cell r="Q8">
            <v>458695650</v>
          </cell>
          <cell r="R8">
            <v>66572731</v>
          </cell>
          <cell r="S8">
            <v>1306697192</v>
          </cell>
          <cell r="T8">
            <v>0.59801828287697123</v>
          </cell>
          <cell r="U8">
            <v>0.35103438869255638</v>
          </cell>
          <cell r="V8">
            <v>5.0947328430472359E-2</v>
          </cell>
          <cell r="W8">
            <v>0.76198245853014546</v>
          </cell>
          <cell r="X8">
            <v>0.76192898949062493</v>
          </cell>
          <cell r="Y8">
            <v>0.76193999999999995</v>
          </cell>
          <cell r="Z8">
            <v>0.95238800000000001</v>
          </cell>
          <cell r="AA8">
            <v>0.95799999999999996</v>
          </cell>
          <cell r="AB8" t="str">
            <v/>
          </cell>
          <cell r="AC8">
            <v>72.010000000000005</v>
          </cell>
          <cell r="AD8">
            <v>0</v>
          </cell>
          <cell r="AE8">
            <v>4</v>
          </cell>
          <cell r="AF8">
            <v>76.010000000000005</v>
          </cell>
          <cell r="AG8" t="str">
            <v>NG</v>
          </cell>
          <cell r="AI8">
            <v>4</v>
          </cell>
          <cell r="AJ8">
            <v>0.62423022957767338</v>
          </cell>
          <cell r="AK8">
            <v>0.36642699286050234</v>
          </cell>
          <cell r="AL8">
            <v>9.3427775618242937E-3</v>
          </cell>
          <cell r="AM8">
            <v>0.95800916799810221</v>
          </cell>
          <cell r="AN8">
            <v>0.95799271214223602</v>
          </cell>
          <cell r="AO8">
            <v>5.4531244154467764</v>
          </cell>
          <cell r="AP8">
            <v>0.76187653464154481</v>
          </cell>
          <cell r="AQ8">
            <v>0.76193</v>
          </cell>
          <cell r="AR8">
            <v>-5.2458530145460536E-5</v>
          </cell>
          <cell r="AS8">
            <v>0.76192898949062493</v>
          </cell>
        </row>
        <row r="9">
          <cell r="D9" t="str">
            <v>A05</v>
          </cell>
          <cell r="E9" t="str">
            <v>거푸집공사1,2</v>
          </cell>
          <cell r="F9">
            <v>2431574400</v>
          </cell>
          <cell r="G9">
            <v>5606805304</v>
          </cell>
          <cell r="H9">
            <v>168183896</v>
          </cell>
          <cell r="I9">
            <v>8206563600</v>
          </cell>
          <cell r="J9">
            <v>8.4364204829564859E-2</v>
          </cell>
          <cell r="K9">
            <v>2431574400</v>
          </cell>
          <cell r="L9">
            <v>5606805304</v>
          </cell>
          <cell r="M9">
            <v>168183896</v>
          </cell>
          <cell r="N9">
            <v>8206563600</v>
          </cell>
          <cell r="O9">
            <v>1</v>
          </cell>
          <cell r="P9">
            <v>1777582202</v>
          </cell>
          <cell r="Q9">
            <v>4098216020</v>
          </cell>
          <cell r="R9">
            <v>386519014</v>
          </cell>
          <cell r="S9">
            <v>6262317236</v>
          </cell>
          <cell r="T9">
            <v>0.2838537453486491</v>
          </cell>
          <cell r="U9">
            <v>0.65442485034784015</v>
          </cell>
          <cell r="V9">
            <v>6.1721404303510759E-2</v>
          </cell>
          <cell r="W9">
            <v>0.76308641975308644</v>
          </cell>
          <cell r="X9">
            <v>0.76295313419213573</v>
          </cell>
          <cell r="Y9">
            <v>0.76193999999999995</v>
          </cell>
          <cell r="Z9">
            <v>0.95238800000000001</v>
          </cell>
          <cell r="AA9">
            <v>0.95799999999999996</v>
          </cell>
          <cell r="AB9" t="str">
            <v/>
          </cell>
          <cell r="AC9">
            <v>72.11</v>
          </cell>
          <cell r="AD9">
            <v>0</v>
          </cell>
          <cell r="AE9">
            <v>4</v>
          </cell>
          <cell r="AF9">
            <v>76.11</v>
          </cell>
          <cell r="AG9" t="str">
            <v>NG</v>
          </cell>
          <cell r="AI9">
            <v>5</v>
          </cell>
          <cell r="AJ9">
            <v>0.29629629629629628</v>
          </cell>
          <cell r="AK9">
            <v>0.68320987654320986</v>
          </cell>
          <cell r="AL9">
            <v>2.0493827160493826E-2</v>
          </cell>
          <cell r="AM9">
            <v>0.95800639055169079</v>
          </cell>
          <cell r="AN9">
            <v>0.95786795948997205</v>
          </cell>
          <cell r="AO9">
            <v>3.0117070774604651</v>
          </cell>
          <cell r="AP9">
            <v>0.7617969164267292</v>
          </cell>
          <cell r="AQ9">
            <v>0.76193</v>
          </cell>
          <cell r="AR9">
            <v>-1.1564197530864462E-3</v>
          </cell>
          <cell r="AS9">
            <v>0.76295313419213573</v>
          </cell>
        </row>
        <row r="10">
          <cell r="D10" t="str">
            <v>A06</v>
          </cell>
          <cell r="E10" t="str">
            <v>거푸집공사3</v>
          </cell>
          <cell r="F10">
            <v>1660975745</v>
          </cell>
          <cell r="G10">
            <v>2258952528</v>
          </cell>
          <cell r="H10">
            <v>83022911</v>
          </cell>
          <cell r="I10">
            <v>4002951175</v>
          </cell>
          <cell r="J10">
            <v>4.1150694652564122E-2</v>
          </cell>
          <cell r="K10">
            <v>1660975745</v>
          </cell>
          <cell r="L10">
            <v>2258952528</v>
          </cell>
          <cell r="M10">
            <v>83075954</v>
          </cell>
          <cell r="N10">
            <v>4003004227</v>
          </cell>
          <cell r="O10">
            <v>1.0000132532218557</v>
          </cell>
          <cell r="P10">
            <v>1221541901</v>
          </cell>
          <cell r="Q10">
            <v>1649625890</v>
          </cell>
          <cell r="R10">
            <v>181815653</v>
          </cell>
          <cell r="S10">
            <v>3052983444</v>
          </cell>
          <cell r="T10">
            <v>0.40011415830003433</v>
          </cell>
          <cell r="U10">
            <v>0.54033240607380117</v>
          </cell>
          <cell r="V10">
            <v>5.9553435626164504E-2</v>
          </cell>
          <cell r="W10">
            <v>0.76268315813269938</v>
          </cell>
          <cell r="X10">
            <v>0.76180410561419731</v>
          </cell>
          <cell r="Y10">
            <v>0.76193999999999995</v>
          </cell>
          <cell r="Z10">
            <v>0.95238800000000001</v>
          </cell>
          <cell r="AA10">
            <v>0.95799999999999996</v>
          </cell>
          <cell r="AB10" t="str">
            <v/>
          </cell>
          <cell r="AC10">
            <v>71.9696</v>
          </cell>
          <cell r="AD10">
            <v>0</v>
          </cell>
          <cell r="AE10">
            <v>4</v>
          </cell>
          <cell r="AF10">
            <v>75.9696</v>
          </cell>
          <cell r="AG10" t="str">
            <v>NG</v>
          </cell>
          <cell r="AI10">
            <v>6</v>
          </cell>
          <cell r="AJ10">
            <v>0.41493779773619149</v>
          </cell>
          <cell r="AK10">
            <v>0.56432177891852509</v>
          </cell>
          <cell r="AL10">
            <v>2.0740425593624684E-2</v>
          </cell>
          <cell r="AM10">
            <v>0.96427503226500055</v>
          </cell>
          <cell r="AN10">
            <v>0.95748990426933811</v>
          </cell>
          <cell r="AO10">
            <v>2.8713699898458396</v>
          </cell>
          <cell r="AP10">
            <v>0.76105181555567303</v>
          </cell>
          <cell r="AQ10">
            <v>0.76193</v>
          </cell>
          <cell r="AR10">
            <v>-7.5315813269938303E-4</v>
          </cell>
          <cell r="AS10">
            <v>0.76180410561419731</v>
          </cell>
        </row>
        <row r="11">
          <cell r="D11" t="str">
            <v>A07</v>
          </cell>
          <cell r="E11" t="str">
            <v>콘크리트공사1</v>
          </cell>
          <cell r="F11">
            <v>1304347096</v>
          </cell>
          <cell r="G11">
            <v>1761983342</v>
          </cell>
          <cell r="H11">
            <v>48862374</v>
          </cell>
          <cell r="I11">
            <v>3115192812</v>
          </cell>
          <cell r="J11">
            <v>3.2024459601477546E-2</v>
          </cell>
          <cell r="K11">
            <v>1304347096</v>
          </cell>
          <cell r="L11">
            <v>1761983342</v>
          </cell>
          <cell r="M11">
            <v>48862374</v>
          </cell>
          <cell r="N11">
            <v>3115192812</v>
          </cell>
          <cell r="O11">
            <v>1</v>
          </cell>
          <cell r="P11">
            <v>952468825</v>
          </cell>
          <cell r="Q11">
            <v>1285949158</v>
          </cell>
          <cell r="R11">
            <v>134978993</v>
          </cell>
          <cell r="S11">
            <v>2373396976</v>
          </cell>
          <cell r="T11">
            <v>0.40131037269847775</v>
          </cell>
          <cell r="U11">
            <v>0.5418179811483842</v>
          </cell>
          <cell r="V11">
            <v>5.6871646153138097E-2</v>
          </cell>
          <cell r="W11">
            <v>0.76187803427687162</v>
          </cell>
          <cell r="X11">
            <v>0.76179818585341208</v>
          </cell>
          <cell r="Y11">
            <v>0.76193999999999995</v>
          </cell>
          <cell r="Z11">
            <v>0.95238800000000001</v>
          </cell>
          <cell r="AA11">
            <v>0.95799999999999996</v>
          </cell>
          <cell r="AB11" t="str">
            <v>부적정</v>
          </cell>
          <cell r="AC11">
            <v>65.429899999999989</v>
          </cell>
          <cell r="AD11">
            <v>0</v>
          </cell>
          <cell r="AE11">
            <v>4</v>
          </cell>
          <cell r="AF11">
            <v>69.429899999999989</v>
          </cell>
          <cell r="AG11" t="str">
            <v>NG</v>
          </cell>
          <cell r="AI11">
            <v>7</v>
          </cell>
          <cell r="AJ11">
            <v>0.41870509298029285</v>
          </cell>
          <cell r="AK11">
            <v>0.56560972252269048</v>
          </cell>
          <cell r="AL11">
            <v>1.5685184497016617E-2</v>
          </cell>
          <cell r="AM11">
            <v>0.95845591426175025</v>
          </cell>
          <cell r="AN11">
            <v>0.95793611667742884</v>
          </cell>
          <cell r="AO11">
            <v>3.6258193943434525</v>
          </cell>
          <cell r="AP11">
            <v>0.76185014613028679</v>
          </cell>
          <cell r="AQ11">
            <v>0.76193</v>
          </cell>
          <cell r="AR11">
            <v>5.1965723128377661E-5</v>
          </cell>
          <cell r="AS11">
            <v>0.76179818585341208</v>
          </cell>
        </row>
        <row r="12">
          <cell r="D12" t="str">
            <v>A08</v>
          </cell>
          <cell r="E12" t="str">
            <v>비계,조적,미장공사</v>
          </cell>
          <cell r="F12">
            <v>493493790</v>
          </cell>
          <cell r="G12">
            <v>825072673</v>
          </cell>
          <cell r="H12">
            <v>14920039</v>
          </cell>
          <cell r="I12">
            <v>1333486502</v>
          </cell>
          <cell r="J12">
            <v>1.3708360024430684E-2</v>
          </cell>
          <cell r="K12">
            <v>493493790</v>
          </cell>
          <cell r="L12">
            <v>825072673</v>
          </cell>
          <cell r="M12">
            <v>14920039</v>
          </cell>
          <cell r="N12">
            <v>1333486502</v>
          </cell>
          <cell r="O12">
            <v>1</v>
          </cell>
          <cell r="P12">
            <v>358646240</v>
          </cell>
          <cell r="Q12">
            <v>599621403</v>
          </cell>
          <cell r="R12">
            <v>53387649</v>
          </cell>
          <cell r="S12">
            <v>1011655292</v>
          </cell>
          <cell r="T12">
            <v>0.35451427263427987</v>
          </cell>
          <cell r="U12">
            <v>0.59271315807044678</v>
          </cell>
          <cell r="V12">
            <v>5.2772569295273353E-2</v>
          </cell>
          <cell r="W12">
            <v>0.75865431744730172</v>
          </cell>
          <cell r="X12">
            <v>0.75857631675022885</v>
          </cell>
          <cell r="Y12">
            <v>0.76193999999999995</v>
          </cell>
          <cell r="Z12">
            <v>0.95238800000000001</v>
          </cell>
          <cell r="AA12">
            <v>0.95799999999999996</v>
          </cell>
          <cell r="AB12" t="str">
            <v>부적정</v>
          </cell>
          <cell r="AC12">
            <v>63.730000000000004</v>
          </cell>
          <cell r="AD12">
            <v>0</v>
          </cell>
          <cell r="AE12">
            <v>4</v>
          </cell>
          <cell r="AF12">
            <v>67.73</v>
          </cell>
          <cell r="AG12" t="str">
            <v>NG</v>
          </cell>
          <cell r="AI12">
            <v>8</v>
          </cell>
          <cell r="AJ12">
            <v>0.37007782925424765</v>
          </cell>
          <cell r="AK12">
            <v>0.61873342681949395</v>
          </cell>
          <cell r="AL12">
            <v>1.1188743926258356E-2</v>
          </cell>
          <cell r="AM12">
            <v>0.9579451796630718</v>
          </cell>
          <cell r="AN12">
            <v>0.95794591398948581</v>
          </cell>
          <cell r="AO12">
            <v>4.7165767348936996</v>
          </cell>
          <cell r="AP12">
            <v>0.76185166251512193</v>
          </cell>
          <cell r="AQ12">
            <v>0.76193</v>
          </cell>
          <cell r="AR12">
            <v>3.275682552698278E-3</v>
          </cell>
          <cell r="AS12">
            <v>0.75857631675022885</v>
          </cell>
        </row>
        <row r="13">
          <cell r="D13" t="str">
            <v>A09</v>
          </cell>
          <cell r="E13" t="str">
            <v>견출,방수,씰링재,목,단열공사</v>
          </cell>
          <cell r="F13">
            <v>1816754297</v>
          </cell>
          <cell r="G13">
            <v>1397413711</v>
          </cell>
          <cell r="H13">
            <v>12421330</v>
          </cell>
          <cell r="I13">
            <v>3226589338</v>
          </cell>
          <cell r="J13">
            <v>3.3169625811700541E-2</v>
          </cell>
          <cell r="K13">
            <v>1816754297</v>
          </cell>
          <cell r="L13">
            <v>1397413711</v>
          </cell>
          <cell r="M13">
            <v>12421330</v>
          </cell>
          <cell r="N13">
            <v>3226589338</v>
          </cell>
          <cell r="O13">
            <v>1</v>
          </cell>
          <cell r="P13">
            <v>1332503048</v>
          </cell>
          <cell r="Q13">
            <v>1019580521</v>
          </cell>
          <cell r="R13">
            <v>105580382</v>
          </cell>
          <cell r="S13">
            <v>2457663951</v>
          </cell>
          <cell r="T13">
            <v>0.54218276972236878</v>
          </cell>
          <cell r="U13">
            <v>0.41485758074660389</v>
          </cell>
          <cell r="V13">
            <v>4.2959649531027364E-2</v>
          </cell>
          <cell r="W13">
            <v>0.76169096638848433</v>
          </cell>
          <cell r="X13">
            <v>0.76155343695066091</v>
          </cell>
          <cell r="Y13">
            <v>0.76193999999999995</v>
          </cell>
          <cell r="Z13">
            <v>0.95238800000000001</v>
          </cell>
          <cell r="AA13">
            <v>0.95799999999999996</v>
          </cell>
          <cell r="AB13" t="str">
            <v>부적정</v>
          </cell>
          <cell r="AC13">
            <v>64.489999999999995</v>
          </cell>
          <cell r="AD13">
            <v>0</v>
          </cell>
          <cell r="AE13">
            <v>4</v>
          </cell>
          <cell r="AF13">
            <v>68.489999999999995</v>
          </cell>
          <cell r="AG13" t="str">
            <v>NG</v>
          </cell>
          <cell r="AI13">
            <v>9</v>
          </cell>
          <cell r="AJ13">
            <v>0.56305718103132218</v>
          </cell>
          <cell r="AK13">
            <v>0.43309314096543389</v>
          </cell>
          <cell r="AL13">
            <v>3.8496780032439321E-3</v>
          </cell>
          <cell r="AM13">
            <v>0.96292665822906509</v>
          </cell>
          <cell r="AN13">
            <v>0.95789459935066157</v>
          </cell>
          <cell r="AO13">
            <v>11.159283840058157</v>
          </cell>
          <cell r="AP13">
            <v>0.76179242740273301</v>
          </cell>
          <cell r="AQ13">
            <v>0.76193</v>
          </cell>
          <cell r="AR13">
            <v>2.3903361151567104E-4</v>
          </cell>
          <cell r="AS13">
            <v>0.76155343695066091</v>
          </cell>
        </row>
        <row r="14">
          <cell r="D14" t="str">
            <v>A10</v>
          </cell>
          <cell r="E14" t="str">
            <v>천정,내벽,타일공사</v>
          </cell>
          <cell r="F14">
            <v>1696603739</v>
          </cell>
          <cell r="G14">
            <v>2297692636</v>
          </cell>
          <cell r="H14">
            <v>69191723</v>
          </cell>
          <cell r="I14">
            <v>4063488098</v>
          </cell>
          <cell r="J14">
            <v>4.1773019613492175E-2</v>
          </cell>
          <cell r="K14">
            <v>1696603739</v>
          </cell>
          <cell r="L14">
            <v>2297692636</v>
          </cell>
          <cell r="M14">
            <v>69191723</v>
          </cell>
          <cell r="N14">
            <v>4063488098</v>
          </cell>
          <cell r="O14">
            <v>1</v>
          </cell>
          <cell r="P14">
            <v>1240094165</v>
          </cell>
          <cell r="Q14">
            <v>1676763405</v>
          </cell>
          <cell r="R14">
            <v>178669723</v>
          </cell>
          <cell r="S14">
            <v>3095527293</v>
          </cell>
          <cell r="T14">
            <v>0.40060837706204649</v>
          </cell>
          <cell r="U14">
            <v>0.54167295141984717</v>
          </cell>
          <cell r="V14">
            <v>5.7718671518106369E-2</v>
          </cell>
          <cell r="W14">
            <v>0.76179066318013366</v>
          </cell>
          <cell r="X14">
            <v>0.76176000284410816</v>
          </cell>
          <cell r="Y14">
            <v>0.76193999999999995</v>
          </cell>
          <cell r="Z14">
            <v>0.95238800000000001</v>
          </cell>
          <cell r="AA14">
            <v>0.95799999999999996</v>
          </cell>
          <cell r="AB14" t="str">
            <v>부적정</v>
          </cell>
          <cell r="AC14">
            <v>64.200200000000009</v>
          </cell>
          <cell r="AD14">
            <v>0</v>
          </cell>
          <cell r="AE14">
            <v>4</v>
          </cell>
          <cell r="AF14">
            <v>68.200200000000009</v>
          </cell>
          <cell r="AG14" t="str">
            <v>NG</v>
          </cell>
          <cell r="AI14">
            <v>10</v>
          </cell>
          <cell r="AJ14">
            <v>0.4175239838490109</v>
          </cell>
          <cell r="AK14">
            <v>0.56544834895195006</v>
          </cell>
          <cell r="AL14">
            <v>1.7027667199039007E-2</v>
          </cell>
          <cell r="AM14">
            <v>0.95948590394490585</v>
          </cell>
          <cell r="AN14">
            <v>0.95795301626369544</v>
          </cell>
          <cell r="AO14">
            <v>3.389699296058819</v>
          </cell>
          <cell r="AP14">
            <v>0.76189933405598542</v>
          </cell>
          <cell r="AQ14">
            <v>0.76193</v>
          </cell>
          <cell r="AR14">
            <v>1.393368198663314E-4</v>
          </cell>
          <cell r="AS14">
            <v>0.76176000284410816</v>
          </cell>
        </row>
        <row r="15">
          <cell r="D15" t="str">
            <v>A11</v>
          </cell>
          <cell r="E15" t="str">
            <v>돌,지붕,홈통,목창호,강재,기타창호공사</v>
          </cell>
          <cell r="F15">
            <v>2151646295</v>
          </cell>
          <cell r="G15">
            <v>694650882</v>
          </cell>
          <cell r="H15">
            <v>7342192</v>
          </cell>
          <cell r="I15">
            <v>2853639369</v>
          </cell>
          <cell r="J15">
            <v>2.9335666908866243E-2</v>
          </cell>
          <cell r="K15">
            <v>2151646295</v>
          </cell>
          <cell r="L15">
            <v>694650882</v>
          </cell>
          <cell r="M15">
            <v>7342192</v>
          </cell>
          <cell r="N15">
            <v>2853639369</v>
          </cell>
          <cell r="O15">
            <v>1</v>
          </cell>
          <cell r="P15">
            <v>1586868579</v>
          </cell>
          <cell r="Q15">
            <v>506989074</v>
          </cell>
          <cell r="R15">
            <v>80225742</v>
          </cell>
          <cell r="S15">
            <v>2174083395</v>
          </cell>
          <cell r="T15">
            <v>0.72990234995102388</v>
          </cell>
          <cell r="U15">
            <v>0.23319670035012618</v>
          </cell>
          <cell r="V15">
            <v>3.690094969884998E-2</v>
          </cell>
          <cell r="W15">
            <v>0.76186340103720374</v>
          </cell>
          <cell r="X15">
            <v>0.76178923162845935</v>
          </cell>
          <cell r="Y15">
            <v>0.76193999999999995</v>
          </cell>
          <cell r="Z15">
            <v>0.95238800000000001</v>
          </cell>
          <cell r="AA15">
            <v>0.95799999999999996</v>
          </cell>
          <cell r="AB15" t="str">
            <v>부적정</v>
          </cell>
          <cell r="AC15">
            <v>64.499600000000001</v>
          </cell>
          <cell r="AD15">
            <v>0</v>
          </cell>
          <cell r="AE15">
            <v>4</v>
          </cell>
          <cell r="AF15">
            <v>68.499600000000001</v>
          </cell>
          <cell r="AG15" t="str">
            <v>NG</v>
          </cell>
          <cell r="AI15">
            <v>11</v>
          </cell>
          <cell r="AJ15">
            <v>0.7540007747208789</v>
          </cell>
          <cell r="AK15">
            <v>0.24342630310830982</v>
          </cell>
          <cell r="AL15">
            <v>2.5729221708112762E-3</v>
          </cell>
          <cell r="AM15">
            <v>0.96803925728222773</v>
          </cell>
          <cell r="AN15">
            <v>0.95797659239136501</v>
          </cell>
          <cell r="AO15">
            <v>14.342038837192897</v>
          </cell>
          <cell r="AP15">
            <v>0.76185582410767116</v>
          </cell>
          <cell r="AQ15">
            <v>0.76193</v>
          </cell>
          <cell r="AR15">
            <v>6.659896279626043E-5</v>
          </cell>
          <cell r="AS15">
            <v>0.76178923162845935</v>
          </cell>
        </row>
        <row r="16">
          <cell r="D16" t="str">
            <v>A12</v>
          </cell>
          <cell r="E16" t="str">
            <v>PL창호공사</v>
          </cell>
          <cell r="F16">
            <v>4352606900</v>
          </cell>
          <cell r="G16">
            <v>401131450</v>
          </cell>
          <cell r="H16">
            <v>7620</v>
          </cell>
          <cell r="I16">
            <v>4753745970</v>
          </cell>
          <cell r="J16">
            <v>4.8868932024215168E-2</v>
          </cell>
          <cell r="K16">
            <v>4352606900</v>
          </cell>
          <cell r="L16">
            <v>401131450</v>
          </cell>
          <cell r="M16">
            <v>7620</v>
          </cell>
          <cell r="N16">
            <v>4753745970</v>
          </cell>
          <cell r="O16">
            <v>1</v>
          </cell>
          <cell r="P16">
            <v>3176484900</v>
          </cell>
          <cell r="Q16">
            <v>292745586</v>
          </cell>
          <cell r="R16">
            <v>152109978</v>
          </cell>
          <cell r="S16">
            <v>3621340464</v>
          </cell>
          <cell r="T16">
            <v>0.87715721059029372</v>
          </cell>
          <cell r="U16">
            <v>8.0839012213903785E-2</v>
          </cell>
          <cell r="V16">
            <v>4.2003777195802484E-2</v>
          </cell>
          <cell r="W16">
            <v>0.76178670186703312</v>
          </cell>
          <cell r="X16">
            <v>0.76178280847790536</v>
          </cell>
          <cell r="Y16">
            <v>0.76193999999999995</v>
          </cell>
          <cell r="Z16">
            <v>0.95238800000000001</v>
          </cell>
          <cell r="AA16">
            <v>0.95799999999999996</v>
          </cell>
          <cell r="AB16" t="str">
            <v>부적정</v>
          </cell>
          <cell r="AC16">
            <v>63.980199999999989</v>
          </cell>
          <cell r="AD16">
            <v>0</v>
          </cell>
          <cell r="AE16">
            <v>4</v>
          </cell>
          <cell r="AF16">
            <v>67.980199999999996</v>
          </cell>
          <cell r="AG16" t="str">
            <v>NG</v>
          </cell>
          <cell r="AI16">
            <v>12</v>
          </cell>
          <cell r="AJ16">
            <v>0.9156162166570293</v>
          </cell>
          <cell r="AK16">
            <v>8.438218039656839E-2</v>
          </cell>
          <cell r="AL16">
            <v>1.6029464022874575E-6</v>
          </cell>
          <cell r="AM16">
            <v>0.9579965870338647</v>
          </cell>
          <cell r="AN16">
            <v>0.95801046896379205</v>
          </cell>
          <cell r="AO16">
            <v>26204.105848992647</v>
          </cell>
          <cell r="AP16">
            <v>0.76192610587849485</v>
          </cell>
          <cell r="AQ16">
            <v>0.76193</v>
          </cell>
          <cell r="AR16">
            <v>1.4329813296687366E-4</v>
          </cell>
          <cell r="AS16">
            <v>0.76178280847790536</v>
          </cell>
        </row>
        <row r="17">
          <cell r="D17" t="str">
            <v>A13</v>
          </cell>
          <cell r="E17" t="str">
            <v>유리공사</v>
          </cell>
          <cell r="F17">
            <v>1607800286</v>
          </cell>
          <cell r="G17">
            <v>363563586</v>
          </cell>
          <cell r="H17">
            <v>0</v>
          </cell>
          <cell r="I17">
            <v>1971363872</v>
          </cell>
          <cell r="J17">
            <v>2.0265796208660602E-2</v>
          </cell>
          <cell r="K17">
            <v>1607800286</v>
          </cell>
          <cell r="L17">
            <v>363563586</v>
          </cell>
          <cell r="M17">
            <v>0</v>
          </cell>
          <cell r="N17">
            <v>1971363872</v>
          </cell>
          <cell r="O17">
            <v>1</v>
          </cell>
          <cell r="P17">
            <v>1175723124</v>
          </cell>
          <cell r="Q17">
            <v>265314408</v>
          </cell>
          <cell r="R17">
            <v>60956095</v>
          </cell>
          <cell r="S17">
            <v>1501993627</v>
          </cell>
          <cell r="T17">
            <v>0.7827750416946343</v>
          </cell>
          <cell r="U17">
            <v>0.17664150049020147</v>
          </cell>
          <cell r="V17">
            <v>4.0583457815164217E-2</v>
          </cell>
          <cell r="W17">
            <v>0.76190582993498224</v>
          </cell>
          <cell r="X17">
            <v>0.76168716475136222</v>
          </cell>
          <cell r="Y17">
            <v>0.76193999999999995</v>
          </cell>
          <cell r="Z17">
            <v>0.95238800000000001</v>
          </cell>
          <cell r="AA17">
            <v>0.95799999999999996</v>
          </cell>
          <cell r="AB17" t="str">
            <v>부적정</v>
          </cell>
          <cell r="AC17">
            <v>64.27</v>
          </cell>
          <cell r="AD17">
            <v>0</v>
          </cell>
          <cell r="AE17">
            <v>5</v>
          </cell>
          <cell r="AF17">
            <v>69.27</v>
          </cell>
          <cell r="AG17" t="str">
            <v>NG</v>
          </cell>
          <cell r="AI17">
            <v>13</v>
          </cell>
          <cell r="AJ17">
            <v>0.81557763578615483</v>
          </cell>
          <cell r="AK17">
            <v>0.18442236421384514</v>
          </cell>
          <cell r="AL17">
            <v>0</v>
          </cell>
          <cell r="AM17">
            <v>0.95977992449498528</v>
          </cell>
          <cell r="AN17">
            <v>0.95780954356153114</v>
          </cell>
          <cell r="AO17">
            <v>1</v>
          </cell>
          <cell r="AP17">
            <v>0.76171132787962814</v>
          </cell>
          <cell r="AQ17">
            <v>0.76193</v>
          </cell>
          <cell r="AR17">
            <v>2.4170065017758979E-5</v>
          </cell>
          <cell r="AS17">
            <v>0.76168716475136222</v>
          </cell>
        </row>
        <row r="18">
          <cell r="D18" t="str">
            <v>A14</v>
          </cell>
          <cell r="E18" t="str">
            <v>금속,도장,바닥마감,몰딩류설치공사</v>
          </cell>
          <cell r="F18">
            <v>520886553</v>
          </cell>
          <cell r="G18">
            <v>698202324</v>
          </cell>
          <cell r="H18">
            <v>13407273</v>
          </cell>
          <cell r="I18">
            <v>1232496150</v>
          </cell>
          <cell r="J18">
            <v>1.2670170209885426E-2</v>
          </cell>
          <cell r="K18">
            <v>520886553</v>
          </cell>
          <cell r="L18">
            <v>698202324</v>
          </cell>
          <cell r="M18">
            <v>13407273</v>
          </cell>
          <cell r="N18">
            <v>1232496150</v>
          </cell>
          <cell r="O18">
            <v>1</v>
          </cell>
          <cell r="P18">
            <v>390336602</v>
          </cell>
          <cell r="Q18">
            <v>509774554</v>
          </cell>
          <cell r="R18">
            <v>39603997</v>
          </cell>
          <cell r="S18">
            <v>939715153</v>
          </cell>
          <cell r="T18">
            <v>0.41537757559178146</v>
          </cell>
          <cell r="U18">
            <v>0.54247774165667839</v>
          </cell>
          <cell r="V18">
            <v>4.2144682751540138E-2</v>
          </cell>
          <cell r="W18">
            <v>0.76244875328819484</v>
          </cell>
          <cell r="X18">
            <v>0.76192508227597633</v>
          </cell>
          <cell r="Y18">
            <v>0.76193999999999995</v>
          </cell>
          <cell r="Z18">
            <v>0.95238800000000001</v>
          </cell>
          <cell r="AA18">
            <v>0.95799999999999996</v>
          </cell>
          <cell r="AB18" t="str">
            <v/>
          </cell>
          <cell r="AC18">
            <v>72.05</v>
          </cell>
          <cell r="AD18">
            <v>0</v>
          </cell>
          <cell r="AE18">
            <v>4</v>
          </cell>
          <cell r="AF18">
            <v>76.05</v>
          </cell>
          <cell r="AG18" t="str">
            <v>NG</v>
          </cell>
          <cell r="AI18">
            <v>14</v>
          </cell>
          <cell r="AJ18">
            <v>0.42262732666548292</v>
          </cell>
          <cell r="AK18">
            <v>0.56649452738655615</v>
          </cell>
          <cell r="AL18">
            <v>1.0878145947960974E-2</v>
          </cell>
          <cell r="AM18">
            <v>0.98284599547572615</v>
          </cell>
          <cell r="AN18">
            <v>0.95760455826347368</v>
          </cell>
          <cell r="AO18">
            <v>3.8742523728907901</v>
          </cell>
          <cell r="AP18">
            <v>0.76140668528196964</v>
          </cell>
          <cell r="AQ18">
            <v>0.76193</v>
          </cell>
          <cell r="AR18">
            <v>-5.1875328819483979E-4</v>
          </cell>
          <cell r="AS18">
            <v>0.76192508227597633</v>
          </cell>
        </row>
        <row r="19">
          <cell r="D19" t="str">
            <v>A15</v>
          </cell>
          <cell r="E19" t="str">
            <v>도배,부탁시설물,가구공사</v>
          </cell>
          <cell r="F19">
            <v>2783200395</v>
          </cell>
          <cell r="G19">
            <v>1069213250</v>
          </cell>
          <cell r="H19">
            <v>28072772</v>
          </cell>
          <cell r="I19">
            <v>3880486417</v>
          </cell>
          <cell r="J19">
            <v>3.9891746031448808E-2</v>
          </cell>
          <cell r="K19">
            <v>2783200395</v>
          </cell>
          <cell r="L19">
            <v>1069213250</v>
          </cell>
          <cell r="M19">
            <v>28072772</v>
          </cell>
          <cell r="N19">
            <v>3880486417</v>
          </cell>
          <cell r="O19">
            <v>1</v>
          </cell>
          <cell r="P19">
            <v>2031360113</v>
          </cell>
          <cell r="Q19">
            <v>780385111</v>
          </cell>
          <cell r="R19">
            <v>144910684</v>
          </cell>
          <cell r="S19">
            <v>2956655908</v>
          </cell>
          <cell r="T19">
            <v>0.68704650666437983</v>
          </cell>
          <cell r="U19">
            <v>0.26394180969400788</v>
          </cell>
          <cell r="V19">
            <v>4.9011683641612312E-2</v>
          </cell>
          <cell r="W19">
            <v>0.76192919914555135</v>
          </cell>
          <cell r="X19">
            <v>0.7617823282810432</v>
          </cell>
          <cell r="Y19">
            <v>0.76193999999999995</v>
          </cell>
          <cell r="Z19">
            <v>0.95238800000000001</v>
          </cell>
          <cell r="AA19">
            <v>0.95799999999999996</v>
          </cell>
          <cell r="AB19" t="str">
            <v/>
          </cell>
          <cell r="AC19">
            <v>64.710000000000008</v>
          </cell>
          <cell r="AD19">
            <v>0</v>
          </cell>
          <cell r="AE19">
            <v>4</v>
          </cell>
          <cell r="AF19">
            <v>68.710000000000008</v>
          </cell>
          <cell r="AG19" t="str">
            <v>NG</v>
          </cell>
          <cell r="AI19">
            <v>15</v>
          </cell>
          <cell r="AJ19">
            <v>0.71722977377451802</v>
          </cell>
          <cell r="AK19">
            <v>0.27553588264499262</v>
          </cell>
          <cell r="AL19">
            <v>7.2343435804893327E-3</v>
          </cell>
          <cell r="AM19">
            <v>0.95791687934077985</v>
          </cell>
          <cell r="AN19">
            <v>0.95792173113828938</v>
          </cell>
          <cell r="AO19">
            <v>6.7748625837725491</v>
          </cell>
          <cell r="AP19">
            <v>0.76178312898111755</v>
          </cell>
          <cell r="AQ19">
            <v>0.76193</v>
          </cell>
          <cell r="AR19">
            <v>8.0085444864597122E-7</v>
          </cell>
          <cell r="AS19">
            <v>0.7617823282810432</v>
          </cell>
        </row>
        <row r="20">
          <cell r="D20" t="str">
            <v>A16</v>
          </cell>
          <cell r="E20" t="str">
            <v>조립식욕실공사</v>
          </cell>
          <cell r="F20">
            <v>2290745380</v>
          </cell>
          <cell r="G20">
            <v>362700000</v>
          </cell>
          <cell r="H20">
            <v>0</v>
          </cell>
          <cell r="I20">
            <v>2653445380</v>
          </cell>
          <cell r="J20">
            <v>2.727765486913214E-2</v>
          </cell>
          <cell r="K20">
            <v>2290745380</v>
          </cell>
          <cell r="L20">
            <v>362700000</v>
          </cell>
          <cell r="M20">
            <v>0</v>
          </cell>
          <cell r="N20">
            <v>2653445380</v>
          </cell>
          <cell r="O20">
            <v>1</v>
          </cell>
          <cell r="P20">
            <v>1674058036</v>
          </cell>
          <cell r="Q20">
            <v>264702440</v>
          </cell>
          <cell r="R20">
            <v>82644596</v>
          </cell>
          <cell r="S20">
            <v>2021405072</v>
          </cell>
          <cell r="T20">
            <v>0.82816554642542228</v>
          </cell>
          <cell r="U20">
            <v>0.13094972584495423</v>
          </cell>
          <cell r="V20">
            <v>4.0884727729623503E-2</v>
          </cell>
          <cell r="W20">
            <v>0.76180391246644019</v>
          </cell>
          <cell r="X20">
            <v>0.7618007785300217</v>
          </cell>
          <cell r="Y20">
            <v>0.76193999999999995</v>
          </cell>
          <cell r="Z20">
            <v>0.95238800000000001</v>
          </cell>
          <cell r="AA20">
            <v>0.95799999999999996</v>
          </cell>
          <cell r="AB20" t="str">
            <v>부적정</v>
          </cell>
          <cell r="AC20">
            <v>64.009700000000009</v>
          </cell>
          <cell r="AD20">
            <v>0</v>
          </cell>
          <cell r="AE20">
            <v>5</v>
          </cell>
          <cell r="AF20">
            <v>69.009700000000009</v>
          </cell>
          <cell r="AG20" t="str">
            <v>NG</v>
          </cell>
          <cell r="AI20">
            <v>16</v>
          </cell>
          <cell r="AJ20">
            <v>0.86330979234251282</v>
          </cell>
          <cell r="AK20">
            <v>0.13669020765748718</v>
          </cell>
          <cell r="AL20">
            <v>0</v>
          </cell>
          <cell r="AM20">
            <v>0.959291269218979</v>
          </cell>
          <cell r="AN20">
            <v>0.95800370845205518</v>
          </cell>
          <cell r="AO20">
            <v>1</v>
          </cell>
          <cell r="AP20">
            <v>0.7619268655448781</v>
          </cell>
          <cell r="AQ20">
            <v>0.76193</v>
          </cell>
          <cell r="AR20">
            <v>1.260875335598044E-4</v>
          </cell>
          <cell r="AS20">
            <v>0.7618007785300217</v>
          </cell>
        </row>
        <row r="21">
          <cell r="D21" t="str">
            <v>A17</v>
          </cell>
          <cell r="E21" t="str">
            <v>토,파일공사</v>
          </cell>
          <cell r="F21">
            <v>3140756000</v>
          </cell>
          <cell r="G21">
            <v>97423000</v>
          </cell>
          <cell r="H21">
            <v>0</v>
          </cell>
          <cell r="I21">
            <v>3238179000</v>
          </cell>
          <cell r="J21">
            <v>3.328876856944063E-2</v>
          </cell>
          <cell r="K21">
            <v>3140756000</v>
          </cell>
          <cell r="L21">
            <v>97423000</v>
          </cell>
          <cell r="M21">
            <v>0</v>
          </cell>
          <cell r="N21">
            <v>3238179000</v>
          </cell>
          <cell r="O21">
            <v>1</v>
          </cell>
          <cell r="P21">
            <v>2292527556</v>
          </cell>
          <cell r="Q21">
            <v>71112638</v>
          </cell>
          <cell r="R21">
            <v>103626926</v>
          </cell>
          <cell r="S21">
            <v>2467267120</v>
          </cell>
          <cell r="T21">
            <v>0.9291768764786198</v>
          </cell>
          <cell r="U21">
            <v>2.8822431678982532E-2</v>
          </cell>
          <cell r="V21">
            <v>4.2000691842397672E-2</v>
          </cell>
          <cell r="W21">
            <v>0.76193043065253652</v>
          </cell>
          <cell r="X21">
            <v>0.76192928703806628</v>
          </cell>
          <cell r="Y21">
            <v>0.76193999999999995</v>
          </cell>
          <cell r="Z21">
            <v>0.95238800000000001</v>
          </cell>
          <cell r="AA21">
            <v>0.95799999999999996</v>
          </cell>
          <cell r="AB21" t="str">
            <v/>
          </cell>
          <cell r="AC21">
            <v>72.009900000000002</v>
          </cell>
          <cell r="AD21">
            <v>0</v>
          </cell>
          <cell r="AE21">
            <v>5</v>
          </cell>
          <cell r="AF21">
            <v>77.009900000000002</v>
          </cell>
          <cell r="AG21" t="str">
            <v>NG</v>
          </cell>
          <cell r="AI21">
            <v>17</v>
          </cell>
          <cell r="AJ21">
            <v>0.96991426354132981</v>
          </cell>
          <cell r="AK21">
            <v>3.0085736458670135E-2</v>
          </cell>
          <cell r="AL21">
            <v>0</v>
          </cell>
          <cell r="AM21">
            <v>0.95799898135947548</v>
          </cell>
          <cell r="AN21">
            <v>0.95800984358740726</v>
          </cell>
          <cell r="AO21">
            <v>1</v>
          </cell>
          <cell r="AP21">
            <v>0.76192885638617613</v>
          </cell>
          <cell r="AQ21">
            <v>0.76193</v>
          </cell>
          <cell r="AR21">
            <v>-4.3065253652052604E-7</v>
          </cell>
          <cell r="AS21">
            <v>0.76192928703806628</v>
          </cell>
        </row>
        <row r="22">
          <cell r="D22" t="str">
            <v>A18</v>
          </cell>
          <cell r="E22" t="str">
            <v>철근콘크리트공사</v>
          </cell>
          <cell r="F22">
            <v>985429465</v>
          </cell>
          <cell r="G22">
            <v>726204437</v>
          </cell>
          <cell r="H22">
            <v>16554392</v>
          </cell>
          <cell r="I22">
            <v>1728188294</v>
          </cell>
          <cell r="J22">
            <v>1.7765929605306693E-2</v>
          </cell>
          <cell r="K22">
            <v>985429465</v>
          </cell>
          <cell r="L22">
            <v>726204437</v>
          </cell>
          <cell r="M22">
            <v>16554392</v>
          </cell>
          <cell r="N22">
            <v>1728188294</v>
          </cell>
          <cell r="O22">
            <v>1</v>
          </cell>
          <cell r="P22">
            <v>720172090</v>
          </cell>
          <cell r="Q22">
            <v>529913611</v>
          </cell>
          <cell r="R22">
            <v>66469662</v>
          </cell>
          <cell r="S22">
            <v>1316555363</v>
          </cell>
          <cell r="T22">
            <v>0.54701238568423194</v>
          </cell>
          <cell r="U22">
            <v>0.40250005878408318</v>
          </cell>
          <cell r="V22">
            <v>5.0487555531684845E-2</v>
          </cell>
          <cell r="W22">
            <v>0.76181245271182241</v>
          </cell>
          <cell r="X22">
            <v>0.76159180802172288</v>
          </cell>
          <cell r="Y22">
            <v>0.76193999999999995</v>
          </cell>
          <cell r="Z22">
            <v>0.95238800000000001</v>
          </cell>
          <cell r="AA22">
            <v>0.95799999999999996</v>
          </cell>
          <cell r="AB22" t="str">
            <v>부적정</v>
          </cell>
          <cell r="AC22">
            <v>65.960200000000015</v>
          </cell>
          <cell r="AD22">
            <v>0</v>
          </cell>
          <cell r="AE22">
            <v>4</v>
          </cell>
          <cell r="AF22">
            <v>69.960200000000015</v>
          </cell>
          <cell r="AG22" t="str">
            <v>NG</v>
          </cell>
          <cell r="AI22">
            <v>18</v>
          </cell>
          <cell r="AJ22">
            <v>0.57020954743256702</v>
          </cell>
          <cell r="AK22">
            <v>0.42021140839876558</v>
          </cell>
          <cell r="AL22">
            <v>9.5790441686674221E-3</v>
          </cell>
          <cell r="AM22">
            <v>0.95931818074112762</v>
          </cell>
          <cell r="AN22">
            <v>0.95785133563562141</v>
          </cell>
          <cell r="AO22">
            <v>5.2706256117731591</v>
          </cell>
          <cell r="AP22">
            <v>0.76170932126453295</v>
          </cell>
          <cell r="AQ22">
            <v>0.76193</v>
          </cell>
          <cell r="AR22">
            <v>1.1754728817758853E-4</v>
          </cell>
          <cell r="AS22">
            <v>0.76159180802172288</v>
          </cell>
        </row>
        <row r="23">
          <cell r="D23" t="str">
            <v>A19</v>
          </cell>
          <cell r="E23" t="str">
            <v>주차장 상부 콘크리트공사</v>
          </cell>
          <cell r="F23">
            <v>1768486979</v>
          </cell>
          <cell r="G23">
            <v>1110534287</v>
          </cell>
          <cell r="H23">
            <v>351618898</v>
          </cell>
          <cell r="I23">
            <v>3230640076</v>
          </cell>
          <cell r="J23">
            <v>3.321126775917084E-2</v>
          </cell>
          <cell r="K23">
            <v>1768486979</v>
          </cell>
          <cell r="L23">
            <v>1110534287</v>
          </cell>
          <cell r="M23">
            <v>351618898</v>
          </cell>
          <cell r="N23">
            <v>3230640164</v>
          </cell>
          <cell r="O23">
            <v>1.0000000272391842</v>
          </cell>
          <cell r="P23">
            <v>1323954542</v>
          </cell>
          <cell r="Q23">
            <v>810365961</v>
          </cell>
          <cell r="R23">
            <v>326267825</v>
          </cell>
          <cell r="S23">
            <v>2460588328</v>
          </cell>
          <cell r="T23">
            <v>0.53806422103779072</v>
          </cell>
          <cell r="U23">
            <v>0.32933829352050797</v>
          </cell>
          <cell r="V23">
            <v>0.13259748544170125</v>
          </cell>
          <cell r="W23">
            <v>0.76164112068050749</v>
          </cell>
          <cell r="X23">
            <v>0.761309465023285</v>
          </cell>
          <cell r="Y23">
            <v>0.76193999999999995</v>
          </cell>
          <cell r="Z23">
            <v>0.95238800000000001</v>
          </cell>
          <cell r="AA23">
            <v>0.95799999999999996</v>
          </cell>
          <cell r="AB23" t="str">
            <v>부적정</v>
          </cell>
          <cell r="AC23">
            <v>65.660299999999992</v>
          </cell>
          <cell r="AD23">
            <v>0</v>
          </cell>
          <cell r="AE23">
            <v>4</v>
          </cell>
          <cell r="AF23">
            <v>69.660299999999992</v>
          </cell>
          <cell r="AG23" t="str">
            <v>NG</v>
          </cell>
          <cell r="AI23">
            <v>19</v>
          </cell>
          <cell r="AJ23">
            <v>0.54741071038456346</v>
          </cell>
          <cell r="AK23">
            <v>0.34375054505452746</v>
          </cell>
          <cell r="AL23">
            <v>0.10883877180009327</v>
          </cell>
          <cell r="AM23">
            <v>0.98292600205025815</v>
          </cell>
          <cell r="AN23">
            <v>0.95807351656203676</v>
          </cell>
          <cell r="AO23">
            <v>1.2182927393304857</v>
          </cell>
          <cell r="AP23">
            <v>0.76159821855064536</v>
          </cell>
          <cell r="AQ23">
            <v>0.76193</v>
          </cell>
          <cell r="AR23">
            <v>2.8887931949250767E-4</v>
          </cell>
          <cell r="AS23">
            <v>0.761309465023285</v>
          </cell>
        </row>
        <row r="24">
          <cell r="D24" t="str">
            <v>A20</v>
          </cell>
          <cell r="E24" t="str">
            <v>주차장 상부 기타공사</v>
          </cell>
          <cell r="F24">
            <v>3812992421</v>
          </cell>
          <cell r="G24">
            <v>1542328619</v>
          </cell>
          <cell r="H24">
            <v>124196358</v>
          </cell>
          <cell r="I24">
            <v>5479517397</v>
          </cell>
          <cell r="J24">
            <v>5.6329926943802899E-2</v>
          </cell>
          <cell r="K24">
            <v>3812992421</v>
          </cell>
          <cell r="L24">
            <v>1542328619</v>
          </cell>
          <cell r="M24">
            <v>124196358</v>
          </cell>
          <cell r="N24">
            <v>5479517398</v>
          </cell>
          <cell r="O24">
            <v>1.0000000001824978</v>
          </cell>
          <cell r="P24">
            <v>2861605376</v>
          </cell>
          <cell r="Q24">
            <v>1125889125</v>
          </cell>
          <cell r="R24">
            <v>187737813</v>
          </cell>
          <cell r="S24">
            <v>4175232314</v>
          </cell>
          <cell r="T24">
            <v>0.68537632418793359</v>
          </cell>
          <cell r="U24">
            <v>0.26965903698933674</v>
          </cell>
          <cell r="V24">
            <v>4.4964638822729712E-2</v>
          </cell>
          <cell r="W24">
            <v>0.76197081083927432</v>
          </cell>
          <cell r="X24">
            <v>0.76233906814887364</v>
          </cell>
          <cell r="Y24">
            <v>0.76193999999999995</v>
          </cell>
          <cell r="Z24">
            <v>0.95238800000000001</v>
          </cell>
          <cell r="AA24">
            <v>0.95799999999999996</v>
          </cell>
          <cell r="AB24" t="str">
            <v/>
          </cell>
          <cell r="AC24">
            <v>67.400200000000012</v>
          </cell>
          <cell r="AD24">
            <v>0</v>
          </cell>
          <cell r="AE24">
            <v>4</v>
          </cell>
          <cell r="AF24">
            <v>71.400200000000012</v>
          </cell>
          <cell r="AG24" t="str">
            <v>NG</v>
          </cell>
          <cell r="AI24">
            <v>20</v>
          </cell>
          <cell r="AJ24">
            <v>0.69586281870144051</v>
          </cell>
          <cell r="AK24">
            <v>0.28147161643184393</v>
          </cell>
          <cell r="AL24">
            <v>2.2665565049213403E-2</v>
          </cell>
          <cell r="AM24">
            <v>0.98493022729239088</v>
          </cell>
          <cell r="AN24">
            <v>0.95803278642353795</v>
          </cell>
          <cell r="AO24">
            <v>1.9838304813976031</v>
          </cell>
          <cell r="AP24">
            <v>0.76229823758589121</v>
          </cell>
          <cell r="AQ24">
            <v>0.76193</v>
          </cell>
          <cell r="AR24">
            <v>-4.0810839274318944E-5</v>
          </cell>
          <cell r="AS24">
            <v>0.76233906814887364</v>
          </cell>
        </row>
        <row r="25">
          <cell r="D25" t="str">
            <v>A21</v>
          </cell>
          <cell r="E25" t="str">
            <v>주차장 기초공사</v>
          </cell>
          <cell r="F25">
            <v>885317279</v>
          </cell>
          <cell r="G25">
            <v>1253344830</v>
          </cell>
          <cell r="H25">
            <v>22154248</v>
          </cell>
          <cell r="I25">
            <v>2160816357</v>
          </cell>
          <cell r="J25">
            <v>2.2213384630446555E-2</v>
          </cell>
          <cell r="K25">
            <v>885317279</v>
          </cell>
          <cell r="L25">
            <v>1253344830</v>
          </cell>
          <cell r="M25">
            <v>22158691</v>
          </cell>
          <cell r="N25">
            <v>2160820800</v>
          </cell>
          <cell r="O25">
            <v>1.0000020561673302</v>
          </cell>
          <cell r="P25">
            <v>649211898</v>
          </cell>
          <cell r="Q25">
            <v>914809246</v>
          </cell>
          <cell r="R25">
            <v>82638788</v>
          </cell>
          <cell r="S25">
            <v>1646659932</v>
          </cell>
          <cell r="T25">
            <v>0.39425985012672304</v>
          </cell>
          <cell r="U25">
            <v>0.55555444583441771</v>
          </cell>
          <cell r="V25">
            <v>5.0185704038859191E-2</v>
          </cell>
          <cell r="W25">
            <v>0.76205454788678273</v>
          </cell>
          <cell r="X25">
            <v>0.7617599561449061</v>
          </cell>
          <cell r="Y25">
            <v>0.76193999999999995</v>
          </cell>
          <cell r="Z25">
            <v>0.95238800000000001</v>
          </cell>
          <cell r="AA25">
            <v>0.95799999999999996</v>
          </cell>
          <cell r="AB25" t="str">
            <v/>
          </cell>
          <cell r="AC25">
            <v>67.060400000000001</v>
          </cell>
          <cell r="AD25">
            <v>0</v>
          </cell>
          <cell r="AE25">
            <v>4</v>
          </cell>
          <cell r="AF25">
            <v>71.060400000000001</v>
          </cell>
          <cell r="AG25" t="str">
            <v>NG</v>
          </cell>
          <cell r="AI25">
            <v>21</v>
          </cell>
          <cell r="AJ25">
            <v>0.40971426198806771</v>
          </cell>
          <cell r="AK25">
            <v>0.58003301666047136</v>
          </cell>
          <cell r="AL25">
            <v>1.0252721351460966E-2</v>
          </cell>
          <cell r="AM25">
            <v>0.96228002465338947</v>
          </cell>
          <cell r="AN25">
            <v>0.95779796990352628</v>
          </cell>
          <cell r="AO25">
            <v>4.8948666718332259</v>
          </cell>
          <cell r="AP25">
            <v>0.76163545640530528</v>
          </cell>
          <cell r="AQ25">
            <v>0.76193</v>
          </cell>
          <cell r="AR25">
            <v>-1.2454788678273321E-4</v>
          </cell>
          <cell r="AS25">
            <v>0.7617599561449061</v>
          </cell>
        </row>
        <row r="26">
          <cell r="D26" t="str">
            <v>A22</v>
          </cell>
          <cell r="E26" t="str">
            <v>판매시설</v>
          </cell>
          <cell r="F26">
            <v>2188929453</v>
          </cell>
          <cell r="G26">
            <v>765470571</v>
          </cell>
          <cell r="H26">
            <v>399865767</v>
          </cell>
          <cell r="I26">
            <v>3354265790</v>
          </cell>
          <cell r="J26">
            <v>3.4482151111381407E-2</v>
          </cell>
          <cell r="K26">
            <v>2188929453</v>
          </cell>
          <cell r="L26">
            <v>765470571</v>
          </cell>
          <cell r="M26">
            <v>399865767</v>
          </cell>
          <cell r="N26">
            <v>3354265791</v>
          </cell>
          <cell r="O26">
            <v>1.0000000002981277</v>
          </cell>
          <cell r="P26">
            <v>1647221392</v>
          </cell>
          <cell r="Q26">
            <v>558568718</v>
          </cell>
          <cell r="R26">
            <v>349199111</v>
          </cell>
          <cell r="S26">
            <v>2554989221</v>
          </cell>
          <cell r="T26">
            <v>0.64470776567710619</v>
          </cell>
          <cell r="U26">
            <v>0.21861881584822546</v>
          </cell>
          <cell r="V26">
            <v>0.13667341847466838</v>
          </cell>
          <cell r="W26">
            <v>0.76171340643819407</v>
          </cell>
          <cell r="X26">
            <v>0.76196806325653788</v>
          </cell>
          <cell r="Y26">
            <v>0.76193999999999995</v>
          </cell>
          <cell r="Z26">
            <v>0.95238800000000001</v>
          </cell>
          <cell r="AA26">
            <v>0.95799999999999996</v>
          </cell>
          <cell r="AB26" t="str">
            <v>부적정</v>
          </cell>
          <cell r="AC26">
            <v>65.010200000000012</v>
          </cell>
          <cell r="AD26">
            <v>0</v>
          </cell>
          <cell r="AE26">
            <v>5</v>
          </cell>
          <cell r="AF26">
            <v>70.010200000000012</v>
          </cell>
          <cell r="AG26" t="str">
            <v>NG</v>
          </cell>
          <cell r="AI26">
            <v>22</v>
          </cell>
          <cell r="AJ26">
            <v>0.65258080010409669</v>
          </cell>
          <cell r="AK26">
            <v>0.22820808454776625</v>
          </cell>
          <cell r="AL26">
            <v>0.11921111564626487</v>
          </cell>
          <cell r="AM26">
            <v>0.98793554081619528</v>
          </cell>
          <cell r="AN26">
            <v>0.95798015342645026</v>
          </cell>
          <cell r="AO26">
            <v>1.1464821693324254</v>
          </cell>
          <cell r="AP26">
            <v>0.7621847292301287</v>
          </cell>
          <cell r="AQ26">
            <v>0.76193</v>
          </cell>
          <cell r="AR26">
            <v>2.1659356180592226E-4</v>
          </cell>
          <cell r="AS26">
            <v>0.76196806325653788</v>
          </cell>
        </row>
        <row r="27">
          <cell r="D27" t="str">
            <v>A23</v>
          </cell>
          <cell r="E27" t="str">
            <v>복지시설, 기타시설</v>
          </cell>
          <cell r="F27">
            <v>1616497188</v>
          </cell>
          <cell r="G27">
            <v>856239000</v>
          </cell>
          <cell r="H27">
            <v>48804509</v>
          </cell>
          <cell r="I27">
            <v>2521540620</v>
          </cell>
          <cell r="J27">
            <v>2.5921662186563447E-2</v>
          </cell>
          <cell r="K27" t="e">
            <v>#N/A</v>
          </cell>
          <cell r="L27" t="e">
            <v>#N/A</v>
          </cell>
          <cell r="M27" t="e">
            <v>#N/A</v>
          </cell>
          <cell r="N27" t="e">
            <v>#N/A</v>
          </cell>
          <cell r="O27" t="e">
            <v>#N/A</v>
          </cell>
          <cell r="P27" t="e">
            <v>#N/A</v>
          </cell>
          <cell r="Q27" t="e">
            <v>#N/A</v>
          </cell>
          <cell r="R27" t="e">
            <v>#N/A</v>
          </cell>
          <cell r="S27" t="e">
            <v>#N/A</v>
          </cell>
          <cell r="T27" t="e">
            <v>#N/A</v>
          </cell>
          <cell r="U27" t="e">
            <v>#N/A</v>
          </cell>
          <cell r="V27" t="e">
            <v>#N/A</v>
          </cell>
          <cell r="W27" t="e">
            <v>#N/A</v>
          </cell>
          <cell r="X27">
            <v>0.76140251085125221</v>
          </cell>
          <cell r="Y27">
            <v>0.76193999999999995</v>
          </cell>
          <cell r="Z27">
            <v>0.95238800000000001</v>
          </cell>
          <cell r="AA27">
            <v>0.95799999999999996</v>
          </cell>
          <cell r="AB27" t="e">
            <v>#N/A</v>
          </cell>
          <cell r="AC27" t="e">
            <v>#N/A</v>
          </cell>
          <cell r="AD27">
            <v>0</v>
          </cell>
          <cell r="AE27">
            <v>5</v>
          </cell>
          <cell r="AF27" t="e">
            <v>#N/A</v>
          </cell>
          <cell r="AG27" t="e">
            <v>#N/A</v>
          </cell>
          <cell r="AI27">
            <v>23</v>
          </cell>
          <cell r="AJ27">
            <v>0.64107521218516006</v>
          </cell>
          <cell r="AK27">
            <v>0.33956978254032649</v>
          </cell>
          <cell r="AL27">
            <v>1.9355035811400096E-2</v>
          </cell>
          <cell r="AM27" t="e">
            <v>#N/A</v>
          </cell>
          <cell r="AN27" t="e">
            <v>#N/A</v>
          </cell>
          <cell r="AO27" t="e">
            <v>#N/A</v>
          </cell>
          <cell r="AP27" t="e">
            <v>#N/A</v>
          </cell>
          <cell r="AQ27">
            <v>0.76193</v>
          </cell>
          <cell r="AR27" t="e">
            <v>#N/A</v>
          </cell>
          <cell r="AS27">
            <v>0.76140251085125221</v>
          </cell>
        </row>
        <row r="28">
          <cell r="D28" t="str">
            <v>C01</v>
          </cell>
          <cell r="E28" t="str">
            <v>토목공사1</v>
          </cell>
          <cell r="F28">
            <v>622705965</v>
          </cell>
          <cell r="G28">
            <v>501484660</v>
          </cell>
          <cell r="H28">
            <v>94098797</v>
          </cell>
          <cell r="I28">
            <v>1218289422</v>
          </cell>
          <cell r="J28">
            <v>1.2524123780543198E-2</v>
          </cell>
          <cell r="K28" t="e">
            <v>#N/A</v>
          </cell>
          <cell r="L28" t="e">
            <v>#N/A</v>
          </cell>
          <cell r="M28" t="e">
            <v>#N/A</v>
          </cell>
          <cell r="N28" t="e">
            <v>#N/A</v>
          </cell>
          <cell r="O28" t="e">
            <v>#N/A</v>
          </cell>
          <cell r="P28" t="e">
            <v>#N/A</v>
          </cell>
          <cell r="Q28" t="e">
            <v>#N/A</v>
          </cell>
          <cell r="R28" t="e">
            <v>#N/A</v>
          </cell>
          <cell r="S28" t="e">
            <v>#N/A</v>
          </cell>
          <cell r="T28" t="e">
            <v>#N/A</v>
          </cell>
          <cell r="U28" t="e">
            <v>#N/A</v>
          </cell>
          <cell r="V28" t="e">
            <v>#N/A</v>
          </cell>
          <cell r="W28" t="e">
            <v>#N/A</v>
          </cell>
          <cell r="X28">
            <v>0.76144741654014125</v>
          </cell>
          <cell r="Y28">
            <v>0.76193999999999995</v>
          </cell>
          <cell r="Z28">
            <v>0.95238800000000001</v>
          </cell>
          <cell r="AA28">
            <v>0.95799999999999996</v>
          </cell>
          <cell r="AB28" t="e">
            <v>#N/A</v>
          </cell>
          <cell r="AC28" t="e">
            <v>#N/A</v>
          </cell>
          <cell r="AD28">
            <v>0</v>
          </cell>
          <cell r="AE28">
            <v>5</v>
          </cell>
          <cell r="AF28" t="e">
            <v>#N/A</v>
          </cell>
          <cell r="AG28" t="e">
            <v>#N/A</v>
          </cell>
          <cell r="AI28">
            <v>24</v>
          </cell>
          <cell r="AJ28">
            <v>0.51113138943432446</v>
          </cell>
          <cell r="AK28">
            <v>0.41163015203459591</v>
          </cell>
          <cell r="AL28">
            <v>7.7238458531079648E-2</v>
          </cell>
          <cell r="AM28" t="e">
            <v>#N/A</v>
          </cell>
          <cell r="AN28" t="e">
            <v>#N/A</v>
          </cell>
          <cell r="AO28" t="e">
            <v>#N/A</v>
          </cell>
          <cell r="AP28" t="e">
            <v>#N/A</v>
          </cell>
          <cell r="AQ28">
            <v>0.76193</v>
          </cell>
          <cell r="AR28" t="e">
            <v>#N/A</v>
          </cell>
          <cell r="AS28">
            <v>0.76144741654014125</v>
          </cell>
        </row>
        <row r="29">
          <cell r="D29" t="str">
            <v>C02</v>
          </cell>
          <cell r="E29" t="str">
            <v>토목공사2</v>
          </cell>
          <cell r="F29">
            <v>552288236</v>
          </cell>
          <cell r="G29">
            <v>542953719</v>
          </cell>
          <cell r="H29">
            <v>236739805</v>
          </cell>
          <cell r="I29">
            <v>1331981759</v>
          </cell>
          <cell r="J29">
            <v>1.3692891132351682E-2</v>
          </cell>
          <cell r="K29" t="e">
            <v>#N/A</v>
          </cell>
          <cell r="L29" t="e">
            <v>#N/A</v>
          </cell>
          <cell r="M29" t="e">
            <v>#N/A</v>
          </cell>
          <cell r="N29" t="e">
            <v>#N/A</v>
          </cell>
          <cell r="O29" t="e">
            <v>#N/A</v>
          </cell>
          <cell r="P29" t="e">
            <v>#N/A</v>
          </cell>
          <cell r="Q29" t="e">
            <v>#N/A</v>
          </cell>
          <cell r="R29" t="e">
            <v>#N/A</v>
          </cell>
          <cell r="S29" t="e">
            <v>#N/A</v>
          </cell>
          <cell r="T29" t="e">
            <v>#N/A</v>
          </cell>
          <cell r="U29" t="e">
            <v>#N/A</v>
          </cell>
          <cell r="V29" t="e">
            <v>#N/A</v>
          </cell>
          <cell r="W29" t="e">
            <v>#N/A</v>
          </cell>
          <cell r="X29">
            <v>0.76205181017846391</v>
          </cell>
          <cell r="Y29">
            <v>0.76193999999999995</v>
          </cell>
          <cell r="Z29">
            <v>0.95238800000000001</v>
          </cell>
          <cell r="AA29">
            <v>0.95799999999999996</v>
          </cell>
          <cell r="AB29" t="e">
            <v>#N/A</v>
          </cell>
          <cell r="AC29" t="e">
            <v>#N/A</v>
          </cell>
          <cell r="AD29">
            <v>0</v>
          </cell>
          <cell r="AE29">
            <v>5</v>
          </cell>
          <cell r="AF29" t="e">
            <v>#N/A</v>
          </cell>
          <cell r="AG29" t="e">
            <v>#N/A</v>
          </cell>
          <cell r="AI29">
            <v>25</v>
          </cell>
          <cell r="AJ29">
            <v>0.41463648602413028</v>
          </cell>
          <cell r="AK29">
            <v>0.40762849440793281</v>
          </cell>
          <cell r="AL29">
            <v>0.17773502031869792</v>
          </cell>
          <cell r="AM29" t="e">
            <v>#N/A</v>
          </cell>
          <cell r="AN29" t="e">
            <v>#N/A</v>
          </cell>
          <cell r="AO29" t="e">
            <v>#N/A</v>
          </cell>
          <cell r="AP29" t="e">
            <v>#N/A</v>
          </cell>
          <cell r="AQ29">
            <v>0.76193</v>
          </cell>
          <cell r="AR29" t="e">
            <v>#N/A</v>
          </cell>
          <cell r="AS29">
            <v>0.76205181017846391</v>
          </cell>
        </row>
        <row r="30">
          <cell r="D30" t="str">
            <v>M01</v>
          </cell>
          <cell r="E30" t="str">
            <v>아파트 급수+급탕공사</v>
          </cell>
          <cell r="F30">
            <v>921301832</v>
          </cell>
          <cell r="G30">
            <v>981501032</v>
          </cell>
          <cell r="H30">
            <v>19410127</v>
          </cell>
          <cell r="I30">
            <v>1922212330</v>
          </cell>
          <cell r="J30">
            <v>1.976051397859576E-2</v>
          </cell>
          <cell r="K30">
            <v>921301832</v>
          </cell>
          <cell r="L30">
            <v>981501032</v>
          </cell>
          <cell r="M30">
            <v>19410127</v>
          </cell>
          <cell r="N30">
            <v>1922212991</v>
          </cell>
          <cell r="O30">
            <v>1.0000003438746021</v>
          </cell>
          <cell r="P30">
            <v>681960401</v>
          </cell>
          <cell r="Q30">
            <v>716451119</v>
          </cell>
          <cell r="R30">
            <v>66626698</v>
          </cell>
          <cell r="S30">
            <v>1465038218</v>
          </cell>
          <cell r="T30">
            <v>0.46548983679823702</v>
          </cell>
          <cell r="U30">
            <v>0.48903237485371864</v>
          </cell>
          <cell r="V30">
            <v>4.5477788348044307E-2</v>
          </cell>
          <cell r="W30">
            <v>0.76216253279365864</v>
          </cell>
          <cell r="X30">
            <v>0.76184189895160415</v>
          </cell>
          <cell r="Y30">
            <v>0.76193999999999995</v>
          </cell>
          <cell r="Z30">
            <v>0.95238800000000001</v>
          </cell>
          <cell r="AA30">
            <v>0.95799999999999996</v>
          </cell>
          <cell r="AB30" t="str">
            <v/>
          </cell>
          <cell r="AC30">
            <v>69.560200000000009</v>
          </cell>
          <cell r="AD30">
            <v>0</v>
          </cell>
          <cell r="AE30">
            <v>4</v>
          </cell>
          <cell r="AF30">
            <v>73.560200000000009</v>
          </cell>
          <cell r="AG30" t="str">
            <v>NG</v>
          </cell>
          <cell r="AI30">
            <v>26</v>
          </cell>
          <cell r="AJ30">
            <v>0.4792924369598649</v>
          </cell>
          <cell r="AK30">
            <v>0.5106101010183407</v>
          </cell>
          <cell r="AL30">
            <v>1.0097805896396472E-2</v>
          </cell>
          <cell r="AM30">
            <v>0.97120213235748665</v>
          </cell>
          <cell r="AN30">
            <v>0.95774128611716003</v>
          </cell>
          <cell r="AO30">
            <v>4.5037297027340983</v>
          </cell>
          <cell r="AP30">
            <v>0.76160946398207074</v>
          </cell>
          <cell r="AQ30">
            <v>0.76193</v>
          </cell>
          <cell r="AR30">
            <v>-2.3253279365864632E-4</v>
          </cell>
          <cell r="AS30">
            <v>0.76184189895160415</v>
          </cell>
        </row>
        <row r="31">
          <cell r="D31" t="str">
            <v>M02</v>
          </cell>
          <cell r="E31" t="str">
            <v>아파트 오배수공사</v>
          </cell>
          <cell r="F31">
            <v>2966035450</v>
          </cell>
          <cell r="G31">
            <v>2430032230</v>
          </cell>
          <cell r="H31">
            <v>48441956</v>
          </cell>
          <cell r="I31">
            <v>5444509120</v>
          </cell>
          <cell r="J31">
            <v>5.5970038737787151E-2</v>
          </cell>
          <cell r="K31">
            <v>2966035450</v>
          </cell>
          <cell r="L31">
            <v>2430032230</v>
          </cell>
          <cell r="M31">
            <v>48441956</v>
          </cell>
          <cell r="N31">
            <v>5444509636</v>
          </cell>
          <cell r="O31">
            <v>1.0000000947743843</v>
          </cell>
          <cell r="P31">
            <v>2190596903</v>
          </cell>
          <cell r="Q31">
            <v>1773469974</v>
          </cell>
          <cell r="R31">
            <v>184049592</v>
          </cell>
          <cell r="S31">
            <v>4148116469</v>
          </cell>
          <cell r="T31">
            <v>0.52809435785396219</v>
          </cell>
          <cell r="U31">
            <v>0.42753620522799257</v>
          </cell>
          <cell r="V31">
            <v>4.4369436918045221E-2</v>
          </cell>
          <cell r="W31">
            <v>0.76188989265574047</v>
          </cell>
          <cell r="X31">
            <v>0.76177179623274793</v>
          </cell>
          <cell r="Y31">
            <v>0.76193999999999995</v>
          </cell>
          <cell r="Z31">
            <v>0.95238800000000001</v>
          </cell>
          <cell r="AA31">
            <v>0.95799999999999996</v>
          </cell>
          <cell r="AB31" t="str">
            <v>부적정</v>
          </cell>
          <cell r="AC31">
            <v>65.999700000000004</v>
          </cell>
          <cell r="AD31">
            <v>0</v>
          </cell>
          <cell r="AE31">
            <v>4</v>
          </cell>
          <cell r="AF31">
            <v>69.999700000000004</v>
          </cell>
          <cell r="AG31" t="str">
            <v>NG</v>
          </cell>
          <cell r="AI31">
            <v>27</v>
          </cell>
          <cell r="AJ31">
            <v>0.54477554993975286</v>
          </cell>
          <cell r="AK31">
            <v>0.44632714840598892</v>
          </cell>
          <cell r="AL31">
            <v>8.8973964286425886E-3</v>
          </cell>
          <cell r="AM31">
            <v>0.96937969758805176</v>
          </cell>
          <cell r="AN31">
            <v>0.9578987223943104</v>
          </cell>
          <cell r="AO31">
            <v>4.9867888065783692</v>
          </cell>
          <cell r="AP31">
            <v>0.7618118973601854</v>
          </cell>
          <cell r="AQ31">
            <v>0.76193</v>
          </cell>
          <cell r="AR31">
            <v>4.0107344259521227E-5</v>
          </cell>
          <cell r="AS31">
            <v>0.76177179623274793</v>
          </cell>
        </row>
        <row r="32">
          <cell r="D32" t="str">
            <v>M03</v>
          </cell>
          <cell r="E32" t="str">
            <v>아파트 난방공사</v>
          </cell>
          <cell r="F32">
            <v>1210574942</v>
          </cell>
          <cell r="G32">
            <v>1935336088</v>
          </cell>
          <cell r="H32">
            <v>38358400</v>
          </cell>
          <cell r="I32">
            <v>3184269137</v>
          </cell>
          <cell r="J32">
            <v>3.2734570375635638E-2</v>
          </cell>
          <cell r="K32">
            <v>1210574942</v>
          </cell>
          <cell r="L32">
            <v>1935336088</v>
          </cell>
          <cell r="M32">
            <v>38358400</v>
          </cell>
          <cell r="N32">
            <v>3184269430</v>
          </cell>
          <cell r="O32">
            <v>1.0000000920148353</v>
          </cell>
          <cell r="P32">
            <v>885741655</v>
          </cell>
          <cell r="Q32">
            <v>1412662709</v>
          </cell>
          <cell r="R32">
            <v>128236618</v>
          </cell>
          <cell r="S32">
            <v>2426640982</v>
          </cell>
          <cell r="T32">
            <v>0.36500729261977</v>
          </cell>
          <cell r="U32">
            <v>0.58214738788253106</v>
          </cell>
          <cell r="V32">
            <v>5.2845319497698981E-2</v>
          </cell>
          <cell r="W32">
            <v>0.76207157045971774</v>
          </cell>
          <cell r="X32">
            <v>0.7617780601702111</v>
          </cell>
          <cell r="Y32">
            <v>0.76193999999999995</v>
          </cell>
          <cell r="Z32">
            <v>0.95238800000000001</v>
          </cell>
          <cell r="AA32">
            <v>0.95799999999999996</v>
          </cell>
          <cell r="AB32" t="str">
            <v/>
          </cell>
          <cell r="AC32">
            <v>68.590100000000007</v>
          </cell>
          <cell r="AD32">
            <v>0</v>
          </cell>
          <cell r="AE32">
            <v>4</v>
          </cell>
          <cell r="AF32">
            <v>72.590100000000007</v>
          </cell>
          <cell r="AG32" t="str">
            <v>NG</v>
          </cell>
          <cell r="AI32">
            <v>28</v>
          </cell>
          <cell r="AJ32">
            <v>0.38017356257157353</v>
          </cell>
          <cell r="AK32">
            <v>0.60778031150449208</v>
          </cell>
          <cell r="AL32">
            <v>1.2046217938769666E-2</v>
          </cell>
          <cell r="AM32">
            <v>0.96010698416477014</v>
          </cell>
          <cell r="AN32">
            <v>0.9578253471908138</v>
          </cell>
          <cell r="AO32">
            <v>4.386880576651456</v>
          </cell>
          <cell r="AP32">
            <v>0.7616365442360632</v>
          </cell>
          <cell r="AQ32">
            <v>0.76193</v>
          </cell>
          <cell r="AR32">
            <v>-1.4157045971774362E-4</v>
          </cell>
          <cell r="AS32">
            <v>0.7617780601702111</v>
          </cell>
        </row>
        <row r="33">
          <cell r="D33" t="str">
            <v>M04</v>
          </cell>
          <cell r="E33" t="str">
            <v>아파트 소화공사</v>
          </cell>
          <cell r="F33">
            <v>2300009107</v>
          </cell>
          <cell r="G33">
            <v>1747881620</v>
          </cell>
          <cell r="H33">
            <v>34327731</v>
          </cell>
          <cell r="I33">
            <v>4082217930</v>
          </cell>
          <cell r="J33">
            <v>4.1965563954861972E-2</v>
          </cell>
          <cell r="K33">
            <v>2300009107</v>
          </cell>
          <cell r="L33">
            <v>1747881620</v>
          </cell>
          <cell r="M33">
            <v>34327731</v>
          </cell>
          <cell r="N33">
            <v>4082218458</v>
          </cell>
          <cell r="O33">
            <v>1.0000001293414533</v>
          </cell>
          <cell r="P33">
            <v>1687408267</v>
          </cell>
          <cell r="Q33">
            <v>1275635328</v>
          </cell>
          <cell r="R33">
            <v>147072474</v>
          </cell>
          <cell r="S33">
            <v>3110116069</v>
          </cell>
          <cell r="T33">
            <v>0.5425547566597908</v>
          </cell>
          <cell r="U33">
            <v>0.41015682363589628</v>
          </cell>
          <cell r="V33">
            <v>4.7288419704312974E-2</v>
          </cell>
          <cell r="W33">
            <v>0.76186919031047418</v>
          </cell>
          <cell r="X33">
            <v>0.7617780601702111</v>
          </cell>
          <cell r="Y33">
            <v>0.76193999999999995</v>
          </cell>
          <cell r="Z33">
            <v>0.95238800000000001</v>
          </cell>
          <cell r="AA33">
            <v>0.95799999999999996</v>
          </cell>
          <cell r="AB33" t="str">
            <v>부적정</v>
          </cell>
          <cell r="AC33">
            <v>65.05</v>
          </cell>
          <cell r="AD33">
            <v>0</v>
          </cell>
          <cell r="AE33">
            <v>4</v>
          </cell>
          <cell r="AF33">
            <v>69.05</v>
          </cell>
          <cell r="AG33" t="str">
            <v>NG</v>
          </cell>
          <cell r="AI33">
            <v>29</v>
          </cell>
          <cell r="AJ33">
            <v>0.56342144060888</v>
          </cell>
          <cell r="AK33">
            <v>0.42816960044070945</v>
          </cell>
          <cell r="AL33">
            <v>8.4090882918639275E-3</v>
          </cell>
          <cell r="AM33">
            <v>0.9629643417074456</v>
          </cell>
          <cell r="AN33">
            <v>0.95793074336367445</v>
          </cell>
          <cell r="AO33">
            <v>5.6234894988635205</v>
          </cell>
          <cell r="AP33">
            <v>0.76183886258605316</v>
          </cell>
          <cell r="AQ33">
            <v>0.76193</v>
          </cell>
          <cell r="AR33">
            <v>6.0809689525820332E-5</v>
          </cell>
          <cell r="AS33">
            <v>0.7617780601702111</v>
          </cell>
        </row>
        <row r="34">
          <cell r="D34" t="str">
            <v>M05</v>
          </cell>
          <cell r="E34" t="str">
            <v>기타공사+위생기구공사</v>
          </cell>
          <cell r="F34">
            <v>3284590391</v>
          </cell>
          <cell r="G34">
            <v>996343849</v>
          </cell>
          <cell r="H34">
            <v>21736847</v>
          </cell>
          <cell r="I34">
            <v>4302671087</v>
          </cell>
          <cell r="J34">
            <v>4.423184204627556E-2</v>
          </cell>
          <cell r="K34" t="e">
            <v>#N/A</v>
          </cell>
          <cell r="L34" t="e">
            <v>#N/A</v>
          </cell>
          <cell r="M34" t="e">
            <v>#N/A</v>
          </cell>
          <cell r="N34" t="e">
            <v>#N/A</v>
          </cell>
          <cell r="O34" t="e">
            <v>#N/A</v>
          </cell>
          <cell r="P34" t="e">
            <v>#N/A</v>
          </cell>
          <cell r="Q34" t="e">
            <v>#N/A</v>
          </cell>
          <cell r="R34" t="e">
            <v>#N/A</v>
          </cell>
          <cell r="S34" t="e">
            <v>#N/A</v>
          </cell>
          <cell r="T34" t="e">
            <v>#N/A</v>
          </cell>
          <cell r="U34" t="e">
            <v>#N/A</v>
          </cell>
          <cell r="V34" t="e">
            <v>#N/A</v>
          </cell>
          <cell r="W34" t="e">
            <v>#N/A</v>
          </cell>
          <cell r="X34">
            <v>0.76163652480251698</v>
          </cell>
          <cell r="Y34">
            <v>0.76193999999999995</v>
          </cell>
          <cell r="Z34">
            <v>0.95238800000000001</v>
          </cell>
          <cell r="AA34">
            <v>0.95799999999999996</v>
          </cell>
          <cell r="AB34" t="e">
            <v>#N/A</v>
          </cell>
          <cell r="AC34" t="e">
            <v>#N/A</v>
          </cell>
          <cell r="AD34">
            <v>0</v>
          </cell>
          <cell r="AE34">
            <v>5</v>
          </cell>
          <cell r="AF34" t="e">
            <v>#N/A</v>
          </cell>
          <cell r="AG34" t="e">
            <v>#N/A</v>
          </cell>
          <cell r="AI34">
            <v>30</v>
          </cell>
          <cell r="AJ34">
            <v>0.76338402926591165</v>
          </cell>
          <cell r="AK34">
            <v>0.23156402821733976</v>
          </cell>
          <cell r="AL34">
            <v>5.0519425167485504E-3</v>
          </cell>
          <cell r="AM34" t="e">
            <v>#N/A</v>
          </cell>
          <cell r="AN34" t="e">
            <v>#N/A</v>
          </cell>
          <cell r="AO34" t="e">
            <v>#N/A</v>
          </cell>
          <cell r="AP34" t="e">
            <v>#N/A</v>
          </cell>
          <cell r="AQ34">
            <v>0.76193</v>
          </cell>
          <cell r="AR34" t="e">
            <v>#N/A</v>
          </cell>
          <cell r="AS34">
            <v>0.76163652480251698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5">
          <cell r="A15" t="str">
            <v>BGB10177</v>
          </cell>
          <cell r="D15" t="str">
            <v>A01</v>
          </cell>
        </row>
        <row r="16">
          <cell r="A16" t="str">
            <v>BGB10320</v>
          </cell>
          <cell r="D16" t="str">
            <v>A01</v>
          </cell>
        </row>
        <row r="17">
          <cell r="A17" t="str">
            <v>BGB61001</v>
          </cell>
          <cell r="D17" t="str">
            <v>A01</v>
          </cell>
        </row>
        <row r="18">
          <cell r="A18" t="str">
            <v>BGB61401</v>
          </cell>
          <cell r="D18" t="str">
            <v>A01</v>
          </cell>
        </row>
        <row r="19">
          <cell r="A19" t="str">
            <v>BGB61402</v>
          </cell>
          <cell r="D19" t="str">
            <v>A01</v>
          </cell>
        </row>
        <row r="20">
          <cell r="A20" t="str">
            <v>BGB61403</v>
          </cell>
          <cell r="D20" t="str">
            <v>A01</v>
          </cell>
        </row>
        <row r="21">
          <cell r="A21" t="str">
            <v>BGB61404</v>
          </cell>
          <cell r="D21" t="str">
            <v>A01</v>
          </cell>
        </row>
        <row r="22">
          <cell r="A22" t="str">
            <v>BGB61405</v>
          </cell>
          <cell r="D22" t="str">
            <v>A01</v>
          </cell>
        </row>
        <row r="23">
          <cell r="A23" t="str">
            <v>BGB61406</v>
          </cell>
          <cell r="D23" t="str">
            <v>A01</v>
          </cell>
        </row>
        <row r="24">
          <cell r="A24" t="str">
            <v>BGB61430</v>
          </cell>
          <cell r="D24" t="str">
            <v>A01</v>
          </cell>
        </row>
        <row r="25">
          <cell r="A25" t="str">
            <v>BGB61440</v>
          </cell>
          <cell r="D25" t="str">
            <v>A01</v>
          </cell>
        </row>
        <row r="26">
          <cell r="A26" t="str">
            <v>BGB61450</v>
          </cell>
          <cell r="D26" t="str">
            <v>A01</v>
          </cell>
        </row>
        <row r="27">
          <cell r="A27" t="str">
            <v>BGB61500</v>
          </cell>
          <cell r="D27" t="str">
            <v>A01</v>
          </cell>
        </row>
        <row r="28">
          <cell r="A28" t="str">
            <v>BGB61501</v>
          </cell>
          <cell r="D28" t="str">
            <v>A01</v>
          </cell>
        </row>
        <row r="29">
          <cell r="A29" t="str">
            <v>BGB61601</v>
          </cell>
          <cell r="D29" t="str">
            <v>A01</v>
          </cell>
        </row>
        <row r="30">
          <cell r="A30" t="str">
            <v>BGB61602</v>
          </cell>
          <cell r="D30" t="str">
            <v>A01</v>
          </cell>
        </row>
        <row r="31">
          <cell r="A31" t="str">
            <v>BGB62001</v>
          </cell>
          <cell r="D31" t="str">
            <v>A01</v>
          </cell>
        </row>
        <row r="32">
          <cell r="A32" t="str">
            <v>BGB62002</v>
          </cell>
          <cell r="D32" t="str">
            <v>A01</v>
          </cell>
        </row>
        <row r="33">
          <cell r="A33" t="str">
            <v>BGB62003</v>
          </cell>
          <cell r="D33" t="str">
            <v>A01</v>
          </cell>
        </row>
        <row r="34">
          <cell r="A34" t="str">
            <v>BGB63402</v>
          </cell>
          <cell r="D34" t="str">
            <v>A01</v>
          </cell>
        </row>
        <row r="35">
          <cell r="A35" t="str">
            <v>BGB63421</v>
          </cell>
          <cell r="D35" t="str">
            <v>A01</v>
          </cell>
        </row>
        <row r="36">
          <cell r="A36" t="str">
            <v>BGB63422</v>
          </cell>
          <cell r="D36" t="str">
            <v>A01</v>
          </cell>
        </row>
        <row r="37">
          <cell r="A37" t="str">
            <v>BGB64004</v>
          </cell>
          <cell r="D37" t="str">
            <v>A01</v>
          </cell>
        </row>
        <row r="38">
          <cell r="A38" t="str">
            <v>BGB67211</v>
          </cell>
          <cell r="D38" t="str">
            <v>A01</v>
          </cell>
        </row>
        <row r="39">
          <cell r="A39" t="str">
            <v>BGB68201</v>
          </cell>
          <cell r="D39" t="str">
            <v>A01</v>
          </cell>
        </row>
        <row r="40">
          <cell r="A40" t="str">
            <v>BGB68215</v>
          </cell>
          <cell r="D40" t="str">
            <v>A01</v>
          </cell>
        </row>
        <row r="41">
          <cell r="A41" t="str">
            <v>BGB68218</v>
          </cell>
          <cell r="D41" t="str">
            <v>A01</v>
          </cell>
        </row>
        <row r="42">
          <cell r="A42" t="str">
            <v>BGB68302</v>
          </cell>
          <cell r="D42" t="str">
            <v>A01</v>
          </cell>
        </row>
        <row r="43">
          <cell r="A43" t="str">
            <v>BGB68401</v>
          </cell>
          <cell r="D43" t="str">
            <v>A01</v>
          </cell>
        </row>
        <row r="44">
          <cell r="A44" t="str">
            <v>BGB69014</v>
          </cell>
          <cell r="D44" t="str">
            <v>A01</v>
          </cell>
        </row>
        <row r="45">
          <cell r="A45" t="str">
            <v>BGB69201</v>
          </cell>
          <cell r="D45" t="str">
            <v>A01</v>
          </cell>
        </row>
        <row r="46">
          <cell r="A46" t="str">
            <v>BGB69202</v>
          </cell>
          <cell r="D46" t="str">
            <v>A01</v>
          </cell>
        </row>
        <row r="47">
          <cell r="A47" t="str">
            <v>BGB70020</v>
          </cell>
          <cell r="D47" t="str">
            <v>A01</v>
          </cell>
        </row>
        <row r="48">
          <cell r="A48" t="str">
            <v>BGB70030</v>
          </cell>
          <cell r="D48" t="str">
            <v>A01</v>
          </cell>
        </row>
        <row r="49">
          <cell r="A49" t="str">
            <v>BGB70040</v>
          </cell>
          <cell r="D49" t="str">
            <v>A01</v>
          </cell>
        </row>
        <row r="50">
          <cell r="A50" t="str">
            <v>BGB72020</v>
          </cell>
          <cell r="D50" t="str">
            <v>A01</v>
          </cell>
        </row>
        <row r="51">
          <cell r="A51" t="str">
            <v>BGB72021</v>
          </cell>
          <cell r="D51" t="str">
            <v>A01</v>
          </cell>
        </row>
        <row r="52">
          <cell r="A52" t="str">
            <v>BGB72301</v>
          </cell>
          <cell r="D52" t="str">
            <v>A01</v>
          </cell>
        </row>
        <row r="53">
          <cell r="A53" t="str">
            <v>BGB73020</v>
          </cell>
          <cell r="D53" t="str">
            <v>A01</v>
          </cell>
        </row>
        <row r="54">
          <cell r="A54" t="str">
            <v>BGB73030</v>
          </cell>
          <cell r="D54" t="str">
            <v>A01</v>
          </cell>
        </row>
        <row r="55">
          <cell r="A55" t="str">
            <v>BGB73033</v>
          </cell>
          <cell r="D55" t="str">
            <v>A01</v>
          </cell>
        </row>
        <row r="56">
          <cell r="A56" t="str">
            <v>BGB73036</v>
          </cell>
          <cell r="D56" t="str">
            <v>A01</v>
          </cell>
        </row>
        <row r="57">
          <cell r="A57" t="str">
            <v>BGB73050</v>
          </cell>
          <cell r="D57" t="str">
            <v>A01</v>
          </cell>
        </row>
        <row r="58">
          <cell r="A58" t="str">
            <v>BGB73055</v>
          </cell>
          <cell r="D58" t="str">
            <v>A01</v>
          </cell>
        </row>
        <row r="59">
          <cell r="A59" t="str">
            <v>BGB73061</v>
          </cell>
          <cell r="D59" t="str">
            <v>A01</v>
          </cell>
        </row>
        <row r="60">
          <cell r="A60" t="str">
            <v>BGB73080</v>
          </cell>
          <cell r="D60" t="str">
            <v>A01</v>
          </cell>
        </row>
        <row r="61">
          <cell r="A61" t="str">
            <v>BGB73081</v>
          </cell>
          <cell r="D61" t="str">
            <v>A01</v>
          </cell>
        </row>
        <row r="62">
          <cell r="A62" t="str">
            <v>BGB73130</v>
          </cell>
          <cell r="D62" t="str">
            <v>A01</v>
          </cell>
        </row>
        <row r="63">
          <cell r="A63" t="str">
            <v>BGB73150</v>
          </cell>
          <cell r="D63" t="str">
            <v>A01</v>
          </cell>
        </row>
        <row r="64">
          <cell r="A64" t="str">
            <v>BGB73151</v>
          </cell>
          <cell r="D64" t="str">
            <v>A01</v>
          </cell>
        </row>
        <row r="65">
          <cell r="A65" t="str">
            <v>BGB73152</v>
          </cell>
          <cell r="D65" t="str">
            <v>A01</v>
          </cell>
        </row>
        <row r="66">
          <cell r="A66" t="str">
            <v>BGB73170</v>
          </cell>
          <cell r="D66" t="str">
            <v>A01</v>
          </cell>
        </row>
        <row r="67">
          <cell r="A67" t="str">
            <v>BGB73171</v>
          </cell>
          <cell r="D67" t="str">
            <v>A01</v>
          </cell>
        </row>
        <row r="68">
          <cell r="A68" t="str">
            <v>BGB73180</v>
          </cell>
          <cell r="D68" t="str">
            <v>A01</v>
          </cell>
        </row>
        <row r="69">
          <cell r="A69" t="str">
            <v>BGB73181</v>
          </cell>
          <cell r="D69" t="str">
            <v>A01</v>
          </cell>
        </row>
        <row r="70">
          <cell r="A70" t="str">
            <v>BGB73185</v>
          </cell>
          <cell r="D70" t="str">
            <v>A01</v>
          </cell>
        </row>
        <row r="71">
          <cell r="A71" t="str">
            <v>BGB74010</v>
          </cell>
          <cell r="D71" t="str">
            <v>A01</v>
          </cell>
        </row>
        <row r="72">
          <cell r="A72" t="str">
            <v>BGB74020</v>
          </cell>
          <cell r="D72" t="str">
            <v>A01</v>
          </cell>
        </row>
        <row r="73">
          <cell r="A73" t="str">
            <v>BGB74025</v>
          </cell>
          <cell r="D73" t="str">
            <v>A01</v>
          </cell>
        </row>
        <row r="74">
          <cell r="A74" t="str">
            <v>BGB75301</v>
          </cell>
          <cell r="D74" t="str">
            <v>A01</v>
          </cell>
        </row>
        <row r="75">
          <cell r="A75" t="str">
            <v>BGB75501</v>
          </cell>
          <cell r="D75" t="str">
            <v>A01</v>
          </cell>
        </row>
        <row r="76">
          <cell r="A76" t="str">
            <v>BGB75502</v>
          </cell>
          <cell r="D76" t="str">
            <v>A01</v>
          </cell>
        </row>
        <row r="77">
          <cell r="A77" t="str">
            <v>BGB75503</v>
          </cell>
          <cell r="D77" t="str">
            <v>A01</v>
          </cell>
        </row>
        <row r="78">
          <cell r="A78" t="str">
            <v>BGB76001</v>
          </cell>
          <cell r="D78" t="str">
            <v>A01</v>
          </cell>
        </row>
        <row r="79">
          <cell r="A79" t="str">
            <v>BGB76002</v>
          </cell>
          <cell r="D79" t="str">
            <v>A01</v>
          </cell>
        </row>
        <row r="80">
          <cell r="A80" t="str">
            <v>BGB76003</v>
          </cell>
          <cell r="D80" t="str">
            <v>A01</v>
          </cell>
        </row>
        <row r="81">
          <cell r="A81" t="str">
            <v>BGB76350</v>
          </cell>
          <cell r="D81" t="str">
            <v>A01</v>
          </cell>
        </row>
        <row r="82">
          <cell r="A82" t="str">
            <v>BGB76355</v>
          </cell>
          <cell r="D82" t="str">
            <v>A01</v>
          </cell>
        </row>
        <row r="83">
          <cell r="A83" t="str">
            <v>BGB76360</v>
          </cell>
          <cell r="D83" t="str">
            <v>A01</v>
          </cell>
        </row>
        <row r="84">
          <cell r="A84" t="str">
            <v>BGB76361</v>
          </cell>
          <cell r="D84" t="str">
            <v>A01</v>
          </cell>
        </row>
        <row r="85">
          <cell r="A85" t="str">
            <v>BGB76362</v>
          </cell>
          <cell r="D85" t="str">
            <v>A01</v>
          </cell>
        </row>
        <row r="86">
          <cell r="A86" t="str">
            <v>BGZ02001</v>
          </cell>
          <cell r="D86" t="str">
            <v>A01</v>
          </cell>
        </row>
        <row r="87">
          <cell r="A87" t="str">
            <v>BGZ02002</v>
          </cell>
          <cell r="D87" t="str">
            <v>A01</v>
          </cell>
        </row>
        <row r="88">
          <cell r="A88" t="str">
            <v>BGZ02011</v>
          </cell>
          <cell r="D88" t="str">
            <v>A01</v>
          </cell>
        </row>
        <row r="89">
          <cell r="A89" t="str">
            <v>BGZ02012</v>
          </cell>
          <cell r="D89" t="str">
            <v>A01</v>
          </cell>
        </row>
        <row r="90">
          <cell r="A90" t="str">
            <v>BGZ05040</v>
          </cell>
          <cell r="D90" t="str">
            <v>A01</v>
          </cell>
        </row>
        <row r="91">
          <cell r="A91" t="str">
            <v>HCD01020</v>
          </cell>
          <cell r="D91" t="str">
            <v>A01</v>
          </cell>
        </row>
        <row r="92">
          <cell r="A92" t="str">
            <v>HCD01022</v>
          </cell>
          <cell r="D92" t="str">
            <v>A01</v>
          </cell>
        </row>
        <row r="93">
          <cell r="A93" t="str">
            <v>HCD01025</v>
          </cell>
          <cell r="D93" t="str">
            <v>A01</v>
          </cell>
        </row>
        <row r="94">
          <cell r="A94" t="str">
            <v>HKH20000</v>
          </cell>
          <cell r="D94" t="str">
            <v>A01</v>
          </cell>
        </row>
        <row r="95">
          <cell r="A95" t="str">
            <v>HKN01000</v>
          </cell>
          <cell r="D95" t="str">
            <v>A01</v>
          </cell>
        </row>
        <row r="96">
          <cell r="A96" t="str">
            <v>MAZ20008</v>
          </cell>
          <cell r="D96" t="str">
            <v>A01</v>
          </cell>
        </row>
        <row r="97">
          <cell r="A97" t="str">
            <v>MAZ20009</v>
          </cell>
          <cell r="D97" t="str">
            <v>A01</v>
          </cell>
        </row>
        <row r="98">
          <cell r="A98" t="str">
            <v>MAZ20010</v>
          </cell>
          <cell r="D98" t="str">
            <v>A01</v>
          </cell>
        </row>
        <row r="99">
          <cell r="A99" t="str">
            <v>MAZ20261</v>
          </cell>
          <cell r="D99" t="str">
            <v>A01</v>
          </cell>
        </row>
        <row r="100">
          <cell r="A100" t="str">
            <v>MAZ21201</v>
          </cell>
          <cell r="D100" t="str">
            <v>A01</v>
          </cell>
        </row>
        <row r="101">
          <cell r="A101" t="str">
            <v>MAZ21202</v>
          </cell>
          <cell r="D101" t="str">
            <v>A01</v>
          </cell>
        </row>
        <row r="102">
          <cell r="A102" t="str">
            <v>MAZ21215</v>
          </cell>
          <cell r="D102" t="str">
            <v>A01</v>
          </cell>
        </row>
        <row r="103">
          <cell r="A103" t="str">
            <v>MAZ21218</v>
          </cell>
          <cell r="D103" t="str">
            <v>A01</v>
          </cell>
        </row>
        <row r="104">
          <cell r="A104" t="str">
            <v>MAZ21220</v>
          </cell>
          <cell r="D104" t="str">
            <v>A01</v>
          </cell>
        </row>
        <row r="105">
          <cell r="A105" t="str">
            <v>MAZ21221</v>
          </cell>
          <cell r="D105" t="str">
            <v>A01</v>
          </cell>
        </row>
        <row r="106">
          <cell r="A106" t="str">
            <v>MAZ21226</v>
          </cell>
          <cell r="D106" t="str">
            <v>A01</v>
          </cell>
        </row>
        <row r="107">
          <cell r="A107" t="str">
            <v>MAZ21227</v>
          </cell>
          <cell r="D107" t="str">
            <v>A01</v>
          </cell>
        </row>
        <row r="108">
          <cell r="A108" t="str">
            <v>MAZ21228</v>
          </cell>
          <cell r="D108" t="str">
            <v>A01</v>
          </cell>
        </row>
        <row r="109">
          <cell r="A109" t="str">
            <v>MAZ21232</v>
          </cell>
          <cell r="D109" t="str">
            <v>A01</v>
          </cell>
        </row>
        <row r="110">
          <cell r="A110" t="str">
            <v>MAZ21242</v>
          </cell>
          <cell r="D110" t="str">
            <v>A01</v>
          </cell>
        </row>
        <row r="111">
          <cell r="A111" t="str">
            <v>MAZ21264</v>
          </cell>
          <cell r="D111" t="str">
            <v>A01</v>
          </cell>
        </row>
        <row r="112">
          <cell r="A112" t="str">
            <v>MAZ21265</v>
          </cell>
          <cell r="D112" t="str">
            <v>A01</v>
          </cell>
        </row>
        <row r="113">
          <cell r="A113" t="str">
            <v>MAZ21266</v>
          </cell>
          <cell r="D113" t="str">
            <v>A01</v>
          </cell>
        </row>
        <row r="114">
          <cell r="A114" t="str">
            <v>MAZ21373</v>
          </cell>
          <cell r="D114" t="str">
            <v>A01</v>
          </cell>
        </row>
        <row r="115">
          <cell r="A115" t="str">
            <v>MAZ30007</v>
          </cell>
          <cell r="D115" t="str">
            <v>A01</v>
          </cell>
        </row>
        <row r="116">
          <cell r="A116" t="str">
            <v>MAZ30008</v>
          </cell>
          <cell r="D116" t="str">
            <v>A01</v>
          </cell>
        </row>
        <row r="117">
          <cell r="A117" t="str">
            <v>MAZ30009</v>
          </cell>
          <cell r="D117" t="str">
            <v>A01</v>
          </cell>
        </row>
        <row r="118">
          <cell r="A118" t="str">
            <v>MAZ40509</v>
          </cell>
          <cell r="D118" t="str">
            <v>A01</v>
          </cell>
        </row>
        <row r="119">
          <cell r="A119" t="str">
            <v>MAZ50010</v>
          </cell>
          <cell r="D119" t="str">
            <v>A01</v>
          </cell>
        </row>
        <row r="120">
          <cell r="A120" t="str">
            <v>MAZ50020</v>
          </cell>
          <cell r="D120" t="str">
            <v>A01</v>
          </cell>
        </row>
        <row r="121">
          <cell r="A121" t="str">
            <v>MGJ10507</v>
          </cell>
          <cell r="D121" t="str">
            <v>A01</v>
          </cell>
        </row>
        <row r="122">
          <cell r="A122" t="str">
            <v>MMZ52128</v>
          </cell>
          <cell r="D122" t="str">
            <v>A01</v>
          </cell>
        </row>
        <row r="123">
          <cell r="A123" t="str">
            <v>SAA20101</v>
          </cell>
          <cell r="D123" t="str">
            <v>A01</v>
          </cell>
        </row>
        <row r="124">
          <cell r="A124" t="str">
            <v>SAA20301</v>
          </cell>
          <cell r="D124" t="str">
            <v>A01</v>
          </cell>
        </row>
        <row r="125">
          <cell r="A125" t="str">
            <v>SAA27001</v>
          </cell>
          <cell r="D125" t="str">
            <v>A01</v>
          </cell>
        </row>
        <row r="126">
          <cell r="A126" t="str">
            <v>SAA27002</v>
          </cell>
          <cell r="D126" t="str">
            <v>A01</v>
          </cell>
        </row>
        <row r="127">
          <cell r="A127" t="str">
            <v>SAA32024</v>
          </cell>
          <cell r="D127" t="str">
            <v>A01</v>
          </cell>
        </row>
        <row r="128">
          <cell r="A128" t="str">
            <v>SAA33003</v>
          </cell>
          <cell r="D128" t="str">
            <v>A01</v>
          </cell>
        </row>
        <row r="129">
          <cell r="A129" t="str">
            <v>SAA34016</v>
          </cell>
          <cell r="D129" t="str">
            <v>A01</v>
          </cell>
        </row>
        <row r="130">
          <cell r="A130" t="str">
            <v>SAACCC03</v>
          </cell>
          <cell r="D130" t="str">
            <v>A01</v>
          </cell>
        </row>
        <row r="131">
          <cell r="A131" t="str">
            <v>SAACT227</v>
          </cell>
          <cell r="D131" t="str">
            <v>A01</v>
          </cell>
        </row>
        <row r="132">
          <cell r="A132" t="str">
            <v>SAACT316</v>
          </cell>
          <cell r="D132" t="str">
            <v>A01</v>
          </cell>
        </row>
        <row r="133">
          <cell r="A133" t="str">
            <v>SAS82005</v>
          </cell>
          <cell r="D133" t="str">
            <v>A01</v>
          </cell>
        </row>
        <row r="134">
          <cell r="A134" t="str">
            <v>SAT00121</v>
          </cell>
          <cell r="D134" t="str">
            <v>A01</v>
          </cell>
        </row>
        <row r="135">
          <cell r="A135" t="str">
            <v>SATC1504</v>
          </cell>
          <cell r="D135" t="str">
            <v>A01</v>
          </cell>
        </row>
        <row r="136">
          <cell r="A136" t="str">
            <v>SATC1508</v>
          </cell>
          <cell r="D136" t="str">
            <v>A01</v>
          </cell>
        </row>
        <row r="137">
          <cell r="A137" t="str">
            <v>SATC1512</v>
          </cell>
          <cell r="D137" t="str">
            <v>A01</v>
          </cell>
        </row>
        <row r="138">
          <cell r="A138" t="str">
            <v>SATC1521</v>
          </cell>
          <cell r="D138" t="str">
            <v>A01</v>
          </cell>
        </row>
        <row r="139">
          <cell r="A139" t="str">
            <v>SAVH5562</v>
          </cell>
          <cell r="D139" t="str">
            <v>A01</v>
          </cell>
        </row>
        <row r="140">
          <cell r="A140" t="str">
            <v>UAA15034</v>
          </cell>
          <cell r="D140" t="str">
            <v>A01</v>
          </cell>
        </row>
        <row r="141">
          <cell r="A141" t="str">
            <v>UAA15118</v>
          </cell>
          <cell r="D141" t="str">
            <v>A01</v>
          </cell>
        </row>
        <row r="142">
          <cell r="A142" t="str">
            <v>UAA15160</v>
          </cell>
          <cell r="D142" t="str">
            <v>A01</v>
          </cell>
        </row>
        <row r="143">
          <cell r="A143" t="str">
            <v>UAA15173</v>
          </cell>
          <cell r="D143" t="str">
            <v>A01</v>
          </cell>
        </row>
        <row r="144">
          <cell r="A144" t="str">
            <v>UAA15176</v>
          </cell>
          <cell r="D144" t="str">
            <v>A01</v>
          </cell>
        </row>
        <row r="145">
          <cell r="A145" t="str">
            <v>UAA15523</v>
          </cell>
          <cell r="D145" t="str">
            <v>A01</v>
          </cell>
        </row>
        <row r="146">
          <cell r="A146" t="str">
            <v>UAA15564</v>
          </cell>
          <cell r="D146" t="str">
            <v>A01</v>
          </cell>
        </row>
        <row r="147">
          <cell r="A147" t="str">
            <v>UAA15574</v>
          </cell>
          <cell r="D147" t="str">
            <v>A01</v>
          </cell>
        </row>
        <row r="148">
          <cell r="A148" t="str">
            <v>UAA15710</v>
          </cell>
          <cell r="D148" t="str">
            <v>A01</v>
          </cell>
        </row>
        <row r="149">
          <cell r="A149" t="str">
            <v>UAA21301</v>
          </cell>
          <cell r="D149" t="str">
            <v>A01</v>
          </cell>
        </row>
        <row r="150">
          <cell r="A150" t="str">
            <v>UAA25001</v>
          </cell>
          <cell r="D150" t="str">
            <v>A01</v>
          </cell>
        </row>
        <row r="151">
          <cell r="A151" t="str">
            <v>UAA25020</v>
          </cell>
          <cell r="D151" t="str">
            <v>A01</v>
          </cell>
        </row>
        <row r="152">
          <cell r="A152" t="str">
            <v>UAA25201</v>
          </cell>
          <cell r="D152" t="str">
            <v>A01</v>
          </cell>
        </row>
        <row r="153">
          <cell r="A153" t="str">
            <v>UAA35310</v>
          </cell>
          <cell r="D153" t="str">
            <v>A01</v>
          </cell>
        </row>
        <row r="154">
          <cell r="A154" t="str">
            <v>UAA40002</v>
          </cell>
          <cell r="D154" t="str">
            <v>A01</v>
          </cell>
        </row>
        <row r="155">
          <cell r="A155" t="str">
            <v>UAA40003</v>
          </cell>
          <cell r="D155" t="str">
            <v>A01</v>
          </cell>
        </row>
        <row r="156">
          <cell r="A156" t="str">
            <v>UAA45204</v>
          </cell>
          <cell r="D156" t="str">
            <v>A01</v>
          </cell>
        </row>
        <row r="157">
          <cell r="A157" t="str">
            <v>UAA45205</v>
          </cell>
          <cell r="D157" t="str">
            <v>A01</v>
          </cell>
        </row>
        <row r="158">
          <cell r="A158" t="str">
            <v>UAA50010</v>
          </cell>
          <cell r="D158" t="str">
            <v>A01</v>
          </cell>
        </row>
        <row r="159">
          <cell r="A159" t="str">
            <v>UAA50120</v>
          </cell>
          <cell r="D159" t="str">
            <v>A01</v>
          </cell>
        </row>
        <row r="160">
          <cell r="A160" t="str">
            <v>UAA50122</v>
          </cell>
          <cell r="D160" t="str">
            <v>A01</v>
          </cell>
        </row>
        <row r="161">
          <cell r="A161" t="str">
            <v>UAA50125</v>
          </cell>
          <cell r="D161" t="str">
            <v>A01</v>
          </cell>
        </row>
        <row r="162">
          <cell r="A162" t="str">
            <v>UAA55011</v>
          </cell>
          <cell r="D162" t="str">
            <v>A01</v>
          </cell>
        </row>
        <row r="163">
          <cell r="A163" t="str">
            <v>UAV10071</v>
          </cell>
          <cell r="D163" t="str">
            <v>A01</v>
          </cell>
        </row>
        <row r="164">
          <cell r="A164" t="str">
            <v>UAV30120</v>
          </cell>
          <cell r="D164" t="str">
            <v>A01</v>
          </cell>
        </row>
        <row r="165">
          <cell r="A165" t="str">
            <v>UAV30122</v>
          </cell>
          <cell r="D165" t="str">
            <v>A01</v>
          </cell>
        </row>
        <row r="166">
          <cell r="A166" t="str">
            <v>UAV30125</v>
          </cell>
          <cell r="D166" t="str">
            <v>A01</v>
          </cell>
        </row>
        <row r="167">
          <cell r="A167" t="str">
            <v>UEZ50370</v>
          </cell>
          <cell r="D167" t="str">
            <v>A01</v>
          </cell>
        </row>
        <row r="168">
          <cell r="A168" t="str">
            <v>BGC10010</v>
          </cell>
          <cell r="D168" t="str">
            <v>A02</v>
          </cell>
        </row>
        <row r="169">
          <cell r="A169" t="str">
            <v>MAZ30010</v>
          </cell>
          <cell r="D169" t="str">
            <v>A02</v>
          </cell>
        </row>
        <row r="170">
          <cell r="A170" t="str">
            <v>MGI20305</v>
          </cell>
          <cell r="D170" t="str">
            <v>A02</v>
          </cell>
        </row>
        <row r="171">
          <cell r="A171" t="str">
            <v>MGI20306</v>
          </cell>
          <cell r="D171" t="str">
            <v>A02</v>
          </cell>
        </row>
        <row r="172">
          <cell r="A172" t="str">
            <v>QEF82001</v>
          </cell>
          <cell r="D172" t="str">
            <v>A02</v>
          </cell>
        </row>
        <row r="173">
          <cell r="A173" t="str">
            <v>SAC17031</v>
          </cell>
          <cell r="D173" t="str">
            <v>A02</v>
          </cell>
        </row>
        <row r="174">
          <cell r="A174" t="str">
            <v>SAC19002</v>
          </cell>
          <cell r="D174" t="str">
            <v>A02</v>
          </cell>
        </row>
        <row r="175">
          <cell r="A175" t="str">
            <v>SAC19005</v>
          </cell>
          <cell r="D175" t="str">
            <v>A02</v>
          </cell>
        </row>
        <row r="176">
          <cell r="A176" t="str">
            <v>SACJ1007</v>
          </cell>
          <cell r="D176" t="str">
            <v>A02</v>
          </cell>
        </row>
        <row r="177">
          <cell r="A177" t="str">
            <v>SACJ3001</v>
          </cell>
          <cell r="D177" t="str">
            <v>A02</v>
          </cell>
        </row>
        <row r="178">
          <cell r="A178" t="str">
            <v>UAC11001</v>
          </cell>
          <cell r="D178" t="str">
            <v>A02</v>
          </cell>
        </row>
        <row r="179">
          <cell r="A179" t="str">
            <v>UAC11101</v>
          </cell>
          <cell r="D179" t="str">
            <v>A02</v>
          </cell>
        </row>
        <row r="180">
          <cell r="A180" t="str">
            <v>UAC11501</v>
          </cell>
          <cell r="D180" t="str">
            <v>A02</v>
          </cell>
        </row>
        <row r="181">
          <cell r="A181" t="str">
            <v>UAC11502</v>
          </cell>
          <cell r="D181" t="str">
            <v>A02</v>
          </cell>
        </row>
        <row r="182">
          <cell r="A182" t="str">
            <v>UAC12001</v>
          </cell>
          <cell r="D182" t="str">
            <v>A02</v>
          </cell>
        </row>
        <row r="183">
          <cell r="A183" t="str">
            <v>UAC20107</v>
          </cell>
          <cell r="D183" t="str">
            <v>A02</v>
          </cell>
        </row>
        <row r="184">
          <cell r="A184" t="str">
            <v>UAC30001</v>
          </cell>
          <cell r="D184" t="str">
            <v>A02</v>
          </cell>
        </row>
        <row r="185">
          <cell r="A185" t="str">
            <v>UAC30100</v>
          </cell>
          <cell r="D185" t="str">
            <v>A02</v>
          </cell>
        </row>
        <row r="186">
          <cell r="A186" t="str">
            <v>UAC30104</v>
          </cell>
          <cell r="D186" t="str">
            <v>A02</v>
          </cell>
        </row>
        <row r="187">
          <cell r="A187" t="str">
            <v>UAC30114</v>
          </cell>
          <cell r="D187" t="str">
            <v>A02</v>
          </cell>
        </row>
        <row r="188">
          <cell r="A188" t="str">
            <v>UAS80030</v>
          </cell>
          <cell r="D188" t="str">
            <v>A02</v>
          </cell>
        </row>
        <row r="189">
          <cell r="A189" t="str">
            <v>UAV10002</v>
          </cell>
          <cell r="D189" t="str">
            <v>A02</v>
          </cell>
        </row>
        <row r="190">
          <cell r="A190" t="str">
            <v>MGA21110</v>
          </cell>
          <cell r="D190" t="str">
            <v>A03</v>
          </cell>
        </row>
        <row r="191">
          <cell r="A191" t="str">
            <v>MGA21113</v>
          </cell>
          <cell r="D191" t="str">
            <v>A03</v>
          </cell>
        </row>
        <row r="192">
          <cell r="A192" t="str">
            <v>MGA22116</v>
          </cell>
          <cell r="D192" t="str">
            <v>A03</v>
          </cell>
        </row>
        <row r="193">
          <cell r="A193" t="str">
            <v>MGA22119</v>
          </cell>
          <cell r="D193" t="str">
            <v>A03</v>
          </cell>
        </row>
        <row r="194">
          <cell r="A194" t="str">
            <v>MGA22122</v>
          </cell>
          <cell r="D194" t="str">
            <v>A03</v>
          </cell>
        </row>
        <row r="195">
          <cell r="A195" t="str">
            <v>MGA22125</v>
          </cell>
          <cell r="D195" t="str">
            <v>A03</v>
          </cell>
        </row>
        <row r="196">
          <cell r="A196" t="str">
            <v>MGJ20507</v>
          </cell>
          <cell r="D196" t="str">
            <v>A04</v>
          </cell>
        </row>
        <row r="197">
          <cell r="A197" t="str">
            <v>UAC10001</v>
          </cell>
          <cell r="D197" t="str">
            <v>A04</v>
          </cell>
        </row>
        <row r="198">
          <cell r="A198" t="str">
            <v>UAC10005</v>
          </cell>
          <cell r="D198" t="str">
            <v>A04</v>
          </cell>
        </row>
        <row r="199">
          <cell r="A199" t="str">
            <v>UAC10310</v>
          </cell>
          <cell r="D199" t="str">
            <v>A04</v>
          </cell>
        </row>
        <row r="200">
          <cell r="A200" t="str">
            <v>UAC10314</v>
          </cell>
          <cell r="D200" t="str">
            <v>A04</v>
          </cell>
        </row>
        <row r="201">
          <cell r="A201" t="str">
            <v>UAC10515</v>
          </cell>
          <cell r="D201" t="str">
            <v>A04</v>
          </cell>
        </row>
        <row r="202">
          <cell r="A202" t="str">
            <v>UAC12010</v>
          </cell>
          <cell r="D202" t="str">
            <v>A04</v>
          </cell>
        </row>
        <row r="203">
          <cell r="A203" t="str">
            <v>UAC10363</v>
          </cell>
          <cell r="D203" t="str">
            <v>A05</v>
          </cell>
        </row>
        <row r="204">
          <cell r="A204" t="str">
            <v>BGC01010</v>
          </cell>
          <cell r="D204" t="str">
            <v>A06</v>
          </cell>
        </row>
        <row r="205">
          <cell r="A205" t="str">
            <v>BGZ01003</v>
          </cell>
          <cell r="D205" t="str">
            <v>A06</v>
          </cell>
        </row>
        <row r="206">
          <cell r="A206" t="str">
            <v>MAA80501</v>
          </cell>
          <cell r="D206" t="str">
            <v>A06</v>
          </cell>
        </row>
        <row r="207">
          <cell r="A207" t="str">
            <v>MAC80220</v>
          </cell>
          <cell r="D207" t="str">
            <v>A06</v>
          </cell>
        </row>
        <row r="208">
          <cell r="A208" t="str">
            <v>MGG30001</v>
          </cell>
          <cell r="D208" t="str">
            <v>A06</v>
          </cell>
        </row>
        <row r="209">
          <cell r="A209" t="str">
            <v>MGG50010</v>
          </cell>
          <cell r="D209" t="str">
            <v>A06</v>
          </cell>
        </row>
        <row r="210">
          <cell r="A210" t="str">
            <v>QAJ42670</v>
          </cell>
          <cell r="D210" t="str">
            <v>A06</v>
          </cell>
        </row>
        <row r="211">
          <cell r="A211" t="str">
            <v>QEC33001</v>
          </cell>
          <cell r="D211" t="str">
            <v>A06</v>
          </cell>
        </row>
        <row r="212">
          <cell r="A212" t="str">
            <v>QHB10001</v>
          </cell>
          <cell r="D212" t="str">
            <v>A06</v>
          </cell>
        </row>
        <row r="213">
          <cell r="A213" t="str">
            <v>QIC10001</v>
          </cell>
          <cell r="D213" t="str">
            <v>A06</v>
          </cell>
        </row>
        <row r="214">
          <cell r="A214" t="str">
            <v>SAE10101</v>
          </cell>
          <cell r="D214" t="str">
            <v>A06</v>
          </cell>
        </row>
        <row r="215">
          <cell r="A215" t="str">
            <v>SAE15020</v>
          </cell>
          <cell r="D215" t="str">
            <v>A06</v>
          </cell>
        </row>
        <row r="216">
          <cell r="A216" t="str">
            <v>SAE20101</v>
          </cell>
          <cell r="D216" t="str">
            <v>A06</v>
          </cell>
        </row>
        <row r="217">
          <cell r="A217" t="str">
            <v>SAE55108</v>
          </cell>
          <cell r="D217" t="str">
            <v>A06</v>
          </cell>
        </row>
        <row r="218">
          <cell r="A218" t="str">
            <v>SAE55109</v>
          </cell>
          <cell r="D218" t="str">
            <v>A06</v>
          </cell>
        </row>
        <row r="219">
          <cell r="A219" t="str">
            <v>SAE55110</v>
          </cell>
          <cell r="D219" t="str">
            <v>A06</v>
          </cell>
        </row>
        <row r="220">
          <cell r="A220" t="str">
            <v>SAE75010</v>
          </cell>
          <cell r="D220" t="str">
            <v>A06</v>
          </cell>
        </row>
        <row r="221">
          <cell r="A221" t="str">
            <v>SAE75030</v>
          </cell>
          <cell r="D221" t="str">
            <v>A06</v>
          </cell>
        </row>
        <row r="222">
          <cell r="A222" t="str">
            <v>SAE75040</v>
          </cell>
          <cell r="D222" t="str">
            <v>A06</v>
          </cell>
        </row>
        <row r="223">
          <cell r="A223" t="str">
            <v>SAEJ3001</v>
          </cell>
          <cell r="D223" t="str">
            <v>A06</v>
          </cell>
        </row>
        <row r="224">
          <cell r="A224" t="str">
            <v>SAEJ3002</v>
          </cell>
          <cell r="D224" t="str">
            <v>A06</v>
          </cell>
        </row>
        <row r="225">
          <cell r="A225" t="str">
            <v>SAEJ3003</v>
          </cell>
          <cell r="D225" t="str">
            <v>A06</v>
          </cell>
        </row>
        <row r="226">
          <cell r="A226" t="str">
            <v>SAEJ3004</v>
          </cell>
          <cell r="D226" t="str">
            <v>A06</v>
          </cell>
        </row>
        <row r="227">
          <cell r="A227" t="str">
            <v>SAJ24001</v>
          </cell>
          <cell r="D227" t="str">
            <v>A06</v>
          </cell>
        </row>
        <row r="228">
          <cell r="A228" t="str">
            <v>SAJ60020</v>
          </cell>
          <cell r="D228" t="str">
            <v>A06</v>
          </cell>
        </row>
        <row r="229">
          <cell r="A229" t="str">
            <v>SAJJ1001</v>
          </cell>
          <cell r="D229" t="str">
            <v>A06</v>
          </cell>
        </row>
        <row r="230">
          <cell r="A230" t="str">
            <v>SAPJG010</v>
          </cell>
          <cell r="D230" t="str">
            <v>A06</v>
          </cell>
        </row>
        <row r="231">
          <cell r="A231" t="str">
            <v>SASJ5030</v>
          </cell>
          <cell r="D231" t="str">
            <v>A06</v>
          </cell>
        </row>
        <row r="232">
          <cell r="A232" t="str">
            <v>UAD50190</v>
          </cell>
          <cell r="D232" t="str">
            <v>A06</v>
          </cell>
        </row>
        <row r="233">
          <cell r="A233" t="str">
            <v>UAE50130</v>
          </cell>
          <cell r="D233" t="str">
            <v>A06</v>
          </cell>
        </row>
        <row r="234">
          <cell r="A234" t="str">
            <v>UAJ14155</v>
          </cell>
          <cell r="D234" t="str">
            <v>A06</v>
          </cell>
        </row>
        <row r="235">
          <cell r="A235" t="str">
            <v>UAJ14217</v>
          </cell>
          <cell r="D235" t="str">
            <v>A06</v>
          </cell>
        </row>
        <row r="236">
          <cell r="A236" t="str">
            <v>UAJ15012</v>
          </cell>
          <cell r="D236" t="str">
            <v>A06</v>
          </cell>
        </row>
        <row r="237">
          <cell r="A237" t="str">
            <v>UAJ20030</v>
          </cell>
          <cell r="D237" t="str">
            <v>A06</v>
          </cell>
        </row>
        <row r="238">
          <cell r="A238" t="str">
            <v>UAJ60012</v>
          </cell>
          <cell r="D238" t="str">
            <v>A06</v>
          </cell>
        </row>
        <row r="239">
          <cell r="A239" t="str">
            <v>UAJ60040</v>
          </cell>
          <cell r="D239" t="str">
            <v>A06</v>
          </cell>
        </row>
        <row r="240">
          <cell r="A240" t="str">
            <v>UAJ60050</v>
          </cell>
          <cell r="D240" t="str">
            <v>A06</v>
          </cell>
        </row>
        <row r="241">
          <cell r="A241" t="str">
            <v>UAQ11216</v>
          </cell>
          <cell r="D241" t="str">
            <v>A06</v>
          </cell>
        </row>
        <row r="242">
          <cell r="A242" t="str">
            <v>UAQ11255</v>
          </cell>
          <cell r="D242" t="str">
            <v>A06</v>
          </cell>
        </row>
        <row r="243">
          <cell r="A243" t="str">
            <v>MAC30303</v>
          </cell>
          <cell r="D243" t="str">
            <v>A07</v>
          </cell>
        </row>
        <row r="244">
          <cell r="A244" t="str">
            <v>SAF10008</v>
          </cell>
          <cell r="D244" t="str">
            <v>A07</v>
          </cell>
        </row>
        <row r="245">
          <cell r="A245" t="str">
            <v>SAF20709</v>
          </cell>
          <cell r="D245" t="str">
            <v>A07</v>
          </cell>
        </row>
        <row r="246">
          <cell r="A246" t="str">
            <v>SAF24001</v>
          </cell>
          <cell r="D246" t="str">
            <v>A07</v>
          </cell>
        </row>
        <row r="247">
          <cell r="A247" t="str">
            <v>SAF35202</v>
          </cell>
          <cell r="D247" t="str">
            <v>A07</v>
          </cell>
        </row>
        <row r="248">
          <cell r="A248" t="str">
            <v>SAF40104</v>
          </cell>
          <cell r="D248" t="str">
            <v>A07</v>
          </cell>
        </row>
        <row r="249">
          <cell r="A249" t="str">
            <v>SAF40105</v>
          </cell>
          <cell r="D249" t="str">
            <v>A07</v>
          </cell>
        </row>
        <row r="250">
          <cell r="A250" t="str">
            <v>SAFJ3001</v>
          </cell>
          <cell r="D250" t="str">
            <v>A07</v>
          </cell>
        </row>
        <row r="251">
          <cell r="A251" t="str">
            <v>SAFJ3002</v>
          </cell>
          <cell r="D251" t="str">
            <v>A07</v>
          </cell>
        </row>
        <row r="252">
          <cell r="A252" t="str">
            <v>SAFJ3003</v>
          </cell>
          <cell r="D252" t="str">
            <v>A07</v>
          </cell>
        </row>
        <row r="253">
          <cell r="A253" t="str">
            <v>SAFJ3004</v>
          </cell>
          <cell r="D253" t="str">
            <v>A07</v>
          </cell>
        </row>
        <row r="254">
          <cell r="A254" t="str">
            <v>SAFJ3005</v>
          </cell>
          <cell r="D254" t="str">
            <v>A07</v>
          </cell>
        </row>
        <row r="255">
          <cell r="A255" t="str">
            <v>SAFJ3006</v>
          </cell>
          <cell r="D255" t="str">
            <v>A07</v>
          </cell>
        </row>
        <row r="256">
          <cell r="A256" t="str">
            <v>SAFJ3007</v>
          </cell>
          <cell r="D256" t="str">
            <v>A07</v>
          </cell>
        </row>
        <row r="257">
          <cell r="A257" t="str">
            <v>SAFJ3008</v>
          </cell>
          <cell r="D257" t="str">
            <v>A07</v>
          </cell>
        </row>
        <row r="258">
          <cell r="A258" t="str">
            <v>SAFJ3009</v>
          </cell>
          <cell r="D258" t="str">
            <v>A07</v>
          </cell>
        </row>
        <row r="259">
          <cell r="A259" t="str">
            <v>SAFJ3010</v>
          </cell>
          <cell r="D259" t="str">
            <v>A07</v>
          </cell>
        </row>
        <row r="260">
          <cell r="A260" t="str">
            <v>SAFJ3011</v>
          </cell>
          <cell r="D260" t="str">
            <v>A07</v>
          </cell>
        </row>
        <row r="261">
          <cell r="A261" t="str">
            <v>SAFJ3012</v>
          </cell>
          <cell r="D261" t="str">
            <v>A07</v>
          </cell>
        </row>
        <row r="262">
          <cell r="A262" t="str">
            <v>SARJ3021</v>
          </cell>
          <cell r="D262" t="str">
            <v>A07</v>
          </cell>
        </row>
        <row r="263">
          <cell r="A263" t="str">
            <v>UAF10215</v>
          </cell>
          <cell r="D263" t="str">
            <v>A07</v>
          </cell>
        </row>
        <row r="264">
          <cell r="A264" t="str">
            <v>UAF10235</v>
          </cell>
          <cell r="D264" t="str">
            <v>A07</v>
          </cell>
        </row>
        <row r="265">
          <cell r="A265" t="str">
            <v>UAF20037</v>
          </cell>
          <cell r="D265" t="str">
            <v>A07</v>
          </cell>
        </row>
        <row r="266">
          <cell r="A266" t="str">
            <v>SAF55101</v>
          </cell>
          <cell r="D266" t="str">
            <v>A08</v>
          </cell>
        </row>
        <row r="267">
          <cell r="A267" t="str">
            <v>SAF55102</v>
          </cell>
          <cell r="D267" t="str">
            <v>A08</v>
          </cell>
        </row>
        <row r="268">
          <cell r="A268" t="str">
            <v>SAKPK011</v>
          </cell>
          <cell r="D268" t="str">
            <v>A08</v>
          </cell>
        </row>
        <row r="269">
          <cell r="A269" t="str">
            <v>SAKPK018</v>
          </cell>
          <cell r="D269" t="str">
            <v>A08</v>
          </cell>
        </row>
        <row r="270">
          <cell r="A270" t="str">
            <v>SAR34005</v>
          </cell>
          <cell r="D270" t="str">
            <v>A08</v>
          </cell>
        </row>
        <row r="271">
          <cell r="A271" t="str">
            <v>SARJ3011</v>
          </cell>
          <cell r="D271" t="str">
            <v>A08</v>
          </cell>
        </row>
        <row r="272">
          <cell r="A272" t="str">
            <v>SARJ3017</v>
          </cell>
          <cell r="D272" t="str">
            <v>A08</v>
          </cell>
        </row>
        <row r="273">
          <cell r="A273" t="str">
            <v>SARJ3018</v>
          </cell>
          <cell r="D273" t="str">
            <v>A08</v>
          </cell>
        </row>
        <row r="274">
          <cell r="A274" t="str">
            <v>SARJ3019</v>
          </cell>
          <cell r="D274" t="str">
            <v>A08</v>
          </cell>
        </row>
        <row r="275">
          <cell r="A275" t="str">
            <v>SARJ3020</v>
          </cell>
          <cell r="D275" t="str">
            <v>A08</v>
          </cell>
        </row>
        <row r="276">
          <cell r="A276" t="str">
            <v>SARJ3022</v>
          </cell>
          <cell r="D276" t="str">
            <v>A08</v>
          </cell>
        </row>
        <row r="277">
          <cell r="A277" t="str">
            <v>SARJ3034</v>
          </cell>
          <cell r="D277" t="str">
            <v>A08</v>
          </cell>
        </row>
        <row r="278">
          <cell r="A278" t="str">
            <v>SARJ9023</v>
          </cell>
          <cell r="D278" t="str">
            <v>A08</v>
          </cell>
        </row>
        <row r="279">
          <cell r="A279" t="str">
            <v>SARJ9032</v>
          </cell>
          <cell r="D279" t="str">
            <v>A08</v>
          </cell>
        </row>
        <row r="280">
          <cell r="A280" t="str">
            <v>SARJ9066</v>
          </cell>
          <cell r="D280" t="str">
            <v>A08</v>
          </cell>
        </row>
        <row r="281">
          <cell r="A281" t="str">
            <v>SARJ9067</v>
          </cell>
          <cell r="D281" t="str">
            <v>A08</v>
          </cell>
        </row>
        <row r="282">
          <cell r="A282" t="str">
            <v>SARJ9073</v>
          </cell>
          <cell r="D282" t="str">
            <v>A08</v>
          </cell>
        </row>
        <row r="283">
          <cell r="A283" t="str">
            <v>SARJ9077</v>
          </cell>
          <cell r="D283" t="str">
            <v>A08</v>
          </cell>
        </row>
        <row r="284">
          <cell r="A284" t="str">
            <v>SARJ9078</v>
          </cell>
          <cell r="D284" t="str">
            <v>A08</v>
          </cell>
        </row>
        <row r="285">
          <cell r="A285" t="str">
            <v>SARJ9079</v>
          </cell>
          <cell r="D285" t="str">
            <v>A08</v>
          </cell>
        </row>
        <row r="286">
          <cell r="A286" t="str">
            <v>SARJ9081</v>
          </cell>
          <cell r="D286" t="str">
            <v>A08</v>
          </cell>
        </row>
        <row r="287">
          <cell r="A287" t="str">
            <v>SARJ9098</v>
          </cell>
          <cell r="D287" t="str">
            <v>A08</v>
          </cell>
        </row>
        <row r="288">
          <cell r="A288" t="str">
            <v>SAUJD104</v>
          </cell>
          <cell r="D288" t="str">
            <v>A08</v>
          </cell>
        </row>
        <row r="289">
          <cell r="A289" t="str">
            <v>SAUJD200</v>
          </cell>
          <cell r="D289" t="str">
            <v>A08</v>
          </cell>
        </row>
        <row r="290">
          <cell r="A290" t="str">
            <v>SAUJD203</v>
          </cell>
          <cell r="D290" t="str">
            <v>A08</v>
          </cell>
        </row>
        <row r="291">
          <cell r="A291" t="str">
            <v>SAUJD206</v>
          </cell>
          <cell r="D291" t="str">
            <v>A08</v>
          </cell>
        </row>
        <row r="292">
          <cell r="A292" t="str">
            <v>UAK30010</v>
          </cell>
          <cell r="D292" t="str">
            <v>A08</v>
          </cell>
        </row>
        <row r="293">
          <cell r="A293" t="str">
            <v>UCF02010</v>
          </cell>
          <cell r="D293" t="str">
            <v>A08</v>
          </cell>
        </row>
        <row r="294">
          <cell r="A294" t="str">
            <v>MAG50705</v>
          </cell>
          <cell r="D294" t="str">
            <v>A09</v>
          </cell>
        </row>
        <row r="295">
          <cell r="A295" t="str">
            <v>MAH80710</v>
          </cell>
          <cell r="D295" t="str">
            <v>A09</v>
          </cell>
        </row>
        <row r="296">
          <cell r="A296" t="str">
            <v>MAI40101</v>
          </cell>
          <cell r="D296" t="str">
            <v>A09</v>
          </cell>
        </row>
        <row r="297">
          <cell r="A297" t="str">
            <v>MAN50001</v>
          </cell>
          <cell r="D297" t="str">
            <v>A09</v>
          </cell>
        </row>
        <row r="298">
          <cell r="A298" t="str">
            <v>MAN70110</v>
          </cell>
          <cell r="D298" t="str">
            <v>A09</v>
          </cell>
        </row>
        <row r="299">
          <cell r="A299" t="str">
            <v>SAE60027</v>
          </cell>
          <cell r="D299" t="str">
            <v>A09</v>
          </cell>
        </row>
        <row r="300">
          <cell r="A300" t="str">
            <v>SAG11010</v>
          </cell>
          <cell r="D300" t="str">
            <v>A09</v>
          </cell>
        </row>
        <row r="301">
          <cell r="A301" t="str">
            <v>SAGJ3002</v>
          </cell>
          <cell r="D301" t="str">
            <v>A09</v>
          </cell>
        </row>
        <row r="302">
          <cell r="A302" t="str">
            <v>SAGJ3003</v>
          </cell>
          <cell r="D302" t="str">
            <v>A09</v>
          </cell>
        </row>
        <row r="303">
          <cell r="A303" t="str">
            <v>SAGJ3004</v>
          </cell>
          <cell r="D303" t="str">
            <v>A09</v>
          </cell>
        </row>
        <row r="304">
          <cell r="A304" t="str">
            <v>SAGJ3005</v>
          </cell>
          <cell r="D304" t="str">
            <v>A09</v>
          </cell>
        </row>
        <row r="305">
          <cell r="A305" t="str">
            <v>SAGJ3006</v>
          </cell>
          <cell r="D305" t="str">
            <v>A09</v>
          </cell>
        </row>
        <row r="306">
          <cell r="A306" t="str">
            <v>SAGJ3007</v>
          </cell>
          <cell r="D306" t="str">
            <v>A09</v>
          </cell>
        </row>
        <row r="307">
          <cell r="A307" t="str">
            <v>SAGJ3008</v>
          </cell>
          <cell r="D307" t="str">
            <v>A09</v>
          </cell>
        </row>
        <row r="308">
          <cell r="A308" t="str">
            <v>SAGJ3009</v>
          </cell>
          <cell r="D308" t="str">
            <v>A09</v>
          </cell>
        </row>
        <row r="309">
          <cell r="A309" t="str">
            <v>SAGJ3010</v>
          </cell>
          <cell r="D309" t="str">
            <v>A09</v>
          </cell>
        </row>
        <row r="310">
          <cell r="A310" t="str">
            <v>SAGJ3011</v>
          </cell>
          <cell r="D310" t="str">
            <v>A09</v>
          </cell>
        </row>
        <row r="311">
          <cell r="A311" t="str">
            <v>SAGJ3012</v>
          </cell>
          <cell r="D311" t="str">
            <v>A09</v>
          </cell>
        </row>
        <row r="312">
          <cell r="A312" t="str">
            <v>SAGJ3013</v>
          </cell>
          <cell r="D312" t="str">
            <v>A09</v>
          </cell>
        </row>
        <row r="313">
          <cell r="A313" t="str">
            <v>SAGJ3014</v>
          </cell>
          <cell r="D313" t="str">
            <v>A09</v>
          </cell>
        </row>
        <row r="314">
          <cell r="A314" t="str">
            <v>SAGJ3015</v>
          </cell>
          <cell r="D314" t="str">
            <v>A09</v>
          </cell>
        </row>
        <row r="315">
          <cell r="A315" t="str">
            <v>SAGJ3016</v>
          </cell>
          <cell r="D315" t="str">
            <v>A09</v>
          </cell>
        </row>
        <row r="316">
          <cell r="A316" t="str">
            <v>SAH41014</v>
          </cell>
          <cell r="D316" t="str">
            <v>A09</v>
          </cell>
        </row>
        <row r="317">
          <cell r="A317" t="str">
            <v>SAH47010</v>
          </cell>
          <cell r="D317" t="str">
            <v>A09</v>
          </cell>
        </row>
        <row r="318">
          <cell r="A318" t="str">
            <v>SAHJ2076</v>
          </cell>
          <cell r="D318" t="str">
            <v>A09</v>
          </cell>
        </row>
        <row r="319">
          <cell r="A319" t="str">
            <v>SAHJ2077</v>
          </cell>
          <cell r="D319" t="str">
            <v>A09</v>
          </cell>
        </row>
        <row r="320">
          <cell r="A320" t="str">
            <v>SAHJ2078</v>
          </cell>
          <cell r="D320" t="str">
            <v>A09</v>
          </cell>
        </row>
        <row r="321">
          <cell r="A321" t="str">
            <v>SAHJ2079</v>
          </cell>
          <cell r="D321" t="str">
            <v>A09</v>
          </cell>
        </row>
        <row r="322">
          <cell r="A322" t="str">
            <v>SAHJ3096</v>
          </cell>
          <cell r="D322" t="str">
            <v>A09</v>
          </cell>
        </row>
        <row r="323">
          <cell r="A323" t="str">
            <v>SAHJ3097</v>
          </cell>
          <cell r="D323" t="str">
            <v>A09</v>
          </cell>
        </row>
        <row r="324">
          <cell r="A324" t="str">
            <v>SAHJ3098</v>
          </cell>
          <cell r="D324" t="str">
            <v>A09</v>
          </cell>
        </row>
        <row r="325">
          <cell r="A325" t="str">
            <v>SAHJ3099</v>
          </cell>
          <cell r="D325" t="str">
            <v>A09</v>
          </cell>
        </row>
        <row r="326">
          <cell r="A326" t="str">
            <v>SAHJ3100</v>
          </cell>
          <cell r="D326" t="str">
            <v>A09</v>
          </cell>
        </row>
        <row r="327">
          <cell r="A327" t="str">
            <v>SAHJ3101</v>
          </cell>
          <cell r="D327" t="str">
            <v>A09</v>
          </cell>
        </row>
        <row r="328">
          <cell r="A328" t="str">
            <v>SAHJ3102</v>
          </cell>
          <cell r="D328" t="str">
            <v>A09</v>
          </cell>
        </row>
        <row r="329">
          <cell r="A329" t="str">
            <v>SAHJ3103</v>
          </cell>
          <cell r="D329" t="str">
            <v>A09</v>
          </cell>
        </row>
        <row r="330">
          <cell r="A330" t="str">
            <v>SAHJ3104</v>
          </cell>
          <cell r="D330" t="str">
            <v>A09</v>
          </cell>
        </row>
        <row r="331">
          <cell r="A331" t="str">
            <v>SAHJ3105</v>
          </cell>
          <cell r="D331" t="str">
            <v>A09</v>
          </cell>
        </row>
        <row r="332">
          <cell r="A332" t="str">
            <v>SAHJ3106</v>
          </cell>
          <cell r="D332" t="str">
            <v>A09</v>
          </cell>
        </row>
        <row r="333">
          <cell r="A333" t="str">
            <v>SAHJ3116</v>
          </cell>
          <cell r="D333" t="str">
            <v>A09</v>
          </cell>
        </row>
        <row r="334">
          <cell r="A334" t="str">
            <v>SAHJ3117</v>
          </cell>
          <cell r="D334" t="str">
            <v>A09</v>
          </cell>
        </row>
        <row r="335">
          <cell r="A335" t="str">
            <v>SAHJ3118</v>
          </cell>
          <cell r="D335" t="str">
            <v>A09</v>
          </cell>
        </row>
        <row r="336">
          <cell r="A336" t="str">
            <v>SAHJ3119</v>
          </cell>
          <cell r="D336" t="str">
            <v>A09</v>
          </cell>
        </row>
        <row r="337">
          <cell r="A337" t="str">
            <v>SAHJ3121</v>
          </cell>
          <cell r="D337" t="str">
            <v>A09</v>
          </cell>
        </row>
        <row r="338">
          <cell r="A338" t="str">
            <v>SAHJ3122</v>
          </cell>
          <cell r="D338" t="str">
            <v>A09</v>
          </cell>
        </row>
        <row r="339">
          <cell r="A339" t="str">
            <v>SAHJ3123</v>
          </cell>
          <cell r="D339" t="str">
            <v>A09</v>
          </cell>
        </row>
        <row r="340">
          <cell r="A340" t="str">
            <v>SAHJ3124</v>
          </cell>
          <cell r="D340" t="str">
            <v>A09</v>
          </cell>
        </row>
        <row r="341">
          <cell r="A341" t="str">
            <v>SAHJ3125</v>
          </cell>
          <cell r="D341" t="str">
            <v>A09</v>
          </cell>
        </row>
        <row r="342">
          <cell r="A342" t="str">
            <v>SAHJ3126</v>
          </cell>
          <cell r="D342" t="str">
            <v>A09</v>
          </cell>
        </row>
        <row r="343">
          <cell r="A343" t="str">
            <v>SAIJ3684</v>
          </cell>
          <cell r="D343" t="str">
            <v>A09</v>
          </cell>
        </row>
        <row r="344">
          <cell r="A344" t="str">
            <v>SAIJ3685</v>
          </cell>
          <cell r="D344" t="str">
            <v>A09</v>
          </cell>
        </row>
        <row r="345">
          <cell r="A345" t="str">
            <v>SAM00004</v>
          </cell>
          <cell r="D345" t="str">
            <v>A09</v>
          </cell>
        </row>
        <row r="346">
          <cell r="A346" t="str">
            <v>SAM30501</v>
          </cell>
          <cell r="D346" t="str">
            <v>A09</v>
          </cell>
        </row>
        <row r="347">
          <cell r="A347" t="str">
            <v>SAS60340</v>
          </cell>
          <cell r="D347" t="str">
            <v>A09</v>
          </cell>
        </row>
        <row r="348">
          <cell r="A348" t="str">
            <v>SAS60350</v>
          </cell>
          <cell r="D348" t="str">
            <v>A09</v>
          </cell>
        </row>
        <row r="349">
          <cell r="A349" t="str">
            <v>SASJ3020</v>
          </cell>
          <cell r="D349" t="str">
            <v>A09</v>
          </cell>
        </row>
        <row r="350">
          <cell r="A350" t="str">
            <v>UAH30001</v>
          </cell>
          <cell r="D350" t="str">
            <v>A09</v>
          </cell>
        </row>
        <row r="351">
          <cell r="A351" t="str">
            <v>UAM20020</v>
          </cell>
          <cell r="D351" t="str">
            <v>A09</v>
          </cell>
        </row>
        <row r="352">
          <cell r="A352" t="str">
            <v>UAS12212</v>
          </cell>
          <cell r="D352" t="str">
            <v>A09</v>
          </cell>
        </row>
        <row r="353">
          <cell r="A353" t="str">
            <v>UAS60010</v>
          </cell>
          <cell r="D353" t="str">
            <v>A09</v>
          </cell>
        </row>
        <row r="354">
          <cell r="A354" t="str">
            <v>MAH80353</v>
          </cell>
          <cell r="D354" t="str">
            <v>A10</v>
          </cell>
        </row>
        <row r="355">
          <cell r="A355" t="str">
            <v>MAH80820</v>
          </cell>
          <cell r="D355" t="str">
            <v>A10</v>
          </cell>
        </row>
        <row r="356">
          <cell r="A356" t="str">
            <v>MAZ20023</v>
          </cell>
          <cell r="D356" t="str">
            <v>A10</v>
          </cell>
        </row>
        <row r="357">
          <cell r="A357" t="str">
            <v>MAZ20060</v>
          </cell>
          <cell r="D357" t="str">
            <v>A10</v>
          </cell>
        </row>
        <row r="358">
          <cell r="A358" t="str">
            <v>MMA60109</v>
          </cell>
          <cell r="D358" t="str">
            <v>A10</v>
          </cell>
        </row>
        <row r="359">
          <cell r="A359" t="str">
            <v>MMA60208</v>
          </cell>
          <cell r="D359" t="str">
            <v>A10</v>
          </cell>
        </row>
        <row r="360">
          <cell r="A360" t="str">
            <v>MMA60213</v>
          </cell>
          <cell r="D360" t="str">
            <v>A10</v>
          </cell>
        </row>
        <row r="361">
          <cell r="A361" t="str">
            <v>MMJ32142</v>
          </cell>
          <cell r="D361" t="str">
            <v>A10</v>
          </cell>
        </row>
        <row r="362">
          <cell r="A362" t="str">
            <v>MMJ32143</v>
          </cell>
          <cell r="D362" t="str">
            <v>A10</v>
          </cell>
        </row>
        <row r="363">
          <cell r="A363" t="str">
            <v>MMO31916</v>
          </cell>
          <cell r="D363" t="str">
            <v>A10</v>
          </cell>
        </row>
        <row r="364">
          <cell r="A364" t="str">
            <v>SAC21800</v>
          </cell>
          <cell r="D364" t="str">
            <v>A10</v>
          </cell>
        </row>
        <row r="365">
          <cell r="A365" t="str">
            <v>SAH80006</v>
          </cell>
          <cell r="D365" t="str">
            <v>A10</v>
          </cell>
        </row>
        <row r="366">
          <cell r="A366" t="str">
            <v>SAIJ2717</v>
          </cell>
          <cell r="D366" t="str">
            <v>A10</v>
          </cell>
        </row>
        <row r="367">
          <cell r="A367" t="str">
            <v>SAIJ2719</v>
          </cell>
          <cell r="D367" t="str">
            <v>A10</v>
          </cell>
        </row>
        <row r="368">
          <cell r="A368" t="str">
            <v>SAJ80001</v>
          </cell>
          <cell r="D368" t="str">
            <v>A10</v>
          </cell>
        </row>
        <row r="369">
          <cell r="A369" t="str">
            <v>SAKPK007</v>
          </cell>
          <cell r="D369" t="str">
            <v>A10</v>
          </cell>
        </row>
        <row r="370">
          <cell r="A370" t="str">
            <v>SAKPK008</v>
          </cell>
          <cell r="D370" t="str">
            <v>A10</v>
          </cell>
        </row>
        <row r="371">
          <cell r="A371" t="str">
            <v>SAL38003</v>
          </cell>
          <cell r="D371" t="str">
            <v>A10</v>
          </cell>
        </row>
        <row r="372">
          <cell r="A372" t="str">
            <v>SAL38004</v>
          </cell>
          <cell r="D372" t="str">
            <v>A10</v>
          </cell>
        </row>
        <row r="373">
          <cell r="A373" t="str">
            <v>SAL38005</v>
          </cell>
          <cell r="D373" t="str">
            <v>A10</v>
          </cell>
        </row>
        <row r="374">
          <cell r="A374" t="str">
            <v>SAL39001</v>
          </cell>
          <cell r="D374" t="str">
            <v>A10</v>
          </cell>
        </row>
        <row r="375">
          <cell r="A375" t="str">
            <v>SAS30006</v>
          </cell>
          <cell r="D375" t="str">
            <v>A10</v>
          </cell>
        </row>
        <row r="376">
          <cell r="A376" t="str">
            <v>SAS80038</v>
          </cell>
          <cell r="D376" t="str">
            <v>A10</v>
          </cell>
        </row>
        <row r="377">
          <cell r="A377" t="str">
            <v>SAS80328</v>
          </cell>
          <cell r="D377" t="str">
            <v>A10</v>
          </cell>
        </row>
        <row r="378">
          <cell r="A378" t="str">
            <v>SAS81320</v>
          </cell>
          <cell r="D378" t="str">
            <v>A10</v>
          </cell>
        </row>
        <row r="379">
          <cell r="A379" t="str">
            <v>SAS81321</v>
          </cell>
          <cell r="D379" t="str">
            <v>A10</v>
          </cell>
        </row>
        <row r="380">
          <cell r="A380" t="str">
            <v>SAS81325</v>
          </cell>
          <cell r="D380" t="str">
            <v>A10</v>
          </cell>
        </row>
        <row r="381">
          <cell r="A381" t="str">
            <v>SAS81329</v>
          </cell>
          <cell r="D381" t="str">
            <v>A10</v>
          </cell>
        </row>
        <row r="382">
          <cell r="A382" t="str">
            <v>SASJ3011</v>
          </cell>
          <cell r="D382" t="str">
            <v>A10</v>
          </cell>
        </row>
        <row r="383">
          <cell r="A383" t="str">
            <v>SASJ3012</v>
          </cell>
          <cell r="D383" t="str">
            <v>A10</v>
          </cell>
        </row>
        <row r="384">
          <cell r="A384" t="str">
            <v>SASJ3013</v>
          </cell>
          <cell r="D384" t="str">
            <v>A10</v>
          </cell>
        </row>
        <row r="385">
          <cell r="A385" t="str">
            <v>SASJ3014</v>
          </cell>
          <cell r="D385" t="str">
            <v>A10</v>
          </cell>
        </row>
        <row r="386">
          <cell r="A386" t="str">
            <v>SASJ3015</v>
          </cell>
          <cell r="D386" t="str">
            <v>A10</v>
          </cell>
        </row>
        <row r="387">
          <cell r="A387" t="str">
            <v>SASJ3016</v>
          </cell>
          <cell r="D387" t="str">
            <v>A10</v>
          </cell>
        </row>
        <row r="388">
          <cell r="A388" t="str">
            <v>SASJ3017</v>
          </cell>
          <cell r="D388" t="str">
            <v>A10</v>
          </cell>
        </row>
        <row r="389">
          <cell r="A389" t="str">
            <v>SASJ3018</v>
          </cell>
          <cell r="D389" t="str">
            <v>A10</v>
          </cell>
        </row>
        <row r="390">
          <cell r="A390" t="str">
            <v>SASJ3019</v>
          </cell>
          <cell r="D390" t="str">
            <v>A10</v>
          </cell>
        </row>
        <row r="391">
          <cell r="A391" t="str">
            <v>SASJ3021</v>
          </cell>
          <cell r="D391" t="str">
            <v>A10</v>
          </cell>
        </row>
        <row r="392">
          <cell r="A392" t="str">
            <v>SASJ3022</v>
          </cell>
          <cell r="D392" t="str">
            <v>A10</v>
          </cell>
        </row>
        <row r="393">
          <cell r="A393" t="str">
            <v>SASJ3023</v>
          </cell>
          <cell r="D393" t="str">
            <v>A10</v>
          </cell>
        </row>
        <row r="394">
          <cell r="A394" t="str">
            <v>SASJ3046</v>
          </cell>
          <cell r="D394" t="str">
            <v>A10</v>
          </cell>
        </row>
        <row r="395">
          <cell r="A395" t="str">
            <v>SASJ3047</v>
          </cell>
          <cell r="D395" t="str">
            <v>A10</v>
          </cell>
        </row>
        <row r="396">
          <cell r="A396" t="str">
            <v>SASJ3048</v>
          </cell>
          <cell r="D396" t="str">
            <v>A10</v>
          </cell>
        </row>
        <row r="397">
          <cell r="A397" t="str">
            <v>SASJ3049</v>
          </cell>
          <cell r="D397" t="str">
            <v>A10</v>
          </cell>
        </row>
        <row r="398">
          <cell r="A398" t="str">
            <v>SASJ3050</v>
          </cell>
          <cell r="D398" t="str">
            <v>A10</v>
          </cell>
        </row>
        <row r="399">
          <cell r="A399" t="str">
            <v>SASJ3051</v>
          </cell>
          <cell r="D399" t="str">
            <v>A10</v>
          </cell>
        </row>
        <row r="400">
          <cell r="A400" t="str">
            <v>SASJ3052</v>
          </cell>
          <cell r="D400" t="str">
            <v>A10</v>
          </cell>
        </row>
        <row r="401">
          <cell r="A401" t="str">
            <v>SASJ3053</v>
          </cell>
          <cell r="D401" t="str">
            <v>A10</v>
          </cell>
        </row>
        <row r="402">
          <cell r="A402" t="str">
            <v>SASJ3054</v>
          </cell>
          <cell r="D402" t="str">
            <v>A10</v>
          </cell>
        </row>
        <row r="403">
          <cell r="A403" t="str">
            <v>SASJ3055</v>
          </cell>
          <cell r="D403" t="str">
            <v>A10</v>
          </cell>
        </row>
        <row r="404">
          <cell r="A404" t="str">
            <v>SASJ3056</v>
          </cell>
          <cell r="D404" t="str">
            <v>A10</v>
          </cell>
        </row>
        <row r="405">
          <cell r="A405" t="str">
            <v>SASJ3057</v>
          </cell>
          <cell r="D405" t="str">
            <v>A10</v>
          </cell>
        </row>
        <row r="406">
          <cell r="A406" t="str">
            <v>SASJ3058</v>
          </cell>
          <cell r="D406" t="str">
            <v>A10</v>
          </cell>
        </row>
        <row r="407">
          <cell r="A407" t="str">
            <v>SASJ3059</v>
          </cell>
          <cell r="D407" t="str">
            <v>A10</v>
          </cell>
        </row>
        <row r="408">
          <cell r="A408" t="str">
            <v>SASJ3060</v>
          </cell>
          <cell r="D408" t="str">
            <v>A10</v>
          </cell>
        </row>
        <row r="409">
          <cell r="A409" t="str">
            <v>SASJ3061</v>
          </cell>
          <cell r="D409" t="str">
            <v>A10</v>
          </cell>
        </row>
        <row r="410">
          <cell r="A410" t="str">
            <v>SASJ3062</v>
          </cell>
          <cell r="D410" t="str">
            <v>A10</v>
          </cell>
        </row>
        <row r="411">
          <cell r="A411" t="str">
            <v>SASJ3063</v>
          </cell>
          <cell r="D411" t="str">
            <v>A10</v>
          </cell>
        </row>
        <row r="412">
          <cell r="A412" t="str">
            <v>SASJ3064</v>
          </cell>
          <cell r="D412" t="str">
            <v>A10</v>
          </cell>
        </row>
        <row r="413">
          <cell r="A413" t="str">
            <v>SASJ3065</v>
          </cell>
          <cell r="D413" t="str">
            <v>A10</v>
          </cell>
        </row>
        <row r="414">
          <cell r="A414" t="str">
            <v>SASJ3066</v>
          </cell>
          <cell r="D414" t="str">
            <v>A10</v>
          </cell>
        </row>
        <row r="415">
          <cell r="A415" t="str">
            <v>SASJ3067</v>
          </cell>
          <cell r="D415" t="str">
            <v>A10</v>
          </cell>
        </row>
        <row r="416">
          <cell r="A416" t="str">
            <v>SASJ3068</v>
          </cell>
          <cell r="D416" t="str">
            <v>A10</v>
          </cell>
        </row>
        <row r="417">
          <cell r="A417" t="str">
            <v>SASJ3069</v>
          </cell>
          <cell r="D417" t="str">
            <v>A10</v>
          </cell>
        </row>
        <row r="418">
          <cell r="A418" t="str">
            <v>SASJ3070</v>
          </cell>
          <cell r="D418" t="str">
            <v>A10</v>
          </cell>
        </row>
        <row r="419">
          <cell r="A419" t="str">
            <v>SASJ3071</v>
          </cell>
          <cell r="D419" t="str">
            <v>A10</v>
          </cell>
        </row>
        <row r="420">
          <cell r="A420" t="str">
            <v>SASJ3072</v>
          </cell>
          <cell r="D420" t="str">
            <v>A10</v>
          </cell>
        </row>
        <row r="421">
          <cell r="A421" t="str">
            <v>SASJ3073</v>
          </cell>
          <cell r="D421" t="str">
            <v>A10</v>
          </cell>
        </row>
        <row r="422">
          <cell r="A422" t="str">
            <v>SASJ3074</v>
          </cell>
          <cell r="D422" t="str">
            <v>A10</v>
          </cell>
        </row>
        <row r="423">
          <cell r="A423" t="str">
            <v>SASJ8163</v>
          </cell>
          <cell r="D423" t="str">
            <v>A10</v>
          </cell>
        </row>
        <row r="424">
          <cell r="A424" t="str">
            <v>SASJ8178</v>
          </cell>
          <cell r="D424" t="str">
            <v>A10</v>
          </cell>
        </row>
        <row r="425">
          <cell r="A425" t="str">
            <v>SAUOB101</v>
          </cell>
          <cell r="D425" t="str">
            <v>A10</v>
          </cell>
        </row>
        <row r="426">
          <cell r="A426" t="str">
            <v>SAV60414</v>
          </cell>
          <cell r="D426" t="str">
            <v>A10</v>
          </cell>
        </row>
        <row r="427">
          <cell r="A427" t="str">
            <v>UAD40111</v>
          </cell>
          <cell r="D427" t="str">
            <v>A10</v>
          </cell>
        </row>
        <row r="428">
          <cell r="A428" t="str">
            <v>UAD50185</v>
          </cell>
          <cell r="D428" t="str">
            <v>A10</v>
          </cell>
        </row>
        <row r="429">
          <cell r="A429" t="str">
            <v>UAD50227</v>
          </cell>
          <cell r="D429" t="str">
            <v>A10</v>
          </cell>
        </row>
        <row r="430">
          <cell r="A430" t="str">
            <v>UAJ30230</v>
          </cell>
          <cell r="D430" t="str">
            <v>A10</v>
          </cell>
        </row>
        <row r="431">
          <cell r="A431" t="str">
            <v>UAS05001</v>
          </cell>
          <cell r="D431" t="str">
            <v>A10</v>
          </cell>
        </row>
        <row r="432">
          <cell r="A432" t="str">
            <v>UAS42616</v>
          </cell>
          <cell r="D432" t="str">
            <v>A10</v>
          </cell>
        </row>
        <row r="433">
          <cell r="A433" t="str">
            <v>UAS43014</v>
          </cell>
          <cell r="D433" t="str">
            <v>A10</v>
          </cell>
        </row>
        <row r="434">
          <cell r="A434" t="str">
            <v>UAS50350</v>
          </cell>
          <cell r="D434" t="str">
            <v>A10</v>
          </cell>
        </row>
        <row r="435">
          <cell r="A435" t="str">
            <v>UAS72001</v>
          </cell>
          <cell r="D435" t="str">
            <v>A10</v>
          </cell>
        </row>
        <row r="436">
          <cell r="A436" t="str">
            <v>UAS72003</v>
          </cell>
          <cell r="D436" t="str">
            <v>A10</v>
          </cell>
        </row>
        <row r="437">
          <cell r="A437" t="str">
            <v>UAS72005</v>
          </cell>
          <cell r="D437" t="str">
            <v>A10</v>
          </cell>
        </row>
        <row r="438">
          <cell r="A438" t="str">
            <v>UAS90002</v>
          </cell>
          <cell r="D438" t="str">
            <v>A10</v>
          </cell>
        </row>
        <row r="439">
          <cell r="A439" t="str">
            <v>MAH70755</v>
          </cell>
          <cell r="D439" t="str">
            <v>A11</v>
          </cell>
        </row>
        <row r="440">
          <cell r="A440" t="str">
            <v>MAH80716</v>
          </cell>
          <cell r="D440" t="str">
            <v>A11</v>
          </cell>
        </row>
        <row r="441">
          <cell r="A441" t="str">
            <v>MAH80830</v>
          </cell>
          <cell r="D441" t="str">
            <v>A11</v>
          </cell>
        </row>
        <row r="442">
          <cell r="A442" t="str">
            <v>MGF10180</v>
          </cell>
          <cell r="D442" t="str">
            <v>A11</v>
          </cell>
        </row>
        <row r="443">
          <cell r="A443" t="str">
            <v>SAI07001</v>
          </cell>
          <cell r="D443" t="str">
            <v>A11</v>
          </cell>
        </row>
        <row r="444">
          <cell r="A444" t="str">
            <v>SAIJ1131</v>
          </cell>
          <cell r="D444" t="str">
            <v>A11</v>
          </cell>
        </row>
        <row r="445">
          <cell r="A445" t="str">
            <v>SAIJ2312</v>
          </cell>
          <cell r="D445" t="str">
            <v>A11</v>
          </cell>
        </row>
        <row r="446">
          <cell r="A446" t="str">
            <v>SAIJ3111</v>
          </cell>
          <cell r="D446" t="str">
            <v>A11</v>
          </cell>
        </row>
        <row r="447">
          <cell r="A447" t="str">
            <v>SAIJ3203</v>
          </cell>
          <cell r="D447" t="str">
            <v>A11</v>
          </cell>
        </row>
        <row r="448">
          <cell r="A448" t="str">
            <v>SAIJ3308</v>
          </cell>
          <cell r="D448" t="str">
            <v>A11</v>
          </cell>
        </row>
        <row r="449">
          <cell r="A449" t="str">
            <v>SAIJ3699</v>
          </cell>
          <cell r="D449" t="str">
            <v>A11</v>
          </cell>
        </row>
        <row r="450">
          <cell r="A450" t="str">
            <v>SAIJ3718</v>
          </cell>
          <cell r="D450" t="str">
            <v>A11</v>
          </cell>
        </row>
        <row r="451">
          <cell r="A451" t="str">
            <v>SAIJ3719</v>
          </cell>
          <cell r="D451" t="str">
            <v>A11</v>
          </cell>
        </row>
        <row r="452">
          <cell r="A452" t="str">
            <v>SAIJ3720</v>
          </cell>
          <cell r="D452" t="str">
            <v>A11</v>
          </cell>
        </row>
        <row r="453">
          <cell r="A453" t="str">
            <v>SAIJ3721</v>
          </cell>
          <cell r="D453" t="str">
            <v>A11</v>
          </cell>
        </row>
        <row r="454">
          <cell r="A454" t="str">
            <v>SAIJ3722</v>
          </cell>
          <cell r="D454" t="str">
            <v>A11</v>
          </cell>
        </row>
        <row r="455">
          <cell r="A455" t="str">
            <v>SAIJ3723</v>
          </cell>
          <cell r="D455" t="str">
            <v>A11</v>
          </cell>
        </row>
        <row r="456">
          <cell r="A456" t="str">
            <v>SAIJ3724</v>
          </cell>
          <cell r="D456" t="str">
            <v>A11</v>
          </cell>
        </row>
        <row r="457">
          <cell r="A457" t="str">
            <v>SAIJ3725</v>
          </cell>
          <cell r="D457" t="str">
            <v>A11</v>
          </cell>
        </row>
        <row r="458">
          <cell r="A458" t="str">
            <v>SAIJ3726</v>
          </cell>
          <cell r="D458" t="str">
            <v>A11</v>
          </cell>
        </row>
        <row r="459">
          <cell r="A459" t="str">
            <v>SAIJ3727</v>
          </cell>
          <cell r="D459" t="str">
            <v>A11</v>
          </cell>
        </row>
        <row r="460">
          <cell r="A460" t="str">
            <v>SAIJ3728</v>
          </cell>
          <cell r="D460" t="str">
            <v>A11</v>
          </cell>
        </row>
        <row r="461">
          <cell r="A461" t="str">
            <v>SAIJ3729</v>
          </cell>
          <cell r="D461" t="str">
            <v>A11</v>
          </cell>
        </row>
        <row r="462">
          <cell r="A462" t="str">
            <v>SAIJ3730</v>
          </cell>
          <cell r="D462" t="str">
            <v>A11</v>
          </cell>
        </row>
        <row r="463">
          <cell r="A463" t="str">
            <v>SAIJ3731</v>
          </cell>
          <cell r="D463" t="str">
            <v>A11</v>
          </cell>
        </row>
        <row r="464">
          <cell r="A464" t="str">
            <v>SAIJ3732</v>
          </cell>
          <cell r="D464" t="str">
            <v>A11</v>
          </cell>
        </row>
        <row r="465">
          <cell r="A465" t="str">
            <v>SAIJ3733</v>
          </cell>
          <cell r="D465" t="str">
            <v>A11</v>
          </cell>
        </row>
        <row r="466">
          <cell r="A466" t="str">
            <v>SAIJ4515</v>
          </cell>
          <cell r="D466" t="str">
            <v>A11</v>
          </cell>
        </row>
        <row r="467">
          <cell r="A467" t="str">
            <v>SAIJ4756</v>
          </cell>
          <cell r="D467" t="str">
            <v>A11</v>
          </cell>
        </row>
        <row r="468">
          <cell r="A468" t="str">
            <v>SAIJ4757</v>
          </cell>
          <cell r="D468" t="str">
            <v>A11</v>
          </cell>
        </row>
        <row r="469">
          <cell r="A469" t="str">
            <v>SAIJ4758</v>
          </cell>
          <cell r="D469" t="str">
            <v>A11</v>
          </cell>
        </row>
        <row r="470">
          <cell r="A470" t="str">
            <v>SAIJ4759</v>
          </cell>
          <cell r="D470" t="str">
            <v>A11</v>
          </cell>
        </row>
        <row r="471">
          <cell r="A471" t="str">
            <v>SAIJ4760</v>
          </cell>
          <cell r="D471" t="str">
            <v>A11</v>
          </cell>
        </row>
        <row r="472">
          <cell r="A472" t="str">
            <v>SAIJ4761</v>
          </cell>
          <cell r="D472" t="str">
            <v>A11</v>
          </cell>
        </row>
        <row r="473">
          <cell r="A473" t="str">
            <v>SAIJ4762</v>
          </cell>
          <cell r="D473" t="str">
            <v>A11</v>
          </cell>
        </row>
        <row r="474">
          <cell r="A474" t="str">
            <v>SAIJ4763</v>
          </cell>
          <cell r="D474" t="str">
            <v>A11</v>
          </cell>
        </row>
        <row r="475">
          <cell r="A475" t="str">
            <v>SAIJ4764</v>
          </cell>
          <cell r="D475" t="str">
            <v>A11</v>
          </cell>
        </row>
        <row r="476">
          <cell r="A476" t="str">
            <v>SAIJ4772</v>
          </cell>
          <cell r="D476" t="str">
            <v>A11</v>
          </cell>
        </row>
        <row r="477">
          <cell r="A477" t="str">
            <v>SAIJ4773</v>
          </cell>
          <cell r="D477" t="str">
            <v>A11</v>
          </cell>
        </row>
        <row r="478">
          <cell r="A478" t="str">
            <v>SAIJ5489</v>
          </cell>
          <cell r="D478" t="str">
            <v>A11</v>
          </cell>
        </row>
        <row r="479">
          <cell r="A479" t="str">
            <v>SAIJ6378</v>
          </cell>
          <cell r="D479" t="str">
            <v>A11</v>
          </cell>
        </row>
        <row r="480">
          <cell r="A480" t="str">
            <v>SAIJ6404</v>
          </cell>
          <cell r="D480" t="str">
            <v>A11</v>
          </cell>
        </row>
        <row r="481">
          <cell r="A481" t="str">
            <v>SAIJ7645</v>
          </cell>
          <cell r="D481" t="str">
            <v>A11</v>
          </cell>
        </row>
        <row r="482">
          <cell r="A482" t="str">
            <v>SAIJ9821</v>
          </cell>
          <cell r="D482" t="str">
            <v>A11</v>
          </cell>
        </row>
        <row r="483">
          <cell r="A483" t="str">
            <v>SAIJ9822</v>
          </cell>
          <cell r="D483" t="str">
            <v>A11</v>
          </cell>
        </row>
        <row r="484">
          <cell r="A484" t="str">
            <v>SAIJ9823</v>
          </cell>
          <cell r="D484" t="str">
            <v>A11</v>
          </cell>
        </row>
        <row r="485">
          <cell r="A485" t="str">
            <v>SAIJ9824</v>
          </cell>
          <cell r="D485" t="str">
            <v>A11</v>
          </cell>
        </row>
        <row r="486">
          <cell r="A486" t="str">
            <v>SAIJ9825</v>
          </cell>
          <cell r="D486" t="str">
            <v>A11</v>
          </cell>
        </row>
        <row r="487">
          <cell r="A487" t="str">
            <v>SAIJ9826</v>
          </cell>
          <cell r="D487" t="str">
            <v>A11</v>
          </cell>
        </row>
        <row r="488">
          <cell r="A488" t="str">
            <v>SAIJ9827</v>
          </cell>
          <cell r="D488" t="str">
            <v>A11</v>
          </cell>
        </row>
        <row r="489">
          <cell r="A489" t="str">
            <v>SAIJ9828</v>
          </cell>
          <cell r="D489" t="str">
            <v>A11</v>
          </cell>
        </row>
        <row r="490">
          <cell r="A490" t="str">
            <v>SAIJ9829</v>
          </cell>
          <cell r="D490" t="str">
            <v>A11</v>
          </cell>
        </row>
        <row r="491">
          <cell r="A491" t="str">
            <v>SAN81005</v>
          </cell>
          <cell r="D491" t="str">
            <v>A11</v>
          </cell>
        </row>
        <row r="492">
          <cell r="A492" t="str">
            <v>SANJ3001</v>
          </cell>
          <cell r="D492" t="str">
            <v>A11</v>
          </cell>
        </row>
        <row r="493">
          <cell r="A493" t="str">
            <v>UAI10137</v>
          </cell>
          <cell r="D493" t="str">
            <v>A11</v>
          </cell>
        </row>
        <row r="494">
          <cell r="A494" t="str">
            <v>UAI12404</v>
          </cell>
          <cell r="D494" t="str">
            <v>A11</v>
          </cell>
        </row>
        <row r="495">
          <cell r="A495" t="str">
            <v>UAI20005</v>
          </cell>
          <cell r="D495" t="str">
            <v>A11</v>
          </cell>
        </row>
        <row r="496">
          <cell r="A496" t="str">
            <v>UAI59214</v>
          </cell>
          <cell r="D496" t="str">
            <v>A11</v>
          </cell>
        </row>
        <row r="497">
          <cell r="A497" t="str">
            <v>UAI59811</v>
          </cell>
          <cell r="D497" t="str">
            <v>A11</v>
          </cell>
        </row>
        <row r="498">
          <cell r="A498" t="str">
            <v>UAI59818</v>
          </cell>
          <cell r="D498" t="str">
            <v>A11</v>
          </cell>
        </row>
        <row r="499">
          <cell r="A499" t="str">
            <v>UAI59828</v>
          </cell>
          <cell r="D499" t="str">
            <v>A11</v>
          </cell>
        </row>
        <row r="500">
          <cell r="A500" t="str">
            <v>UAI59842</v>
          </cell>
          <cell r="D500" t="str">
            <v>A11</v>
          </cell>
        </row>
        <row r="501">
          <cell r="A501" t="str">
            <v>UAI59882</v>
          </cell>
          <cell r="D501" t="str">
            <v>A11</v>
          </cell>
        </row>
        <row r="502">
          <cell r="A502" t="str">
            <v>UAJ20011</v>
          </cell>
          <cell r="D502" t="str">
            <v>A11</v>
          </cell>
        </row>
        <row r="503">
          <cell r="A503" t="str">
            <v>SAIJ8835</v>
          </cell>
          <cell r="D503" t="str">
            <v>A12</v>
          </cell>
        </row>
        <row r="504">
          <cell r="A504" t="str">
            <v>SAIJ8836</v>
          </cell>
          <cell r="D504" t="str">
            <v>A12</v>
          </cell>
        </row>
        <row r="505">
          <cell r="A505" t="str">
            <v>SAIJ8845</v>
          </cell>
          <cell r="D505" t="str">
            <v>A12</v>
          </cell>
        </row>
        <row r="506">
          <cell r="A506" t="str">
            <v>SAIJ8850</v>
          </cell>
          <cell r="D506" t="str">
            <v>A12</v>
          </cell>
        </row>
        <row r="507">
          <cell r="A507" t="str">
            <v>SAIJ8851</v>
          </cell>
          <cell r="D507" t="str">
            <v>A12</v>
          </cell>
        </row>
        <row r="508">
          <cell r="A508" t="str">
            <v>SAIJ8852</v>
          </cell>
          <cell r="D508" t="str">
            <v>A12</v>
          </cell>
        </row>
        <row r="509">
          <cell r="A509" t="str">
            <v>SAIJ8853</v>
          </cell>
          <cell r="D509" t="str">
            <v>A12</v>
          </cell>
        </row>
        <row r="510">
          <cell r="A510" t="str">
            <v>SAIJ8854</v>
          </cell>
          <cell r="D510" t="str">
            <v>A12</v>
          </cell>
        </row>
        <row r="511">
          <cell r="A511" t="str">
            <v>SAIJ8855</v>
          </cell>
          <cell r="D511" t="str">
            <v>A12</v>
          </cell>
        </row>
        <row r="512">
          <cell r="A512" t="str">
            <v>SAIJ8856</v>
          </cell>
          <cell r="D512" t="str">
            <v>A12</v>
          </cell>
        </row>
        <row r="513">
          <cell r="A513" t="str">
            <v>SAIJ8857</v>
          </cell>
          <cell r="D513" t="str">
            <v>A12</v>
          </cell>
        </row>
        <row r="514">
          <cell r="A514" t="str">
            <v>SAIJ8858</v>
          </cell>
          <cell r="D514" t="str">
            <v>A12</v>
          </cell>
        </row>
        <row r="515">
          <cell r="A515" t="str">
            <v>SAIJ8859</v>
          </cell>
          <cell r="D515" t="str">
            <v>A12</v>
          </cell>
        </row>
        <row r="516">
          <cell r="A516" t="str">
            <v>SAIJ8860</v>
          </cell>
          <cell r="D516" t="str">
            <v>A12</v>
          </cell>
        </row>
        <row r="517">
          <cell r="A517" t="str">
            <v>SAIJ8861</v>
          </cell>
          <cell r="D517" t="str">
            <v>A12</v>
          </cell>
        </row>
        <row r="518">
          <cell r="A518" t="str">
            <v>SAIJ8862</v>
          </cell>
          <cell r="D518" t="str">
            <v>A12</v>
          </cell>
        </row>
        <row r="519">
          <cell r="A519" t="str">
            <v>SAIJ8863</v>
          </cell>
          <cell r="D519" t="str">
            <v>A12</v>
          </cell>
        </row>
        <row r="520">
          <cell r="A520" t="str">
            <v>SAIJ8864</v>
          </cell>
          <cell r="D520" t="str">
            <v>A12</v>
          </cell>
        </row>
        <row r="521">
          <cell r="A521" t="str">
            <v>SAIJ8865</v>
          </cell>
          <cell r="D521" t="str">
            <v>A12</v>
          </cell>
        </row>
        <row r="522">
          <cell r="A522" t="str">
            <v>SAIJ8866</v>
          </cell>
          <cell r="D522" t="str">
            <v>A12</v>
          </cell>
        </row>
        <row r="523">
          <cell r="A523" t="str">
            <v>SAIJ8867</v>
          </cell>
          <cell r="D523" t="str">
            <v>A12</v>
          </cell>
        </row>
        <row r="524">
          <cell r="A524" t="str">
            <v>SAIJ8868</v>
          </cell>
          <cell r="D524" t="str">
            <v>A12</v>
          </cell>
        </row>
        <row r="525">
          <cell r="A525" t="str">
            <v>SAIJ8869</v>
          </cell>
          <cell r="D525" t="str">
            <v>A12</v>
          </cell>
        </row>
        <row r="526">
          <cell r="A526" t="str">
            <v>SAIJ8870</v>
          </cell>
          <cell r="D526" t="str">
            <v>A12</v>
          </cell>
        </row>
        <row r="527">
          <cell r="A527" t="str">
            <v>SAIJ8871</v>
          </cell>
          <cell r="D527" t="str">
            <v>A12</v>
          </cell>
        </row>
        <row r="528">
          <cell r="A528" t="str">
            <v>SAIJ8872</v>
          </cell>
          <cell r="D528" t="str">
            <v>A12</v>
          </cell>
        </row>
        <row r="529">
          <cell r="A529" t="str">
            <v>SAIJ8873</v>
          </cell>
          <cell r="D529" t="str">
            <v>A12</v>
          </cell>
        </row>
        <row r="530">
          <cell r="A530" t="str">
            <v>SAIJ8874</v>
          </cell>
          <cell r="D530" t="str">
            <v>A12</v>
          </cell>
        </row>
        <row r="531">
          <cell r="A531" t="str">
            <v>SAIJ8875</v>
          </cell>
          <cell r="D531" t="str">
            <v>A12</v>
          </cell>
        </row>
        <row r="532">
          <cell r="A532" t="str">
            <v>SAIJ8876</v>
          </cell>
          <cell r="D532" t="str">
            <v>A12</v>
          </cell>
        </row>
        <row r="533">
          <cell r="A533" t="str">
            <v>SAIJ8877</v>
          </cell>
          <cell r="D533" t="str">
            <v>A12</v>
          </cell>
        </row>
        <row r="534">
          <cell r="A534" t="str">
            <v>SAIJ8878</v>
          </cell>
          <cell r="D534" t="str">
            <v>A12</v>
          </cell>
        </row>
        <row r="535">
          <cell r="A535" t="str">
            <v>SAIJ8879</v>
          </cell>
          <cell r="D535" t="str">
            <v>A12</v>
          </cell>
        </row>
        <row r="536">
          <cell r="A536" t="str">
            <v>SAIJ8881</v>
          </cell>
          <cell r="D536" t="str">
            <v>A12</v>
          </cell>
        </row>
        <row r="537">
          <cell r="A537" t="str">
            <v>SAIJ8882</v>
          </cell>
          <cell r="D537" t="str">
            <v>A12</v>
          </cell>
        </row>
        <row r="538">
          <cell r="A538" t="str">
            <v>SAIJ8883</v>
          </cell>
          <cell r="D538" t="str">
            <v>A12</v>
          </cell>
        </row>
        <row r="539">
          <cell r="A539" t="str">
            <v>SAIJ8884</v>
          </cell>
          <cell r="D539" t="str">
            <v>A12</v>
          </cell>
        </row>
        <row r="540">
          <cell r="A540" t="str">
            <v>SAIJ8885</v>
          </cell>
          <cell r="D540" t="str">
            <v>A12</v>
          </cell>
        </row>
        <row r="541">
          <cell r="A541" t="str">
            <v>SAIJ8886</v>
          </cell>
          <cell r="D541" t="str">
            <v>A12</v>
          </cell>
        </row>
        <row r="542">
          <cell r="A542" t="str">
            <v>UAI40030</v>
          </cell>
          <cell r="D542" t="str">
            <v>A12</v>
          </cell>
        </row>
        <row r="543">
          <cell r="A543" t="str">
            <v>MAE50323</v>
          </cell>
          <cell r="D543" t="str">
            <v>A13</v>
          </cell>
        </row>
        <row r="544">
          <cell r="A544" t="str">
            <v>SAN76002</v>
          </cell>
          <cell r="D544" t="str">
            <v>A13</v>
          </cell>
        </row>
        <row r="545">
          <cell r="A545" t="str">
            <v>SANJ4004</v>
          </cell>
          <cell r="D545" t="str">
            <v>A13</v>
          </cell>
        </row>
        <row r="546">
          <cell r="A546" t="str">
            <v>UAN40022</v>
          </cell>
          <cell r="D546" t="str">
            <v>A13</v>
          </cell>
        </row>
        <row r="547">
          <cell r="A547" t="str">
            <v>UAN40322</v>
          </cell>
          <cell r="D547" t="str">
            <v>A13</v>
          </cell>
        </row>
        <row r="548">
          <cell r="A548" t="str">
            <v>UAN41022</v>
          </cell>
          <cell r="D548" t="str">
            <v>A13</v>
          </cell>
        </row>
        <row r="549">
          <cell r="A549" t="str">
            <v>UAN46019</v>
          </cell>
          <cell r="D549" t="str">
            <v>A13</v>
          </cell>
        </row>
        <row r="550">
          <cell r="A550" t="str">
            <v>MAF40001</v>
          </cell>
          <cell r="D550" t="str">
            <v>A14</v>
          </cell>
        </row>
        <row r="551">
          <cell r="A551" t="str">
            <v>MAZ20005</v>
          </cell>
          <cell r="D551" t="str">
            <v>A14</v>
          </cell>
        </row>
        <row r="552">
          <cell r="A552" t="str">
            <v>MAZ20007</v>
          </cell>
          <cell r="D552" t="str">
            <v>A14</v>
          </cell>
        </row>
        <row r="553">
          <cell r="A553" t="str">
            <v>SAO61011</v>
          </cell>
          <cell r="D553" t="str">
            <v>A14</v>
          </cell>
        </row>
        <row r="554">
          <cell r="A554" t="str">
            <v>SAO91001</v>
          </cell>
          <cell r="D554" t="str">
            <v>A14</v>
          </cell>
        </row>
        <row r="555">
          <cell r="A555" t="str">
            <v>SAOJ3001</v>
          </cell>
          <cell r="D555" t="str">
            <v>A14</v>
          </cell>
        </row>
        <row r="556">
          <cell r="A556" t="str">
            <v>UAO11010</v>
          </cell>
          <cell r="D556" t="str">
            <v>A14</v>
          </cell>
        </row>
        <row r="557">
          <cell r="A557" t="str">
            <v>UAO30020</v>
          </cell>
          <cell r="D557" t="str">
            <v>A14</v>
          </cell>
        </row>
        <row r="558">
          <cell r="A558" t="str">
            <v>UAO30030</v>
          </cell>
          <cell r="D558" t="str">
            <v>A14</v>
          </cell>
        </row>
        <row r="559">
          <cell r="A559" t="str">
            <v>UAO35020</v>
          </cell>
          <cell r="D559" t="str">
            <v>A14</v>
          </cell>
        </row>
        <row r="560">
          <cell r="A560" t="str">
            <v>UAO35030</v>
          </cell>
          <cell r="D560" t="str">
            <v>A14</v>
          </cell>
        </row>
        <row r="561">
          <cell r="A561" t="str">
            <v>UAO60001</v>
          </cell>
          <cell r="D561" t="str">
            <v>A14</v>
          </cell>
        </row>
        <row r="562">
          <cell r="A562" t="str">
            <v>UAO61010</v>
          </cell>
          <cell r="D562" t="str">
            <v>A14</v>
          </cell>
        </row>
        <row r="563">
          <cell r="A563" t="str">
            <v>UAO70110</v>
          </cell>
          <cell r="D563" t="str">
            <v>A14</v>
          </cell>
        </row>
        <row r="564">
          <cell r="A564" t="str">
            <v>SAH73003</v>
          </cell>
          <cell r="D564" t="str">
            <v>A15</v>
          </cell>
        </row>
        <row r="565">
          <cell r="A565" t="str">
            <v>SAHJ2350</v>
          </cell>
          <cell r="D565" t="str">
            <v>A15</v>
          </cell>
        </row>
        <row r="566">
          <cell r="A566" t="str">
            <v>SAHJ3034</v>
          </cell>
          <cell r="D566" t="str">
            <v>A15</v>
          </cell>
        </row>
        <row r="567">
          <cell r="A567" t="str">
            <v>SAHJ3107</v>
          </cell>
          <cell r="D567" t="str">
            <v>A15</v>
          </cell>
        </row>
        <row r="568">
          <cell r="A568" t="str">
            <v>SAHJ3108</v>
          </cell>
          <cell r="D568" t="str">
            <v>A15</v>
          </cell>
        </row>
        <row r="569">
          <cell r="A569" t="str">
            <v>SAHJ3109</v>
          </cell>
          <cell r="D569" t="str">
            <v>A15</v>
          </cell>
        </row>
        <row r="570">
          <cell r="A570" t="str">
            <v>SAHJ3110</v>
          </cell>
          <cell r="D570" t="str">
            <v>A15</v>
          </cell>
        </row>
        <row r="571">
          <cell r="A571" t="str">
            <v>SAHJ3111</v>
          </cell>
          <cell r="D571" t="str">
            <v>A15</v>
          </cell>
        </row>
        <row r="572">
          <cell r="A572" t="str">
            <v>SAHJ3112</v>
          </cell>
          <cell r="D572" t="str">
            <v>A15</v>
          </cell>
        </row>
        <row r="573">
          <cell r="A573" t="str">
            <v>SAHJ3113</v>
          </cell>
          <cell r="D573" t="str">
            <v>A15</v>
          </cell>
        </row>
        <row r="574">
          <cell r="A574" t="str">
            <v>SAHJ3114</v>
          </cell>
          <cell r="D574" t="str">
            <v>A15</v>
          </cell>
        </row>
        <row r="575">
          <cell r="A575" t="str">
            <v>SAHJ3115</v>
          </cell>
          <cell r="D575" t="str">
            <v>A15</v>
          </cell>
        </row>
        <row r="576">
          <cell r="A576" t="str">
            <v>SAP01001</v>
          </cell>
          <cell r="D576" t="str">
            <v>A15</v>
          </cell>
        </row>
        <row r="577">
          <cell r="A577" t="str">
            <v>SAQ30100</v>
          </cell>
          <cell r="D577" t="str">
            <v>A15</v>
          </cell>
        </row>
        <row r="578">
          <cell r="A578" t="str">
            <v>SAUOB102</v>
          </cell>
          <cell r="D578" t="str">
            <v>A15</v>
          </cell>
        </row>
        <row r="579">
          <cell r="A579" t="str">
            <v>UAS11020</v>
          </cell>
          <cell r="D579" t="str">
            <v>A15</v>
          </cell>
        </row>
        <row r="580">
          <cell r="A580" t="str">
            <v>UAS12081</v>
          </cell>
          <cell r="D580" t="str">
            <v>A15</v>
          </cell>
        </row>
        <row r="581">
          <cell r="A581" t="str">
            <v>UAS12082</v>
          </cell>
          <cell r="D581" t="str">
            <v>A15</v>
          </cell>
        </row>
        <row r="582">
          <cell r="A582" t="str">
            <v>UAS16020</v>
          </cell>
          <cell r="D582" t="str">
            <v>A15</v>
          </cell>
        </row>
        <row r="583">
          <cell r="A583" t="str">
            <v>SAHJ3062</v>
          </cell>
          <cell r="D583" t="str">
            <v>A16</v>
          </cell>
        </row>
        <row r="584">
          <cell r="A584" t="str">
            <v>SAHJ3063</v>
          </cell>
          <cell r="D584" t="str">
            <v>A16</v>
          </cell>
        </row>
        <row r="585">
          <cell r="A585" t="str">
            <v>SAHJ3064</v>
          </cell>
          <cell r="D585" t="str">
            <v>A16</v>
          </cell>
        </row>
        <row r="586">
          <cell r="A586" t="str">
            <v>SAHJ3065</v>
          </cell>
          <cell r="D586" t="str">
            <v>A16</v>
          </cell>
        </row>
        <row r="587">
          <cell r="A587" t="str">
            <v>SAHJ3066</v>
          </cell>
          <cell r="D587" t="str">
            <v>A16</v>
          </cell>
        </row>
        <row r="588">
          <cell r="A588" t="str">
            <v>SAHJ3067</v>
          </cell>
          <cell r="D588" t="str">
            <v>A16</v>
          </cell>
        </row>
        <row r="589">
          <cell r="A589" t="str">
            <v>SAHJ3068</v>
          </cell>
          <cell r="D589" t="str">
            <v>A16</v>
          </cell>
        </row>
        <row r="590">
          <cell r="A590" t="str">
            <v>SAHJ3069</v>
          </cell>
          <cell r="D590" t="str">
            <v>A16</v>
          </cell>
        </row>
        <row r="591">
          <cell r="A591" t="str">
            <v>SAHJ3070</v>
          </cell>
          <cell r="D591" t="str">
            <v>A16</v>
          </cell>
        </row>
        <row r="592">
          <cell r="A592" t="str">
            <v>SAHJ3071</v>
          </cell>
          <cell r="D592" t="str">
            <v>A16</v>
          </cell>
        </row>
        <row r="593">
          <cell r="A593" t="str">
            <v>SAHJ3072</v>
          </cell>
          <cell r="D593" t="str">
            <v>A16</v>
          </cell>
        </row>
        <row r="594">
          <cell r="A594" t="str">
            <v>SAHJ3073</v>
          </cell>
          <cell r="D594" t="str">
            <v>A16</v>
          </cell>
        </row>
        <row r="595">
          <cell r="A595" t="str">
            <v>SAHJ3074</v>
          </cell>
          <cell r="D595" t="str">
            <v>A16</v>
          </cell>
        </row>
        <row r="596">
          <cell r="A596" t="str">
            <v>SAHJ3075</v>
          </cell>
          <cell r="D596" t="str">
            <v>A16</v>
          </cell>
        </row>
        <row r="597">
          <cell r="A597" t="str">
            <v>SAHJ3076</v>
          </cell>
          <cell r="D597" t="str">
            <v>A16</v>
          </cell>
        </row>
        <row r="598">
          <cell r="A598" t="str">
            <v>SAHJ3077</v>
          </cell>
          <cell r="D598" t="str">
            <v>A16</v>
          </cell>
        </row>
        <row r="599">
          <cell r="A599" t="str">
            <v>SAHJ3078</v>
          </cell>
          <cell r="D599" t="str">
            <v>A16</v>
          </cell>
        </row>
        <row r="600">
          <cell r="A600" t="str">
            <v>SAHJ3079</v>
          </cell>
          <cell r="D600" t="str">
            <v>A16</v>
          </cell>
        </row>
        <row r="601">
          <cell r="A601" t="str">
            <v>SAHJ3080</v>
          </cell>
          <cell r="D601" t="str">
            <v>A16</v>
          </cell>
        </row>
        <row r="602">
          <cell r="A602" t="str">
            <v>SAHJ3081</v>
          </cell>
          <cell r="D602" t="str">
            <v>A16</v>
          </cell>
        </row>
        <row r="603">
          <cell r="A603" t="str">
            <v>SAHJ3082</v>
          </cell>
          <cell r="D603" t="str">
            <v>A16</v>
          </cell>
        </row>
        <row r="604">
          <cell r="A604" t="str">
            <v>SAHJ3083</v>
          </cell>
          <cell r="D604" t="str">
            <v>A16</v>
          </cell>
        </row>
        <row r="605">
          <cell r="A605" t="str">
            <v>SAHJ3084</v>
          </cell>
          <cell r="D605" t="str">
            <v>A16</v>
          </cell>
        </row>
        <row r="606">
          <cell r="A606" t="str">
            <v>SAHJ3085</v>
          </cell>
          <cell r="D606" t="str">
            <v>A16</v>
          </cell>
        </row>
        <row r="607">
          <cell r="A607" t="str">
            <v>SAHJ3086</v>
          </cell>
          <cell r="D607" t="str">
            <v>A16</v>
          </cell>
        </row>
        <row r="608">
          <cell r="A608" t="str">
            <v>SAHJ3087</v>
          </cell>
          <cell r="D608" t="str">
            <v>A16</v>
          </cell>
        </row>
        <row r="609">
          <cell r="A609" t="str">
            <v>SAHJ3088</v>
          </cell>
          <cell r="D609" t="str">
            <v>A16</v>
          </cell>
        </row>
        <row r="610">
          <cell r="A610" t="str">
            <v>SAHJ3089</v>
          </cell>
          <cell r="D610" t="str">
            <v>A16</v>
          </cell>
        </row>
        <row r="611">
          <cell r="A611" t="str">
            <v>SAHJ3090</v>
          </cell>
          <cell r="D611" t="str">
            <v>A16</v>
          </cell>
        </row>
        <row r="612">
          <cell r="A612" t="str">
            <v>SAHJ3091</v>
          </cell>
          <cell r="D612" t="str">
            <v>A16</v>
          </cell>
        </row>
        <row r="613">
          <cell r="A613" t="str">
            <v>SAHJ3092</v>
          </cell>
          <cell r="D613" t="str">
            <v>A16</v>
          </cell>
        </row>
        <row r="614">
          <cell r="A614" t="str">
            <v>SAHJ3093</v>
          </cell>
          <cell r="D614" t="str">
            <v>A16</v>
          </cell>
        </row>
        <row r="615">
          <cell r="A615" t="str">
            <v>SAHJ3094</v>
          </cell>
          <cell r="D615" t="str">
            <v>A16</v>
          </cell>
        </row>
        <row r="616">
          <cell r="A616" t="str">
            <v>SAHJ3095</v>
          </cell>
          <cell r="D616" t="str">
            <v>A16</v>
          </cell>
        </row>
        <row r="617">
          <cell r="A617" t="str">
            <v>SANJ3002</v>
          </cell>
          <cell r="D617" t="str">
            <v>A16</v>
          </cell>
        </row>
        <row r="618">
          <cell r="A618" t="str">
            <v>SAHJ3037</v>
          </cell>
          <cell r="D618" t="str">
            <v>A17</v>
          </cell>
        </row>
        <row r="619">
          <cell r="A619" t="str">
            <v>SAHJ3038</v>
          </cell>
          <cell r="D619" t="str">
            <v>A17</v>
          </cell>
        </row>
        <row r="620">
          <cell r="A620" t="str">
            <v>SAHJ3039</v>
          </cell>
          <cell r="D620" t="str">
            <v>A17</v>
          </cell>
        </row>
        <row r="621">
          <cell r="A621" t="str">
            <v>SAHJ3040</v>
          </cell>
          <cell r="D621" t="str">
            <v>A17</v>
          </cell>
        </row>
        <row r="622">
          <cell r="A622" t="str">
            <v>SAHJ3041</v>
          </cell>
          <cell r="D622" t="str">
            <v>A17</v>
          </cell>
        </row>
        <row r="623">
          <cell r="A623" t="str">
            <v>SAHJ3042</v>
          </cell>
          <cell r="D623" t="str">
            <v>A17</v>
          </cell>
        </row>
        <row r="624">
          <cell r="A624" t="str">
            <v>SAHJ3043</v>
          </cell>
          <cell r="D624" t="str">
            <v>A17</v>
          </cell>
        </row>
        <row r="625">
          <cell r="A625" t="str">
            <v>SAHJ3044</v>
          </cell>
          <cell r="D625" t="str">
            <v>A17</v>
          </cell>
        </row>
        <row r="626">
          <cell r="A626" t="str">
            <v>SAHJ3045</v>
          </cell>
          <cell r="D626" t="str">
            <v>A17</v>
          </cell>
        </row>
        <row r="627">
          <cell r="A627" t="str">
            <v>SAHJ3046</v>
          </cell>
          <cell r="D627" t="str">
            <v>A17</v>
          </cell>
        </row>
        <row r="628">
          <cell r="A628" t="str">
            <v>SAHJ3047</v>
          </cell>
          <cell r="D628" t="str">
            <v>A17</v>
          </cell>
        </row>
        <row r="629">
          <cell r="A629" t="str">
            <v>SAHJ3048</v>
          </cell>
          <cell r="D629" t="str">
            <v>A17</v>
          </cell>
        </row>
        <row r="630">
          <cell r="A630" t="str">
            <v>SAHJ3049</v>
          </cell>
          <cell r="D630" t="str">
            <v>A17</v>
          </cell>
        </row>
        <row r="631">
          <cell r="A631" t="str">
            <v>SAHJ3050</v>
          </cell>
          <cell r="D631" t="str">
            <v>A17</v>
          </cell>
        </row>
        <row r="632">
          <cell r="A632" t="str">
            <v>SAHJ3051</v>
          </cell>
          <cell r="D632" t="str">
            <v>A17</v>
          </cell>
        </row>
        <row r="633">
          <cell r="A633" t="str">
            <v>SAHJ3052</v>
          </cell>
          <cell r="D633" t="str">
            <v>A17</v>
          </cell>
        </row>
        <row r="634">
          <cell r="A634" t="str">
            <v>SAHJ3053</v>
          </cell>
          <cell r="D634" t="str">
            <v>A17</v>
          </cell>
        </row>
        <row r="635">
          <cell r="A635" t="str">
            <v>SAHJ3054</v>
          </cell>
          <cell r="D635" t="str">
            <v>A17</v>
          </cell>
        </row>
        <row r="636">
          <cell r="A636" t="str">
            <v>SAHJ3055</v>
          </cell>
          <cell r="D636" t="str">
            <v>A17</v>
          </cell>
        </row>
        <row r="637">
          <cell r="A637" t="str">
            <v>SAHJ3056</v>
          </cell>
          <cell r="D637" t="str">
            <v>A17</v>
          </cell>
        </row>
        <row r="638">
          <cell r="A638" t="str">
            <v>SAHJ3057</v>
          </cell>
          <cell r="D638" t="str">
            <v>A17</v>
          </cell>
        </row>
        <row r="639">
          <cell r="A639" t="str">
            <v>SAHJ3058</v>
          </cell>
          <cell r="D639" t="str">
            <v>A17</v>
          </cell>
        </row>
        <row r="640">
          <cell r="A640" t="str">
            <v>SAHJ3059</v>
          </cell>
          <cell r="D640" t="str">
            <v>A17</v>
          </cell>
        </row>
        <row r="641">
          <cell r="A641" t="str">
            <v>SAHJ3060</v>
          </cell>
          <cell r="D641" t="str">
            <v>A17</v>
          </cell>
        </row>
        <row r="642">
          <cell r="A642" t="str">
            <v>SAHJ3061</v>
          </cell>
          <cell r="D642" t="str">
            <v>A17</v>
          </cell>
        </row>
        <row r="643">
          <cell r="A643" t="str">
            <v>MAF60384</v>
          </cell>
          <cell r="D643" t="str">
            <v>A18</v>
          </cell>
        </row>
        <row r="644">
          <cell r="A644" t="str">
            <v>SAG10133</v>
          </cell>
          <cell r="D644" t="str">
            <v>A18</v>
          </cell>
        </row>
        <row r="645">
          <cell r="A645" t="str">
            <v>SAG15015</v>
          </cell>
          <cell r="D645" t="str">
            <v>A18</v>
          </cell>
        </row>
        <row r="646">
          <cell r="A646" t="str">
            <v>SAG50062</v>
          </cell>
          <cell r="D646" t="str">
            <v>A18</v>
          </cell>
        </row>
        <row r="647">
          <cell r="A647" t="str">
            <v>SAG50063</v>
          </cell>
          <cell r="D647" t="str">
            <v>A18</v>
          </cell>
        </row>
        <row r="648">
          <cell r="A648" t="str">
            <v>SAG50067</v>
          </cell>
          <cell r="D648" t="str">
            <v>A18</v>
          </cell>
        </row>
        <row r="649">
          <cell r="A649" t="str">
            <v>SAG81152</v>
          </cell>
          <cell r="D649" t="str">
            <v>A18</v>
          </cell>
        </row>
        <row r="650">
          <cell r="A650" t="str">
            <v>SAG81161</v>
          </cell>
          <cell r="D650" t="str">
            <v>A18</v>
          </cell>
        </row>
        <row r="651">
          <cell r="A651" t="str">
            <v>SAG81162</v>
          </cell>
          <cell r="D651" t="str">
            <v>A18</v>
          </cell>
        </row>
        <row r="652">
          <cell r="A652" t="str">
            <v>SAG81182</v>
          </cell>
          <cell r="D652" t="str">
            <v>A18</v>
          </cell>
        </row>
        <row r="653">
          <cell r="A653" t="str">
            <v>SAG81194</v>
          </cell>
          <cell r="D653" t="str">
            <v>A18</v>
          </cell>
        </row>
        <row r="654">
          <cell r="A654" t="str">
            <v>SAGJ1024</v>
          </cell>
          <cell r="D654" t="str">
            <v>A18</v>
          </cell>
        </row>
        <row r="655">
          <cell r="A655" t="str">
            <v>SAP21001</v>
          </cell>
          <cell r="D655" t="str">
            <v>A18</v>
          </cell>
        </row>
        <row r="656">
          <cell r="A656" t="str">
            <v>SAP21002</v>
          </cell>
          <cell r="D656" t="str">
            <v>A18</v>
          </cell>
        </row>
        <row r="657">
          <cell r="A657" t="str">
            <v>SAPJ3002</v>
          </cell>
          <cell r="D657" t="str">
            <v>A18</v>
          </cell>
        </row>
        <row r="658">
          <cell r="A658" t="str">
            <v>SAPJ3003</v>
          </cell>
          <cell r="D658" t="str">
            <v>A18</v>
          </cell>
        </row>
        <row r="659">
          <cell r="A659" t="str">
            <v>SAPJ3004</v>
          </cell>
          <cell r="D659" t="str">
            <v>A18</v>
          </cell>
        </row>
        <row r="660">
          <cell r="A660" t="str">
            <v>UAG10396</v>
          </cell>
          <cell r="D660" t="str">
            <v>A18</v>
          </cell>
        </row>
        <row r="661">
          <cell r="A661" t="str">
            <v>UAG12203</v>
          </cell>
          <cell r="D661" t="str">
            <v>A18</v>
          </cell>
        </row>
        <row r="662">
          <cell r="A662" t="str">
            <v>UAG12207</v>
          </cell>
          <cell r="D662" t="str">
            <v>A18</v>
          </cell>
        </row>
        <row r="663">
          <cell r="A663" t="str">
            <v>UAG20012</v>
          </cell>
          <cell r="D663" t="str">
            <v>A18</v>
          </cell>
        </row>
        <row r="664">
          <cell r="A664" t="str">
            <v>UAG22032</v>
          </cell>
          <cell r="D664" t="str">
            <v>A18</v>
          </cell>
        </row>
        <row r="665">
          <cell r="A665" t="str">
            <v>UAG50012</v>
          </cell>
          <cell r="D665" t="str">
            <v>A18</v>
          </cell>
        </row>
        <row r="666">
          <cell r="A666" t="str">
            <v>UAP10120</v>
          </cell>
          <cell r="D666" t="str">
            <v>A18</v>
          </cell>
        </row>
        <row r="667">
          <cell r="A667" t="str">
            <v>MCA50422</v>
          </cell>
          <cell r="D667" t="str">
            <v>A19</v>
          </cell>
        </row>
        <row r="668">
          <cell r="A668" t="str">
            <v>SAB84005</v>
          </cell>
          <cell r="D668" t="str">
            <v>A19</v>
          </cell>
        </row>
        <row r="669">
          <cell r="A669" t="str">
            <v>SAB84006</v>
          </cell>
          <cell r="D669" t="str">
            <v>A19</v>
          </cell>
        </row>
        <row r="670">
          <cell r="A670" t="str">
            <v>SAB84007</v>
          </cell>
          <cell r="D670" t="str">
            <v>A19</v>
          </cell>
        </row>
        <row r="671">
          <cell r="A671" t="str">
            <v>SAB84008</v>
          </cell>
          <cell r="D671" t="str">
            <v>A19</v>
          </cell>
        </row>
        <row r="672">
          <cell r="A672" t="str">
            <v>SAB84009</v>
          </cell>
          <cell r="D672" t="str">
            <v>A19</v>
          </cell>
        </row>
        <row r="673">
          <cell r="A673" t="str">
            <v>SAB84010</v>
          </cell>
          <cell r="D673" t="str">
            <v>A19</v>
          </cell>
        </row>
        <row r="674">
          <cell r="A674" t="str">
            <v>SAB84011</v>
          </cell>
          <cell r="D674" t="str">
            <v>A19</v>
          </cell>
        </row>
        <row r="675">
          <cell r="A675" t="str">
            <v>SAB84012</v>
          </cell>
          <cell r="D675" t="str">
            <v>A19</v>
          </cell>
        </row>
        <row r="676">
          <cell r="A676" t="str">
            <v>SAB84013</v>
          </cell>
          <cell r="D676" t="str">
            <v>A19</v>
          </cell>
        </row>
        <row r="677">
          <cell r="A677" t="str">
            <v>SAB84014</v>
          </cell>
          <cell r="D677" t="str">
            <v>A19</v>
          </cell>
        </row>
        <row r="678">
          <cell r="A678" t="str">
            <v>SAB84015</v>
          </cell>
          <cell r="D678" t="str">
            <v>A19</v>
          </cell>
        </row>
        <row r="679">
          <cell r="A679" t="str">
            <v>UAC10025</v>
          </cell>
          <cell r="D679" t="str">
            <v>A19</v>
          </cell>
        </row>
        <row r="680">
          <cell r="A680" t="str">
            <v>UAC10152</v>
          </cell>
          <cell r="D680" t="str">
            <v>A19</v>
          </cell>
        </row>
        <row r="681">
          <cell r="A681" t="str">
            <v>UAC20106</v>
          </cell>
          <cell r="D681" t="str">
            <v>A19</v>
          </cell>
        </row>
        <row r="682">
          <cell r="A682" t="str">
            <v>UAC30103</v>
          </cell>
          <cell r="D682" t="str">
            <v>A19</v>
          </cell>
        </row>
        <row r="683">
          <cell r="A683" t="str">
            <v>UAC30111</v>
          </cell>
          <cell r="D683" t="str">
            <v>A19</v>
          </cell>
        </row>
        <row r="684">
          <cell r="A684" t="str">
            <v>MGI20307</v>
          </cell>
          <cell r="D684" t="str">
            <v>A20</v>
          </cell>
        </row>
        <row r="685">
          <cell r="A685" t="str">
            <v>SAC15401</v>
          </cell>
          <cell r="D685" t="str">
            <v>A20</v>
          </cell>
        </row>
        <row r="686">
          <cell r="A686" t="str">
            <v>SAC15402</v>
          </cell>
          <cell r="D686" t="str">
            <v>A20</v>
          </cell>
        </row>
        <row r="687">
          <cell r="A687" t="str">
            <v>SAC15403</v>
          </cell>
          <cell r="D687" t="str">
            <v>A20</v>
          </cell>
        </row>
        <row r="688">
          <cell r="A688" t="str">
            <v>SAC15405</v>
          </cell>
          <cell r="D688" t="str">
            <v>A20</v>
          </cell>
        </row>
        <row r="689">
          <cell r="A689" t="str">
            <v>SAC15406</v>
          </cell>
          <cell r="D689" t="str">
            <v>A20</v>
          </cell>
        </row>
        <row r="690">
          <cell r="A690" t="str">
            <v>UAC10401</v>
          </cell>
          <cell r="D690" t="str">
            <v>A20</v>
          </cell>
        </row>
        <row r="691">
          <cell r="A691" t="str">
            <v>UAC30106</v>
          </cell>
          <cell r="D691" t="str">
            <v>A20</v>
          </cell>
        </row>
        <row r="692">
          <cell r="A692" t="str">
            <v>UAC30116</v>
          </cell>
          <cell r="D692" t="str">
            <v>A20</v>
          </cell>
        </row>
        <row r="693">
          <cell r="A693" t="str">
            <v>MAA80520</v>
          </cell>
          <cell r="D693" t="str">
            <v>A21</v>
          </cell>
        </row>
        <row r="694">
          <cell r="A694" t="str">
            <v>MAZ50100</v>
          </cell>
          <cell r="D694" t="str">
            <v>A21</v>
          </cell>
        </row>
        <row r="695">
          <cell r="A695" t="str">
            <v>MAZ50500</v>
          </cell>
          <cell r="D695" t="str">
            <v>A21</v>
          </cell>
        </row>
        <row r="696">
          <cell r="A696" t="str">
            <v>MAZ50510</v>
          </cell>
          <cell r="D696" t="str">
            <v>A21</v>
          </cell>
        </row>
        <row r="697">
          <cell r="A697" t="str">
            <v>MAZ50520</v>
          </cell>
          <cell r="D697" t="str">
            <v>A21</v>
          </cell>
        </row>
        <row r="698">
          <cell r="A698" t="str">
            <v>MAZ50530</v>
          </cell>
          <cell r="D698" t="str">
            <v>A21</v>
          </cell>
        </row>
        <row r="699">
          <cell r="A699" t="str">
            <v>MAZ50560</v>
          </cell>
          <cell r="D699" t="str">
            <v>A21</v>
          </cell>
        </row>
        <row r="700">
          <cell r="A700" t="str">
            <v>MAZ50570</v>
          </cell>
          <cell r="D700" t="str">
            <v>A21</v>
          </cell>
        </row>
        <row r="701">
          <cell r="A701" t="str">
            <v>MMC37748</v>
          </cell>
          <cell r="D701" t="str">
            <v>A21</v>
          </cell>
        </row>
        <row r="702">
          <cell r="A702" t="str">
            <v>SACCRX01</v>
          </cell>
          <cell r="D702" t="str">
            <v>A21</v>
          </cell>
        </row>
        <row r="703">
          <cell r="A703" t="str">
            <v>SAIJ2066</v>
          </cell>
          <cell r="D703" t="str">
            <v>A21</v>
          </cell>
        </row>
        <row r="704">
          <cell r="A704" t="str">
            <v>SAIJ2067</v>
          </cell>
          <cell r="D704" t="str">
            <v>A21</v>
          </cell>
        </row>
        <row r="705">
          <cell r="A705" t="str">
            <v>SAIJ3610</v>
          </cell>
          <cell r="D705" t="str">
            <v>A21</v>
          </cell>
        </row>
        <row r="706">
          <cell r="A706" t="str">
            <v>SAJ14001</v>
          </cell>
          <cell r="D706" t="str">
            <v>A21</v>
          </cell>
        </row>
        <row r="707">
          <cell r="A707" t="str">
            <v>SAK75001</v>
          </cell>
          <cell r="D707" t="str">
            <v>A21</v>
          </cell>
        </row>
        <row r="708">
          <cell r="A708" t="str">
            <v>SAKPK031</v>
          </cell>
          <cell r="D708" t="str">
            <v>A21</v>
          </cell>
        </row>
        <row r="709">
          <cell r="A709" t="str">
            <v>SAKPK032</v>
          </cell>
          <cell r="D709" t="str">
            <v>A21</v>
          </cell>
        </row>
        <row r="710">
          <cell r="A710" t="str">
            <v>SASJ3001</v>
          </cell>
          <cell r="D710" t="str">
            <v>A21</v>
          </cell>
        </row>
        <row r="711">
          <cell r="A711" t="str">
            <v>SASJ3003</v>
          </cell>
          <cell r="D711" t="str">
            <v>A21</v>
          </cell>
        </row>
        <row r="712">
          <cell r="A712" t="str">
            <v>SASJ3029</v>
          </cell>
          <cell r="D712" t="str">
            <v>A21</v>
          </cell>
        </row>
        <row r="713">
          <cell r="A713" t="str">
            <v>SASJ3030</v>
          </cell>
          <cell r="D713" t="str">
            <v>A21</v>
          </cell>
        </row>
        <row r="714">
          <cell r="A714" t="str">
            <v>SASJ3031</v>
          </cell>
          <cell r="D714" t="str">
            <v>A21</v>
          </cell>
        </row>
        <row r="715">
          <cell r="A715" t="str">
            <v>SASJ3032</v>
          </cell>
          <cell r="D715" t="str">
            <v>A21</v>
          </cell>
        </row>
        <row r="716">
          <cell r="A716" t="str">
            <v>SASJ3033</v>
          </cell>
          <cell r="D716" t="str">
            <v>A21</v>
          </cell>
        </row>
        <row r="717">
          <cell r="A717" t="str">
            <v>SASJ3034</v>
          </cell>
          <cell r="D717" t="str">
            <v>A21</v>
          </cell>
        </row>
        <row r="718">
          <cell r="A718" t="str">
            <v>UAA25010</v>
          </cell>
          <cell r="D718" t="str">
            <v>A21</v>
          </cell>
        </row>
        <row r="719">
          <cell r="A719" t="str">
            <v>UAD41021</v>
          </cell>
          <cell r="D719" t="str">
            <v>A21</v>
          </cell>
        </row>
        <row r="720">
          <cell r="A720" t="str">
            <v>UAD41031</v>
          </cell>
          <cell r="D720" t="str">
            <v>A21</v>
          </cell>
        </row>
        <row r="721">
          <cell r="A721" t="str">
            <v>UAD41051</v>
          </cell>
          <cell r="D721" t="str">
            <v>A21</v>
          </cell>
        </row>
        <row r="722">
          <cell r="A722" t="str">
            <v>UAE50220</v>
          </cell>
          <cell r="D722" t="str">
            <v>A21</v>
          </cell>
        </row>
        <row r="723">
          <cell r="A723" t="str">
            <v>UAK40090</v>
          </cell>
          <cell r="D723" t="str">
            <v>A21</v>
          </cell>
        </row>
        <row r="724">
          <cell r="A724" t="str">
            <v>UAK80090</v>
          </cell>
          <cell r="D724" t="str">
            <v>A21</v>
          </cell>
        </row>
        <row r="725">
          <cell r="A725" t="str">
            <v>UAK80100</v>
          </cell>
          <cell r="D725" t="str">
            <v>A21</v>
          </cell>
        </row>
        <row r="726">
          <cell r="A726" t="str">
            <v>UAO30040</v>
          </cell>
          <cell r="D726" t="str">
            <v>A21</v>
          </cell>
        </row>
        <row r="727">
          <cell r="A727" t="str">
            <v>UAO35025</v>
          </cell>
          <cell r="D727" t="str">
            <v>A21</v>
          </cell>
        </row>
        <row r="728">
          <cell r="A728" t="str">
            <v>UAO90310</v>
          </cell>
          <cell r="D728" t="str">
            <v>A21</v>
          </cell>
        </row>
        <row r="729">
          <cell r="A729" t="str">
            <v>UAO90410</v>
          </cell>
          <cell r="D729" t="str">
            <v>A21</v>
          </cell>
        </row>
        <row r="730">
          <cell r="A730" t="str">
            <v>UAS40250</v>
          </cell>
          <cell r="D730" t="str">
            <v>A21</v>
          </cell>
        </row>
        <row r="731">
          <cell r="A731" t="str">
            <v>UAS42440</v>
          </cell>
          <cell r="D731" t="str">
            <v>A21</v>
          </cell>
        </row>
        <row r="732">
          <cell r="A732" t="str">
            <v>UAT10020</v>
          </cell>
          <cell r="D732" t="str">
            <v>A21</v>
          </cell>
        </row>
        <row r="733">
          <cell r="A733" t="str">
            <v>UAT10021</v>
          </cell>
          <cell r="D733" t="str">
            <v>A21</v>
          </cell>
        </row>
        <row r="734">
          <cell r="A734" t="str">
            <v>UCL02012</v>
          </cell>
          <cell r="D734" t="str">
            <v>A21</v>
          </cell>
        </row>
        <row r="735">
          <cell r="A735" t="str">
            <v>UMB30316</v>
          </cell>
          <cell r="D735" t="str">
            <v>A21</v>
          </cell>
        </row>
        <row r="736">
          <cell r="A736" t="str">
            <v>QBG15035</v>
          </cell>
          <cell r="D736" t="str">
            <v>A22</v>
          </cell>
        </row>
        <row r="737">
          <cell r="A737" t="str">
            <v>UAC30105</v>
          </cell>
          <cell r="D737" t="str">
            <v>A22</v>
          </cell>
        </row>
        <row r="738">
          <cell r="A738" t="str">
            <v>UAC30115</v>
          </cell>
          <cell r="D738" t="str">
            <v>A22</v>
          </cell>
        </row>
        <row r="739">
          <cell r="A739" t="str">
            <v>MAA80510</v>
          </cell>
          <cell r="D739" t="str">
            <v>A23</v>
          </cell>
        </row>
        <row r="740">
          <cell r="A740" t="str">
            <v>MAF60301</v>
          </cell>
          <cell r="D740" t="str">
            <v>A23</v>
          </cell>
        </row>
        <row r="741">
          <cell r="A741" t="str">
            <v>MAF60351</v>
          </cell>
          <cell r="D741" t="str">
            <v>A23</v>
          </cell>
        </row>
        <row r="742">
          <cell r="A742" t="str">
            <v>MAF60352</v>
          </cell>
          <cell r="D742" t="str">
            <v>A23</v>
          </cell>
        </row>
        <row r="743">
          <cell r="A743" t="str">
            <v>MAH80705</v>
          </cell>
          <cell r="D743" t="str">
            <v>A23</v>
          </cell>
        </row>
        <row r="744">
          <cell r="A744" t="str">
            <v>MAM70101</v>
          </cell>
          <cell r="D744" t="str">
            <v>A23</v>
          </cell>
        </row>
        <row r="745">
          <cell r="A745" t="str">
            <v>MAN30001</v>
          </cell>
          <cell r="D745" t="str">
            <v>A23</v>
          </cell>
        </row>
        <row r="746">
          <cell r="A746" t="str">
            <v>MAO70001</v>
          </cell>
          <cell r="D746" t="str">
            <v>A23</v>
          </cell>
        </row>
        <row r="747">
          <cell r="A747" t="str">
            <v>MAZ10021</v>
          </cell>
          <cell r="D747" t="str">
            <v>A23</v>
          </cell>
        </row>
        <row r="748">
          <cell r="A748" t="str">
            <v>MGD20230</v>
          </cell>
          <cell r="D748" t="str">
            <v>A23</v>
          </cell>
        </row>
        <row r="749">
          <cell r="A749" t="str">
            <v>QEC33000</v>
          </cell>
          <cell r="D749" t="str">
            <v>A23</v>
          </cell>
        </row>
        <row r="750">
          <cell r="A750" t="str">
            <v>SAC16001</v>
          </cell>
          <cell r="D750" t="str">
            <v>A23</v>
          </cell>
        </row>
        <row r="751">
          <cell r="A751" t="str">
            <v>SAE11120</v>
          </cell>
          <cell r="D751" t="str">
            <v>A23</v>
          </cell>
        </row>
        <row r="752">
          <cell r="A752" t="str">
            <v>SAGJ0301</v>
          </cell>
          <cell r="D752" t="str">
            <v>A23</v>
          </cell>
        </row>
        <row r="753">
          <cell r="A753" t="str">
            <v>SAGJ3000</v>
          </cell>
          <cell r="D753" t="str">
            <v>A23</v>
          </cell>
        </row>
        <row r="754">
          <cell r="A754" t="str">
            <v>SAGJ3001</v>
          </cell>
          <cell r="D754" t="str">
            <v>A23</v>
          </cell>
        </row>
        <row r="755">
          <cell r="A755" t="str">
            <v>SAH41120</v>
          </cell>
          <cell r="D755" t="str">
            <v>A23</v>
          </cell>
        </row>
        <row r="756">
          <cell r="A756" t="str">
            <v>SAHCKA31</v>
          </cell>
          <cell r="D756" t="str">
            <v>A23</v>
          </cell>
        </row>
        <row r="757">
          <cell r="A757" t="str">
            <v>SAHJ3024</v>
          </cell>
          <cell r="D757" t="str">
            <v>A23</v>
          </cell>
        </row>
        <row r="758">
          <cell r="A758" t="str">
            <v>SAHJ3025</v>
          </cell>
          <cell r="D758" t="str">
            <v>A23</v>
          </cell>
        </row>
        <row r="759">
          <cell r="A759" t="str">
            <v>SAHJ3026</v>
          </cell>
          <cell r="D759" t="str">
            <v>A23</v>
          </cell>
        </row>
        <row r="760">
          <cell r="A760" t="str">
            <v>SAHJ3027</v>
          </cell>
          <cell r="D760" t="str">
            <v>A23</v>
          </cell>
        </row>
        <row r="761">
          <cell r="A761" t="str">
            <v>SAHJ3028</v>
          </cell>
          <cell r="D761" t="str">
            <v>A23</v>
          </cell>
        </row>
        <row r="762">
          <cell r="A762" t="str">
            <v>SAHJ3029</v>
          </cell>
          <cell r="D762" t="str">
            <v>A23</v>
          </cell>
        </row>
        <row r="763">
          <cell r="A763" t="str">
            <v>SAHJ3030</v>
          </cell>
          <cell r="D763" t="str">
            <v>A23</v>
          </cell>
        </row>
        <row r="764">
          <cell r="A764" t="str">
            <v>SAHJ3031</v>
          </cell>
          <cell r="D764" t="str">
            <v>A23</v>
          </cell>
        </row>
        <row r="765">
          <cell r="A765" t="str">
            <v>SAHJ3032</v>
          </cell>
          <cell r="D765" t="str">
            <v>A23</v>
          </cell>
        </row>
        <row r="766">
          <cell r="A766" t="str">
            <v>SAHJ3033</v>
          </cell>
          <cell r="D766" t="str">
            <v>A23</v>
          </cell>
        </row>
        <row r="767">
          <cell r="A767" t="str">
            <v>SAHJ3035</v>
          </cell>
          <cell r="D767" t="str">
            <v>A23</v>
          </cell>
        </row>
        <row r="768">
          <cell r="A768" t="str">
            <v>SAHJ3036</v>
          </cell>
          <cell r="D768" t="str">
            <v>A23</v>
          </cell>
        </row>
        <row r="769">
          <cell r="A769" t="str">
            <v>SAIJ2065</v>
          </cell>
          <cell r="D769" t="str">
            <v>A23</v>
          </cell>
        </row>
        <row r="770">
          <cell r="A770" t="str">
            <v>SAIJ2529</v>
          </cell>
          <cell r="D770" t="str">
            <v>A23</v>
          </cell>
        </row>
        <row r="771">
          <cell r="A771" t="str">
            <v>SAIJ3071</v>
          </cell>
          <cell r="D771" t="str">
            <v>A23</v>
          </cell>
        </row>
        <row r="772">
          <cell r="A772" t="str">
            <v>SAIJ3494</v>
          </cell>
          <cell r="D772" t="str">
            <v>A23</v>
          </cell>
        </row>
        <row r="773">
          <cell r="A773" t="str">
            <v>SAIJ3611</v>
          </cell>
          <cell r="D773" t="str">
            <v>A23</v>
          </cell>
        </row>
        <row r="774">
          <cell r="A774" t="str">
            <v>SAIJ3612</v>
          </cell>
          <cell r="D774" t="str">
            <v>A23</v>
          </cell>
        </row>
        <row r="775">
          <cell r="A775" t="str">
            <v>SAIJ3615</v>
          </cell>
          <cell r="D775" t="str">
            <v>A23</v>
          </cell>
        </row>
        <row r="776">
          <cell r="A776" t="str">
            <v>SAIJ3616</v>
          </cell>
          <cell r="D776" t="str">
            <v>A23</v>
          </cell>
        </row>
        <row r="777">
          <cell r="A777" t="str">
            <v>SAIJ3617</v>
          </cell>
          <cell r="D777" t="str">
            <v>A23</v>
          </cell>
        </row>
        <row r="778">
          <cell r="A778" t="str">
            <v>SAIJ3618</v>
          </cell>
          <cell r="D778" t="str">
            <v>A23</v>
          </cell>
        </row>
        <row r="779">
          <cell r="A779" t="str">
            <v>SAIJ3620</v>
          </cell>
          <cell r="D779" t="str">
            <v>A23</v>
          </cell>
        </row>
        <row r="780">
          <cell r="A780" t="str">
            <v>SAIJ3621</v>
          </cell>
          <cell r="D780" t="str">
            <v>A23</v>
          </cell>
        </row>
        <row r="781">
          <cell r="A781" t="str">
            <v>SAIJ3622</v>
          </cell>
          <cell r="D781" t="str">
            <v>A23</v>
          </cell>
        </row>
        <row r="782">
          <cell r="A782" t="str">
            <v>SAIJ3623</v>
          </cell>
          <cell r="D782" t="str">
            <v>A23</v>
          </cell>
        </row>
        <row r="783">
          <cell r="A783" t="str">
            <v>SAIJ3624</v>
          </cell>
          <cell r="D783" t="str">
            <v>A23</v>
          </cell>
        </row>
        <row r="784">
          <cell r="A784" t="str">
            <v>SAIJ3625</v>
          </cell>
          <cell r="D784" t="str">
            <v>A23</v>
          </cell>
        </row>
        <row r="785">
          <cell r="A785" t="str">
            <v>SAIJ3626</v>
          </cell>
          <cell r="D785" t="str">
            <v>A23</v>
          </cell>
        </row>
        <row r="786">
          <cell r="A786" t="str">
            <v>SAIJ3627</v>
          </cell>
          <cell r="D786" t="str">
            <v>A23</v>
          </cell>
        </row>
        <row r="787">
          <cell r="A787" t="str">
            <v>SAIJ3628</v>
          </cell>
          <cell r="D787" t="str">
            <v>A23</v>
          </cell>
        </row>
        <row r="788">
          <cell r="A788" t="str">
            <v>SAIJ3629</v>
          </cell>
          <cell r="D788" t="str">
            <v>A23</v>
          </cell>
        </row>
        <row r="789">
          <cell r="A789" t="str">
            <v>SAIJ3630</v>
          </cell>
          <cell r="D789" t="str">
            <v>A23</v>
          </cell>
        </row>
        <row r="790">
          <cell r="A790" t="str">
            <v>SAIJ3631</v>
          </cell>
          <cell r="D790" t="str">
            <v>A23</v>
          </cell>
        </row>
        <row r="791">
          <cell r="A791" t="str">
            <v>SAIJ3632</v>
          </cell>
          <cell r="D791" t="str">
            <v>A23</v>
          </cell>
        </row>
        <row r="792">
          <cell r="A792" t="str">
            <v>SAIJ3633</v>
          </cell>
          <cell r="D792" t="str">
            <v>A23</v>
          </cell>
        </row>
        <row r="793">
          <cell r="A793" t="str">
            <v>SAIJ3634</v>
          </cell>
          <cell r="D793" t="str">
            <v>A23</v>
          </cell>
        </row>
        <row r="794">
          <cell r="A794" t="str">
            <v>SAIJ3635</v>
          </cell>
          <cell r="D794" t="str">
            <v>A23</v>
          </cell>
        </row>
        <row r="795">
          <cell r="A795" t="str">
            <v>SAIJ3636</v>
          </cell>
          <cell r="D795" t="str">
            <v>A23</v>
          </cell>
        </row>
        <row r="796">
          <cell r="A796" t="str">
            <v>SAIJ3637</v>
          </cell>
          <cell r="D796" t="str">
            <v>A23</v>
          </cell>
        </row>
        <row r="797">
          <cell r="A797" t="str">
            <v>SAIJ3638</v>
          </cell>
          <cell r="D797" t="str">
            <v>A23</v>
          </cell>
        </row>
        <row r="798">
          <cell r="A798" t="str">
            <v>SAIJ3639</v>
          </cell>
          <cell r="D798" t="str">
            <v>A23</v>
          </cell>
        </row>
        <row r="799">
          <cell r="A799" t="str">
            <v>SAIJ3640</v>
          </cell>
          <cell r="D799" t="str">
            <v>A23</v>
          </cell>
        </row>
        <row r="800">
          <cell r="A800" t="str">
            <v>SAIJ3641</v>
          </cell>
          <cell r="D800" t="str">
            <v>A23</v>
          </cell>
        </row>
        <row r="801">
          <cell r="A801" t="str">
            <v>SAIJ3642</v>
          </cell>
          <cell r="D801" t="str">
            <v>A23</v>
          </cell>
        </row>
        <row r="802">
          <cell r="A802" t="str">
            <v>SAIJ3643</v>
          </cell>
          <cell r="D802" t="str">
            <v>A23</v>
          </cell>
        </row>
        <row r="803">
          <cell r="A803" t="str">
            <v>SAIJ3644</v>
          </cell>
          <cell r="D803" t="str">
            <v>A23</v>
          </cell>
        </row>
        <row r="804">
          <cell r="A804" t="str">
            <v>SAIJ3645</v>
          </cell>
          <cell r="D804" t="str">
            <v>A23</v>
          </cell>
        </row>
        <row r="805">
          <cell r="A805" t="str">
            <v>SAIJ3646</v>
          </cell>
          <cell r="D805" t="str">
            <v>A23</v>
          </cell>
        </row>
        <row r="806">
          <cell r="A806" t="str">
            <v>SAIJ3647</v>
          </cell>
          <cell r="D806" t="str">
            <v>A23</v>
          </cell>
        </row>
        <row r="807">
          <cell r="A807" t="str">
            <v>SAIJ3648</v>
          </cell>
          <cell r="D807" t="str">
            <v>A23</v>
          </cell>
        </row>
        <row r="808">
          <cell r="A808" t="str">
            <v>SAIJ3649</v>
          </cell>
          <cell r="D808" t="str">
            <v>A23</v>
          </cell>
        </row>
        <row r="809">
          <cell r="A809" t="str">
            <v>SAIJ3650</v>
          </cell>
          <cell r="D809" t="str">
            <v>A23</v>
          </cell>
        </row>
        <row r="810">
          <cell r="A810" t="str">
            <v>SAIJ3651</v>
          </cell>
          <cell r="D810" t="str">
            <v>A23</v>
          </cell>
        </row>
        <row r="811">
          <cell r="A811" t="str">
            <v>SAIJ3652</v>
          </cell>
          <cell r="D811" t="str">
            <v>A23</v>
          </cell>
        </row>
        <row r="812">
          <cell r="A812" t="str">
            <v>SAIJ3653</v>
          </cell>
          <cell r="D812" t="str">
            <v>A23</v>
          </cell>
        </row>
        <row r="813">
          <cell r="A813" t="str">
            <v>SAIJ3654</v>
          </cell>
          <cell r="D813" t="str">
            <v>A23</v>
          </cell>
        </row>
        <row r="814">
          <cell r="A814" t="str">
            <v>SAIJ3655</v>
          </cell>
          <cell r="D814" t="str">
            <v>A23</v>
          </cell>
        </row>
        <row r="815">
          <cell r="A815" t="str">
            <v>SAIJ3656</v>
          </cell>
          <cell r="D815" t="str">
            <v>A23</v>
          </cell>
        </row>
        <row r="816">
          <cell r="A816" t="str">
            <v>SAIJ3657</v>
          </cell>
          <cell r="D816" t="str">
            <v>A23</v>
          </cell>
        </row>
        <row r="817">
          <cell r="A817" t="str">
            <v>SAIJ3658</v>
          </cell>
          <cell r="D817" t="str">
            <v>A23</v>
          </cell>
        </row>
        <row r="818">
          <cell r="A818" t="str">
            <v>SAIJ3659</v>
          </cell>
          <cell r="D818" t="str">
            <v>A23</v>
          </cell>
        </row>
        <row r="819">
          <cell r="A819" t="str">
            <v>SAIJ3660</v>
          </cell>
          <cell r="D819" t="str">
            <v>A23</v>
          </cell>
        </row>
        <row r="820">
          <cell r="A820" t="str">
            <v>SAIJ3661</v>
          </cell>
          <cell r="D820" t="str">
            <v>A23</v>
          </cell>
        </row>
        <row r="821">
          <cell r="A821" t="str">
            <v>SAIJ3662</v>
          </cell>
          <cell r="D821" t="str">
            <v>A23</v>
          </cell>
        </row>
        <row r="822">
          <cell r="A822" t="str">
            <v>SAIJ3663</v>
          </cell>
          <cell r="D822" t="str">
            <v>A23</v>
          </cell>
        </row>
        <row r="823">
          <cell r="A823" t="str">
            <v>SAIJ3664</v>
          </cell>
          <cell r="D823" t="str">
            <v>A23</v>
          </cell>
        </row>
        <row r="824">
          <cell r="A824" t="str">
            <v>SAIJ3665</v>
          </cell>
          <cell r="D824" t="str">
            <v>A23</v>
          </cell>
        </row>
        <row r="825">
          <cell r="A825" t="str">
            <v>SAIJ3666</v>
          </cell>
          <cell r="D825" t="str">
            <v>A23</v>
          </cell>
        </row>
        <row r="826">
          <cell r="A826" t="str">
            <v>SAIJ3667</v>
          </cell>
          <cell r="D826" t="str">
            <v>A23</v>
          </cell>
        </row>
        <row r="827">
          <cell r="A827" t="str">
            <v>SAIJ3668</v>
          </cell>
          <cell r="D827" t="str">
            <v>A23</v>
          </cell>
        </row>
        <row r="828">
          <cell r="A828" t="str">
            <v>SAIJ3669</v>
          </cell>
          <cell r="D828" t="str">
            <v>A23</v>
          </cell>
        </row>
        <row r="829">
          <cell r="A829" t="str">
            <v>SAIJ3670</v>
          </cell>
          <cell r="D829" t="str">
            <v>A23</v>
          </cell>
        </row>
        <row r="830">
          <cell r="A830" t="str">
            <v>SAIJ3671</v>
          </cell>
          <cell r="D830" t="str">
            <v>A23</v>
          </cell>
        </row>
        <row r="831">
          <cell r="A831" t="str">
            <v>SAIJ3672</v>
          </cell>
          <cell r="D831" t="str">
            <v>A23</v>
          </cell>
        </row>
        <row r="832">
          <cell r="A832" t="str">
            <v>SAIJ3673</v>
          </cell>
          <cell r="D832" t="str">
            <v>A23</v>
          </cell>
        </row>
        <row r="833">
          <cell r="A833" t="str">
            <v>SAIJ3770</v>
          </cell>
          <cell r="D833" t="str">
            <v>A23</v>
          </cell>
        </row>
        <row r="834">
          <cell r="A834" t="str">
            <v>SAIJ9726</v>
          </cell>
          <cell r="D834" t="str">
            <v>A23</v>
          </cell>
        </row>
        <row r="835">
          <cell r="A835" t="str">
            <v>SAIJ9727</v>
          </cell>
          <cell r="D835" t="str">
            <v>A23</v>
          </cell>
        </row>
        <row r="836">
          <cell r="A836" t="str">
            <v>SAKPK017</v>
          </cell>
          <cell r="D836" t="str">
            <v>A23</v>
          </cell>
        </row>
        <row r="837">
          <cell r="A837" t="str">
            <v>SAL55001</v>
          </cell>
          <cell r="D837" t="str">
            <v>A23</v>
          </cell>
        </row>
        <row r="838">
          <cell r="A838" t="str">
            <v>SAM20510</v>
          </cell>
          <cell r="D838" t="str">
            <v>A23</v>
          </cell>
        </row>
        <row r="839">
          <cell r="A839" t="str">
            <v>SAN38001</v>
          </cell>
          <cell r="D839" t="str">
            <v>A23</v>
          </cell>
        </row>
        <row r="840">
          <cell r="A840" t="str">
            <v>SAN81003</v>
          </cell>
          <cell r="D840" t="str">
            <v>A23</v>
          </cell>
        </row>
        <row r="841">
          <cell r="A841" t="str">
            <v>SANJ1003</v>
          </cell>
          <cell r="D841" t="str">
            <v>A23</v>
          </cell>
        </row>
        <row r="842">
          <cell r="A842" t="str">
            <v>SAO10021</v>
          </cell>
          <cell r="D842" t="str">
            <v>A23</v>
          </cell>
        </row>
        <row r="843">
          <cell r="A843" t="str">
            <v>SAO40115</v>
          </cell>
          <cell r="D843" t="str">
            <v>A23</v>
          </cell>
        </row>
        <row r="844">
          <cell r="A844" t="str">
            <v>SAPJGC16</v>
          </cell>
          <cell r="D844" t="str">
            <v>A23</v>
          </cell>
        </row>
        <row r="845">
          <cell r="A845" t="str">
            <v>SAPJGC18</v>
          </cell>
          <cell r="D845" t="str">
            <v>A23</v>
          </cell>
        </row>
        <row r="846">
          <cell r="A846" t="str">
            <v>SARJ3012</v>
          </cell>
          <cell r="D846" t="str">
            <v>A23</v>
          </cell>
        </row>
        <row r="847">
          <cell r="A847" t="str">
            <v>SARJ3013</v>
          </cell>
          <cell r="D847" t="str">
            <v>A23</v>
          </cell>
        </row>
        <row r="848">
          <cell r="A848" t="str">
            <v>SARJ9027</v>
          </cell>
          <cell r="D848" t="str">
            <v>A23</v>
          </cell>
        </row>
        <row r="849">
          <cell r="A849" t="str">
            <v>SARJ9028</v>
          </cell>
          <cell r="D849" t="str">
            <v>A23</v>
          </cell>
        </row>
        <row r="850">
          <cell r="A850" t="str">
            <v>SARJ9083</v>
          </cell>
          <cell r="D850" t="str">
            <v>A23</v>
          </cell>
        </row>
        <row r="851">
          <cell r="A851" t="str">
            <v>SARJ9084</v>
          </cell>
          <cell r="D851" t="str">
            <v>A23</v>
          </cell>
        </row>
        <row r="852">
          <cell r="A852" t="str">
            <v>SARJ9085</v>
          </cell>
          <cell r="D852" t="str">
            <v>A23</v>
          </cell>
        </row>
        <row r="853">
          <cell r="A853" t="str">
            <v>SARJ9086</v>
          </cell>
          <cell r="D853" t="str">
            <v>A23</v>
          </cell>
        </row>
        <row r="854">
          <cell r="A854" t="str">
            <v>SARJ9087</v>
          </cell>
          <cell r="D854" t="str">
            <v>A23</v>
          </cell>
        </row>
        <row r="855">
          <cell r="A855" t="str">
            <v>SARJ9088</v>
          </cell>
          <cell r="D855" t="str">
            <v>A23</v>
          </cell>
        </row>
        <row r="856">
          <cell r="A856" t="str">
            <v>SARJ9089</v>
          </cell>
          <cell r="D856" t="str">
            <v>A23</v>
          </cell>
        </row>
        <row r="857">
          <cell r="A857" t="str">
            <v>SARJ9090</v>
          </cell>
          <cell r="D857" t="str">
            <v>A23</v>
          </cell>
        </row>
        <row r="858">
          <cell r="A858" t="str">
            <v>SARJ9091</v>
          </cell>
          <cell r="D858" t="str">
            <v>A23</v>
          </cell>
        </row>
        <row r="859">
          <cell r="A859" t="str">
            <v>SARJ9095</v>
          </cell>
          <cell r="D859" t="str">
            <v>A23</v>
          </cell>
        </row>
        <row r="860">
          <cell r="A860" t="str">
            <v>SARJ9096</v>
          </cell>
          <cell r="D860" t="str">
            <v>A23</v>
          </cell>
        </row>
        <row r="861">
          <cell r="A861" t="str">
            <v>SARJ9097</v>
          </cell>
          <cell r="D861" t="str">
            <v>A23</v>
          </cell>
        </row>
        <row r="862">
          <cell r="A862" t="str">
            <v>SARJ9099</v>
          </cell>
          <cell r="D862" t="str">
            <v>A23</v>
          </cell>
        </row>
        <row r="863">
          <cell r="A863" t="str">
            <v>SAS60410</v>
          </cell>
          <cell r="D863" t="str">
            <v>A23</v>
          </cell>
        </row>
        <row r="864">
          <cell r="A864" t="str">
            <v>SAS81326</v>
          </cell>
          <cell r="D864" t="str">
            <v>A23</v>
          </cell>
        </row>
        <row r="865">
          <cell r="A865" t="str">
            <v>SAS86200</v>
          </cell>
          <cell r="D865" t="str">
            <v>A23</v>
          </cell>
        </row>
        <row r="866">
          <cell r="A866" t="str">
            <v>SAS87063</v>
          </cell>
          <cell r="D866" t="str">
            <v>A23</v>
          </cell>
        </row>
        <row r="867">
          <cell r="A867" t="str">
            <v>SASJ3000</v>
          </cell>
          <cell r="D867" t="str">
            <v>A23</v>
          </cell>
        </row>
        <row r="868">
          <cell r="A868" t="str">
            <v>SASJ3002</v>
          </cell>
          <cell r="D868" t="str">
            <v>A23</v>
          </cell>
        </row>
        <row r="869">
          <cell r="A869" t="str">
            <v>SASJ3005</v>
          </cell>
          <cell r="D869" t="str">
            <v>A23</v>
          </cell>
        </row>
        <row r="870">
          <cell r="A870" t="str">
            <v>SASJ3006</v>
          </cell>
          <cell r="D870" t="str">
            <v>A23</v>
          </cell>
        </row>
        <row r="871">
          <cell r="A871" t="str">
            <v>SASJ3007</v>
          </cell>
          <cell r="D871" t="str">
            <v>A23</v>
          </cell>
        </row>
        <row r="872">
          <cell r="A872" t="str">
            <v>SASJ3008</v>
          </cell>
          <cell r="D872" t="str">
            <v>A23</v>
          </cell>
        </row>
        <row r="873">
          <cell r="A873" t="str">
            <v>SASJ3009</v>
          </cell>
          <cell r="D873" t="str">
            <v>A23</v>
          </cell>
        </row>
        <row r="874">
          <cell r="A874" t="str">
            <v>SASJ3010</v>
          </cell>
          <cell r="D874" t="str">
            <v>A23</v>
          </cell>
        </row>
        <row r="875">
          <cell r="A875" t="str">
            <v>SASJ3024</v>
          </cell>
          <cell r="D875" t="str">
            <v>A23</v>
          </cell>
        </row>
        <row r="876">
          <cell r="A876" t="str">
            <v>SASJ3025</v>
          </cell>
          <cell r="D876" t="str">
            <v>A23</v>
          </cell>
        </row>
        <row r="877">
          <cell r="A877" t="str">
            <v>SASJ3026</v>
          </cell>
          <cell r="D877" t="str">
            <v>A23</v>
          </cell>
        </row>
        <row r="878">
          <cell r="A878" t="str">
            <v>SASJ3027</v>
          </cell>
          <cell r="D878" t="str">
            <v>A23</v>
          </cell>
        </row>
        <row r="879">
          <cell r="A879" t="str">
            <v>SASJ3028</v>
          </cell>
          <cell r="D879" t="str">
            <v>A23</v>
          </cell>
        </row>
        <row r="880">
          <cell r="A880" t="str">
            <v>SASJ3035</v>
          </cell>
          <cell r="D880" t="str">
            <v>A23</v>
          </cell>
        </row>
        <row r="881">
          <cell r="A881" t="str">
            <v>SASJ3036</v>
          </cell>
          <cell r="D881" t="str">
            <v>A23</v>
          </cell>
        </row>
        <row r="882">
          <cell r="A882" t="str">
            <v>SASJ3037</v>
          </cell>
          <cell r="D882" t="str">
            <v>A23</v>
          </cell>
        </row>
        <row r="883">
          <cell r="A883" t="str">
            <v>SASJ3038</v>
          </cell>
          <cell r="D883" t="str">
            <v>A23</v>
          </cell>
        </row>
        <row r="884">
          <cell r="A884" t="str">
            <v>SASJ3039</v>
          </cell>
          <cell r="D884" t="str">
            <v>A23</v>
          </cell>
        </row>
        <row r="885">
          <cell r="A885" t="str">
            <v>SASJ3040</v>
          </cell>
          <cell r="D885" t="str">
            <v>A23</v>
          </cell>
        </row>
        <row r="886">
          <cell r="A886" t="str">
            <v>SASJ3041</v>
          </cell>
          <cell r="D886" t="str">
            <v>A23</v>
          </cell>
        </row>
        <row r="887">
          <cell r="A887" t="str">
            <v>SASJ3042</v>
          </cell>
          <cell r="D887" t="str">
            <v>A23</v>
          </cell>
        </row>
        <row r="888">
          <cell r="A888" t="str">
            <v>SASJ3043</v>
          </cell>
          <cell r="D888" t="str">
            <v>A23</v>
          </cell>
        </row>
        <row r="889">
          <cell r="A889" t="str">
            <v>SASJ3044</v>
          </cell>
          <cell r="D889" t="str">
            <v>A23</v>
          </cell>
        </row>
        <row r="890">
          <cell r="A890" t="str">
            <v>SASJ3045</v>
          </cell>
          <cell r="D890" t="str">
            <v>A23</v>
          </cell>
        </row>
        <row r="891">
          <cell r="A891" t="str">
            <v>SAUJD205</v>
          </cell>
          <cell r="D891" t="str">
            <v>A23</v>
          </cell>
        </row>
        <row r="892">
          <cell r="A892" t="str">
            <v>SAULC100</v>
          </cell>
          <cell r="D892" t="str">
            <v>A23</v>
          </cell>
        </row>
        <row r="893">
          <cell r="A893" t="str">
            <v>SAULC101</v>
          </cell>
          <cell r="D893" t="str">
            <v>A23</v>
          </cell>
        </row>
        <row r="894">
          <cell r="A894" t="str">
            <v>SAULC110</v>
          </cell>
          <cell r="D894" t="str">
            <v>A23</v>
          </cell>
        </row>
        <row r="895">
          <cell r="A895" t="str">
            <v>SAULC111</v>
          </cell>
          <cell r="D895" t="str">
            <v>A23</v>
          </cell>
        </row>
        <row r="896">
          <cell r="A896" t="str">
            <v>SAULC112</v>
          </cell>
          <cell r="D896" t="str">
            <v>A23</v>
          </cell>
        </row>
        <row r="897">
          <cell r="A897" t="str">
            <v>SAULC113</v>
          </cell>
          <cell r="D897" t="str">
            <v>A23</v>
          </cell>
        </row>
        <row r="898">
          <cell r="A898" t="str">
            <v>SAULC114</v>
          </cell>
          <cell r="D898" t="str">
            <v>A23</v>
          </cell>
        </row>
        <row r="899">
          <cell r="A899" t="str">
            <v>UAA25050</v>
          </cell>
          <cell r="D899" t="str">
            <v>A23</v>
          </cell>
        </row>
        <row r="900">
          <cell r="A900" t="str">
            <v>UAC30101</v>
          </cell>
          <cell r="D900" t="str">
            <v>A23</v>
          </cell>
        </row>
        <row r="901">
          <cell r="A901" t="str">
            <v>UAC30102</v>
          </cell>
          <cell r="D901" t="str">
            <v>A23</v>
          </cell>
        </row>
        <row r="902">
          <cell r="A902" t="str">
            <v>UAC30112</v>
          </cell>
          <cell r="D902" t="str">
            <v>A23</v>
          </cell>
        </row>
        <row r="903">
          <cell r="A903" t="str">
            <v>UAD33060</v>
          </cell>
          <cell r="D903" t="str">
            <v>A23</v>
          </cell>
        </row>
        <row r="904">
          <cell r="A904" t="str">
            <v>UAD33110</v>
          </cell>
          <cell r="D904" t="str">
            <v>A23</v>
          </cell>
        </row>
        <row r="905">
          <cell r="A905" t="str">
            <v>UAD34010</v>
          </cell>
          <cell r="D905" t="str">
            <v>A23</v>
          </cell>
        </row>
        <row r="906">
          <cell r="A906" t="str">
            <v>UAD40061</v>
          </cell>
          <cell r="D906" t="str">
            <v>A23</v>
          </cell>
        </row>
        <row r="907">
          <cell r="A907" t="str">
            <v>UAD43140</v>
          </cell>
          <cell r="D907" t="str">
            <v>A23</v>
          </cell>
        </row>
        <row r="908">
          <cell r="A908" t="str">
            <v>UAD50133</v>
          </cell>
          <cell r="D908" t="str">
            <v>A23</v>
          </cell>
        </row>
        <row r="909">
          <cell r="A909" t="str">
            <v>UAI30037</v>
          </cell>
          <cell r="D909" t="str">
            <v>A23</v>
          </cell>
        </row>
        <row r="910">
          <cell r="A910" t="str">
            <v>UAI31010</v>
          </cell>
          <cell r="D910" t="str">
            <v>A23</v>
          </cell>
        </row>
        <row r="911">
          <cell r="A911" t="str">
            <v>UAJ12070</v>
          </cell>
          <cell r="D911" t="str">
            <v>A23</v>
          </cell>
        </row>
        <row r="912">
          <cell r="A912" t="str">
            <v>UAJ14010</v>
          </cell>
          <cell r="D912" t="str">
            <v>A23</v>
          </cell>
        </row>
        <row r="913">
          <cell r="A913" t="str">
            <v>UAJ14040</v>
          </cell>
          <cell r="D913" t="str">
            <v>A23</v>
          </cell>
        </row>
        <row r="914">
          <cell r="A914" t="str">
            <v>UAM25120</v>
          </cell>
          <cell r="D914" t="str">
            <v>A23</v>
          </cell>
        </row>
        <row r="915">
          <cell r="A915" t="str">
            <v>UAN30020</v>
          </cell>
          <cell r="D915" t="str">
            <v>A23</v>
          </cell>
        </row>
        <row r="916">
          <cell r="A916" t="str">
            <v>UAO85110</v>
          </cell>
          <cell r="D916" t="str">
            <v>A23</v>
          </cell>
        </row>
        <row r="917">
          <cell r="A917" t="str">
            <v>UAP10250</v>
          </cell>
          <cell r="D917" t="str">
            <v>A23</v>
          </cell>
        </row>
        <row r="918">
          <cell r="A918" t="str">
            <v>UAS80050</v>
          </cell>
          <cell r="D918" t="str">
            <v>A23</v>
          </cell>
        </row>
        <row r="919">
          <cell r="A919" t="str">
            <v>UBMB7301</v>
          </cell>
          <cell r="D919" t="str">
            <v>A23</v>
          </cell>
        </row>
        <row r="920">
          <cell r="A920" t="str">
            <v>UCA20010</v>
          </cell>
          <cell r="D920" t="str">
            <v>A23</v>
          </cell>
        </row>
        <row r="921">
          <cell r="A921" t="str">
            <v>BCB01010</v>
          </cell>
          <cell r="D921" t="str">
            <v>C01</v>
          </cell>
        </row>
        <row r="922">
          <cell r="A922" t="str">
            <v>BCB01020</v>
          </cell>
          <cell r="D922" t="str">
            <v>C01</v>
          </cell>
        </row>
        <row r="923">
          <cell r="A923" t="str">
            <v>BCB01042</v>
          </cell>
          <cell r="D923" t="str">
            <v>C01</v>
          </cell>
        </row>
        <row r="924">
          <cell r="A924" t="str">
            <v>BCB01043</v>
          </cell>
          <cell r="D924" t="str">
            <v>C01</v>
          </cell>
        </row>
        <row r="925">
          <cell r="A925" t="str">
            <v>BCB01044</v>
          </cell>
          <cell r="D925" t="str">
            <v>C01</v>
          </cell>
        </row>
        <row r="926">
          <cell r="A926" t="str">
            <v>BCB01070</v>
          </cell>
          <cell r="D926" t="str">
            <v>C01</v>
          </cell>
        </row>
        <row r="927">
          <cell r="A927" t="str">
            <v>BCB01201</v>
          </cell>
          <cell r="D927" t="str">
            <v>C01</v>
          </cell>
        </row>
        <row r="928">
          <cell r="A928" t="str">
            <v>BCB01203</v>
          </cell>
          <cell r="D928" t="str">
            <v>C01</v>
          </cell>
        </row>
        <row r="929">
          <cell r="A929" t="str">
            <v>BCB01Z01</v>
          </cell>
          <cell r="D929" t="str">
            <v>C01</v>
          </cell>
        </row>
        <row r="930">
          <cell r="A930" t="str">
            <v>BCB01Z03</v>
          </cell>
          <cell r="D930" t="str">
            <v>C01</v>
          </cell>
        </row>
        <row r="931">
          <cell r="A931" t="str">
            <v>BCB01Z04</v>
          </cell>
          <cell r="D931" t="str">
            <v>C01</v>
          </cell>
        </row>
        <row r="932">
          <cell r="A932" t="str">
            <v>BCB01Z08</v>
          </cell>
          <cell r="D932" t="str">
            <v>C01</v>
          </cell>
        </row>
        <row r="933">
          <cell r="A933" t="str">
            <v>BCB01Z10</v>
          </cell>
          <cell r="D933" t="str">
            <v>C01</v>
          </cell>
        </row>
        <row r="934">
          <cell r="A934" t="str">
            <v>BCB01Z11</v>
          </cell>
          <cell r="D934" t="str">
            <v>C01</v>
          </cell>
        </row>
        <row r="935">
          <cell r="A935" t="str">
            <v>BCB01Z23</v>
          </cell>
          <cell r="D935" t="str">
            <v>C01</v>
          </cell>
        </row>
        <row r="936">
          <cell r="A936" t="str">
            <v>BCB01Z24</v>
          </cell>
          <cell r="D936" t="str">
            <v>C01</v>
          </cell>
        </row>
        <row r="937">
          <cell r="A937" t="str">
            <v>BCB01Z25</v>
          </cell>
          <cell r="D937" t="str">
            <v>C01</v>
          </cell>
        </row>
        <row r="938">
          <cell r="A938" t="str">
            <v>BCB01Z28</v>
          </cell>
          <cell r="D938" t="str">
            <v>C01</v>
          </cell>
        </row>
        <row r="939">
          <cell r="A939" t="str">
            <v>BCB01Z29</v>
          </cell>
          <cell r="D939" t="str">
            <v>C01</v>
          </cell>
        </row>
        <row r="940">
          <cell r="A940" t="str">
            <v>BCB01Z34</v>
          </cell>
          <cell r="D940" t="str">
            <v>C01</v>
          </cell>
        </row>
        <row r="941">
          <cell r="A941" t="str">
            <v>BCB01Z55</v>
          </cell>
          <cell r="D941" t="str">
            <v>C01</v>
          </cell>
        </row>
        <row r="942">
          <cell r="A942" t="str">
            <v>BCB01Z69</v>
          </cell>
          <cell r="D942" t="str">
            <v>C01</v>
          </cell>
        </row>
        <row r="943">
          <cell r="A943" t="str">
            <v>BCB01Z70</v>
          </cell>
          <cell r="D943" t="str">
            <v>C01</v>
          </cell>
        </row>
        <row r="944">
          <cell r="A944" t="str">
            <v>BCB01Z71</v>
          </cell>
          <cell r="D944" t="str">
            <v>C01</v>
          </cell>
        </row>
        <row r="945">
          <cell r="A945" t="str">
            <v>BCB01Z72</v>
          </cell>
          <cell r="D945" t="str">
            <v>C01</v>
          </cell>
        </row>
        <row r="946">
          <cell r="A946" t="str">
            <v>BCB01Z73</v>
          </cell>
          <cell r="D946" t="str">
            <v>C01</v>
          </cell>
        </row>
        <row r="947">
          <cell r="A947" t="str">
            <v>BCB01Z74</v>
          </cell>
          <cell r="D947" t="str">
            <v>C01</v>
          </cell>
        </row>
        <row r="948">
          <cell r="A948" t="str">
            <v>BCB01Z75</v>
          </cell>
          <cell r="D948" t="str">
            <v>C01</v>
          </cell>
        </row>
        <row r="949">
          <cell r="A949" t="str">
            <v>BCB01Z95</v>
          </cell>
          <cell r="D949" t="str">
            <v>C01</v>
          </cell>
        </row>
        <row r="950">
          <cell r="A950" t="str">
            <v>BGC04140</v>
          </cell>
          <cell r="D950" t="str">
            <v>C01</v>
          </cell>
        </row>
        <row r="951">
          <cell r="A951" t="str">
            <v>BGZ05000</v>
          </cell>
          <cell r="D951" t="str">
            <v>C01</v>
          </cell>
        </row>
        <row r="952">
          <cell r="A952" t="str">
            <v>JCF22110</v>
          </cell>
          <cell r="D952" t="str">
            <v>C01</v>
          </cell>
        </row>
        <row r="953">
          <cell r="A953" t="str">
            <v>JCF22125</v>
          </cell>
          <cell r="D953" t="str">
            <v>C01</v>
          </cell>
        </row>
        <row r="954">
          <cell r="A954" t="str">
            <v>JCF22170</v>
          </cell>
          <cell r="D954" t="str">
            <v>C01</v>
          </cell>
        </row>
        <row r="955">
          <cell r="A955" t="str">
            <v>JCF22310</v>
          </cell>
          <cell r="D955" t="str">
            <v>C01</v>
          </cell>
        </row>
        <row r="956">
          <cell r="A956" t="str">
            <v>JCF22415</v>
          </cell>
          <cell r="D956" t="str">
            <v>C01</v>
          </cell>
        </row>
        <row r="957">
          <cell r="A957" t="str">
            <v>JDA00064</v>
          </cell>
          <cell r="D957" t="str">
            <v>C01</v>
          </cell>
        </row>
        <row r="958">
          <cell r="A958" t="str">
            <v>JDA00065</v>
          </cell>
          <cell r="D958" t="str">
            <v>C01</v>
          </cell>
        </row>
        <row r="959">
          <cell r="A959" t="str">
            <v>JDA00070</v>
          </cell>
          <cell r="D959" t="str">
            <v>C01</v>
          </cell>
        </row>
        <row r="960">
          <cell r="A960" t="str">
            <v>JDA00071</v>
          </cell>
          <cell r="D960" t="str">
            <v>C01</v>
          </cell>
        </row>
        <row r="961">
          <cell r="A961" t="str">
            <v>JGG20020</v>
          </cell>
          <cell r="D961" t="str">
            <v>C01</v>
          </cell>
        </row>
        <row r="962">
          <cell r="A962" t="str">
            <v>JGG20030</v>
          </cell>
          <cell r="D962" t="str">
            <v>C01</v>
          </cell>
        </row>
        <row r="963">
          <cell r="A963" t="str">
            <v>JGG30018</v>
          </cell>
          <cell r="D963" t="str">
            <v>C01</v>
          </cell>
        </row>
        <row r="964">
          <cell r="A964" t="str">
            <v>JGG30370</v>
          </cell>
          <cell r="D964" t="str">
            <v>C01</v>
          </cell>
        </row>
        <row r="965">
          <cell r="A965" t="str">
            <v>JGG30458</v>
          </cell>
          <cell r="D965" t="str">
            <v>C01</v>
          </cell>
        </row>
        <row r="966">
          <cell r="A966" t="str">
            <v>JGG30502</v>
          </cell>
          <cell r="D966" t="str">
            <v>C01</v>
          </cell>
        </row>
        <row r="967">
          <cell r="A967" t="str">
            <v>JGG30546</v>
          </cell>
          <cell r="D967" t="str">
            <v>C01</v>
          </cell>
        </row>
        <row r="968">
          <cell r="A968" t="str">
            <v>JGG30590</v>
          </cell>
          <cell r="D968" t="str">
            <v>C01</v>
          </cell>
        </row>
        <row r="969">
          <cell r="A969" t="str">
            <v>JGG30634</v>
          </cell>
          <cell r="D969" t="str">
            <v>C01</v>
          </cell>
        </row>
        <row r="970">
          <cell r="A970" t="str">
            <v>JMD19112</v>
          </cell>
          <cell r="D970" t="str">
            <v>C01</v>
          </cell>
        </row>
        <row r="971">
          <cell r="A971" t="str">
            <v>JMD19113</v>
          </cell>
          <cell r="D971" t="str">
            <v>C01</v>
          </cell>
        </row>
        <row r="972">
          <cell r="A972" t="str">
            <v>JMD19115</v>
          </cell>
          <cell r="D972" t="str">
            <v>C01</v>
          </cell>
        </row>
        <row r="973">
          <cell r="A973" t="str">
            <v>JMD19117</v>
          </cell>
          <cell r="D973" t="str">
            <v>C01</v>
          </cell>
        </row>
        <row r="974">
          <cell r="A974" t="str">
            <v>JMD19119</v>
          </cell>
          <cell r="D974" t="str">
            <v>C01</v>
          </cell>
        </row>
        <row r="975">
          <cell r="A975" t="str">
            <v>JMD19124</v>
          </cell>
          <cell r="D975" t="str">
            <v>C01</v>
          </cell>
        </row>
        <row r="976">
          <cell r="A976" t="str">
            <v>LGI00003</v>
          </cell>
          <cell r="D976" t="str">
            <v>C01</v>
          </cell>
        </row>
        <row r="977">
          <cell r="A977" t="str">
            <v>MCD20924</v>
          </cell>
          <cell r="D977" t="str">
            <v>C01</v>
          </cell>
        </row>
        <row r="978">
          <cell r="A978" t="str">
            <v>MCD20930</v>
          </cell>
          <cell r="D978" t="str">
            <v>C01</v>
          </cell>
        </row>
        <row r="979">
          <cell r="A979" t="str">
            <v>MCD20938</v>
          </cell>
          <cell r="D979" t="str">
            <v>C01</v>
          </cell>
        </row>
        <row r="980">
          <cell r="A980" t="str">
            <v>MCD42415</v>
          </cell>
          <cell r="D980" t="str">
            <v>C01</v>
          </cell>
        </row>
        <row r="981">
          <cell r="A981" t="str">
            <v>MCD42420</v>
          </cell>
          <cell r="D981" t="str">
            <v>C01</v>
          </cell>
        </row>
        <row r="982">
          <cell r="A982" t="str">
            <v>MCD42430</v>
          </cell>
          <cell r="D982" t="str">
            <v>C01</v>
          </cell>
        </row>
        <row r="983">
          <cell r="A983" t="str">
            <v>MCF10313</v>
          </cell>
          <cell r="D983" t="str">
            <v>C01</v>
          </cell>
        </row>
        <row r="984">
          <cell r="A984" t="str">
            <v>MCF10315</v>
          </cell>
          <cell r="D984" t="str">
            <v>C01</v>
          </cell>
        </row>
        <row r="985">
          <cell r="A985" t="str">
            <v>MGA20213</v>
          </cell>
          <cell r="D985" t="str">
            <v>C01</v>
          </cell>
        </row>
        <row r="986">
          <cell r="A986" t="str">
            <v>MGA20216</v>
          </cell>
          <cell r="D986" t="str">
            <v>C01</v>
          </cell>
        </row>
        <row r="987">
          <cell r="A987" t="str">
            <v>MGA20219</v>
          </cell>
          <cell r="D987" t="str">
            <v>C01</v>
          </cell>
        </row>
        <row r="988">
          <cell r="A988" t="str">
            <v>MGA21213</v>
          </cell>
          <cell r="D988" t="str">
            <v>C01</v>
          </cell>
        </row>
        <row r="989">
          <cell r="A989" t="str">
            <v>MGA22216</v>
          </cell>
          <cell r="D989" t="str">
            <v>C01</v>
          </cell>
        </row>
        <row r="990">
          <cell r="A990" t="str">
            <v>MGA22219</v>
          </cell>
          <cell r="D990" t="str">
            <v>C01</v>
          </cell>
        </row>
        <row r="991">
          <cell r="A991" t="str">
            <v>MGA22222</v>
          </cell>
          <cell r="D991" t="str">
            <v>C01</v>
          </cell>
        </row>
        <row r="992">
          <cell r="A992" t="str">
            <v>MGA22225</v>
          </cell>
          <cell r="D992" t="str">
            <v>C01</v>
          </cell>
        </row>
        <row r="993">
          <cell r="A993" t="str">
            <v>MGA22229</v>
          </cell>
          <cell r="D993" t="str">
            <v>C01</v>
          </cell>
        </row>
        <row r="994">
          <cell r="A994" t="str">
            <v>MGA60556</v>
          </cell>
          <cell r="D994" t="str">
            <v>C01</v>
          </cell>
        </row>
        <row r="995">
          <cell r="A995" t="str">
            <v>MGB10105</v>
          </cell>
          <cell r="D995" t="str">
            <v>C01</v>
          </cell>
        </row>
        <row r="996">
          <cell r="A996" t="str">
            <v>MGF11506</v>
          </cell>
          <cell r="D996" t="str">
            <v>C01</v>
          </cell>
        </row>
        <row r="997">
          <cell r="A997" t="str">
            <v>MGF11508</v>
          </cell>
          <cell r="D997" t="str">
            <v>C01</v>
          </cell>
        </row>
        <row r="998">
          <cell r="A998" t="str">
            <v>MGF11509</v>
          </cell>
          <cell r="D998" t="str">
            <v>C01</v>
          </cell>
        </row>
        <row r="999">
          <cell r="A999" t="str">
            <v>MGF11514</v>
          </cell>
          <cell r="D999" t="str">
            <v>C01</v>
          </cell>
        </row>
        <row r="1000">
          <cell r="A1000" t="str">
            <v>MGF12301</v>
          </cell>
          <cell r="D1000" t="str">
            <v>C01</v>
          </cell>
        </row>
        <row r="1001">
          <cell r="A1001" t="str">
            <v>MGG25001</v>
          </cell>
          <cell r="D1001" t="str">
            <v>C01</v>
          </cell>
        </row>
        <row r="1002">
          <cell r="A1002" t="str">
            <v>MGG25101</v>
          </cell>
          <cell r="D1002" t="str">
            <v>C01</v>
          </cell>
        </row>
        <row r="1003">
          <cell r="A1003" t="str">
            <v>MGM60101</v>
          </cell>
          <cell r="D1003" t="str">
            <v>C01</v>
          </cell>
        </row>
        <row r="1004">
          <cell r="A1004" t="str">
            <v>MGM60105</v>
          </cell>
          <cell r="D1004" t="str">
            <v>C01</v>
          </cell>
        </row>
        <row r="1005">
          <cell r="A1005" t="str">
            <v>MGM60107</v>
          </cell>
          <cell r="D1005" t="str">
            <v>C01</v>
          </cell>
        </row>
        <row r="1006">
          <cell r="A1006" t="str">
            <v>MMA30113</v>
          </cell>
          <cell r="D1006" t="str">
            <v>C01</v>
          </cell>
        </row>
        <row r="1007">
          <cell r="A1007" t="str">
            <v>MMA50216</v>
          </cell>
          <cell r="D1007" t="str">
            <v>C01</v>
          </cell>
        </row>
        <row r="1008">
          <cell r="A1008" t="str">
            <v>MMA50219</v>
          </cell>
          <cell r="D1008" t="str">
            <v>C01</v>
          </cell>
        </row>
        <row r="1009">
          <cell r="A1009" t="str">
            <v>MMA50423</v>
          </cell>
          <cell r="D1009" t="str">
            <v>C01</v>
          </cell>
        </row>
        <row r="1010">
          <cell r="A1010" t="str">
            <v>MMA53219</v>
          </cell>
          <cell r="D1010" t="str">
            <v>C01</v>
          </cell>
        </row>
        <row r="1011">
          <cell r="A1011" t="str">
            <v>MMA53221</v>
          </cell>
          <cell r="D1011" t="str">
            <v>C01</v>
          </cell>
        </row>
        <row r="1012">
          <cell r="A1012" t="str">
            <v>MMA53222</v>
          </cell>
          <cell r="D1012" t="str">
            <v>C01</v>
          </cell>
        </row>
        <row r="1013">
          <cell r="A1013" t="str">
            <v>MMA60114</v>
          </cell>
          <cell r="D1013" t="str">
            <v>C01</v>
          </cell>
        </row>
        <row r="1014">
          <cell r="A1014" t="str">
            <v>MMA60116</v>
          </cell>
          <cell r="D1014" t="str">
            <v>C01</v>
          </cell>
        </row>
        <row r="1015">
          <cell r="A1015" t="str">
            <v>MMA60119</v>
          </cell>
          <cell r="D1015" t="str">
            <v>C01</v>
          </cell>
        </row>
        <row r="1016">
          <cell r="A1016" t="str">
            <v>MMA60120</v>
          </cell>
          <cell r="D1016" t="str">
            <v>C01</v>
          </cell>
        </row>
        <row r="1017">
          <cell r="A1017" t="str">
            <v>MMA60121</v>
          </cell>
          <cell r="D1017" t="str">
            <v>C01</v>
          </cell>
        </row>
        <row r="1018">
          <cell r="A1018" t="str">
            <v>MMB31110</v>
          </cell>
          <cell r="D1018" t="str">
            <v>C01</v>
          </cell>
        </row>
        <row r="1019">
          <cell r="A1019" t="str">
            <v>MMB31112</v>
          </cell>
          <cell r="D1019" t="str">
            <v>C01</v>
          </cell>
        </row>
        <row r="1020">
          <cell r="A1020" t="str">
            <v>MMB31113</v>
          </cell>
          <cell r="D1020" t="str">
            <v>C01</v>
          </cell>
        </row>
        <row r="1021">
          <cell r="A1021" t="str">
            <v>MMB31117</v>
          </cell>
          <cell r="D1021" t="str">
            <v>C01</v>
          </cell>
        </row>
        <row r="1022">
          <cell r="A1022" t="str">
            <v>MMB31119</v>
          </cell>
          <cell r="D1022" t="str">
            <v>C01</v>
          </cell>
        </row>
        <row r="1023">
          <cell r="A1023" t="str">
            <v>MMB31124</v>
          </cell>
          <cell r="D1023" t="str">
            <v>C01</v>
          </cell>
        </row>
        <row r="1024">
          <cell r="A1024" t="str">
            <v>MMB31512</v>
          </cell>
          <cell r="D1024" t="str">
            <v>C01</v>
          </cell>
        </row>
        <row r="1025">
          <cell r="A1025" t="str">
            <v>MMB31517</v>
          </cell>
          <cell r="D1025" t="str">
            <v>C01</v>
          </cell>
        </row>
        <row r="1026">
          <cell r="A1026" t="str">
            <v>MMB31519</v>
          </cell>
          <cell r="D1026" t="str">
            <v>C01</v>
          </cell>
        </row>
        <row r="1027">
          <cell r="A1027" t="str">
            <v>MMB31520</v>
          </cell>
          <cell r="D1027" t="str">
            <v>C01</v>
          </cell>
        </row>
        <row r="1028">
          <cell r="A1028" t="str">
            <v>MMB31524</v>
          </cell>
          <cell r="D1028" t="str">
            <v>C01</v>
          </cell>
        </row>
        <row r="1029">
          <cell r="A1029" t="str">
            <v>MMB32610</v>
          </cell>
          <cell r="D1029" t="str">
            <v>C01</v>
          </cell>
        </row>
        <row r="1030">
          <cell r="A1030" t="str">
            <v>MMB32612</v>
          </cell>
          <cell r="D1030" t="str">
            <v>C01</v>
          </cell>
        </row>
        <row r="1031">
          <cell r="A1031" t="str">
            <v>MMB32613</v>
          </cell>
          <cell r="D1031" t="str">
            <v>C01</v>
          </cell>
        </row>
        <row r="1032">
          <cell r="A1032" t="str">
            <v>MMB32615</v>
          </cell>
          <cell r="D1032" t="str">
            <v>C01</v>
          </cell>
        </row>
        <row r="1033">
          <cell r="A1033" t="str">
            <v>MMB32617</v>
          </cell>
          <cell r="D1033" t="str">
            <v>C01</v>
          </cell>
        </row>
        <row r="1034">
          <cell r="A1034" t="str">
            <v>MMB32619</v>
          </cell>
          <cell r="D1034" t="str">
            <v>C01</v>
          </cell>
        </row>
        <row r="1035">
          <cell r="A1035" t="str">
            <v>MMB32620</v>
          </cell>
          <cell r="D1035" t="str">
            <v>C01</v>
          </cell>
        </row>
        <row r="1036">
          <cell r="A1036" t="str">
            <v>MMB32621</v>
          </cell>
          <cell r="D1036" t="str">
            <v>C01</v>
          </cell>
        </row>
        <row r="1037">
          <cell r="A1037" t="str">
            <v>MMB32624</v>
          </cell>
          <cell r="D1037" t="str">
            <v>C01</v>
          </cell>
        </row>
        <row r="1038">
          <cell r="A1038" t="str">
            <v>MMB32717</v>
          </cell>
          <cell r="D1038" t="str">
            <v>C01</v>
          </cell>
        </row>
        <row r="1039">
          <cell r="A1039" t="str">
            <v>MMB32719</v>
          </cell>
          <cell r="D1039" t="str">
            <v>C01</v>
          </cell>
        </row>
        <row r="1040">
          <cell r="A1040" t="str">
            <v>MMB32720</v>
          </cell>
          <cell r="D1040" t="str">
            <v>C01</v>
          </cell>
        </row>
        <row r="1041">
          <cell r="A1041" t="str">
            <v>MMB36813</v>
          </cell>
          <cell r="D1041" t="str">
            <v>C01</v>
          </cell>
        </row>
        <row r="1042">
          <cell r="A1042" t="str">
            <v>MMC13923</v>
          </cell>
          <cell r="D1042" t="str">
            <v>C01</v>
          </cell>
        </row>
        <row r="1043">
          <cell r="A1043" t="str">
            <v>MMC13924</v>
          </cell>
          <cell r="D1043" t="str">
            <v>C01</v>
          </cell>
        </row>
        <row r="1044">
          <cell r="A1044" t="str">
            <v>MMD13717</v>
          </cell>
          <cell r="D1044" t="str">
            <v>C01</v>
          </cell>
        </row>
        <row r="1045">
          <cell r="A1045" t="str">
            <v>MMD13723</v>
          </cell>
          <cell r="D1045" t="str">
            <v>C01</v>
          </cell>
        </row>
        <row r="1046">
          <cell r="A1046" t="str">
            <v>MMD46205</v>
          </cell>
          <cell r="D1046" t="str">
            <v>C01</v>
          </cell>
        </row>
        <row r="1047">
          <cell r="A1047" t="str">
            <v>MMN10168</v>
          </cell>
          <cell r="D1047" t="str">
            <v>C01</v>
          </cell>
        </row>
        <row r="1048">
          <cell r="A1048" t="str">
            <v>MMN10172</v>
          </cell>
          <cell r="D1048" t="str">
            <v>C01</v>
          </cell>
        </row>
        <row r="1049">
          <cell r="A1049" t="str">
            <v>MMN10176</v>
          </cell>
          <cell r="D1049" t="str">
            <v>C01</v>
          </cell>
        </row>
        <row r="1050">
          <cell r="A1050" t="str">
            <v>QAA31210</v>
          </cell>
          <cell r="D1050" t="str">
            <v>C01</v>
          </cell>
        </row>
        <row r="1051">
          <cell r="A1051" t="str">
            <v>QAA32220</v>
          </cell>
          <cell r="D1051" t="str">
            <v>C01</v>
          </cell>
        </row>
        <row r="1052">
          <cell r="A1052" t="str">
            <v>QAA36210</v>
          </cell>
          <cell r="D1052" t="str">
            <v>C01</v>
          </cell>
        </row>
        <row r="1053">
          <cell r="A1053" t="str">
            <v>QAA37210</v>
          </cell>
          <cell r="D1053" t="str">
            <v>C01</v>
          </cell>
        </row>
        <row r="1054">
          <cell r="A1054" t="str">
            <v>QAD31222</v>
          </cell>
          <cell r="D1054" t="str">
            <v>C01</v>
          </cell>
        </row>
        <row r="1055">
          <cell r="A1055" t="str">
            <v>QAD32222</v>
          </cell>
          <cell r="D1055" t="str">
            <v>C01</v>
          </cell>
        </row>
        <row r="1056">
          <cell r="A1056" t="str">
            <v>QAD35833</v>
          </cell>
          <cell r="D1056" t="str">
            <v>C01</v>
          </cell>
        </row>
        <row r="1057">
          <cell r="A1057" t="str">
            <v>QAJ12721</v>
          </cell>
          <cell r="D1057" t="str">
            <v>C01</v>
          </cell>
        </row>
        <row r="1058">
          <cell r="A1058" t="str">
            <v>QAJ42671</v>
          </cell>
          <cell r="D1058" t="str">
            <v>C01</v>
          </cell>
        </row>
        <row r="1059">
          <cell r="A1059" t="str">
            <v>QAJ43671</v>
          </cell>
          <cell r="D1059" t="str">
            <v>C01</v>
          </cell>
        </row>
        <row r="1060">
          <cell r="A1060" t="str">
            <v>QAJ45675</v>
          </cell>
          <cell r="D1060" t="str">
            <v>C01</v>
          </cell>
        </row>
        <row r="1061">
          <cell r="A1061" t="str">
            <v>QBD18033</v>
          </cell>
          <cell r="D1061" t="str">
            <v>C01</v>
          </cell>
        </row>
        <row r="1062">
          <cell r="A1062" t="str">
            <v>QCZ10010</v>
          </cell>
          <cell r="D1062" t="str">
            <v>C01</v>
          </cell>
        </row>
        <row r="1063">
          <cell r="A1063" t="str">
            <v>QCZZ0001</v>
          </cell>
          <cell r="D1063" t="str">
            <v>C01</v>
          </cell>
        </row>
        <row r="1064">
          <cell r="A1064" t="str">
            <v>QCZZ0021</v>
          </cell>
          <cell r="D1064" t="str">
            <v>C01</v>
          </cell>
        </row>
        <row r="1065">
          <cell r="A1065" t="str">
            <v>QJC10010</v>
          </cell>
          <cell r="D1065" t="str">
            <v>C01</v>
          </cell>
        </row>
        <row r="1066">
          <cell r="A1066" t="str">
            <v>SCZ00001</v>
          </cell>
          <cell r="D1066" t="str">
            <v>C01</v>
          </cell>
        </row>
        <row r="1067">
          <cell r="A1067" t="str">
            <v>SCZ00012</v>
          </cell>
          <cell r="D1067" t="str">
            <v>C01</v>
          </cell>
        </row>
        <row r="1068">
          <cell r="A1068" t="str">
            <v>SCZ20000</v>
          </cell>
          <cell r="D1068" t="str">
            <v>C01</v>
          </cell>
        </row>
        <row r="1069">
          <cell r="A1069" t="str">
            <v>SCZ20001</v>
          </cell>
          <cell r="D1069" t="str">
            <v>C01</v>
          </cell>
        </row>
        <row r="1070">
          <cell r="A1070" t="str">
            <v>SCZ20002</v>
          </cell>
          <cell r="D1070" t="str">
            <v>C01</v>
          </cell>
        </row>
        <row r="1071">
          <cell r="A1071" t="str">
            <v>SCZBM200</v>
          </cell>
          <cell r="D1071" t="str">
            <v>C01</v>
          </cell>
        </row>
        <row r="1072">
          <cell r="A1072" t="str">
            <v>SCZBM201</v>
          </cell>
          <cell r="D1072" t="str">
            <v>C01</v>
          </cell>
        </row>
        <row r="1073">
          <cell r="A1073" t="str">
            <v>SCZBM205</v>
          </cell>
          <cell r="D1073" t="str">
            <v>C01</v>
          </cell>
        </row>
        <row r="1074">
          <cell r="A1074" t="str">
            <v>SCZBS020</v>
          </cell>
          <cell r="D1074" t="str">
            <v>C01</v>
          </cell>
        </row>
        <row r="1075">
          <cell r="A1075" t="str">
            <v>SCZBS105</v>
          </cell>
          <cell r="D1075" t="str">
            <v>C01</v>
          </cell>
        </row>
        <row r="1076">
          <cell r="A1076" t="str">
            <v>SCZBS120</v>
          </cell>
          <cell r="D1076" t="str">
            <v>C01</v>
          </cell>
        </row>
        <row r="1077">
          <cell r="A1077" t="str">
            <v>SCZBS160</v>
          </cell>
          <cell r="D1077" t="str">
            <v>C01</v>
          </cell>
        </row>
        <row r="1078">
          <cell r="A1078" t="str">
            <v>SCZBS165</v>
          </cell>
          <cell r="D1078" t="str">
            <v>C01</v>
          </cell>
        </row>
        <row r="1079">
          <cell r="A1079" t="str">
            <v>SCZBS250</v>
          </cell>
          <cell r="D1079" t="str">
            <v>C01</v>
          </cell>
        </row>
        <row r="1080">
          <cell r="A1080" t="str">
            <v>SCZBS270</v>
          </cell>
          <cell r="D1080" t="str">
            <v>C01</v>
          </cell>
        </row>
        <row r="1081">
          <cell r="A1081" t="str">
            <v>SCZBS361</v>
          </cell>
          <cell r="D1081" t="str">
            <v>C01</v>
          </cell>
        </row>
        <row r="1082">
          <cell r="A1082" t="str">
            <v>SCZBS365</v>
          </cell>
          <cell r="D1082" t="str">
            <v>C01</v>
          </cell>
        </row>
        <row r="1083">
          <cell r="A1083" t="str">
            <v>SCZBS400</v>
          </cell>
          <cell r="D1083" t="str">
            <v>C01</v>
          </cell>
        </row>
        <row r="1084">
          <cell r="A1084" t="str">
            <v>SCZBS410</v>
          </cell>
          <cell r="D1084" t="str">
            <v>C01</v>
          </cell>
        </row>
        <row r="1085">
          <cell r="A1085" t="str">
            <v>SCZBS415</v>
          </cell>
          <cell r="D1085" t="str">
            <v>C01</v>
          </cell>
        </row>
        <row r="1086">
          <cell r="A1086" t="str">
            <v>SCZBS418</v>
          </cell>
          <cell r="D1086" t="str">
            <v>C01</v>
          </cell>
        </row>
        <row r="1087">
          <cell r="A1087" t="str">
            <v>SCZBS420</v>
          </cell>
          <cell r="D1087" t="str">
            <v>C01</v>
          </cell>
        </row>
        <row r="1088">
          <cell r="A1088" t="str">
            <v>SCZBS423</v>
          </cell>
          <cell r="D1088" t="str">
            <v>C01</v>
          </cell>
        </row>
        <row r="1089">
          <cell r="A1089" t="str">
            <v>SCZBS425</v>
          </cell>
          <cell r="D1089" t="str">
            <v>C01</v>
          </cell>
        </row>
        <row r="1090">
          <cell r="A1090" t="str">
            <v>SCZBS440</v>
          </cell>
          <cell r="D1090" t="str">
            <v>C01</v>
          </cell>
        </row>
        <row r="1091">
          <cell r="A1091" t="str">
            <v>SCZBS450</v>
          </cell>
          <cell r="D1091" t="str">
            <v>C01</v>
          </cell>
        </row>
        <row r="1092">
          <cell r="A1092" t="str">
            <v>SCZBS460</v>
          </cell>
          <cell r="D1092" t="str">
            <v>C01</v>
          </cell>
        </row>
        <row r="1093">
          <cell r="A1093" t="str">
            <v>SCZBS470</v>
          </cell>
          <cell r="D1093" t="str">
            <v>C01</v>
          </cell>
        </row>
        <row r="1094">
          <cell r="A1094" t="str">
            <v>SCZBS475</v>
          </cell>
          <cell r="D1094" t="str">
            <v>C01</v>
          </cell>
        </row>
        <row r="1095">
          <cell r="A1095" t="str">
            <v>SCZBS485</v>
          </cell>
          <cell r="D1095" t="str">
            <v>C01</v>
          </cell>
        </row>
        <row r="1096">
          <cell r="A1096" t="str">
            <v>SCZBS486</v>
          </cell>
          <cell r="D1096" t="str">
            <v>C01</v>
          </cell>
        </row>
        <row r="1097">
          <cell r="A1097" t="str">
            <v>SCZBS500</v>
          </cell>
          <cell r="D1097" t="str">
            <v>C01</v>
          </cell>
        </row>
        <row r="1098">
          <cell r="A1098" t="str">
            <v>SCZBS510</v>
          </cell>
          <cell r="D1098" t="str">
            <v>C01</v>
          </cell>
        </row>
        <row r="1099">
          <cell r="A1099" t="str">
            <v>SCZBS511</v>
          </cell>
          <cell r="D1099" t="str">
            <v>C01</v>
          </cell>
        </row>
        <row r="1100">
          <cell r="A1100" t="str">
            <v>SCZBS520</v>
          </cell>
          <cell r="D1100" t="str">
            <v>C01</v>
          </cell>
        </row>
        <row r="1101">
          <cell r="A1101" t="str">
            <v>SCZBS530</v>
          </cell>
          <cell r="D1101" t="str">
            <v>C01</v>
          </cell>
        </row>
        <row r="1102">
          <cell r="A1102" t="str">
            <v>SCZBS531</v>
          </cell>
          <cell r="D1102" t="str">
            <v>C01</v>
          </cell>
        </row>
        <row r="1103">
          <cell r="A1103" t="str">
            <v>SCZBS532</v>
          </cell>
          <cell r="D1103" t="str">
            <v>C01</v>
          </cell>
        </row>
        <row r="1104">
          <cell r="A1104" t="str">
            <v>SCZBS535</v>
          </cell>
          <cell r="D1104" t="str">
            <v>C01</v>
          </cell>
        </row>
        <row r="1105">
          <cell r="A1105" t="str">
            <v>SCZBS536</v>
          </cell>
          <cell r="D1105" t="str">
            <v>C01</v>
          </cell>
        </row>
        <row r="1106">
          <cell r="A1106" t="str">
            <v>SCZBS537</v>
          </cell>
          <cell r="D1106" t="str">
            <v>C01</v>
          </cell>
        </row>
        <row r="1107">
          <cell r="A1107" t="str">
            <v>SCZBS538</v>
          </cell>
          <cell r="D1107" t="str">
            <v>C01</v>
          </cell>
        </row>
        <row r="1108">
          <cell r="A1108" t="str">
            <v>SCZBS540</v>
          </cell>
          <cell r="D1108" t="str">
            <v>C01</v>
          </cell>
        </row>
        <row r="1109">
          <cell r="A1109" t="str">
            <v>SCZBS541</v>
          </cell>
          <cell r="D1109" t="str">
            <v>C01</v>
          </cell>
        </row>
        <row r="1110">
          <cell r="A1110" t="str">
            <v>SCZBS542</v>
          </cell>
          <cell r="D1110" t="str">
            <v>C01</v>
          </cell>
        </row>
        <row r="1111">
          <cell r="A1111" t="str">
            <v>SCZBS543</v>
          </cell>
          <cell r="D1111" t="str">
            <v>C01</v>
          </cell>
        </row>
        <row r="1112">
          <cell r="A1112" t="str">
            <v>SCZBS549</v>
          </cell>
          <cell r="D1112" t="str">
            <v>C01</v>
          </cell>
        </row>
        <row r="1113">
          <cell r="A1113" t="str">
            <v>SCZBS550</v>
          </cell>
          <cell r="D1113" t="str">
            <v>C01</v>
          </cell>
        </row>
        <row r="1114">
          <cell r="A1114" t="str">
            <v>SCZBS560</v>
          </cell>
          <cell r="D1114" t="str">
            <v>C01</v>
          </cell>
        </row>
        <row r="1115">
          <cell r="A1115" t="str">
            <v>SCZBS561</v>
          </cell>
          <cell r="D1115" t="str">
            <v>C01</v>
          </cell>
        </row>
        <row r="1116">
          <cell r="A1116" t="str">
            <v>SCZBS570</v>
          </cell>
          <cell r="D1116" t="str">
            <v>C01</v>
          </cell>
        </row>
        <row r="1117">
          <cell r="A1117" t="str">
            <v>SCZBS580</v>
          </cell>
          <cell r="D1117" t="str">
            <v>C01</v>
          </cell>
        </row>
        <row r="1118">
          <cell r="A1118" t="str">
            <v>SCZBS581</v>
          </cell>
          <cell r="D1118" t="str">
            <v>C01</v>
          </cell>
        </row>
        <row r="1119">
          <cell r="A1119" t="str">
            <v>SCZBS582</v>
          </cell>
          <cell r="D1119" t="str">
            <v>C01</v>
          </cell>
        </row>
        <row r="1120">
          <cell r="A1120" t="str">
            <v>SCZBS583</v>
          </cell>
          <cell r="D1120" t="str">
            <v>C01</v>
          </cell>
        </row>
        <row r="1121">
          <cell r="A1121" t="str">
            <v>SCZBS590</v>
          </cell>
          <cell r="D1121" t="str">
            <v>C01</v>
          </cell>
        </row>
        <row r="1122">
          <cell r="A1122" t="str">
            <v>SCZBS700</v>
          </cell>
          <cell r="D1122" t="str">
            <v>C01</v>
          </cell>
        </row>
        <row r="1123">
          <cell r="A1123" t="str">
            <v>SCZBS701</v>
          </cell>
          <cell r="D1123" t="str">
            <v>C01</v>
          </cell>
        </row>
        <row r="1124">
          <cell r="A1124" t="str">
            <v>SCZBS702</v>
          </cell>
          <cell r="D1124" t="str">
            <v>C01</v>
          </cell>
        </row>
        <row r="1125">
          <cell r="A1125" t="str">
            <v>SCZGS001</v>
          </cell>
          <cell r="D1125" t="str">
            <v>C01</v>
          </cell>
        </row>
        <row r="1126">
          <cell r="A1126" t="str">
            <v>SCZGS016</v>
          </cell>
          <cell r="D1126" t="str">
            <v>C01</v>
          </cell>
        </row>
        <row r="1127">
          <cell r="A1127" t="str">
            <v>SCZGS018</v>
          </cell>
          <cell r="D1127" t="str">
            <v>C01</v>
          </cell>
        </row>
        <row r="1128">
          <cell r="A1128" t="str">
            <v>SCZGS020</v>
          </cell>
          <cell r="D1128" t="str">
            <v>C01</v>
          </cell>
        </row>
        <row r="1129">
          <cell r="A1129" t="str">
            <v>SCZJJ800</v>
          </cell>
          <cell r="D1129" t="str">
            <v>C01</v>
          </cell>
        </row>
        <row r="1130">
          <cell r="A1130" t="str">
            <v>SCZJJ810</v>
          </cell>
          <cell r="D1130" t="str">
            <v>C01</v>
          </cell>
        </row>
        <row r="1131">
          <cell r="A1131" t="str">
            <v>SCZJJ820</v>
          </cell>
          <cell r="D1131" t="str">
            <v>C01</v>
          </cell>
        </row>
        <row r="1132">
          <cell r="A1132" t="str">
            <v>SCZJJ830</v>
          </cell>
          <cell r="D1132" t="str">
            <v>C01</v>
          </cell>
        </row>
        <row r="1133">
          <cell r="A1133" t="str">
            <v>SCZJJ840</v>
          </cell>
          <cell r="D1133" t="str">
            <v>C01</v>
          </cell>
        </row>
        <row r="1134">
          <cell r="A1134" t="str">
            <v>SCZJJ900</v>
          </cell>
          <cell r="D1134" t="str">
            <v>C01</v>
          </cell>
        </row>
        <row r="1135">
          <cell r="A1135" t="str">
            <v>SCZJJ910</v>
          </cell>
          <cell r="D1135" t="str">
            <v>C01</v>
          </cell>
        </row>
        <row r="1136">
          <cell r="A1136" t="str">
            <v>SCZJJ920</v>
          </cell>
          <cell r="D1136" t="str">
            <v>C01</v>
          </cell>
        </row>
        <row r="1137">
          <cell r="A1137" t="str">
            <v>SCZJJ930</v>
          </cell>
          <cell r="D1137" t="str">
            <v>C01</v>
          </cell>
        </row>
        <row r="1138">
          <cell r="A1138" t="str">
            <v>SCZJJ940</v>
          </cell>
          <cell r="D1138" t="str">
            <v>C01</v>
          </cell>
        </row>
        <row r="1139">
          <cell r="A1139" t="str">
            <v>SCZJJ950</v>
          </cell>
          <cell r="D1139" t="str">
            <v>C01</v>
          </cell>
        </row>
        <row r="1140">
          <cell r="A1140" t="str">
            <v>SCZJJ960</v>
          </cell>
          <cell r="D1140" t="str">
            <v>C01</v>
          </cell>
        </row>
        <row r="1141">
          <cell r="A1141" t="str">
            <v>SCZKS100</v>
          </cell>
          <cell r="D1141" t="str">
            <v>C01</v>
          </cell>
        </row>
        <row r="1142">
          <cell r="A1142" t="str">
            <v>SCZOS006</v>
          </cell>
          <cell r="D1142" t="str">
            <v>C01</v>
          </cell>
        </row>
        <row r="1143">
          <cell r="A1143" t="str">
            <v>SCZOS010</v>
          </cell>
          <cell r="D1143" t="str">
            <v>C01</v>
          </cell>
        </row>
        <row r="1144">
          <cell r="A1144" t="str">
            <v>SCZOS012</v>
          </cell>
          <cell r="D1144" t="str">
            <v>C01</v>
          </cell>
        </row>
        <row r="1145">
          <cell r="A1145" t="str">
            <v>SCZOS015</v>
          </cell>
          <cell r="D1145" t="str">
            <v>C01</v>
          </cell>
        </row>
        <row r="1146">
          <cell r="A1146" t="str">
            <v>SCZOS029</v>
          </cell>
          <cell r="D1146" t="str">
            <v>C01</v>
          </cell>
        </row>
        <row r="1147">
          <cell r="A1147" t="str">
            <v>SCZOS030</v>
          </cell>
          <cell r="D1147" t="str">
            <v>C01</v>
          </cell>
        </row>
        <row r="1148">
          <cell r="A1148" t="str">
            <v>SCZOS032</v>
          </cell>
          <cell r="D1148" t="str">
            <v>C01</v>
          </cell>
        </row>
        <row r="1149">
          <cell r="A1149" t="str">
            <v>SCZOS034</v>
          </cell>
          <cell r="D1149" t="str">
            <v>C01</v>
          </cell>
        </row>
        <row r="1150">
          <cell r="A1150" t="str">
            <v>SCZOS036</v>
          </cell>
          <cell r="D1150" t="str">
            <v>C01</v>
          </cell>
        </row>
        <row r="1151">
          <cell r="A1151" t="str">
            <v>SCZOS040</v>
          </cell>
          <cell r="D1151" t="str">
            <v>C01</v>
          </cell>
        </row>
        <row r="1152">
          <cell r="A1152" t="str">
            <v>SCZOS046</v>
          </cell>
          <cell r="D1152" t="str">
            <v>C01</v>
          </cell>
        </row>
        <row r="1153">
          <cell r="A1153" t="str">
            <v>SCZOS047</v>
          </cell>
          <cell r="D1153" t="str">
            <v>C01</v>
          </cell>
        </row>
        <row r="1154">
          <cell r="A1154" t="str">
            <v>SCZOS095</v>
          </cell>
          <cell r="D1154" t="str">
            <v>C01</v>
          </cell>
        </row>
        <row r="1155">
          <cell r="A1155" t="str">
            <v>SCZOS100</v>
          </cell>
          <cell r="D1155" t="str">
            <v>C01</v>
          </cell>
        </row>
        <row r="1156">
          <cell r="A1156" t="str">
            <v>SCZOS120</v>
          </cell>
          <cell r="D1156" t="str">
            <v>C01</v>
          </cell>
        </row>
        <row r="1157">
          <cell r="A1157" t="str">
            <v>SCZOS130</v>
          </cell>
          <cell r="D1157" t="str">
            <v>C01</v>
          </cell>
        </row>
        <row r="1158">
          <cell r="A1158" t="str">
            <v>SCZOS155</v>
          </cell>
          <cell r="D1158" t="str">
            <v>C01</v>
          </cell>
        </row>
        <row r="1159">
          <cell r="A1159" t="str">
            <v>SCZPN415</v>
          </cell>
          <cell r="D1159" t="str">
            <v>C01</v>
          </cell>
        </row>
        <row r="1160">
          <cell r="A1160" t="str">
            <v>SCZPN620</v>
          </cell>
          <cell r="D1160" t="str">
            <v>C01</v>
          </cell>
        </row>
        <row r="1161">
          <cell r="A1161" t="str">
            <v>SCZPN660</v>
          </cell>
          <cell r="D1161" t="str">
            <v>C01</v>
          </cell>
        </row>
        <row r="1162">
          <cell r="A1162" t="str">
            <v>SCZPN701</v>
          </cell>
          <cell r="D1162" t="str">
            <v>C01</v>
          </cell>
        </row>
        <row r="1163">
          <cell r="A1163" t="str">
            <v>SCZPN702</v>
          </cell>
          <cell r="D1163" t="str">
            <v>C01</v>
          </cell>
        </row>
        <row r="1164">
          <cell r="A1164" t="str">
            <v>SCZPN703</v>
          </cell>
          <cell r="D1164" t="str">
            <v>C01</v>
          </cell>
        </row>
        <row r="1165">
          <cell r="A1165" t="str">
            <v>UAA20360</v>
          </cell>
          <cell r="D1165" t="str">
            <v>C01</v>
          </cell>
        </row>
        <row r="1166">
          <cell r="A1166" t="str">
            <v>UAA25410</v>
          </cell>
          <cell r="D1166" t="str">
            <v>C01</v>
          </cell>
        </row>
        <row r="1167">
          <cell r="A1167" t="str">
            <v>UAC20045</v>
          </cell>
          <cell r="D1167" t="str">
            <v>C01</v>
          </cell>
        </row>
        <row r="1168">
          <cell r="A1168" t="str">
            <v>UAC20073</v>
          </cell>
          <cell r="D1168" t="str">
            <v>C01</v>
          </cell>
        </row>
        <row r="1169">
          <cell r="A1169" t="str">
            <v>UAD20120</v>
          </cell>
          <cell r="D1169" t="str">
            <v>C01</v>
          </cell>
        </row>
        <row r="1170">
          <cell r="A1170" t="str">
            <v>UAJ11620</v>
          </cell>
          <cell r="D1170" t="str">
            <v>C01</v>
          </cell>
        </row>
        <row r="1171">
          <cell r="A1171" t="str">
            <v>UAJ11630</v>
          </cell>
          <cell r="D1171" t="str">
            <v>C01</v>
          </cell>
        </row>
        <row r="1172">
          <cell r="A1172" t="str">
            <v>UAJ14481</v>
          </cell>
          <cell r="D1172" t="str">
            <v>C01</v>
          </cell>
        </row>
        <row r="1173">
          <cell r="A1173" t="str">
            <v>UAK20510</v>
          </cell>
          <cell r="D1173" t="str">
            <v>C01</v>
          </cell>
        </row>
        <row r="1174">
          <cell r="A1174" t="str">
            <v>UAO35520</v>
          </cell>
          <cell r="D1174" t="str">
            <v>C01</v>
          </cell>
        </row>
        <row r="1175">
          <cell r="A1175" t="str">
            <v>UCA02010</v>
          </cell>
          <cell r="D1175" t="str">
            <v>C01</v>
          </cell>
        </row>
        <row r="1176">
          <cell r="A1176" t="str">
            <v>UCA64320</v>
          </cell>
          <cell r="D1176" t="str">
            <v>C01</v>
          </cell>
        </row>
        <row r="1177">
          <cell r="A1177" t="str">
            <v>UCA64422</v>
          </cell>
          <cell r="D1177" t="str">
            <v>C01</v>
          </cell>
        </row>
        <row r="1178">
          <cell r="A1178" t="str">
            <v>UCA64820</v>
          </cell>
          <cell r="D1178" t="str">
            <v>C01</v>
          </cell>
        </row>
        <row r="1179">
          <cell r="A1179" t="str">
            <v>UCB03110</v>
          </cell>
          <cell r="D1179" t="str">
            <v>C01</v>
          </cell>
        </row>
        <row r="1180">
          <cell r="A1180" t="str">
            <v>UCB03115</v>
          </cell>
          <cell r="D1180" t="str">
            <v>C01</v>
          </cell>
        </row>
        <row r="1181">
          <cell r="A1181" t="str">
            <v>UCB03120</v>
          </cell>
          <cell r="D1181" t="str">
            <v>C01</v>
          </cell>
        </row>
        <row r="1182">
          <cell r="A1182" t="str">
            <v>UCB03310</v>
          </cell>
          <cell r="D1182" t="str">
            <v>C01</v>
          </cell>
        </row>
        <row r="1183">
          <cell r="A1183" t="str">
            <v>UCB03312</v>
          </cell>
          <cell r="D1183" t="str">
            <v>C01</v>
          </cell>
        </row>
        <row r="1184">
          <cell r="A1184" t="str">
            <v>UCB03407</v>
          </cell>
          <cell r="D1184" t="str">
            <v>C01</v>
          </cell>
        </row>
        <row r="1185">
          <cell r="A1185" t="str">
            <v>UCB03410</v>
          </cell>
          <cell r="D1185" t="str">
            <v>C01</v>
          </cell>
        </row>
        <row r="1186">
          <cell r="A1186" t="str">
            <v>UCB04010</v>
          </cell>
          <cell r="D1186" t="str">
            <v>C01</v>
          </cell>
        </row>
        <row r="1187">
          <cell r="A1187" t="str">
            <v>UCB36218</v>
          </cell>
          <cell r="D1187" t="str">
            <v>C01</v>
          </cell>
        </row>
        <row r="1188">
          <cell r="A1188" t="str">
            <v>UCB36225</v>
          </cell>
          <cell r="D1188" t="str">
            <v>C01</v>
          </cell>
        </row>
        <row r="1189">
          <cell r="A1189" t="str">
            <v>UCB36640</v>
          </cell>
          <cell r="D1189" t="str">
            <v>C01</v>
          </cell>
        </row>
        <row r="1190">
          <cell r="A1190" t="str">
            <v>UCB42210</v>
          </cell>
          <cell r="D1190" t="str">
            <v>C01</v>
          </cell>
        </row>
        <row r="1191">
          <cell r="A1191" t="str">
            <v>UCB42215</v>
          </cell>
          <cell r="D1191" t="str">
            <v>C01</v>
          </cell>
        </row>
        <row r="1192">
          <cell r="A1192" t="str">
            <v>UCB42220</v>
          </cell>
          <cell r="D1192" t="str">
            <v>C01</v>
          </cell>
        </row>
        <row r="1193">
          <cell r="A1193" t="str">
            <v>UCB42225</v>
          </cell>
          <cell r="D1193" t="str">
            <v>C01</v>
          </cell>
        </row>
        <row r="1194">
          <cell r="A1194" t="str">
            <v>UCB42230</v>
          </cell>
          <cell r="D1194" t="str">
            <v>C01</v>
          </cell>
        </row>
        <row r="1195">
          <cell r="A1195" t="str">
            <v>UCB52110</v>
          </cell>
          <cell r="D1195" t="str">
            <v>C01</v>
          </cell>
        </row>
        <row r="1196">
          <cell r="A1196" t="str">
            <v>UCB52310</v>
          </cell>
          <cell r="D1196" t="str">
            <v>C01</v>
          </cell>
        </row>
        <row r="1197">
          <cell r="A1197" t="str">
            <v>UCB52315</v>
          </cell>
          <cell r="D1197" t="str">
            <v>C01</v>
          </cell>
        </row>
        <row r="1198">
          <cell r="A1198" t="str">
            <v>UCB56452</v>
          </cell>
          <cell r="D1198" t="str">
            <v>C01</v>
          </cell>
        </row>
        <row r="1199">
          <cell r="A1199" t="str">
            <v>UCB56455</v>
          </cell>
          <cell r="D1199" t="str">
            <v>C01</v>
          </cell>
        </row>
        <row r="1200">
          <cell r="A1200" t="str">
            <v>UCB58345</v>
          </cell>
          <cell r="D1200" t="str">
            <v>C01</v>
          </cell>
        </row>
        <row r="1201">
          <cell r="A1201" t="str">
            <v>UCB58445</v>
          </cell>
          <cell r="D1201" t="str">
            <v>C01</v>
          </cell>
        </row>
        <row r="1202">
          <cell r="A1202" t="str">
            <v>UCF06030</v>
          </cell>
          <cell r="D1202" t="str">
            <v>C01</v>
          </cell>
        </row>
        <row r="1203">
          <cell r="A1203" t="str">
            <v>UCH20080</v>
          </cell>
          <cell r="D1203" t="str">
            <v>C01</v>
          </cell>
        </row>
        <row r="1204">
          <cell r="A1204" t="str">
            <v>UCH20440</v>
          </cell>
          <cell r="D1204" t="str">
            <v>C01</v>
          </cell>
        </row>
        <row r="1205">
          <cell r="A1205" t="str">
            <v>UCH20722</v>
          </cell>
          <cell r="D1205" t="str">
            <v>C01</v>
          </cell>
        </row>
        <row r="1206">
          <cell r="A1206" t="str">
            <v>UCH50110</v>
          </cell>
          <cell r="D1206" t="str">
            <v>C01</v>
          </cell>
        </row>
        <row r="1207">
          <cell r="A1207" t="str">
            <v>UCJ36010</v>
          </cell>
          <cell r="D1207" t="str">
            <v>C01</v>
          </cell>
        </row>
        <row r="1208">
          <cell r="A1208" t="str">
            <v>UCP02200</v>
          </cell>
          <cell r="D1208" t="str">
            <v>C01</v>
          </cell>
        </row>
        <row r="1209">
          <cell r="A1209" t="str">
            <v>UCP04050</v>
          </cell>
          <cell r="D1209" t="str">
            <v>C01</v>
          </cell>
        </row>
        <row r="1210">
          <cell r="A1210" t="str">
            <v>UCP04100</v>
          </cell>
          <cell r="D1210" t="str">
            <v>C01</v>
          </cell>
        </row>
        <row r="1211">
          <cell r="A1211" t="str">
            <v>UCP04300</v>
          </cell>
          <cell r="D1211" t="str">
            <v>C01</v>
          </cell>
        </row>
        <row r="1212">
          <cell r="A1212" t="str">
            <v>UCP06100</v>
          </cell>
          <cell r="D1212" t="str">
            <v>C01</v>
          </cell>
        </row>
        <row r="1213">
          <cell r="A1213" t="str">
            <v>UCP10510</v>
          </cell>
          <cell r="D1213" t="str">
            <v>C01</v>
          </cell>
        </row>
        <row r="1214">
          <cell r="A1214" t="str">
            <v>UCP10530</v>
          </cell>
          <cell r="D1214" t="str">
            <v>C01</v>
          </cell>
        </row>
        <row r="1215">
          <cell r="A1215" t="str">
            <v>UCP24300</v>
          </cell>
          <cell r="D1215" t="str">
            <v>C01</v>
          </cell>
        </row>
        <row r="1216">
          <cell r="A1216" t="str">
            <v>UCP24350</v>
          </cell>
          <cell r="D1216" t="str">
            <v>C01</v>
          </cell>
        </row>
        <row r="1217">
          <cell r="A1217" t="str">
            <v>UMA46212</v>
          </cell>
          <cell r="D1217" t="str">
            <v>C01</v>
          </cell>
        </row>
        <row r="1218">
          <cell r="A1218" t="str">
            <v>UMA46213</v>
          </cell>
          <cell r="D1218" t="str">
            <v>C01</v>
          </cell>
        </row>
        <row r="1219">
          <cell r="A1219" t="str">
            <v>UMA46214</v>
          </cell>
          <cell r="D1219" t="str">
            <v>C01</v>
          </cell>
        </row>
        <row r="1220">
          <cell r="A1220" t="str">
            <v>UMA46216</v>
          </cell>
          <cell r="D1220" t="str">
            <v>C01</v>
          </cell>
        </row>
        <row r="1221">
          <cell r="A1221" t="str">
            <v>UMA46217</v>
          </cell>
          <cell r="D1221" t="str">
            <v>C01</v>
          </cell>
        </row>
        <row r="1222">
          <cell r="A1222" t="str">
            <v>UMA46219</v>
          </cell>
          <cell r="D1222" t="str">
            <v>C01</v>
          </cell>
        </row>
        <row r="1223">
          <cell r="A1223" t="str">
            <v>UMA46220</v>
          </cell>
          <cell r="D1223" t="str">
            <v>C01</v>
          </cell>
        </row>
        <row r="1224">
          <cell r="A1224" t="str">
            <v>UMA46221</v>
          </cell>
          <cell r="D1224" t="str">
            <v>C01</v>
          </cell>
        </row>
        <row r="1225">
          <cell r="A1225" t="str">
            <v>UMA46224</v>
          </cell>
          <cell r="D1225" t="str">
            <v>C01</v>
          </cell>
        </row>
        <row r="1226">
          <cell r="A1226" t="str">
            <v>UMC10626</v>
          </cell>
          <cell r="D1226" t="str">
            <v>C01</v>
          </cell>
        </row>
        <row r="1227">
          <cell r="A1227" t="str">
            <v>UMC36220</v>
          </cell>
          <cell r="D1227" t="str">
            <v>C01</v>
          </cell>
        </row>
        <row r="1228">
          <cell r="A1228" t="str">
            <v>UMC36221</v>
          </cell>
          <cell r="D1228" t="str">
            <v>C01</v>
          </cell>
        </row>
        <row r="1229">
          <cell r="A1229" t="str">
            <v>UMC38823</v>
          </cell>
          <cell r="D1229" t="str">
            <v>C01</v>
          </cell>
        </row>
        <row r="1230">
          <cell r="A1230" t="str">
            <v>UMC46513</v>
          </cell>
          <cell r="D1230" t="str">
            <v>C01</v>
          </cell>
        </row>
        <row r="1231">
          <cell r="A1231" t="str">
            <v>UMD90105</v>
          </cell>
          <cell r="D1231" t="str">
            <v>C01</v>
          </cell>
        </row>
        <row r="1232">
          <cell r="A1232" t="str">
            <v>UMD90115</v>
          </cell>
          <cell r="D1232" t="str">
            <v>C01</v>
          </cell>
        </row>
        <row r="1233">
          <cell r="A1233" t="str">
            <v>UMD90124</v>
          </cell>
          <cell r="D1233" t="str">
            <v>C01</v>
          </cell>
        </row>
        <row r="1234">
          <cell r="A1234" t="str">
            <v>UMN10251</v>
          </cell>
          <cell r="D1234" t="str">
            <v>C01</v>
          </cell>
        </row>
        <row r="1235">
          <cell r="A1235" t="str">
            <v>UMN10255</v>
          </cell>
          <cell r="D1235" t="str">
            <v>C01</v>
          </cell>
        </row>
        <row r="1236">
          <cell r="A1236" t="str">
            <v>UMN34512</v>
          </cell>
          <cell r="D1236" t="str">
            <v>C01</v>
          </cell>
        </row>
        <row r="1237">
          <cell r="A1237" t="str">
            <v>UMN34513</v>
          </cell>
          <cell r="D1237" t="str">
            <v>C01</v>
          </cell>
        </row>
        <row r="1238">
          <cell r="A1238" t="str">
            <v>UMN34515</v>
          </cell>
          <cell r="D1238" t="str">
            <v>C01</v>
          </cell>
        </row>
        <row r="1239">
          <cell r="A1239" t="str">
            <v>UMN34517</v>
          </cell>
          <cell r="D1239" t="str">
            <v>C01</v>
          </cell>
        </row>
        <row r="1240">
          <cell r="A1240" t="str">
            <v>UMN34519</v>
          </cell>
          <cell r="D1240" t="str">
            <v>C01</v>
          </cell>
        </row>
        <row r="1241">
          <cell r="A1241" t="str">
            <v>UMO33113</v>
          </cell>
          <cell r="D1241" t="str">
            <v>C01</v>
          </cell>
        </row>
        <row r="1242">
          <cell r="A1242" t="str">
            <v>UMO33117</v>
          </cell>
          <cell r="D1242" t="str">
            <v>C01</v>
          </cell>
        </row>
        <row r="1243">
          <cell r="A1243" t="str">
            <v>UMO33119</v>
          </cell>
          <cell r="D1243" t="str">
            <v>C01</v>
          </cell>
        </row>
        <row r="1244">
          <cell r="A1244" t="str">
            <v>UMO33124</v>
          </cell>
          <cell r="D1244" t="str">
            <v>C01</v>
          </cell>
        </row>
        <row r="1245">
          <cell r="A1245" t="str">
            <v>UMP20522</v>
          </cell>
          <cell r="D1245" t="str">
            <v>C01</v>
          </cell>
        </row>
        <row r="1246">
          <cell r="A1246" t="str">
            <v>BCB01Z02</v>
          </cell>
          <cell r="D1246" t="str">
            <v>C02</v>
          </cell>
        </row>
        <row r="1247">
          <cell r="A1247" t="str">
            <v>BCB01Z26</v>
          </cell>
          <cell r="D1247" t="str">
            <v>C02</v>
          </cell>
        </row>
        <row r="1248">
          <cell r="A1248" t="str">
            <v>BCB01Z31</v>
          </cell>
          <cell r="D1248" t="str">
            <v>C02</v>
          </cell>
        </row>
        <row r="1249">
          <cell r="A1249" t="str">
            <v>BCB01Z40</v>
          </cell>
          <cell r="D1249" t="str">
            <v>C02</v>
          </cell>
        </row>
        <row r="1250">
          <cell r="A1250" t="str">
            <v>BCB01Z41</v>
          </cell>
          <cell r="D1250" t="str">
            <v>C02</v>
          </cell>
        </row>
        <row r="1251">
          <cell r="A1251" t="str">
            <v>BCB01Z42</v>
          </cell>
          <cell r="D1251" t="str">
            <v>C02</v>
          </cell>
        </row>
        <row r="1252">
          <cell r="A1252" t="str">
            <v>BCB01Z43</v>
          </cell>
          <cell r="D1252" t="str">
            <v>C02</v>
          </cell>
        </row>
        <row r="1253">
          <cell r="A1253" t="str">
            <v>BCB01Z44</v>
          </cell>
          <cell r="D1253" t="str">
            <v>C02</v>
          </cell>
        </row>
        <row r="1254">
          <cell r="A1254" t="str">
            <v>BCB01Z45</v>
          </cell>
          <cell r="D1254" t="str">
            <v>C02</v>
          </cell>
        </row>
        <row r="1255">
          <cell r="A1255" t="str">
            <v>BCB01Z66</v>
          </cell>
          <cell r="D1255" t="str">
            <v>C02</v>
          </cell>
        </row>
        <row r="1256">
          <cell r="A1256" t="str">
            <v>BGB10101</v>
          </cell>
          <cell r="D1256" t="str">
            <v>C02</v>
          </cell>
        </row>
        <row r="1257">
          <cell r="A1257" t="str">
            <v>BGB10121</v>
          </cell>
          <cell r="D1257" t="str">
            <v>C02</v>
          </cell>
        </row>
        <row r="1258">
          <cell r="A1258" t="str">
            <v>BGB10123</v>
          </cell>
          <cell r="D1258" t="str">
            <v>C02</v>
          </cell>
        </row>
        <row r="1259">
          <cell r="A1259" t="str">
            <v>BGB10144</v>
          </cell>
          <cell r="D1259" t="str">
            <v>C02</v>
          </cell>
        </row>
        <row r="1260">
          <cell r="A1260" t="str">
            <v>BGB10161</v>
          </cell>
          <cell r="D1260" t="str">
            <v>C02</v>
          </cell>
        </row>
        <row r="1261">
          <cell r="A1261" t="str">
            <v>BGB10166</v>
          </cell>
          <cell r="D1261" t="str">
            <v>C02</v>
          </cell>
        </row>
        <row r="1262">
          <cell r="A1262" t="str">
            <v>BGB10167</v>
          </cell>
          <cell r="D1262" t="str">
            <v>C02</v>
          </cell>
        </row>
        <row r="1263">
          <cell r="A1263" t="str">
            <v>BGB10173</v>
          </cell>
          <cell r="D1263" t="str">
            <v>C02</v>
          </cell>
        </row>
        <row r="1264">
          <cell r="A1264" t="str">
            <v>BGB10174</v>
          </cell>
          <cell r="D1264" t="str">
            <v>C02</v>
          </cell>
        </row>
        <row r="1265">
          <cell r="A1265" t="str">
            <v>BGB10175</v>
          </cell>
          <cell r="D1265" t="str">
            <v>C02</v>
          </cell>
        </row>
        <row r="1266">
          <cell r="A1266" t="str">
            <v>BGB10176</v>
          </cell>
          <cell r="D1266" t="str">
            <v>C02</v>
          </cell>
        </row>
        <row r="1267">
          <cell r="A1267" t="str">
            <v>BGB10285</v>
          </cell>
          <cell r="D1267" t="str">
            <v>C02</v>
          </cell>
        </row>
        <row r="1268">
          <cell r="A1268" t="str">
            <v>BGB10290</v>
          </cell>
          <cell r="D1268" t="str">
            <v>C02</v>
          </cell>
        </row>
        <row r="1269">
          <cell r="A1269" t="str">
            <v>BGB10310</v>
          </cell>
          <cell r="D1269" t="str">
            <v>C02</v>
          </cell>
        </row>
        <row r="1270">
          <cell r="A1270" t="str">
            <v>BGB10422</v>
          </cell>
          <cell r="D1270" t="str">
            <v>C02</v>
          </cell>
        </row>
        <row r="1271">
          <cell r="A1271" t="str">
            <v>BGB10441</v>
          </cell>
          <cell r="D1271" t="str">
            <v>C02</v>
          </cell>
        </row>
        <row r="1272">
          <cell r="A1272" t="str">
            <v>BGB10442</v>
          </cell>
          <cell r="D1272" t="str">
            <v>C02</v>
          </cell>
        </row>
        <row r="1273">
          <cell r="A1273" t="str">
            <v>BGB10443</v>
          </cell>
          <cell r="D1273" t="str">
            <v>C02</v>
          </cell>
        </row>
        <row r="1274">
          <cell r="A1274" t="str">
            <v>BGB10444</v>
          </cell>
          <cell r="D1274" t="str">
            <v>C02</v>
          </cell>
        </row>
        <row r="1275">
          <cell r="A1275" t="str">
            <v>BGB10910</v>
          </cell>
          <cell r="D1275" t="str">
            <v>C02</v>
          </cell>
        </row>
        <row r="1276">
          <cell r="A1276" t="str">
            <v>JDA00068</v>
          </cell>
          <cell r="D1276" t="str">
            <v>C02</v>
          </cell>
        </row>
        <row r="1277">
          <cell r="A1277" t="str">
            <v>JDA00073</v>
          </cell>
          <cell r="D1277" t="str">
            <v>C02</v>
          </cell>
        </row>
        <row r="1278">
          <cell r="A1278" t="str">
            <v>JGG30678</v>
          </cell>
          <cell r="D1278" t="str">
            <v>C02</v>
          </cell>
        </row>
        <row r="1279">
          <cell r="A1279" t="str">
            <v>MGA20210</v>
          </cell>
          <cell r="D1279" t="str">
            <v>C02</v>
          </cell>
        </row>
        <row r="1280">
          <cell r="A1280" t="str">
            <v>MGB10110</v>
          </cell>
          <cell r="D1280" t="str">
            <v>C02</v>
          </cell>
        </row>
        <row r="1281">
          <cell r="A1281" t="str">
            <v>QAA31230</v>
          </cell>
          <cell r="D1281" t="str">
            <v>C02</v>
          </cell>
        </row>
        <row r="1282">
          <cell r="A1282" t="str">
            <v>QAA35230</v>
          </cell>
          <cell r="D1282" t="str">
            <v>C02</v>
          </cell>
        </row>
        <row r="1283">
          <cell r="A1283" t="str">
            <v>QAA36220</v>
          </cell>
          <cell r="D1283" t="str">
            <v>C02</v>
          </cell>
        </row>
        <row r="1284">
          <cell r="A1284" t="str">
            <v>QAD33222</v>
          </cell>
          <cell r="D1284" t="str">
            <v>C02</v>
          </cell>
        </row>
        <row r="1285">
          <cell r="A1285" t="str">
            <v>QAD34222</v>
          </cell>
          <cell r="D1285" t="str">
            <v>C02</v>
          </cell>
        </row>
        <row r="1286">
          <cell r="A1286" t="str">
            <v>QAD34232</v>
          </cell>
          <cell r="D1286" t="str">
            <v>C02</v>
          </cell>
        </row>
        <row r="1287">
          <cell r="A1287" t="str">
            <v>QAD34233</v>
          </cell>
          <cell r="D1287" t="str">
            <v>C02</v>
          </cell>
        </row>
        <row r="1288">
          <cell r="A1288" t="str">
            <v>QAH42210</v>
          </cell>
          <cell r="D1288" t="str">
            <v>C02</v>
          </cell>
        </row>
        <row r="1289">
          <cell r="A1289" t="str">
            <v>QAJ22171</v>
          </cell>
          <cell r="D1289" t="str">
            <v>C02</v>
          </cell>
        </row>
        <row r="1290">
          <cell r="A1290" t="str">
            <v>QAJ22671</v>
          </cell>
          <cell r="D1290" t="str">
            <v>C02</v>
          </cell>
        </row>
        <row r="1291">
          <cell r="A1291" t="str">
            <v>QAJ32221</v>
          </cell>
          <cell r="D1291" t="str">
            <v>C02</v>
          </cell>
        </row>
        <row r="1292">
          <cell r="A1292" t="str">
            <v>QAJ32721</v>
          </cell>
          <cell r="D1292" t="str">
            <v>C02</v>
          </cell>
        </row>
        <row r="1293">
          <cell r="A1293" t="str">
            <v>QBG15042</v>
          </cell>
          <cell r="D1293" t="str">
            <v>C02</v>
          </cell>
        </row>
        <row r="1294">
          <cell r="A1294" t="str">
            <v>QBG15043</v>
          </cell>
          <cell r="D1294" t="str">
            <v>C02</v>
          </cell>
        </row>
        <row r="1295">
          <cell r="A1295" t="str">
            <v>QCZ10101</v>
          </cell>
          <cell r="D1295" t="str">
            <v>C02</v>
          </cell>
        </row>
        <row r="1296">
          <cell r="A1296" t="str">
            <v>QCZ35222</v>
          </cell>
          <cell r="D1296" t="str">
            <v>C02</v>
          </cell>
        </row>
        <row r="1297">
          <cell r="A1297" t="str">
            <v>QCZ35230</v>
          </cell>
          <cell r="D1297" t="str">
            <v>C02</v>
          </cell>
        </row>
        <row r="1298">
          <cell r="A1298" t="str">
            <v>QCZ35232</v>
          </cell>
          <cell r="D1298" t="str">
            <v>C02</v>
          </cell>
        </row>
        <row r="1299">
          <cell r="A1299" t="str">
            <v>QCZ42210</v>
          </cell>
          <cell r="D1299" t="str">
            <v>C02</v>
          </cell>
        </row>
        <row r="1300">
          <cell r="A1300" t="str">
            <v>SCZ00003</v>
          </cell>
          <cell r="D1300" t="str">
            <v>C02</v>
          </cell>
        </row>
        <row r="1301">
          <cell r="A1301" t="str">
            <v>SCZ00004</v>
          </cell>
          <cell r="D1301" t="str">
            <v>C02</v>
          </cell>
        </row>
        <row r="1302">
          <cell r="A1302" t="str">
            <v>SCZ00005</v>
          </cell>
          <cell r="D1302" t="str">
            <v>C02</v>
          </cell>
        </row>
        <row r="1303">
          <cell r="A1303" t="str">
            <v>SCZ00070</v>
          </cell>
          <cell r="D1303" t="str">
            <v>C02</v>
          </cell>
        </row>
        <row r="1304">
          <cell r="A1304" t="str">
            <v>SCZ00072</v>
          </cell>
          <cell r="D1304" t="str">
            <v>C02</v>
          </cell>
        </row>
        <row r="1305">
          <cell r="A1305" t="str">
            <v>SCZ00080</v>
          </cell>
          <cell r="D1305" t="str">
            <v>C02</v>
          </cell>
        </row>
        <row r="1306">
          <cell r="A1306" t="str">
            <v>SCZ00082</v>
          </cell>
          <cell r="D1306" t="str">
            <v>C02</v>
          </cell>
        </row>
        <row r="1307">
          <cell r="A1307" t="str">
            <v>SCZ00084</v>
          </cell>
          <cell r="D1307" t="str">
            <v>C02</v>
          </cell>
        </row>
        <row r="1308">
          <cell r="A1308" t="str">
            <v>SCZ00085</v>
          </cell>
          <cell r="D1308" t="str">
            <v>C02</v>
          </cell>
        </row>
        <row r="1309">
          <cell r="A1309" t="str">
            <v>SCZ00086</v>
          </cell>
          <cell r="D1309" t="str">
            <v>C02</v>
          </cell>
        </row>
        <row r="1310">
          <cell r="A1310" t="str">
            <v>SCZ00087</v>
          </cell>
          <cell r="D1310" t="str">
            <v>C02</v>
          </cell>
        </row>
        <row r="1311">
          <cell r="A1311" t="str">
            <v>SCZ00088</v>
          </cell>
          <cell r="D1311" t="str">
            <v>C02</v>
          </cell>
        </row>
        <row r="1312">
          <cell r="A1312" t="str">
            <v>SCZ00090</v>
          </cell>
          <cell r="D1312" t="str">
            <v>C02</v>
          </cell>
        </row>
        <row r="1313">
          <cell r="A1313" t="str">
            <v>SCZ00091</v>
          </cell>
          <cell r="D1313" t="str">
            <v>C02</v>
          </cell>
        </row>
        <row r="1314">
          <cell r="A1314" t="str">
            <v>SCZ00093</v>
          </cell>
          <cell r="D1314" t="str">
            <v>C02</v>
          </cell>
        </row>
        <row r="1315">
          <cell r="A1315" t="str">
            <v>SCZ00095</v>
          </cell>
          <cell r="D1315" t="str">
            <v>C02</v>
          </cell>
        </row>
        <row r="1316">
          <cell r="A1316" t="str">
            <v>SCZ00096</v>
          </cell>
          <cell r="D1316" t="str">
            <v>C02</v>
          </cell>
        </row>
        <row r="1317">
          <cell r="A1317" t="str">
            <v>SCZ00103</v>
          </cell>
          <cell r="D1317" t="str">
            <v>C02</v>
          </cell>
        </row>
        <row r="1318">
          <cell r="A1318" t="str">
            <v>SCZ00111</v>
          </cell>
          <cell r="D1318" t="str">
            <v>C02</v>
          </cell>
        </row>
        <row r="1319">
          <cell r="A1319" t="str">
            <v>SCZ00115</v>
          </cell>
          <cell r="D1319" t="str">
            <v>C02</v>
          </cell>
        </row>
        <row r="1320">
          <cell r="A1320" t="str">
            <v>SCZ00120</v>
          </cell>
          <cell r="D1320" t="str">
            <v>C02</v>
          </cell>
        </row>
        <row r="1321">
          <cell r="A1321" t="str">
            <v>SCZ00128</v>
          </cell>
          <cell r="D1321" t="str">
            <v>C02</v>
          </cell>
        </row>
        <row r="1322">
          <cell r="A1322" t="str">
            <v>SCZ00140</v>
          </cell>
          <cell r="D1322" t="str">
            <v>C02</v>
          </cell>
        </row>
        <row r="1323">
          <cell r="A1323" t="str">
            <v>SCZ00146</v>
          </cell>
          <cell r="D1323" t="str">
            <v>C02</v>
          </cell>
        </row>
        <row r="1324">
          <cell r="A1324" t="str">
            <v>SCZ00147</v>
          </cell>
          <cell r="D1324" t="str">
            <v>C02</v>
          </cell>
        </row>
        <row r="1325">
          <cell r="A1325" t="str">
            <v>SCZ00149</v>
          </cell>
          <cell r="D1325" t="str">
            <v>C02</v>
          </cell>
        </row>
        <row r="1326">
          <cell r="A1326" t="str">
            <v>SCZ00150</v>
          </cell>
          <cell r="D1326" t="str">
            <v>C02</v>
          </cell>
        </row>
        <row r="1327">
          <cell r="A1327" t="str">
            <v>SCZ00152</v>
          </cell>
          <cell r="D1327" t="str">
            <v>C02</v>
          </cell>
        </row>
        <row r="1328">
          <cell r="A1328" t="str">
            <v>SCZ00170</v>
          </cell>
          <cell r="D1328" t="str">
            <v>C02</v>
          </cell>
        </row>
        <row r="1329">
          <cell r="A1329" t="str">
            <v>SCZ00180</v>
          </cell>
          <cell r="D1329" t="str">
            <v>C02</v>
          </cell>
        </row>
        <row r="1330">
          <cell r="A1330" t="str">
            <v>SCZ00200</v>
          </cell>
          <cell r="D1330" t="str">
            <v>C02</v>
          </cell>
        </row>
        <row r="1331">
          <cell r="A1331" t="str">
            <v>SCZ00210</v>
          </cell>
          <cell r="D1331" t="str">
            <v>C02</v>
          </cell>
        </row>
        <row r="1332">
          <cell r="A1332" t="str">
            <v>SCZ00250</v>
          </cell>
          <cell r="D1332" t="str">
            <v>C02</v>
          </cell>
        </row>
        <row r="1333">
          <cell r="A1333" t="str">
            <v>SCZ00251</v>
          </cell>
          <cell r="D1333" t="str">
            <v>C02</v>
          </cell>
        </row>
        <row r="1334">
          <cell r="A1334" t="str">
            <v>SCZ00256</v>
          </cell>
          <cell r="D1334" t="str">
            <v>C02</v>
          </cell>
        </row>
        <row r="1335">
          <cell r="A1335" t="str">
            <v>SCZBD181</v>
          </cell>
          <cell r="D1335" t="str">
            <v>C02</v>
          </cell>
        </row>
        <row r="1336">
          <cell r="A1336" t="str">
            <v>SCZGB020</v>
          </cell>
          <cell r="D1336" t="str">
            <v>C02</v>
          </cell>
        </row>
        <row r="1337">
          <cell r="A1337" t="str">
            <v>SCZGB025</v>
          </cell>
          <cell r="D1337" t="str">
            <v>C02</v>
          </cell>
        </row>
        <row r="1338">
          <cell r="A1338" t="str">
            <v>SCZGB027</v>
          </cell>
          <cell r="D1338" t="str">
            <v>C02</v>
          </cell>
        </row>
        <row r="1339">
          <cell r="A1339" t="str">
            <v>SCZGB030</v>
          </cell>
          <cell r="D1339" t="str">
            <v>C02</v>
          </cell>
        </row>
        <row r="1340">
          <cell r="A1340" t="str">
            <v>SCZGB080</v>
          </cell>
          <cell r="D1340" t="str">
            <v>C02</v>
          </cell>
        </row>
        <row r="1341">
          <cell r="A1341" t="str">
            <v>SCZGB085</v>
          </cell>
          <cell r="D1341" t="str">
            <v>C02</v>
          </cell>
        </row>
        <row r="1342">
          <cell r="A1342" t="str">
            <v>SCZGB087</v>
          </cell>
          <cell r="D1342" t="str">
            <v>C02</v>
          </cell>
        </row>
        <row r="1343">
          <cell r="A1343" t="str">
            <v>SCZGB090</v>
          </cell>
          <cell r="D1343" t="str">
            <v>C02</v>
          </cell>
        </row>
        <row r="1344">
          <cell r="A1344" t="str">
            <v>SCZGB095</v>
          </cell>
          <cell r="D1344" t="str">
            <v>C02</v>
          </cell>
        </row>
        <row r="1345">
          <cell r="A1345" t="str">
            <v>SCZGT001</v>
          </cell>
          <cell r="D1345" t="str">
            <v>C02</v>
          </cell>
        </row>
        <row r="1346">
          <cell r="A1346" t="str">
            <v>SCZI0100</v>
          </cell>
          <cell r="D1346" t="str">
            <v>C02</v>
          </cell>
        </row>
        <row r="1347">
          <cell r="A1347" t="str">
            <v>SCZI0110</v>
          </cell>
          <cell r="D1347" t="str">
            <v>C02</v>
          </cell>
        </row>
        <row r="1348">
          <cell r="A1348" t="str">
            <v>SCZI0120</v>
          </cell>
          <cell r="D1348" t="str">
            <v>C02</v>
          </cell>
        </row>
        <row r="1349">
          <cell r="A1349" t="str">
            <v>SCZJJ850</v>
          </cell>
          <cell r="D1349" t="str">
            <v>C02</v>
          </cell>
        </row>
        <row r="1350">
          <cell r="A1350" t="str">
            <v>SCZPN305</v>
          </cell>
          <cell r="D1350" t="str">
            <v>C02</v>
          </cell>
        </row>
        <row r="1351">
          <cell r="A1351" t="str">
            <v>SCZPN306</v>
          </cell>
          <cell r="D1351" t="str">
            <v>C02</v>
          </cell>
        </row>
        <row r="1352">
          <cell r="A1352" t="str">
            <v>UAB50030</v>
          </cell>
          <cell r="D1352" t="str">
            <v>C02</v>
          </cell>
        </row>
        <row r="1353">
          <cell r="A1353" t="str">
            <v>UAB60116</v>
          </cell>
          <cell r="D1353" t="str">
            <v>C02</v>
          </cell>
        </row>
        <row r="1354">
          <cell r="A1354" t="str">
            <v>UAB60118</v>
          </cell>
          <cell r="D1354" t="str">
            <v>C02</v>
          </cell>
        </row>
        <row r="1355">
          <cell r="A1355" t="str">
            <v>UAB60216</v>
          </cell>
          <cell r="D1355" t="str">
            <v>C02</v>
          </cell>
        </row>
        <row r="1356">
          <cell r="A1356" t="str">
            <v>UAB60218</v>
          </cell>
          <cell r="D1356" t="str">
            <v>C02</v>
          </cell>
        </row>
        <row r="1357">
          <cell r="A1357" t="str">
            <v>UAB60318</v>
          </cell>
          <cell r="D1357" t="str">
            <v>C02</v>
          </cell>
        </row>
        <row r="1358">
          <cell r="A1358" t="str">
            <v>UAB80105</v>
          </cell>
          <cell r="D1358" t="str">
            <v>C02</v>
          </cell>
        </row>
        <row r="1359">
          <cell r="A1359" t="str">
            <v>UAB80115</v>
          </cell>
          <cell r="D1359" t="str">
            <v>C02</v>
          </cell>
        </row>
        <row r="1360">
          <cell r="A1360" t="str">
            <v>UAB80200</v>
          </cell>
          <cell r="D1360" t="str">
            <v>C02</v>
          </cell>
        </row>
        <row r="1361">
          <cell r="A1361" t="str">
            <v>UAB80205</v>
          </cell>
          <cell r="D1361" t="str">
            <v>C02</v>
          </cell>
        </row>
        <row r="1362">
          <cell r="A1362" t="str">
            <v>UAB80305</v>
          </cell>
          <cell r="D1362" t="str">
            <v>C02</v>
          </cell>
        </row>
        <row r="1363">
          <cell r="A1363" t="str">
            <v>UAB80330</v>
          </cell>
          <cell r="D1363" t="str">
            <v>C02</v>
          </cell>
        </row>
        <row r="1364">
          <cell r="A1364" t="str">
            <v>UAB80504</v>
          </cell>
          <cell r="D1364" t="str">
            <v>C02</v>
          </cell>
        </row>
        <row r="1365">
          <cell r="A1365" t="str">
            <v>UAB80510</v>
          </cell>
          <cell r="D1365" t="str">
            <v>C02</v>
          </cell>
        </row>
        <row r="1366">
          <cell r="A1366" t="str">
            <v>UAB80520</v>
          </cell>
          <cell r="D1366" t="str">
            <v>C02</v>
          </cell>
        </row>
        <row r="1367">
          <cell r="A1367" t="str">
            <v>UAD10505</v>
          </cell>
          <cell r="D1367" t="str">
            <v>C02</v>
          </cell>
        </row>
        <row r="1368">
          <cell r="A1368" t="str">
            <v>UCA40010</v>
          </cell>
          <cell r="D1368" t="str">
            <v>C02</v>
          </cell>
        </row>
        <row r="1369">
          <cell r="A1369" t="str">
            <v>UCE42115</v>
          </cell>
          <cell r="D1369" t="str">
            <v>C02</v>
          </cell>
        </row>
        <row r="1370">
          <cell r="A1370" t="str">
            <v>UCL04324</v>
          </cell>
          <cell r="D1370" t="str">
            <v>C02</v>
          </cell>
        </row>
        <row r="1371">
          <cell r="A1371" t="str">
            <v>UCL12103</v>
          </cell>
          <cell r="D1371" t="str">
            <v>C02</v>
          </cell>
        </row>
        <row r="1372">
          <cell r="A1372" t="str">
            <v>UCP14255</v>
          </cell>
          <cell r="D1372" t="str">
            <v>C02</v>
          </cell>
        </row>
        <row r="1373">
          <cell r="A1373" t="str">
            <v>UCP28150</v>
          </cell>
          <cell r="D1373" t="str">
            <v>C02</v>
          </cell>
        </row>
        <row r="1374">
          <cell r="A1374" t="str">
            <v>UCP28620</v>
          </cell>
          <cell r="D1374" t="str">
            <v>C02</v>
          </cell>
        </row>
        <row r="1375">
          <cell r="A1375" t="str">
            <v>UCP28910</v>
          </cell>
          <cell r="D1375" t="str">
            <v>C02</v>
          </cell>
        </row>
        <row r="1376">
          <cell r="A1376" t="str">
            <v>UCZ11020</v>
          </cell>
          <cell r="D1376" t="str">
            <v>C02</v>
          </cell>
        </row>
        <row r="1377">
          <cell r="A1377" t="str">
            <v>UCZ12010</v>
          </cell>
          <cell r="D1377" t="str">
            <v>C02</v>
          </cell>
        </row>
        <row r="1378">
          <cell r="A1378" t="str">
            <v>UCZ12020</v>
          </cell>
          <cell r="D1378" t="str">
            <v>C02</v>
          </cell>
        </row>
        <row r="1379">
          <cell r="A1379" t="str">
            <v>UCZ12060</v>
          </cell>
          <cell r="D1379" t="str">
            <v>C02</v>
          </cell>
        </row>
        <row r="1380">
          <cell r="A1380" t="str">
            <v>UCZ12070</v>
          </cell>
          <cell r="D1380" t="str">
            <v>C02</v>
          </cell>
        </row>
        <row r="1381">
          <cell r="A1381" t="str">
            <v>UCZ16010</v>
          </cell>
          <cell r="D1381" t="str">
            <v>C02</v>
          </cell>
        </row>
        <row r="1382">
          <cell r="A1382" t="str">
            <v>UCZ16020</v>
          </cell>
          <cell r="D1382" t="str">
            <v>C02</v>
          </cell>
        </row>
        <row r="1383">
          <cell r="A1383" t="str">
            <v>UCZ16030</v>
          </cell>
          <cell r="D1383" t="str">
            <v>C02</v>
          </cell>
        </row>
        <row r="1384">
          <cell r="A1384" t="str">
            <v>UMC15106</v>
          </cell>
          <cell r="D1384" t="str">
            <v>C02</v>
          </cell>
        </row>
        <row r="1385">
          <cell r="A1385" t="str">
            <v>UMC15109</v>
          </cell>
          <cell r="D1385" t="str">
            <v>C02</v>
          </cell>
        </row>
        <row r="1386">
          <cell r="A1386" t="str">
            <v>UMC15110</v>
          </cell>
          <cell r="D1386" t="str">
            <v>C02</v>
          </cell>
        </row>
        <row r="1387">
          <cell r="A1387" t="str">
            <v>UMC15112</v>
          </cell>
          <cell r="D1387" t="str">
            <v>C02</v>
          </cell>
        </row>
        <row r="1388">
          <cell r="A1388" t="str">
            <v>UMC15114</v>
          </cell>
          <cell r="D1388" t="str">
            <v>C02</v>
          </cell>
        </row>
        <row r="1389">
          <cell r="A1389" t="str">
            <v>UMC15115</v>
          </cell>
          <cell r="D1389" t="str">
            <v>C02</v>
          </cell>
        </row>
        <row r="1390">
          <cell r="A1390" t="str">
            <v>UMC28606</v>
          </cell>
          <cell r="D1390" t="str">
            <v>C02</v>
          </cell>
        </row>
        <row r="1391">
          <cell r="A1391" t="str">
            <v>UMC90426</v>
          </cell>
          <cell r="D1391" t="str">
            <v>C02</v>
          </cell>
        </row>
        <row r="1392">
          <cell r="A1392" t="str">
            <v>UMC90430</v>
          </cell>
          <cell r="D1392" t="str">
            <v>C02</v>
          </cell>
        </row>
        <row r="1393">
          <cell r="A1393" t="str">
            <v>UMC90432</v>
          </cell>
          <cell r="D1393" t="str">
            <v>C02</v>
          </cell>
        </row>
        <row r="1394">
          <cell r="A1394" t="str">
            <v>UMC90434</v>
          </cell>
          <cell r="D1394" t="str">
            <v>C02</v>
          </cell>
        </row>
        <row r="1395">
          <cell r="A1395" t="str">
            <v>UMC90435</v>
          </cell>
          <cell r="D1395" t="str">
            <v>C02</v>
          </cell>
        </row>
        <row r="1396">
          <cell r="A1396" t="str">
            <v>MGF11251</v>
          </cell>
          <cell r="D1396" t="str">
            <v>M01</v>
          </cell>
        </row>
        <row r="1397">
          <cell r="A1397" t="str">
            <v>MGF11543</v>
          </cell>
          <cell r="D1397" t="str">
            <v>M01</v>
          </cell>
        </row>
        <row r="1398">
          <cell r="A1398" t="str">
            <v>MGF11544</v>
          </cell>
          <cell r="D1398" t="str">
            <v>M01</v>
          </cell>
        </row>
        <row r="1399">
          <cell r="A1399" t="str">
            <v>MGF11546</v>
          </cell>
          <cell r="D1399" t="str">
            <v>M01</v>
          </cell>
        </row>
        <row r="1400">
          <cell r="A1400" t="str">
            <v>MGF11547</v>
          </cell>
          <cell r="D1400" t="str">
            <v>M01</v>
          </cell>
        </row>
        <row r="1401">
          <cell r="A1401" t="str">
            <v>MGF11548</v>
          </cell>
          <cell r="D1401" t="str">
            <v>M01</v>
          </cell>
        </row>
        <row r="1402">
          <cell r="A1402" t="str">
            <v>MGF30505</v>
          </cell>
          <cell r="D1402" t="str">
            <v>M01</v>
          </cell>
        </row>
        <row r="1403">
          <cell r="A1403" t="str">
            <v>MMB18133</v>
          </cell>
          <cell r="D1403" t="str">
            <v>M01</v>
          </cell>
        </row>
        <row r="1404">
          <cell r="A1404" t="str">
            <v>MMB18134</v>
          </cell>
          <cell r="D1404" t="str">
            <v>M01</v>
          </cell>
        </row>
        <row r="1405">
          <cell r="A1405" t="str">
            <v>MMB33011</v>
          </cell>
          <cell r="D1405" t="str">
            <v>M01</v>
          </cell>
        </row>
        <row r="1406">
          <cell r="A1406" t="str">
            <v>MMB33012</v>
          </cell>
          <cell r="D1406" t="str">
            <v>M01</v>
          </cell>
        </row>
        <row r="1407">
          <cell r="A1407" t="str">
            <v>MMB33031</v>
          </cell>
          <cell r="D1407" t="str">
            <v>M01</v>
          </cell>
        </row>
        <row r="1408">
          <cell r="A1408" t="str">
            <v>MMB33032</v>
          </cell>
          <cell r="D1408" t="str">
            <v>M01</v>
          </cell>
        </row>
        <row r="1409">
          <cell r="A1409" t="str">
            <v>MMB33051</v>
          </cell>
          <cell r="D1409" t="str">
            <v>M01</v>
          </cell>
        </row>
        <row r="1410">
          <cell r="A1410" t="str">
            <v>MMB33052</v>
          </cell>
          <cell r="D1410" t="str">
            <v>M01</v>
          </cell>
        </row>
        <row r="1411">
          <cell r="A1411" t="str">
            <v>MMB33071</v>
          </cell>
          <cell r="D1411" t="str">
            <v>M01</v>
          </cell>
        </row>
        <row r="1412">
          <cell r="A1412" t="str">
            <v>MMB35001</v>
          </cell>
          <cell r="D1412" t="str">
            <v>M01</v>
          </cell>
        </row>
        <row r="1413">
          <cell r="A1413" t="str">
            <v>MMB35003</v>
          </cell>
          <cell r="D1413" t="str">
            <v>M01</v>
          </cell>
        </row>
        <row r="1414">
          <cell r="A1414" t="str">
            <v>MMB35005</v>
          </cell>
          <cell r="D1414" t="str">
            <v>M01</v>
          </cell>
        </row>
        <row r="1415">
          <cell r="A1415" t="str">
            <v>MMB35007</v>
          </cell>
          <cell r="D1415" t="str">
            <v>M01</v>
          </cell>
        </row>
        <row r="1416">
          <cell r="A1416" t="str">
            <v>MMB35009</v>
          </cell>
          <cell r="D1416" t="str">
            <v>M01</v>
          </cell>
        </row>
        <row r="1417">
          <cell r="A1417" t="str">
            <v>MMB35011</v>
          </cell>
          <cell r="D1417" t="str">
            <v>M01</v>
          </cell>
        </row>
        <row r="1418">
          <cell r="A1418" t="str">
            <v>MMB35021</v>
          </cell>
          <cell r="D1418" t="str">
            <v>M01</v>
          </cell>
        </row>
        <row r="1419">
          <cell r="A1419" t="str">
            <v>MMB35023</v>
          </cell>
          <cell r="D1419" t="str">
            <v>M01</v>
          </cell>
        </row>
        <row r="1420">
          <cell r="A1420" t="str">
            <v>MMB35025</v>
          </cell>
          <cell r="D1420" t="str">
            <v>M01</v>
          </cell>
        </row>
        <row r="1421">
          <cell r="A1421" t="str">
            <v>MMB35027</v>
          </cell>
          <cell r="D1421" t="str">
            <v>M01</v>
          </cell>
        </row>
        <row r="1422">
          <cell r="A1422" t="str">
            <v>MMB35029</v>
          </cell>
          <cell r="D1422" t="str">
            <v>M01</v>
          </cell>
        </row>
        <row r="1423">
          <cell r="A1423" t="str">
            <v>MMB35031</v>
          </cell>
          <cell r="D1423" t="str">
            <v>M01</v>
          </cell>
        </row>
        <row r="1424">
          <cell r="A1424" t="str">
            <v>MMB35043</v>
          </cell>
          <cell r="D1424" t="str">
            <v>M01</v>
          </cell>
        </row>
        <row r="1425">
          <cell r="A1425" t="str">
            <v>MMB35045</v>
          </cell>
          <cell r="D1425" t="str">
            <v>M01</v>
          </cell>
        </row>
        <row r="1426">
          <cell r="A1426" t="str">
            <v>MMB35047</v>
          </cell>
          <cell r="D1426" t="str">
            <v>M01</v>
          </cell>
        </row>
        <row r="1427">
          <cell r="A1427" t="str">
            <v>MMB35053</v>
          </cell>
          <cell r="D1427" t="str">
            <v>M01</v>
          </cell>
        </row>
        <row r="1428">
          <cell r="A1428" t="str">
            <v>MMB35055</v>
          </cell>
          <cell r="D1428" t="str">
            <v>M01</v>
          </cell>
        </row>
        <row r="1429">
          <cell r="A1429" t="str">
            <v>MMB35081</v>
          </cell>
          <cell r="D1429" t="str">
            <v>M01</v>
          </cell>
        </row>
        <row r="1430">
          <cell r="A1430" t="str">
            <v>MMB35082</v>
          </cell>
          <cell r="D1430" t="str">
            <v>M01</v>
          </cell>
        </row>
        <row r="1431">
          <cell r="A1431" t="str">
            <v>MMB35091</v>
          </cell>
          <cell r="D1431" t="str">
            <v>M01</v>
          </cell>
        </row>
        <row r="1432">
          <cell r="A1432" t="str">
            <v>MMB35095</v>
          </cell>
          <cell r="D1432" t="str">
            <v>M01</v>
          </cell>
        </row>
        <row r="1433">
          <cell r="A1433" t="str">
            <v>MMB35097</v>
          </cell>
          <cell r="D1433" t="str">
            <v>M01</v>
          </cell>
        </row>
        <row r="1434">
          <cell r="A1434" t="str">
            <v>MMB35105</v>
          </cell>
          <cell r="D1434" t="str">
            <v>M01</v>
          </cell>
        </row>
        <row r="1435">
          <cell r="A1435" t="str">
            <v>MMB35109</v>
          </cell>
          <cell r="D1435" t="str">
            <v>M01</v>
          </cell>
        </row>
        <row r="1436">
          <cell r="A1436" t="str">
            <v>MMB35151</v>
          </cell>
          <cell r="D1436" t="str">
            <v>M01</v>
          </cell>
        </row>
        <row r="1437">
          <cell r="A1437" t="str">
            <v>MMB35153</v>
          </cell>
          <cell r="D1437" t="str">
            <v>M01</v>
          </cell>
        </row>
        <row r="1438">
          <cell r="A1438" t="str">
            <v>MMB35155</v>
          </cell>
          <cell r="D1438" t="str">
            <v>M01</v>
          </cell>
        </row>
        <row r="1439">
          <cell r="A1439" t="str">
            <v>MMB35157</v>
          </cell>
          <cell r="D1439" t="str">
            <v>M01</v>
          </cell>
        </row>
        <row r="1440">
          <cell r="A1440" t="str">
            <v>MMB35159</v>
          </cell>
          <cell r="D1440" t="str">
            <v>M01</v>
          </cell>
        </row>
        <row r="1441">
          <cell r="A1441" t="str">
            <v>MMB35161</v>
          </cell>
          <cell r="D1441" t="str">
            <v>M01</v>
          </cell>
        </row>
        <row r="1442">
          <cell r="A1442" t="str">
            <v>MMB35191</v>
          </cell>
          <cell r="D1442" t="str">
            <v>M01</v>
          </cell>
        </row>
        <row r="1443">
          <cell r="A1443" t="str">
            <v>MMB35193</v>
          </cell>
          <cell r="D1443" t="str">
            <v>M01</v>
          </cell>
        </row>
        <row r="1444">
          <cell r="A1444" t="str">
            <v>MMB35195</v>
          </cell>
          <cell r="D1444" t="str">
            <v>M01</v>
          </cell>
        </row>
        <row r="1445">
          <cell r="A1445" t="str">
            <v>MMB35197</v>
          </cell>
          <cell r="D1445" t="str">
            <v>M01</v>
          </cell>
        </row>
        <row r="1446">
          <cell r="A1446" t="str">
            <v>MMB35205</v>
          </cell>
          <cell r="D1446" t="str">
            <v>M01</v>
          </cell>
        </row>
        <row r="1447">
          <cell r="A1447" t="str">
            <v>MMB35209</v>
          </cell>
          <cell r="D1447" t="str">
            <v>M01</v>
          </cell>
        </row>
        <row r="1448">
          <cell r="A1448" t="str">
            <v>MMB35225</v>
          </cell>
          <cell r="D1448" t="str">
            <v>M01</v>
          </cell>
        </row>
        <row r="1449">
          <cell r="A1449" t="str">
            <v>MMB35282</v>
          </cell>
          <cell r="D1449" t="str">
            <v>M01</v>
          </cell>
        </row>
        <row r="1450">
          <cell r="A1450" t="str">
            <v>MMB35305</v>
          </cell>
          <cell r="D1450" t="str">
            <v>M01</v>
          </cell>
        </row>
        <row r="1451">
          <cell r="A1451" t="str">
            <v>MMB35315</v>
          </cell>
          <cell r="D1451" t="str">
            <v>M01</v>
          </cell>
        </row>
        <row r="1452">
          <cell r="A1452" t="str">
            <v>MMB35360</v>
          </cell>
          <cell r="D1452" t="str">
            <v>M01</v>
          </cell>
        </row>
        <row r="1453">
          <cell r="A1453" t="str">
            <v>MMB35361</v>
          </cell>
          <cell r="D1453" t="str">
            <v>M01</v>
          </cell>
        </row>
        <row r="1454">
          <cell r="A1454" t="str">
            <v>MMB35364</v>
          </cell>
          <cell r="D1454" t="str">
            <v>M01</v>
          </cell>
        </row>
        <row r="1455">
          <cell r="A1455" t="str">
            <v>MMB35372</v>
          </cell>
          <cell r="D1455" t="str">
            <v>M01</v>
          </cell>
        </row>
        <row r="1456">
          <cell r="A1456" t="str">
            <v>MMB35411</v>
          </cell>
          <cell r="D1456" t="str">
            <v>M01</v>
          </cell>
        </row>
        <row r="1457">
          <cell r="A1457" t="str">
            <v>MMB35418</v>
          </cell>
          <cell r="D1457" t="str">
            <v>M01</v>
          </cell>
        </row>
        <row r="1458">
          <cell r="A1458" t="str">
            <v>MMB35420</v>
          </cell>
          <cell r="D1458" t="str">
            <v>M01</v>
          </cell>
        </row>
        <row r="1459">
          <cell r="A1459" t="str">
            <v>MMC40224</v>
          </cell>
          <cell r="D1459" t="str">
            <v>M01</v>
          </cell>
        </row>
        <row r="1460">
          <cell r="A1460" t="str">
            <v>MMC40230</v>
          </cell>
          <cell r="D1460" t="str">
            <v>M01</v>
          </cell>
        </row>
        <row r="1461">
          <cell r="A1461" t="str">
            <v>MMC40422</v>
          </cell>
          <cell r="D1461" t="str">
            <v>M01</v>
          </cell>
        </row>
        <row r="1462">
          <cell r="A1462" t="str">
            <v>MMC40511</v>
          </cell>
          <cell r="D1462" t="str">
            <v>M01</v>
          </cell>
        </row>
        <row r="1463">
          <cell r="A1463" t="str">
            <v>MMC40512</v>
          </cell>
          <cell r="D1463" t="str">
            <v>M01</v>
          </cell>
        </row>
        <row r="1464">
          <cell r="A1464" t="str">
            <v>MMC40521</v>
          </cell>
          <cell r="D1464" t="str">
            <v>M01</v>
          </cell>
        </row>
        <row r="1465">
          <cell r="A1465" t="str">
            <v>MMC40522</v>
          </cell>
          <cell r="D1465" t="str">
            <v>M01</v>
          </cell>
        </row>
        <row r="1466">
          <cell r="A1466" t="str">
            <v>MMC40526</v>
          </cell>
          <cell r="D1466" t="str">
            <v>M01</v>
          </cell>
        </row>
        <row r="1467">
          <cell r="A1467" t="str">
            <v>MMC40527</v>
          </cell>
          <cell r="D1467" t="str">
            <v>M01</v>
          </cell>
        </row>
        <row r="1468">
          <cell r="A1468" t="str">
            <v>MMC40531</v>
          </cell>
          <cell r="D1468" t="str">
            <v>M01</v>
          </cell>
        </row>
        <row r="1469">
          <cell r="A1469" t="str">
            <v>MMC40532</v>
          </cell>
          <cell r="D1469" t="str">
            <v>M01</v>
          </cell>
        </row>
        <row r="1470">
          <cell r="A1470" t="str">
            <v>MMC40538</v>
          </cell>
          <cell r="D1470" t="str">
            <v>M01</v>
          </cell>
        </row>
        <row r="1471">
          <cell r="A1471" t="str">
            <v>MMO10505</v>
          </cell>
          <cell r="D1471" t="str">
            <v>M01</v>
          </cell>
        </row>
        <row r="1472">
          <cell r="A1472" t="str">
            <v>MMO10507</v>
          </cell>
          <cell r="D1472" t="str">
            <v>M01</v>
          </cell>
        </row>
        <row r="1473">
          <cell r="A1473" t="str">
            <v>MMO10508</v>
          </cell>
          <cell r="D1473" t="str">
            <v>M01</v>
          </cell>
        </row>
        <row r="1474">
          <cell r="A1474" t="str">
            <v>MMO10510</v>
          </cell>
          <cell r="D1474" t="str">
            <v>M01</v>
          </cell>
        </row>
        <row r="1475">
          <cell r="A1475" t="str">
            <v>MMO10512</v>
          </cell>
          <cell r="D1475" t="str">
            <v>M01</v>
          </cell>
        </row>
        <row r="1476">
          <cell r="A1476" t="str">
            <v>MMO10513</v>
          </cell>
          <cell r="D1476" t="str">
            <v>M01</v>
          </cell>
        </row>
        <row r="1477">
          <cell r="A1477" t="str">
            <v>MMO25007</v>
          </cell>
          <cell r="D1477" t="str">
            <v>M01</v>
          </cell>
        </row>
        <row r="1478">
          <cell r="A1478" t="str">
            <v>MMO25008</v>
          </cell>
          <cell r="D1478" t="str">
            <v>M01</v>
          </cell>
        </row>
        <row r="1479">
          <cell r="A1479" t="str">
            <v>MMO25028</v>
          </cell>
          <cell r="D1479" t="str">
            <v>M01</v>
          </cell>
        </row>
        <row r="1480">
          <cell r="A1480" t="str">
            <v>MMO25030</v>
          </cell>
          <cell r="D1480" t="str">
            <v>M01</v>
          </cell>
        </row>
        <row r="1481">
          <cell r="A1481" t="str">
            <v>MMO25032</v>
          </cell>
          <cell r="D1481" t="str">
            <v>M01</v>
          </cell>
        </row>
        <row r="1482">
          <cell r="A1482" t="str">
            <v>MMO25134</v>
          </cell>
          <cell r="D1482" t="str">
            <v>M01</v>
          </cell>
        </row>
        <row r="1483">
          <cell r="A1483" t="str">
            <v>MMO25135</v>
          </cell>
          <cell r="D1483" t="str">
            <v>M01</v>
          </cell>
        </row>
        <row r="1484">
          <cell r="A1484" t="str">
            <v>MMO25136</v>
          </cell>
          <cell r="D1484" t="str">
            <v>M01</v>
          </cell>
        </row>
        <row r="1485">
          <cell r="A1485" t="str">
            <v>MMO25137</v>
          </cell>
          <cell r="D1485" t="str">
            <v>M01</v>
          </cell>
        </row>
        <row r="1486">
          <cell r="A1486" t="str">
            <v>MMO31211</v>
          </cell>
          <cell r="D1486" t="str">
            <v>M01</v>
          </cell>
        </row>
        <row r="1487">
          <cell r="A1487" t="str">
            <v>MMO31917</v>
          </cell>
          <cell r="D1487" t="str">
            <v>M01</v>
          </cell>
        </row>
        <row r="1488">
          <cell r="A1488" t="str">
            <v>MMO31918</v>
          </cell>
          <cell r="D1488" t="str">
            <v>M01</v>
          </cell>
        </row>
        <row r="1489">
          <cell r="A1489" t="str">
            <v>MMO31921</v>
          </cell>
          <cell r="D1489" t="str">
            <v>M01</v>
          </cell>
        </row>
        <row r="1490">
          <cell r="A1490" t="str">
            <v>MMO53104</v>
          </cell>
          <cell r="D1490" t="str">
            <v>M01</v>
          </cell>
        </row>
        <row r="1491">
          <cell r="A1491" t="str">
            <v>MMO53105</v>
          </cell>
          <cell r="D1491" t="str">
            <v>M01</v>
          </cell>
        </row>
        <row r="1492">
          <cell r="A1492" t="str">
            <v>MMO53106</v>
          </cell>
          <cell r="D1492" t="str">
            <v>M01</v>
          </cell>
        </row>
        <row r="1493">
          <cell r="A1493" t="str">
            <v>MMO53124</v>
          </cell>
          <cell r="D1493" t="str">
            <v>M01</v>
          </cell>
        </row>
        <row r="1494">
          <cell r="A1494" t="str">
            <v>MMZ52110</v>
          </cell>
          <cell r="D1494" t="str">
            <v>M01</v>
          </cell>
        </row>
        <row r="1495">
          <cell r="A1495" t="str">
            <v>MMZ52112</v>
          </cell>
          <cell r="D1495" t="str">
            <v>M01</v>
          </cell>
        </row>
        <row r="1496">
          <cell r="A1496" t="str">
            <v>UAA20710</v>
          </cell>
          <cell r="D1496" t="str">
            <v>M01</v>
          </cell>
        </row>
        <row r="1497">
          <cell r="A1497" t="str">
            <v>UEA04010</v>
          </cell>
          <cell r="D1497" t="str">
            <v>M01</v>
          </cell>
        </row>
        <row r="1498">
          <cell r="A1498" t="str">
            <v>UEA04020</v>
          </cell>
          <cell r="D1498" t="str">
            <v>M01</v>
          </cell>
        </row>
        <row r="1499">
          <cell r="A1499" t="str">
            <v>UEA04030</v>
          </cell>
          <cell r="D1499" t="str">
            <v>M01</v>
          </cell>
        </row>
        <row r="1500">
          <cell r="A1500" t="str">
            <v>UMA45001</v>
          </cell>
          <cell r="D1500" t="str">
            <v>M01</v>
          </cell>
        </row>
        <row r="1501">
          <cell r="A1501" t="str">
            <v>UMA45003</v>
          </cell>
          <cell r="D1501" t="str">
            <v>M01</v>
          </cell>
        </row>
        <row r="1502">
          <cell r="A1502" t="str">
            <v>UMA45005</v>
          </cell>
          <cell r="D1502" t="str">
            <v>M01</v>
          </cell>
        </row>
        <row r="1503">
          <cell r="A1503" t="str">
            <v>UMA45007</v>
          </cell>
          <cell r="D1503" t="str">
            <v>M01</v>
          </cell>
        </row>
        <row r="1504">
          <cell r="A1504" t="str">
            <v>UMA45009</v>
          </cell>
          <cell r="D1504" t="str">
            <v>M01</v>
          </cell>
        </row>
        <row r="1505">
          <cell r="A1505" t="str">
            <v>UMA45011</v>
          </cell>
          <cell r="D1505" t="str">
            <v>M01</v>
          </cell>
        </row>
        <row r="1506">
          <cell r="A1506" t="str">
            <v>UMA47114</v>
          </cell>
          <cell r="D1506" t="str">
            <v>M01</v>
          </cell>
        </row>
        <row r="1507">
          <cell r="A1507" t="str">
            <v>UMA47117</v>
          </cell>
          <cell r="D1507" t="str">
            <v>M01</v>
          </cell>
        </row>
        <row r="1508">
          <cell r="A1508" t="str">
            <v>UMB35115</v>
          </cell>
          <cell r="D1508" t="str">
            <v>M01</v>
          </cell>
        </row>
        <row r="1509">
          <cell r="A1509" t="str">
            <v>UMB35120</v>
          </cell>
          <cell r="D1509" t="str">
            <v>M01</v>
          </cell>
        </row>
        <row r="1510">
          <cell r="A1510" t="str">
            <v>UMC38613</v>
          </cell>
          <cell r="D1510" t="str">
            <v>M01</v>
          </cell>
        </row>
        <row r="1511">
          <cell r="A1511" t="str">
            <v>UMC38615</v>
          </cell>
          <cell r="D1511" t="str">
            <v>M01</v>
          </cell>
        </row>
        <row r="1512">
          <cell r="A1512" t="str">
            <v>UMC38617</v>
          </cell>
          <cell r="D1512" t="str">
            <v>M01</v>
          </cell>
        </row>
        <row r="1513">
          <cell r="A1513" t="str">
            <v>UMC90308</v>
          </cell>
          <cell r="D1513" t="str">
            <v>M01</v>
          </cell>
        </row>
        <row r="1514">
          <cell r="A1514" t="str">
            <v>UMD10415</v>
          </cell>
          <cell r="D1514" t="str">
            <v>M01</v>
          </cell>
        </row>
        <row r="1515">
          <cell r="A1515" t="str">
            <v>UMD10417</v>
          </cell>
          <cell r="D1515" t="str">
            <v>M01</v>
          </cell>
        </row>
        <row r="1516">
          <cell r="A1516" t="str">
            <v>UMD10815</v>
          </cell>
          <cell r="D1516" t="str">
            <v>M01</v>
          </cell>
        </row>
        <row r="1517">
          <cell r="A1517" t="str">
            <v>UMD22375</v>
          </cell>
          <cell r="D1517" t="str">
            <v>M01</v>
          </cell>
        </row>
        <row r="1518">
          <cell r="A1518" t="str">
            <v>UMD22813</v>
          </cell>
          <cell r="D1518" t="str">
            <v>M01</v>
          </cell>
        </row>
        <row r="1519">
          <cell r="A1519" t="str">
            <v>UMD25555</v>
          </cell>
          <cell r="D1519" t="str">
            <v>M01</v>
          </cell>
        </row>
        <row r="1520">
          <cell r="A1520" t="str">
            <v>UMD25557</v>
          </cell>
          <cell r="D1520" t="str">
            <v>M01</v>
          </cell>
        </row>
        <row r="1521">
          <cell r="A1521" t="str">
            <v>UMD46405</v>
          </cell>
          <cell r="D1521" t="str">
            <v>M01</v>
          </cell>
        </row>
        <row r="1522">
          <cell r="A1522" t="str">
            <v>UMD46407</v>
          </cell>
          <cell r="D1522" t="str">
            <v>M01</v>
          </cell>
        </row>
        <row r="1523">
          <cell r="A1523" t="str">
            <v>UMD46408</v>
          </cell>
          <cell r="D1523" t="str">
            <v>M01</v>
          </cell>
        </row>
        <row r="1524">
          <cell r="A1524" t="str">
            <v>UMD46441</v>
          </cell>
          <cell r="D1524" t="str">
            <v>M01</v>
          </cell>
        </row>
        <row r="1525">
          <cell r="A1525" t="str">
            <v>UMD46442</v>
          </cell>
          <cell r="D1525" t="str">
            <v>M01</v>
          </cell>
        </row>
        <row r="1526">
          <cell r="A1526" t="str">
            <v>UMD49206</v>
          </cell>
          <cell r="D1526" t="str">
            <v>M01</v>
          </cell>
        </row>
        <row r="1527">
          <cell r="A1527" t="str">
            <v>UMD52115</v>
          </cell>
          <cell r="D1527" t="str">
            <v>M01</v>
          </cell>
        </row>
        <row r="1528">
          <cell r="A1528" t="str">
            <v>UMD52116</v>
          </cell>
          <cell r="D1528" t="str">
            <v>M01</v>
          </cell>
        </row>
        <row r="1529">
          <cell r="A1529" t="str">
            <v>UME13215</v>
          </cell>
          <cell r="D1529" t="str">
            <v>M01</v>
          </cell>
        </row>
        <row r="1530">
          <cell r="A1530" t="str">
            <v>UME13415</v>
          </cell>
          <cell r="D1530" t="str">
            <v>M01</v>
          </cell>
        </row>
        <row r="1531">
          <cell r="A1531" t="str">
            <v>UME13417</v>
          </cell>
          <cell r="D1531" t="str">
            <v>M01</v>
          </cell>
        </row>
        <row r="1532">
          <cell r="A1532" t="str">
            <v>UME27907</v>
          </cell>
          <cell r="D1532" t="str">
            <v>M01</v>
          </cell>
        </row>
        <row r="1533">
          <cell r="A1533" t="str">
            <v>UME39115</v>
          </cell>
          <cell r="D1533" t="str">
            <v>M01</v>
          </cell>
        </row>
        <row r="1534">
          <cell r="A1534" t="str">
            <v>UME39135</v>
          </cell>
          <cell r="D1534" t="str">
            <v>M01</v>
          </cell>
        </row>
        <row r="1535">
          <cell r="A1535" t="str">
            <v>UME39137</v>
          </cell>
          <cell r="D1535" t="str">
            <v>M01</v>
          </cell>
        </row>
        <row r="1536">
          <cell r="A1536" t="str">
            <v>UME40443</v>
          </cell>
          <cell r="D1536" t="str">
            <v>M01</v>
          </cell>
        </row>
        <row r="1537">
          <cell r="A1537" t="str">
            <v>UME40445</v>
          </cell>
          <cell r="D1537" t="str">
            <v>M01</v>
          </cell>
        </row>
        <row r="1538">
          <cell r="A1538" t="str">
            <v>UME40447</v>
          </cell>
          <cell r="D1538" t="str">
            <v>M01</v>
          </cell>
        </row>
        <row r="1539">
          <cell r="A1539" t="str">
            <v>UME54210</v>
          </cell>
          <cell r="D1539" t="str">
            <v>M01</v>
          </cell>
        </row>
        <row r="1540">
          <cell r="A1540" t="str">
            <v>UME54212</v>
          </cell>
          <cell r="D1540" t="str">
            <v>M01</v>
          </cell>
        </row>
        <row r="1541">
          <cell r="A1541" t="str">
            <v>UME56212</v>
          </cell>
          <cell r="D1541" t="str">
            <v>M01</v>
          </cell>
        </row>
        <row r="1542">
          <cell r="A1542" t="str">
            <v>UME56413</v>
          </cell>
          <cell r="D1542" t="str">
            <v>M01</v>
          </cell>
        </row>
        <row r="1543">
          <cell r="A1543" t="str">
            <v>UME80915</v>
          </cell>
          <cell r="D1543" t="str">
            <v>M01</v>
          </cell>
        </row>
        <row r="1544">
          <cell r="A1544" t="str">
            <v>UME80917</v>
          </cell>
          <cell r="D1544" t="str">
            <v>M01</v>
          </cell>
        </row>
        <row r="1545">
          <cell r="A1545" t="str">
            <v>UMG40300</v>
          </cell>
          <cell r="D1545" t="str">
            <v>M01</v>
          </cell>
        </row>
        <row r="1546">
          <cell r="A1546" t="str">
            <v>UMI20665</v>
          </cell>
          <cell r="D1546" t="str">
            <v>M01</v>
          </cell>
        </row>
        <row r="1547">
          <cell r="A1547" t="str">
            <v>UMK32650</v>
          </cell>
          <cell r="D1547" t="str">
            <v>M01</v>
          </cell>
        </row>
        <row r="1548">
          <cell r="A1548" t="str">
            <v>UMK52101</v>
          </cell>
          <cell r="D1548" t="str">
            <v>M01</v>
          </cell>
        </row>
        <row r="1549">
          <cell r="A1549" t="str">
            <v>UMK52300</v>
          </cell>
          <cell r="D1549" t="str">
            <v>M01</v>
          </cell>
        </row>
        <row r="1550">
          <cell r="A1550" t="str">
            <v>UMK52315</v>
          </cell>
          <cell r="D1550" t="str">
            <v>M01</v>
          </cell>
        </row>
        <row r="1551">
          <cell r="A1551" t="str">
            <v>UMN30157</v>
          </cell>
          <cell r="D1551" t="str">
            <v>M01</v>
          </cell>
        </row>
        <row r="1552">
          <cell r="A1552" t="str">
            <v>UMN30158</v>
          </cell>
          <cell r="D1552" t="str">
            <v>M01</v>
          </cell>
        </row>
        <row r="1553">
          <cell r="A1553" t="str">
            <v>UMN30160</v>
          </cell>
          <cell r="D1553" t="str">
            <v>M01</v>
          </cell>
        </row>
        <row r="1554">
          <cell r="A1554" t="str">
            <v>UMN30163</v>
          </cell>
          <cell r="D1554" t="str">
            <v>M01</v>
          </cell>
        </row>
        <row r="1555">
          <cell r="A1555" t="str">
            <v>UMN34713</v>
          </cell>
          <cell r="D1555" t="str">
            <v>M01</v>
          </cell>
        </row>
        <row r="1556">
          <cell r="A1556" t="str">
            <v>UMN34715</v>
          </cell>
          <cell r="D1556" t="str">
            <v>M01</v>
          </cell>
        </row>
        <row r="1557">
          <cell r="A1557" t="str">
            <v>UMN34717</v>
          </cell>
          <cell r="D1557" t="str">
            <v>M01</v>
          </cell>
        </row>
        <row r="1558">
          <cell r="A1558" t="str">
            <v>UMN34813</v>
          </cell>
          <cell r="D1558" t="str">
            <v>M01</v>
          </cell>
        </row>
        <row r="1559">
          <cell r="A1559" t="str">
            <v>UMN34815</v>
          </cell>
          <cell r="D1559" t="str">
            <v>M01</v>
          </cell>
        </row>
        <row r="1560">
          <cell r="A1560" t="str">
            <v>UMN37131</v>
          </cell>
          <cell r="D1560" t="str">
            <v>M01</v>
          </cell>
        </row>
        <row r="1561">
          <cell r="A1561" t="str">
            <v>UMN37132</v>
          </cell>
          <cell r="D1561" t="str">
            <v>M01</v>
          </cell>
        </row>
        <row r="1562">
          <cell r="A1562" t="str">
            <v>UMN37532</v>
          </cell>
          <cell r="D1562" t="str">
            <v>M01</v>
          </cell>
        </row>
        <row r="1563">
          <cell r="A1563" t="str">
            <v>UMN37533</v>
          </cell>
          <cell r="D1563" t="str">
            <v>M01</v>
          </cell>
        </row>
        <row r="1564">
          <cell r="A1564" t="str">
            <v>UMO18856</v>
          </cell>
          <cell r="D1564" t="str">
            <v>M01</v>
          </cell>
        </row>
        <row r="1565">
          <cell r="A1565" t="str">
            <v>UMO18858</v>
          </cell>
          <cell r="D1565" t="str">
            <v>M01</v>
          </cell>
        </row>
        <row r="1566">
          <cell r="A1566" t="str">
            <v>UMO18860</v>
          </cell>
          <cell r="D1566" t="str">
            <v>M01</v>
          </cell>
        </row>
        <row r="1567">
          <cell r="A1567" t="str">
            <v>UMO21099</v>
          </cell>
          <cell r="D1567" t="str">
            <v>M01</v>
          </cell>
        </row>
        <row r="1568">
          <cell r="A1568" t="str">
            <v>UMO21100</v>
          </cell>
          <cell r="D1568" t="str">
            <v>M01</v>
          </cell>
        </row>
        <row r="1569">
          <cell r="A1569" t="str">
            <v>UMO21102</v>
          </cell>
          <cell r="D1569" t="str">
            <v>M01</v>
          </cell>
        </row>
        <row r="1570">
          <cell r="A1570" t="str">
            <v>UMO21110</v>
          </cell>
          <cell r="D1570" t="str">
            <v>M01</v>
          </cell>
        </row>
        <row r="1571">
          <cell r="A1571" t="str">
            <v>UMO21111</v>
          </cell>
          <cell r="D1571" t="str">
            <v>M01</v>
          </cell>
        </row>
        <row r="1572">
          <cell r="A1572" t="str">
            <v>UMO24212</v>
          </cell>
          <cell r="D1572" t="str">
            <v>M01</v>
          </cell>
        </row>
        <row r="1573">
          <cell r="A1573" t="str">
            <v>UMO24213</v>
          </cell>
          <cell r="D1573" t="str">
            <v>M01</v>
          </cell>
        </row>
        <row r="1574">
          <cell r="A1574" t="str">
            <v>UMO24215</v>
          </cell>
          <cell r="D1574" t="str">
            <v>M01</v>
          </cell>
        </row>
        <row r="1575">
          <cell r="A1575" t="str">
            <v>UMO24217</v>
          </cell>
          <cell r="D1575" t="str">
            <v>M01</v>
          </cell>
        </row>
        <row r="1576">
          <cell r="A1576" t="str">
            <v>UMO28921</v>
          </cell>
          <cell r="D1576" t="str">
            <v>M01</v>
          </cell>
        </row>
        <row r="1577">
          <cell r="A1577" t="str">
            <v>UMO31158</v>
          </cell>
          <cell r="D1577" t="str">
            <v>M01</v>
          </cell>
        </row>
        <row r="1578">
          <cell r="A1578" t="str">
            <v>UMO31160</v>
          </cell>
          <cell r="D1578" t="str">
            <v>M01</v>
          </cell>
        </row>
        <row r="1579">
          <cell r="A1579" t="str">
            <v>UMO31161</v>
          </cell>
          <cell r="D1579" t="str">
            <v>M01</v>
          </cell>
        </row>
        <row r="1580">
          <cell r="A1580" t="str">
            <v>UMO31163</v>
          </cell>
          <cell r="D1580" t="str">
            <v>M01</v>
          </cell>
        </row>
        <row r="1581">
          <cell r="A1581" t="str">
            <v>UMO31164</v>
          </cell>
          <cell r="D1581" t="str">
            <v>M01</v>
          </cell>
        </row>
        <row r="1582">
          <cell r="A1582" t="str">
            <v>UMO53132</v>
          </cell>
          <cell r="D1582" t="str">
            <v>M01</v>
          </cell>
        </row>
        <row r="1583">
          <cell r="A1583" t="str">
            <v>UMO53133</v>
          </cell>
          <cell r="D1583" t="str">
            <v>M01</v>
          </cell>
        </row>
        <row r="1584">
          <cell r="A1584" t="str">
            <v>UMO53134</v>
          </cell>
          <cell r="D1584" t="str">
            <v>M01</v>
          </cell>
        </row>
        <row r="1585">
          <cell r="A1585" t="str">
            <v>UMO53135</v>
          </cell>
          <cell r="D1585" t="str">
            <v>M01</v>
          </cell>
        </row>
        <row r="1586">
          <cell r="A1586" t="str">
            <v>UMP10718</v>
          </cell>
          <cell r="D1586" t="str">
            <v>M01</v>
          </cell>
        </row>
        <row r="1587">
          <cell r="A1587" t="str">
            <v>UMP10728</v>
          </cell>
          <cell r="D1587" t="str">
            <v>M01</v>
          </cell>
        </row>
        <row r="1588">
          <cell r="A1588" t="str">
            <v>UMP25200</v>
          </cell>
          <cell r="D1588" t="str">
            <v>M01</v>
          </cell>
        </row>
        <row r="1589">
          <cell r="A1589" t="str">
            <v>UMP27105</v>
          </cell>
          <cell r="D1589" t="str">
            <v>M01</v>
          </cell>
        </row>
        <row r="1590">
          <cell r="A1590" t="str">
            <v>UTB53050</v>
          </cell>
          <cell r="D1590" t="str">
            <v>M01</v>
          </cell>
        </row>
        <row r="1591">
          <cell r="A1591" t="str">
            <v>MCQ33902</v>
          </cell>
          <cell r="D1591" t="str">
            <v>M02</v>
          </cell>
        </row>
        <row r="1592">
          <cell r="A1592" t="str">
            <v>MGD10351</v>
          </cell>
          <cell r="D1592" t="str">
            <v>M02</v>
          </cell>
        </row>
        <row r="1593">
          <cell r="A1593" t="str">
            <v>MGF11253</v>
          </cell>
          <cell r="D1593" t="str">
            <v>M02</v>
          </cell>
        </row>
        <row r="1594">
          <cell r="A1594" t="str">
            <v>MGF11300</v>
          </cell>
          <cell r="D1594" t="str">
            <v>M02</v>
          </cell>
        </row>
        <row r="1595">
          <cell r="A1595" t="str">
            <v>MGF30507</v>
          </cell>
          <cell r="D1595" t="str">
            <v>M02</v>
          </cell>
        </row>
        <row r="1596">
          <cell r="A1596" t="str">
            <v>MMB40113</v>
          </cell>
          <cell r="D1596" t="str">
            <v>M02</v>
          </cell>
        </row>
        <row r="1597">
          <cell r="A1597" t="str">
            <v>MMC37113</v>
          </cell>
          <cell r="D1597" t="str">
            <v>M02</v>
          </cell>
        </row>
        <row r="1598">
          <cell r="A1598" t="str">
            <v>MMC37116</v>
          </cell>
          <cell r="D1598" t="str">
            <v>M02</v>
          </cell>
        </row>
        <row r="1599">
          <cell r="A1599" t="str">
            <v>MMC37119</v>
          </cell>
          <cell r="D1599" t="str">
            <v>M02</v>
          </cell>
        </row>
        <row r="1600">
          <cell r="A1600" t="str">
            <v>MMC37211</v>
          </cell>
          <cell r="D1600" t="str">
            <v>M02</v>
          </cell>
        </row>
        <row r="1601">
          <cell r="A1601" t="str">
            <v>MMC37213</v>
          </cell>
          <cell r="D1601" t="str">
            <v>M02</v>
          </cell>
        </row>
        <row r="1602">
          <cell r="A1602" t="str">
            <v>MMC37216</v>
          </cell>
          <cell r="D1602" t="str">
            <v>M02</v>
          </cell>
        </row>
        <row r="1603">
          <cell r="A1603" t="str">
            <v>MMC37219</v>
          </cell>
          <cell r="D1603" t="str">
            <v>M02</v>
          </cell>
        </row>
        <row r="1604">
          <cell r="A1604" t="str">
            <v>MMC37343</v>
          </cell>
          <cell r="D1604" t="str">
            <v>M02</v>
          </cell>
        </row>
        <row r="1605">
          <cell r="A1605" t="str">
            <v>MMC37344</v>
          </cell>
          <cell r="D1605" t="str">
            <v>M02</v>
          </cell>
        </row>
        <row r="1606">
          <cell r="A1606" t="str">
            <v>MMC37347</v>
          </cell>
          <cell r="D1606" t="str">
            <v>M02</v>
          </cell>
        </row>
        <row r="1607">
          <cell r="A1607" t="str">
            <v>MMC37348</v>
          </cell>
          <cell r="D1607" t="str">
            <v>M02</v>
          </cell>
        </row>
        <row r="1608">
          <cell r="A1608" t="str">
            <v>MMC37352</v>
          </cell>
          <cell r="D1608" t="str">
            <v>M02</v>
          </cell>
        </row>
        <row r="1609">
          <cell r="A1609" t="str">
            <v>MMC37353</v>
          </cell>
          <cell r="D1609" t="str">
            <v>M02</v>
          </cell>
        </row>
        <row r="1610">
          <cell r="A1610" t="str">
            <v>MMC37442</v>
          </cell>
          <cell r="D1610" t="str">
            <v>M02</v>
          </cell>
        </row>
        <row r="1611">
          <cell r="A1611" t="str">
            <v>MMC37444</v>
          </cell>
          <cell r="D1611" t="str">
            <v>M02</v>
          </cell>
        </row>
        <row r="1612">
          <cell r="A1612" t="str">
            <v>MMC37447</v>
          </cell>
          <cell r="D1612" t="str">
            <v>M02</v>
          </cell>
        </row>
        <row r="1613">
          <cell r="A1613" t="str">
            <v>MMC37451</v>
          </cell>
          <cell r="D1613" t="str">
            <v>M02</v>
          </cell>
        </row>
        <row r="1614">
          <cell r="A1614" t="str">
            <v>MMC37642</v>
          </cell>
          <cell r="D1614" t="str">
            <v>M02</v>
          </cell>
        </row>
        <row r="1615">
          <cell r="A1615" t="str">
            <v>MMC37644</v>
          </cell>
          <cell r="D1615" t="str">
            <v>M02</v>
          </cell>
        </row>
        <row r="1616">
          <cell r="A1616" t="str">
            <v>MMC37647</v>
          </cell>
          <cell r="D1616" t="str">
            <v>M02</v>
          </cell>
        </row>
        <row r="1617">
          <cell r="A1617" t="str">
            <v>MMC37648</v>
          </cell>
          <cell r="D1617" t="str">
            <v>M02</v>
          </cell>
        </row>
        <row r="1618">
          <cell r="A1618" t="str">
            <v>MMC37653</v>
          </cell>
          <cell r="D1618" t="str">
            <v>M02</v>
          </cell>
        </row>
        <row r="1619">
          <cell r="A1619" t="str">
            <v>MMC37743</v>
          </cell>
          <cell r="D1619" t="str">
            <v>M02</v>
          </cell>
        </row>
        <row r="1620">
          <cell r="A1620" t="str">
            <v>MMC37744</v>
          </cell>
          <cell r="D1620" t="str">
            <v>M02</v>
          </cell>
        </row>
        <row r="1621">
          <cell r="A1621" t="str">
            <v>MMC37753</v>
          </cell>
          <cell r="D1621" t="str">
            <v>M02</v>
          </cell>
        </row>
        <row r="1622">
          <cell r="A1622" t="str">
            <v>MMC37847</v>
          </cell>
          <cell r="D1622" t="str">
            <v>M02</v>
          </cell>
        </row>
        <row r="1623">
          <cell r="A1623" t="str">
            <v>MMC37852</v>
          </cell>
          <cell r="D1623" t="str">
            <v>M02</v>
          </cell>
        </row>
        <row r="1624">
          <cell r="A1624" t="str">
            <v>MMC37873</v>
          </cell>
          <cell r="D1624" t="str">
            <v>M02</v>
          </cell>
        </row>
        <row r="1625">
          <cell r="A1625" t="str">
            <v>MMC37876</v>
          </cell>
          <cell r="D1625" t="str">
            <v>M02</v>
          </cell>
        </row>
        <row r="1626">
          <cell r="A1626" t="str">
            <v>MMC37912</v>
          </cell>
          <cell r="D1626" t="str">
            <v>M02</v>
          </cell>
        </row>
        <row r="1627">
          <cell r="A1627" t="str">
            <v>MMC38983</v>
          </cell>
          <cell r="D1627" t="str">
            <v>M02</v>
          </cell>
        </row>
        <row r="1628">
          <cell r="A1628" t="str">
            <v>MMC39119</v>
          </cell>
          <cell r="D1628" t="str">
            <v>M02</v>
          </cell>
        </row>
        <row r="1629">
          <cell r="A1629" t="str">
            <v>MMC39211</v>
          </cell>
          <cell r="D1629" t="str">
            <v>M02</v>
          </cell>
        </row>
        <row r="1630">
          <cell r="A1630" t="str">
            <v>MMC39213</v>
          </cell>
          <cell r="D1630" t="str">
            <v>M02</v>
          </cell>
        </row>
        <row r="1631">
          <cell r="A1631" t="str">
            <v>MMC39219</v>
          </cell>
          <cell r="D1631" t="str">
            <v>M02</v>
          </cell>
        </row>
        <row r="1632">
          <cell r="A1632" t="str">
            <v>MMC39343</v>
          </cell>
          <cell r="D1632" t="str">
            <v>M02</v>
          </cell>
        </row>
        <row r="1633">
          <cell r="A1633" t="str">
            <v>MMC39344</v>
          </cell>
          <cell r="D1633" t="str">
            <v>M02</v>
          </cell>
        </row>
        <row r="1634">
          <cell r="A1634" t="str">
            <v>MMC39347</v>
          </cell>
          <cell r="D1634" t="str">
            <v>M02</v>
          </cell>
        </row>
        <row r="1635">
          <cell r="A1635" t="str">
            <v>MMC39348</v>
          </cell>
          <cell r="D1635" t="str">
            <v>M02</v>
          </cell>
        </row>
        <row r="1636">
          <cell r="A1636" t="str">
            <v>MMC39352</v>
          </cell>
          <cell r="D1636" t="str">
            <v>M02</v>
          </cell>
        </row>
        <row r="1637">
          <cell r="A1637" t="str">
            <v>MMC39442</v>
          </cell>
          <cell r="D1637" t="str">
            <v>M02</v>
          </cell>
        </row>
        <row r="1638">
          <cell r="A1638" t="str">
            <v>MMC39443</v>
          </cell>
          <cell r="D1638" t="str">
            <v>M02</v>
          </cell>
        </row>
        <row r="1639">
          <cell r="A1639" t="str">
            <v>MMC39444</v>
          </cell>
          <cell r="D1639" t="str">
            <v>M02</v>
          </cell>
        </row>
        <row r="1640">
          <cell r="A1640" t="str">
            <v>MMC39447</v>
          </cell>
          <cell r="D1640" t="str">
            <v>M02</v>
          </cell>
        </row>
        <row r="1641">
          <cell r="A1641" t="str">
            <v>MMC39448</v>
          </cell>
          <cell r="D1641" t="str">
            <v>M02</v>
          </cell>
        </row>
        <row r="1642">
          <cell r="A1642" t="str">
            <v>MMC39451</v>
          </cell>
          <cell r="D1642" t="str">
            <v>M02</v>
          </cell>
        </row>
        <row r="1643">
          <cell r="A1643" t="str">
            <v>MMC39453</v>
          </cell>
          <cell r="D1643" t="str">
            <v>M02</v>
          </cell>
        </row>
        <row r="1644">
          <cell r="A1644" t="str">
            <v>MMC39519</v>
          </cell>
          <cell r="D1644" t="str">
            <v>M02</v>
          </cell>
        </row>
        <row r="1645">
          <cell r="A1645" t="str">
            <v>MMC39644</v>
          </cell>
          <cell r="D1645" t="str">
            <v>M02</v>
          </cell>
        </row>
        <row r="1646">
          <cell r="A1646" t="str">
            <v>MMC39653</v>
          </cell>
          <cell r="D1646" t="str">
            <v>M02</v>
          </cell>
        </row>
        <row r="1647">
          <cell r="A1647" t="str">
            <v>MMC39742</v>
          </cell>
          <cell r="D1647" t="str">
            <v>M02</v>
          </cell>
        </row>
        <row r="1648">
          <cell r="A1648" t="str">
            <v>MMC39743</v>
          </cell>
          <cell r="D1648" t="str">
            <v>M02</v>
          </cell>
        </row>
        <row r="1649">
          <cell r="A1649" t="str">
            <v>MMC39744</v>
          </cell>
          <cell r="D1649" t="str">
            <v>M02</v>
          </cell>
        </row>
        <row r="1650">
          <cell r="A1650" t="str">
            <v>MMC39753</v>
          </cell>
          <cell r="D1650" t="str">
            <v>M02</v>
          </cell>
        </row>
        <row r="1651">
          <cell r="A1651" t="str">
            <v>MMC39870</v>
          </cell>
          <cell r="D1651" t="str">
            <v>M02</v>
          </cell>
        </row>
        <row r="1652">
          <cell r="A1652" t="str">
            <v>MMC40202</v>
          </cell>
          <cell r="D1652" t="str">
            <v>M02</v>
          </cell>
        </row>
        <row r="1653">
          <cell r="A1653" t="str">
            <v>MMG45025</v>
          </cell>
          <cell r="D1653" t="str">
            <v>M02</v>
          </cell>
        </row>
        <row r="1654">
          <cell r="A1654" t="str">
            <v>MMJ36413</v>
          </cell>
          <cell r="D1654" t="str">
            <v>M02</v>
          </cell>
        </row>
        <row r="1655">
          <cell r="A1655" t="str">
            <v>MMJ36417</v>
          </cell>
          <cell r="D1655" t="str">
            <v>M02</v>
          </cell>
        </row>
        <row r="1656">
          <cell r="A1656" t="str">
            <v>MMJ36419</v>
          </cell>
          <cell r="D1656" t="str">
            <v>M02</v>
          </cell>
        </row>
        <row r="1657">
          <cell r="A1657" t="str">
            <v>MMJ36513</v>
          </cell>
          <cell r="D1657" t="str">
            <v>M02</v>
          </cell>
        </row>
        <row r="1658">
          <cell r="A1658" t="str">
            <v>MMJ36517</v>
          </cell>
          <cell r="D1658" t="str">
            <v>M02</v>
          </cell>
        </row>
        <row r="1659">
          <cell r="A1659" t="str">
            <v>MMJ36533</v>
          </cell>
          <cell r="D1659" t="str">
            <v>M02</v>
          </cell>
        </row>
        <row r="1660">
          <cell r="A1660" t="str">
            <v>MMJ36537</v>
          </cell>
          <cell r="D1660" t="str">
            <v>M02</v>
          </cell>
        </row>
        <row r="1661">
          <cell r="A1661" t="str">
            <v>MMJ36539</v>
          </cell>
          <cell r="D1661" t="str">
            <v>M02</v>
          </cell>
        </row>
        <row r="1662">
          <cell r="A1662" t="str">
            <v>MMJ36617</v>
          </cell>
          <cell r="D1662" t="str">
            <v>M02</v>
          </cell>
        </row>
        <row r="1663">
          <cell r="A1663" t="str">
            <v>MMJ36619</v>
          </cell>
          <cell r="D1663" t="str">
            <v>M02</v>
          </cell>
        </row>
        <row r="1664">
          <cell r="A1664" t="str">
            <v>MMJ36653</v>
          </cell>
          <cell r="D1664" t="str">
            <v>M02</v>
          </cell>
        </row>
        <row r="1665">
          <cell r="A1665" t="str">
            <v>MMJ36657</v>
          </cell>
          <cell r="D1665" t="str">
            <v>M02</v>
          </cell>
        </row>
        <row r="1666">
          <cell r="A1666" t="str">
            <v>MMJ36659</v>
          </cell>
          <cell r="D1666" t="str">
            <v>M02</v>
          </cell>
        </row>
        <row r="1667">
          <cell r="A1667" t="str">
            <v>MMJ36713</v>
          </cell>
          <cell r="D1667" t="str">
            <v>M02</v>
          </cell>
        </row>
        <row r="1668">
          <cell r="A1668" t="str">
            <v>MMJ36717</v>
          </cell>
          <cell r="D1668" t="str">
            <v>M02</v>
          </cell>
        </row>
        <row r="1669">
          <cell r="A1669" t="str">
            <v>MMJ36719</v>
          </cell>
          <cell r="D1669" t="str">
            <v>M02</v>
          </cell>
        </row>
        <row r="1670">
          <cell r="A1670" t="str">
            <v>MMJ36800</v>
          </cell>
          <cell r="D1670" t="str">
            <v>M02</v>
          </cell>
        </row>
        <row r="1671">
          <cell r="A1671" t="str">
            <v>MMJ36813</v>
          </cell>
          <cell r="D1671" t="str">
            <v>M02</v>
          </cell>
        </row>
        <row r="1672">
          <cell r="A1672" t="str">
            <v>MMJ36817</v>
          </cell>
          <cell r="D1672" t="str">
            <v>M02</v>
          </cell>
        </row>
        <row r="1673">
          <cell r="A1673" t="str">
            <v>MMJ36819</v>
          </cell>
          <cell r="D1673" t="str">
            <v>M02</v>
          </cell>
        </row>
        <row r="1674">
          <cell r="A1674" t="str">
            <v>MMJ36853</v>
          </cell>
          <cell r="D1674" t="str">
            <v>M02</v>
          </cell>
        </row>
        <row r="1675">
          <cell r="A1675" t="str">
            <v>MMJ36857</v>
          </cell>
          <cell r="D1675" t="str">
            <v>M02</v>
          </cell>
        </row>
        <row r="1676">
          <cell r="A1676" t="str">
            <v>MMJ36859</v>
          </cell>
          <cell r="D1676" t="str">
            <v>M02</v>
          </cell>
        </row>
        <row r="1677">
          <cell r="A1677" t="str">
            <v>MMJ36890</v>
          </cell>
          <cell r="D1677" t="str">
            <v>M02</v>
          </cell>
        </row>
        <row r="1678">
          <cell r="A1678" t="str">
            <v>MMJ56120</v>
          </cell>
          <cell r="D1678" t="str">
            <v>M02</v>
          </cell>
        </row>
        <row r="1679">
          <cell r="A1679" t="str">
            <v>MMJ56319</v>
          </cell>
          <cell r="D1679" t="str">
            <v>M02</v>
          </cell>
        </row>
        <row r="1680">
          <cell r="A1680" t="str">
            <v>MMJ65232</v>
          </cell>
          <cell r="D1680" t="str">
            <v>M02</v>
          </cell>
        </row>
        <row r="1681">
          <cell r="A1681" t="str">
            <v>MMJ65233</v>
          </cell>
          <cell r="D1681" t="str">
            <v>M02</v>
          </cell>
        </row>
        <row r="1682">
          <cell r="A1682" t="str">
            <v>MMJ65234</v>
          </cell>
          <cell r="D1682" t="str">
            <v>M02</v>
          </cell>
        </row>
        <row r="1683">
          <cell r="A1683" t="str">
            <v>MMJ65235</v>
          </cell>
          <cell r="D1683" t="str">
            <v>M02</v>
          </cell>
        </row>
        <row r="1684">
          <cell r="A1684" t="str">
            <v>MMJ65423</v>
          </cell>
          <cell r="D1684" t="str">
            <v>M02</v>
          </cell>
        </row>
        <row r="1685">
          <cell r="A1685" t="str">
            <v>MMJ65424</v>
          </cell>
          <cell r="D1685" t="str">
            <v>M02</v>
          </cell>
        </row>
        <row r="1686">
          <cell r="A1686" t="str">
            <v>MMJ65425</v>
          </cell>
          <cell r="D1686" t="str">
            <v>M02</v>
          </cell>
        </row>
        <row r="1687">
          <cell r="A1687" t="str">
            <v>MMJ65426</v>
          </cell>
          <cell r="D1687" t="str">
            <v>M02</v>
          </cell>
        </row>
        <row r="1688">
          <cell r="A1688" t="str">
            <v>MMM40108</v>
          </cell>
          <cell r="D1688" t="str">
            <v>M02</v>
          </cell>
        </row>
        <row r="1689">
          <cell r="A1689" t="str">
            <v>MMO10110</v>
          </cell>
          <cell r="D1689" t="str">
            <v>M02</v>
          </cell>
        </row>
        <row r="1690">
          <cell r="A1690" t="str">
            <v>MMO10112</v>
          </cell>
          <cell r="D1690" t="str">
            <v>M02</v>
          </cell>
        </row>
        <row r="1691">
          <cell r="A1691" t="str">
            <v>MMO10113</v>
          </cell>
          <cell r="D1691" t="str">
            <v>M02</v>
          </cell>
        </row>
        <row r="1692">
          <cell r="A1692" t="str">
            <v>MMO10117</v>
          </cell>
          <cell r="D1692" t="str">
            <v>M02</v>
          </cell>
        </row>
        <row r="1693">
          <cell r="A1693" t="str">
            <v>MMO10119</v>
          </cell>
          <cell r="D1693" t="str">
            <v>M02</v>
          </cell>
        </row>
        <row r="1694">
          <cell r="A1694" t="str">
            <v>MMO10120</v>
          </cell>
          <cell r="D1694" t="str">
            <v>M02</v>
          </cell>
        </row>
        <row r="1695">
          <cell r="A1695" t="str">
            <v>MMO10121</v>
          </cell>
          <cell r="D1695" t="str">
            <v>M02</v>
          </cell>
        </row>
        <row r="1696">
          <cell r="A1696" t="str">
            <v>MMO10122</v>
          </cell>
          <cell r="D1696" t="str">
            <v>M02</v>
          </cell>
        </row>
        <row r="1697">
          <cell r="A1697" t="str">
            <v>MMO10210</v>
          </cell>
          <cell r="D1697" t="str">
            <v>M02</v>
          </cell>
        </row>
        <row r="1698">
          <cell r="A1698" t="str">
            <v>MMO10212</v>
          </cell>
          <cell r="D1698" t="str">
            <v>M02</v>
          </cell>
        </row>
        <row r="1699">
          <cell r="A1699" t="str">
            <v>MMO10213</v>
          </cell>
          <cell r="D1699" t="str">
            <v>M02</v>
          </cell>
        </row>
        <row r="1700">
          <cell r="A1700" t="str">
            <v>MMO10219</v>
          </cell>
          <cell r="D1700" t="str">
            <v>M02</v>
          </cell>
        </row>
        <row r="1701">
          <cell r="A1701" t="str">
            <v>MMO20113</v>
          </cell>
          <cell r="D1701" t="str">
            <v>M02</v>
          </cell>
        </row>
        <row r="1702">
          <cell r="A1702" t="str">
            <v>MMO20117</v>
          </cell>
          <cell r="D1702" t="str">
            <v>M02</v>
          </cell>
        </row>
        <row r="1703">
          <cell r="A1703" t="str">
            <v>MMO20119</v>
          </cell>
          <cell r="D1703" t="str">
            <v>M02</v>
          </cell>
        </row>
        <row r="1704">
          <cell r="A1704" t="str">
            <v>MMO22319</v>
          </cell>
          <cell r="D1704" t="str">
            <v>M02</v>
          </cell>
        </row>
        <row r="1705">
          <cell r="A1705" t="str">
            <v>MMO22320</v>
          </cell>
          <cell r="D1705" t="str">
            <v>M02</v>
          </cell>
        </row>
        <row r="1706">
          <cell r="A1706" t="str">
            <v>MMO25053</v>
          </cell>
          <cell r="D1706" t="str">
            <v>M02</v>
          </cell>
        </row>
        <row r="1707">
          <cell r="A1707" t="str">
            <v>MMO25057</v>
          </cell>
          <cell r="D1707" t="str">
            <v>M02</v>
          </cell>
        </row>
        <row r="1708">
          <cell r="A1708" t="str">
            <v>MMO25059</v>
          </cell>
          <cell r="D1708" t="str">
            <v>M02</v>
          </cell>
        </row>
        <row r="1709">
          <cell r="A1709" t="str">
            <v>MMO31220</v>
          </cell>
          <cell r="D1709" t="str">
            <v>M02</v>
          </cell>
        </row>
        <row r="1710">
          <cell r="A1710" t="str">
            <v>MMO31221</v>
          </cell>
          <cell r="D1710" t="str">
            <v>M02</v>
          </cell>
        </row>
        <row r="1711">
          <cell r="A1711" t="str">
            <v>MMO31746</v>
          </cell>
          <cell r="D1711" t="str">
            <v>M02</v>
          </cell>
        </row>
        <row r="1712">
          <cell r="A1712" t="str">
            <v>MMO31748</v>
          </cell>
          <cell r="D1712" t="str">
            <v>M02</v>
          </cell>
        </row>
        <row r="1713">
          <cell r="A1713" t="str">
            <v>MMO31750</v>
          </cell>
          <cell r="D1713" t="str">
            <v>M02</v>
          </cell>
        </row>
        <row r="1714">
          <cell r="A1714" t="str">
            <v>MMO31915</v>
          </cell>
          <cell r="D1714" t="str">
            <v>M02</v>
          </cell>
        </row>
        <row r="1715">
          <cell r="A1715" t="str">
            <v>MMO31920</v>
          </cell>
          <cell r="D1715" t="str">
            <v>M02</v>
          </cell>
        </row>
        <row r="1716">
          <cell r="A1716" t="str">
            <v>MMO42905</v>
          </cell>
          <cell r="D1716" t="str">
            <v>M02</v>
          </cell>
        </row>
        <row r="1717">
          <cell r="A1717" t="str">
            <v>MMO53930</v>
          </cell>
          <cell r="D1717" t="str">
            <v>M02</v>
          </cell>
        </row>
        <row r="1718">
          <cell r="A1718" t="str">
            <v>MMO53945</v>
          </cell>
          <cell r="D1718" t="str">
            <v>M02</v>
          </cell>
        </row>
        <row r="1719">
          <cell r="A1719" t="str">
            <v>MMO53950</v>
          </cell>
          <cell r="D1719" t="str">
            <v>M02</v>
          </cell>
        </row>
        <row r="1720">
          <cell r="A1720" t="str">
            <v>MMO53960</v>
          </cell>
          <cell r="D1720" t="str">
            <v>M02</v>
          </cell>
        </row>
        <row r="1721">
          <cell r="A1721" t="str">
            <v>MMO53965</v>
          </cell>
          <cell r="D1721" t="str">
            <v>M02</v>
          </cell>
        </row>
        <row r="1722">
          <cell r="A1722" t="str">
            <v>UAJ14855</v>
          </cell>
          <cell r="D1722" t="str">
            <v>M02</v>
          </cell>
        </row>
        <row r="1723">
          <cell r="A1723" t="str">
            <v>UMA49120</v>
          </cell>
          <cell r="D1723" t="str">
            <v>M02</v>
          </cell>
        </row>
        <row r="1724">
          <cell r="A1724" t="str">
            <v>UMA49140</v>
          </cell>
          <cell r="D1724" t="str">
            <v>M02</v>
          </cell>
        </row>
        <row r="1725">
          <cell r="A1725" t="str">
            <v>UMA49150</v>
          </cell>
          <cell r="D1725" t="str">
            <v>M02</v>
          </cell>
        </row>
        <row r="1726">
          <cell r="A1726" t="str">
            <v>UMA49160</v>
          </cell>
          <cell r="D1726" t="str">
            <v>M02</v>
          </cell>
        </row>
        <row r="1727">
          <cell r="A1727" t="str">
            <v>UMA49190</v>
          </cell>
          <cell r="D1727" t="str">
            <v>M02</v>
          </cell>
        </row>
        <row r="1728">
          <cell r="A1728" t="str">
            <v>UMA49550</v>
          </cell>
          <cell r="D1728" t="str">
            <v>M02</v>
          </cell>
        </row>
        <row r="1729">
          <cell r="A1729" t="str">
            <v>UMA49560</v>
          </cell>
          <cell r="D1729" t="str">
            <v>M02</v>
          </cell>
        </row>
        <row r="1730">
          <cell r="A1730" t="str">
            <v>UMA49570</v>
          </cell>
          <cell r="D1730" t="str">
            <v>M02</v>
          </cell>
        </row>
        <row r="1731">
          <cell r="A1731" t="str">
            <v>UMA49580</v>
          </cell>
          <cell r="D1731" t="str">
            <v>M02</v>
          </cell>
        </row>
        <row r="1732">
          <cell r="A1732" t="str">
            <v>UMA49590</v>
          </cell>
          <cell r="D1732" t="str">
            <v>M02</v>
          </cell>
        </row>
        <row r="1733">
          <cell r="A1733" t="str">
            <v>UMA49600</v>
          </cell>
          <cell r="D1733" t="str">
            <v>M02</v>
          </cell>
        </row>
        <row r="1734">
          <cell r="A1734" t="str">
            <v>UMA49620</v>
          </cell>
          <cell r="D1734" t="str">
            <v>M02</v>
          </cell>
        </row>
        <row r="1735">
          <cell r="A1735" t="str">
            <v>UMA49640</v>
          </cell>
          <cell r="D1735" t="str">
            <v>M02</v>
          </cell>
        </row>
        <row r="1736">
          <cell r="A1736" t="str">
            <v>UMA49660</v>
          </cell>
          <cell r="D1736" t="str">
            <v>M02</v>
          </cell>
        </row>
        <row r="1737">
          <cell r="A1737" t="str">
            <v>UMA49670</v>
          </cell>
          <cell r="D1737" t="str">
            <v>M02</v>
          </cell>
        </row>
        <row r="1738">
          <cell r="A1738" t="str">
            <v>UMB25116</v>
          </cell>
          <cell r="D1738" t="str">
            <v>M02</v>
          </cell>
        </row>
        <row r="1739">
          <cell r="A1739" t="str">
            <v>UMB25119</v>
          </cell>
          <cell r="D1739" t="str">
            <v>M02</v>
          </cell>
        </row>
        <row r="1740">
          <cell r="A1740" t="str">
            <v>UMB25120</v>
          </cell>
          <cell r="D1740" t="str">
            <v>M02</v>
          </cell>
        </row>
        <row r="1741">
          <cell r="A1741" t="str">
            <v>UMB25121</v>
          </cell>
          <cell r="D1741" t="str">
            <v>M02</v>
          </cell>
        </row>
        <row r="1742">
          <cell r="A1742" t="str">
            <v>UMB25122</v>
          </cell>
          <cell r="D1742" t="str">
            <v>M02</v>
          </cell>
        </row>
        <row r="1743">
          <cell r="A1743" t="str">
            <v>UMB25146</v>
          </cell>
          <cell r="D1743" t="str">
            <v>M02</v>
          </cell>
        </row>
        <row r="1744">
          <cell r="A1744" t="str">
            <v>UMB25149</v>
          </cell>
          <cell r="D1744" t="str">
            <v>M02</v>
          </cell>
        </row>
        <row r="1745">
          <cell r="A1745" t="str">
            <v>UMB25150</v>
          </cell>
          <cell r="D1745" t="str">
            <v>M02</v>
          </cell>
        </row>
        <row r="1746">
          <cell r="A1746" t="str">
            <v>UMB25151</v>
          </cell>
          <cell r="D1746" t="str">
            <v>M02</v>
          </cell>
        </row>
        <row r="1747">
          <cell r="A1747" t="str">
            <v>UMB25152</v>
          </cell>
          <cell r="D1747" t="str">
            <v>M02</v>
          </cell>
        </row>
        <row r="1748">
          <cell r="A1748" t="str">
            <v>UMB25216</v>
          </cell>
          <cell r="D1748" t="str">
            <v>M02</v>
          </cell>
        </row>
        <row r="1749">
          <cell r="A1749" t="str">
            <v>UMB25219</v>
          </cell>
          <cell r="D1749" t="str">
            <v>M02</v>
          </cell>
        </row>
        <row r="1750">
          <cell r="A1750" t="str">
            <v>UMB25448</v>
          </cell>
          <cell r="D1750" t="str">
            <v>M02</v>
          </cell>
        </row>
        <row r="1751">
          <cell r="A1751" t="str">
            <v>UMB25452</v>
          </cell>
          <cell r="D1751" t="str">
            <v>M02</v>
          </cell>
        </row>
        <row r="1752">
          <cell r="A1752" t="str">
            <v>UMB25453</v>
          </cell>
          <cell r="D1752" t="str">
            <v>M02</v>
          </cell>
        </row>
        <row r="1753">
          <cell r="A1753" t="str">
            <v>UMB25458</v>
          </cell>
          <cell r="D1753" t="str">
            <v>M02</v>
          </cell>
        </row>
        <row r="1754">
          <cell r="A1754" t="str">
            <v>UMB25459</v>
          </cell>
          <cell r="D1754" t="str">
            <v>M02</v>
          </cell>
        </row>
        <row r="1755">
          <cell r="A1755" t="str">
            <v>UMB25464</v>
          </cell>
          <cell r="D1755" t="str">
            <v>M02</v>
          </cell>
        </row>
        <row r="1756">
          <cell r="A1756" t="str">
            <v>UMB25465</v>
          </cell>
          <cell r="D1756" t="str">
            <v>M02</v>
          </cell>
        </row>
        <row r="1757">
          <cell r="A1757" t="str">
            <v>UMB25466</v>
          </cell>
          <cell r="D1757" t="str">
            <v>M02</v>
          </cell>
        </row>
        <row r="1758">
          <cell r="A1758" t="str">
            <v>UMB25473</v>
          </cell>
          <cell r="D1758" t="str">
            <v>M02</v>
          </cell>
        </row>
        <row r="1759">
          <cell r="A1759" t="str">
            <v>UMB25474</v>
          </cell>
          <cell r="D1759" t="str">
            <v>M02</v>
          </cell>
        </row>
        <row r="1760">
          <cell r="A1760" t="str">
            <v>UMB25548</v>
          </cell>
          <cell r="D1760" t="str">
            <v>M02</v>
          </cell>
        </row>
        <row r="1761">
          <cell r="A1761" t="str">
            <v>UMB25551</v>
          </cell>
          <cell r="D1761" t="str">
            <v>M02</v>
          </cell>
        </row>
        <row r="1762">
          <cell r="A1762" t="str">
            <v>UMB25552</v>
          </cell>
          <cell r="D1762" t="str">
            <v>M02</v>
          </cell>
        </row>
        <row r="1763">
          <cell r="A1763" t="str">
            <v>UMB25553</v>
          </cell>
          <cell r="D1763" t="str">
            <v>M02</v>
          </cell>
        </row>
        <row r="1764">
          <cell r="A1764" t="str">
            <v>UMB25556</v>
          </cell>
          <cell r="D1764" t="str">
            <v>M02</v>
          </cell>
        </row>
        <row r="1765">
          <cell r="A1765" t="str">
            <v>UMB25557</v>
          </cell>
          <cell r="D1765" t="str">
            <v>M02</v>
          </cell>
        </row>
        <row r="1766">
          <cell r="A1766" t="str">
            <v>UMB25558</v>
          </cell>
          <cell r="D1766" t="str">
            <v>M02</v>
          </cell>
        </row>
        <row r="1767">
          <cell r="A1767" t="str">
            <v>UMB25559</v>
          </cell>
          <cell r="D1767" t="str">
            <v>M02</v>
          </cell>
        </row>
        <row r="1768">
          <cell r="A1768" t="str">
            <v>UMB25563</v>
          </cell>
          <cell r="D1768" t="str">
            <v>M02</v>
          </cell>
        </row>
        <row r="1769">
          <cell r="A1769" t="str">
            <v>UMB25564</v>
          </cell>
          <cell r="D1769" t="str">
            <v>M02</v>
          </cell>
        </row>
        <row r="1770">
          <cell r="A1770" t="str">
            <v>UMB25565</v>
          </cell>
          <cell r="D1770" t="str">
            <v>M02</v>
          </cell>
        </row>
        <row r="1771">
          <cell r="A1771" t="str">
            <v>UMB25566</v>
          </cell>
          <cell r="D1771" t="str">
            <v>M02</v>
          </cell>
        </row>
        <row r="1772">
          <cell r="A1772" t="str">
            <v>UMB25571</v>
          </cell>
          <cell r="D1772" t="str">
            <v>M02</v>
          </cell>
        </row>
        <row r="1773">
          <cell r="A1773" t="str">
            <v>UMB25572</v>
          </cell>
          <cell r="D1773" t="str">
            <v>M02</v>
          </cell>
        </row>
        <row r="1774">
          <cell r="A1774" t="str">
            <v>UMB25574</v>
          </cell>
          <cell r="D1774" t="str">
            <v>M02</v>
          </cell>
        </row>
        <row r="1775">
          <cell r="A1775" t="str">
            <v>UMB25616</v>
          </cell>
          <cell r="D1775" t="str">
            <v>M02</v>
          </cell>
        </row>
        <row r="1776">
          <cell r="A1776" t="str">
            <v>UMB25619</v>
          </cell>
          <cell r="D1776" t="str">
            <v>M02</v>
          </cell>
        </row>
        <row r="1777">
          <cell r="A1777" t="str">
            <v>UMB25620</v>
          </cell>
          <cell r="D1777" t="str">
            <v>M02</v>
          </cell>
        </row>
        <row r="1778">
          <cell r="A1778" t="str">
            <v>UMB25621</v>
          </cell>
          <cell r="D1778" t="str">
            <v>M02</v>
          </cell>
        </row>
        <row r="1779">
          <cell r="A1779" t="str">
            <v>UMB25622</v>
          </cell>
          <cell r="D1779" t="str">
            <v>M02</v>
          </cell>
        </row>
        <row r="1780">
          <cell r="A1780" t="str">
            <v>UMB25747</v>
          </cell>
          <cell r="D1780" t="str">
            <v>M02</v>
          </cell>
        </row>
        <row r="1781">
          <cell r="A1781" t="str">
            <v>UMB25751</v>
          </cell>
          <cell r="D1781" t="str">
            <v>M02</v>
          </cell>
        </row>
        <row r="1782">
          <cell r="A1782" t="str">
            <v>UMB25752</v>
          </cell>
          <cell r="D1782" t="str">
            <v>M02</v>
          </cell>
        </row>
        <row r="1783">
          <cell r="A1783" t="str">
            <v>UMB25758</v>
          </cell>
          <cell r="D1783" t="str">
            <v>M02</v>
          </cell>
        </row>
        <row r="1784">
          <cell r="A1784" t="str">
            <v>UMB25765</v>
          </cell>
          <cell r="D1784" t="str">
            <v>M02</v>
          </cell>
        </row>
        <row r="1785">
          <cell r="A1785" t="str">
            <v>UMB25773</v>
          </cell>
          <cell r="D1785" t="str">
            <v>M02</v>
          </cell>
        </row>
        <row r="1786">
          <cell r="A1786" t="str">
            <v>UMB25816</v>
          </cell>
          <cell r="D1786" t="str">
            <v>M02</v>
          </cell>
        </row>
        <row r="1787">
          <cell r="A1787" t="str">
            <v>UMB25819</v>
          </cell>
          <cell r="D1787" t="str">
            <v>M02</v>
          </cell>
        </row>
        <row r="1788">
          <cell r="A1788" t="str">
            <v>UMB25820</v>
          </cell>
          <cell r="D1788" t="str">
            <v>M02</v>
          </cell>
        </row>
        <row r="1789">
          <cell r="A1789" t="str">
            <v>UMB25821</v>
          </cell>
          <cell r="D1789" t="str">
            <v>M02</v>
          </cell>
        </row>
        <row r="1790">
          <cell r="A1790" t="str">
            <v>UMB25822</v>
          </cell>
          <cell r="D1790" t="str">
            <v>M02</v>
          </cell>
        </row>
        <row r="1791">
          <cell r="A1791" t="str">
            <v>UMB27216</v>
          </cell>
          <cell r="D1791" t="str">
            <v>M02</v>
          </cell>
        </row>
        <row r="1792">
          <cell r="A1792" t="str">
            <v>UMB27219</v>
          </cell>
          <cell r="D1792" t="str">
            <v>M02</v>
          </cell>
        </row>
        <row r="1793">
          <cell r="A1793" t="str">
            <v>UMB27220</v>
          </cell>
          <cell r="D1793" t="str">
            <v>M02</v>
          </cell>
        </row>
        <row r="1794">
          <cell r="A1794" t="str">
            <v>UMB27221</v>
          </cell>
          <cell r="D1794" t="str">
            <v>M02</v>
          </cell>
        </row>
        <row r="1795">
          <cell r="A1795" t="str">
            <v>UMB27222</v>
          </cell>
          <cell r="D1795" t="str">
            <v>M02</v>
          </cell>
        </row>
        <row r="1796">
          <cell r="A1796" t="str">
            <v>UMB30293</v>
          </cell>
          <cell r="D1796" t="str">
            <v>M02</v>
          </cell>
        </row>
        <row r="1797">
          <cell r="A1797" t="str">
            <v>UMB30333</v>
          </cell>
          <cell r="D1797" t="str">
            <v>M02</v>
          </cell>
        </row>
        <row r="1798">
          <cell r="A1798" t="str">
            <v>UMB30363</v>
          </cell>
          <cell r="D1798" t="str">
            <v>M02</v>
          </cell>
        </row>
        <row r="1799">
          <cell r="A1799" t="str">
            <v>UMB30365</v>
          </cell>
          <cell r="D1799" t="str">
            <v>M02</v>
          </cell>
        </row>
        <row r="1800">
          <cell r="A1800" t="str">
            <v>UMB30386</v>
          </cell>
          <cell r="D1800" t="str">
            <v>M02</v>
          </cell>
        </row>
        <row r="1801">
          <cell r="A1801" t="str">
            <v>UMB30388</v>
          </cell>
          <cell r="D1801" t="str">
            <v>M02</v>
          </cell>
        </row>
        <row r="1802">
          <cell r="A1802" t="str">
            <v>UMB30393</v>
          </cell>
          <cell r="D1802" t="str">
            <v>M02</v>
          </cell>
        </row>
        <row r="1803">
          <cell r="A1803" t="str">
            <v>UMB30396</v>
          </cell>
          <cell r="D1803" t="str">
            <v>M02</v>
          </cell>
        </row>
        <row r="1804">
          <cell r="A1804" t="str">
            <v>UMB30398</v>
          </cell>
          <cell r="D1804" t="str">
            <v>M02</v>
          </cell>
        </row>
        <row r="1805">
          <cell r="A1805" t="str">
            <v>UMB30413</v>
          </cell>
          <cell r="D1805" t="str">
            <v>M02</v>
          </cell>
        </row>
        <row r="1806">
          <cell r="A1806" t="str">
            <v>UMB30416</v>
          </cell>
          <cell r="D1806" t="str">
            <v>M02</v>
          </cell>
        </row>
        <row r="1807">
          <cell r="A1807" t="str">
            <v>UMB30419</v>
          </cell>
          <cell r="D1807" t="str">
            <v>M02</v>
          </cell>
        </row>
        <row r="1808">
          <cell r="A1808" t="str">
            <v>UMB30481</v>
          </cell>
          <cell r="D1808" t="str">
            <v>M02</v>
          </cell>
        </row>
        <row r="1809">
          <cell r="A1809" t="str">
            <v>UMB30482</v>
          </cell>
          <cell r="D1809" t="str">
            <v>M02</v>
          </cell>
        </row>
        <row r="1810">
          <cell r="A1810" t="str">
            <v>UMB30483</v>
          </cell>
          <cell r="D1810" t="str">
            <v>M02</v>
          </cell>
        </row>
        <row r="1811">
          <cell r="A1811" t="str">
            <v>UMB30489</v>
          </cell>
          <cell r="D1811" t="str">
            <v>M02</v>
          </cell>
        </row>
        <row r="1812">
          <cell r="A1812" t="str">
            <v>UMB35128</v>
          </cell>
          <cell r="D1812" t="str">
            <v>M02</v>
          </cell>
        </row>
        <row r="1813">
          <cell r="A1813" t="str">
            <v>UMC24113</v>
          </cell>
          <cell r="D1813" t="str">
            <v>M02</v>
          </cell>
        </row>
        <row r="1814">
          <cell r="A1814" t="str">
            <v>UME38479</v>
          </cell>
          <cell r="D1814" t="str">
            <v>M02</v>
          </cell>
        </row>
        <row r="1815">
          <cell r="A1815" t="str">
            <v>UME38481</v>
          </cell>
          <cell r="D1815" t="str">
            <v>M02</v>
          </cell>
        </row>
        <row r="1816">
          <cell r="A1816" t="str">
            <v>UME38482</v>
          </cell>
          <cell r="D1816" t="str">
            <v>M02</v>
          </cell>
        </row>
        <row r="1817">
          <cell r="A1817" t="str">
            <v>UME38483</v>
          </cell>
          <cell r="D1817" t="str">
            <v>M02</v>
          </cell>
        </row>
        <row r="1818">
          <cell r="A1818" t="str">
            <v>UME38485</v>
          </cell>
          <cell r="D1818" t="str">
            <v>M02</v>
          </cell>
        </row>
        <row r="1819">
          <cell r="A1819" t="str">
            <v>UME80007</v>
          </cell>
          <cell r="D1819" t="str">
            <v>M02</v>
          </cell>
        </row>
        <row r="1820">
          <cell r="A1820" t="str">
            <v>UMF22610</v>
          </cell>
          <cell r="D1820" t="str">
            <v>M02</v>
          </cell>
        </row>
        <row r="1821">
          <cell r="A1821" t="str">
            <v>UMF22710</v>
          </cell>
          <cell r="D1821" t="str">
            <v>M02</v>
          </cell>
        </row>
        <row r="1822">
          <cell r="A1822" t="str">
            <v>UMJ30313</v>
          </cell>
          <cell r="D1822" t="str">
            <v>M02</v>
          </cell>
        </row>
        <row r="1823">
          <cell r="A1823" t="str">
            <v>UMJ30315</v>
          </cell>
          <cell r="D1823" t="str">
            <v>M02</v>
          </cell>
        </row>
        <row r="1824">
          <cell r="A1824" t="str">
            <v>UMJ30317</v>
          </cell>
          <cell r="D1824" t="str">
            <v>M02</v>
          </cell>
        </row>
        <row r="1825">
          <cell r="A1825" t="str">
            <v>UMJ34212</v>
          </cell>
          <cell r="D1825" t="str">
            <v>M02</v>
          </cell>
        </row>
        <row r="1826">
          <cell r="A1826" t="str">
            <v>UMJ34572</v>
          </cell>
          <cell r="D1826" t="str">
            <v>M02</v>
          </cell>
        </row>
        <row r="1827">
          <cell r="A1827" t="str">
            <v>UMJ36015</v>
          </cell>
          <cell r="D1827" t="str">
            <v>M02</v>
          </cell>
        </row>
        <row r="1828">
          <cell r="A1828" t="str">
            <v>UMJ36020</v>
          </cell>
          <cell r="D1828" t="str">
            <v>M02</v>
          </cell>
        </row>
        <row r="1829">
          <cell r="A1829" t="str">
            <v>UMJ36025</v>
          </cell>
          <cell r="D1829" t="str">
            <v>M02</v>
          </cell>
        </row>
        <row r="1830">
          <cell r="A1830" t="str">
            <v>UMJ36313</v>
          </cell>
          <cell r="D1830" t="str">
            <v>M02</v>
          </cell>
        </row>
        <row r="1831">
          <cell r="A1831" t="str">
            <v>UMJ36317</v>
          </cell>
          <cell r="D1831" t="str">
            <v>M02</v>
          </cell>
        </row>
        <row r="1832">
          <cell r="A1832" t="str">
            <v>UMJ36319</v>
          </cell>
          <cell r="D1832" t="str">
            <v>M02</v>
          </cell>
        </row>
        <row r="1833">
          <cell r="A1833" t="str">
            <v>UMJ36400</v>
          </cell>
          <cell r="D1833" t="str">
            <v>M02</v>
          </cell>
        </row>
        <row r="1834">
          <cell r="A1834" t="str">
            <v>UMJ36450</v>
          </cell>
          <cell r="D1834" t="str">
            <v>M02</v>
          </cell>
        </row>
        <row r="1835">
          <cell r="A1835" t="str">
            <v>UMJ50421</v>
          </cell>
          <cell r="D1835" t="str">
            <v>M02</v>
          </cell>
        </row>
        <row r="1836">
          <cell r="A1836" t="str">
            <v>UMJ50422</v>
          </cell>
          <cell r="D1836" t="str">
            <v>M02</v>
          </cell>
        </row>
        <row r="1837">
          <cell r="A1837" t="str">
            <v>UMJ61634</v>
          </cell>
          <cell r="D1837" t="str">
            <v>M02</v>
          </cell>
        </row>
        <row r="1838">
          <cell r="A1838" t="str">
            <v>UMK52202</v>
          </cell>
          <cell r="D1838" t="str">
            <v>M02</v>
          </cell>
        </row>
        <row r="1839">
          <cell r="A1839" t="str">
            <v>UMK52204</v>
          </cell>
          <cell r="D1839" t="str">
            <v>M02</v>
          </cell>
        </row>
        <row r="1840">
          <cell r="A1840" t="str">
            <v>UMO28110</v>
          </cell>
          <cell r="D1840" t="str">
            <v>M02</v>
          </cell>
        </row>
        <row r="1841">
          <cell r="A1841" t="str">
            <v>UMO28442</v>
          </cell>
          <cell r="D1841" t="str">
            <v>M02</v>
          </cell>
        </row>
        <row r="1842">
          <cell r="A1842" t="str">
            <v>UMO28471</v>
          </cell>
          <cell r="D1842" t="str">
            <v>M02</v>
          </cell>
        </row>
        <row r="1843">
          <cell r="A1843" t="str">
            <v>UMO28474</v>
          </cell>
          <cell r="D1843" t="str">
            <v>M02</v>
          </cell>
        </row>
        <row r="1844">
          <cell r="A1844" t="str">
            <v>UMO28501</v>
          </cell>
          <cell r="D1844" t="str">
            <v>M02</v>
          </cell>
        </row>
        <row r="1845">
          <cell r="A1845" t="str">
            <v>UMO31157</v>
          </cell>
          <cell r="D1845" t="str">
            <v>M02</v>
          </cell>
        </row>
        <row r="1846">
          <cell r="A1846" t="str">
            <v>UMO31165</v>
          </cell>
          <cell r="D1846" t="str">
            <v>M02</v>
          </cell>
        </row>
        <row r="1847">
          <cell r="A1847" t="str">
            <v>UMO31709</v>
          </cell>
          <cell r="D1847" t="str">
            <v>M02</v>
          </cell>
        </row>
        <row r="1848">
          <cell r="A1848" t="str">
            <v>UMO31710</v>
          </cell>
          <cell r="D1848" t="str">
            <v>M02</v>
          </cell>
        </row>
        <row r="1849">
          <cell r="A1849" t="str">
            <v>UMO31711</v>
          </cell>
          <cell r="D1849" t="str">
            <v>M02</v>
          </cell>
        </row>
        <row r="1850">
          <cell r="A1850" t="str">
            <v>UMO33171</v>
          </cell>
          <cell r="D1850" t="str">
            <v>M02</v>
          </cell>
        </row>
        <row r="1851">
          <cell r="A1851" t="str">
            <v>UMO33172</v>
          </cell>
          <cell r="D1851" t="str">
            <v>M02</v>
          </cell>
        </row>
        <row r="1852">
          <cell r="A1852" t="str">
            <v>UMO33174</v>
          </cell>
          <cell r="D1852" t="str">
            <v>M02</v>
          </cell>
        </row>
        <row r="1853">
          <cell r="A1853" t="str">
            <v>UMO33175</v>
          </cell>
          <cell r="D1853" t="str">
            <v>M02</v>
          </cell>
        </row>
        <row r="1854">
          <cell r="A1854" t="str">
            <v>UMO33176</v>
          </cell>
          <cell r="D1854" t="str">
            <v>M02</v>
          </cell>
        </row>
        <row r="1855">
          <cell r="A1855" t="str">
            <v>UMO33178</v>
          </cell>
          <cell r="D1855" t="str">
            <v>M02</v>
          </cell>
        </row>
        <row r="1856">
          <cell r="A1856" t="str">
            <v>UMO33265</v>
          </cell>
          <cell r="D1856" t="str">
            <v>M02</v>
          </cell>
        </row>
        <row r="1857">
          <cell r="A1857" t="str">
            <v>UMO33271</v>
          </cell>
          <cell r="D1857" t="str">
            <v>M02</v>
          </cell>
        </row>
        <row r="1858">
          <cell r="A1858" t="str">
            <v>UMO33273</v>
          </cell>
          <cell r="D1858" t="str">
            <v>M02</v>
          </cell>
        </row>
        <row r="1859">
          <cell r="A1859" t="str">
            <v>UMO33275</v>
          </cell>
          <cell r="D1859" t="str">
            <v>M02</v>
          </cell>
        </row>
        <row r="1860">
          <cell r="A1860" t="str">
            <v>UMO33277</v>
          </cell>
          <cell r="D1860" t="str">
            <v>M02</v>
          </cell>
        </row>
        <row r="1861">
          <cell r="A1861" t="str">
            <v>UMO33301</v>
          </cell>
          <cell r="D1861" t="str">
            <v>M02</v>
          </cell>
        </row>
        <row r="1862">
          <cell r="A1862" t="str">
            <v>UMO33310</v>
          </cell>
          <cell r="D1862" t="str">
            <v>M02</v>
          </cell>
        </row>
        <row r="1863">
          <cell r="A1863" t="str">
            <v>UMO33742</v>
          </cell>
          <cell r="D1863" t="str">
            <v>M02</v>
          </cell>
        </row>
        <row r="1864">
          <cell r="A1864" t="str">
            <v>UMO33744</v>
          </cell>
          <cell r="D1864" t="str">
            <v>M02</v>
          </cell>
        </row>
        <row r="1865">
          <cell r="A1865" t="str">
            <v>UMO42514</v>
          </cell>
          <cell r="D1865" t="str">
            <v>M02</v>
          </cell>
        </row>
        <row r="1866">
          <cell r="A1866" t="str">
            <v>UMO42536</v>
          </cell>
          <cell r="D1866" t="str">
            <v>M02</v>
          </cell>
        </row>
        <row r="1867">
          <cell r="A1867" t="str">
            <v>UMO42542</v>
          </cell>
          <cell r="D1867" t="str">
            <v>M02</v>
          </cell>
        </row>
        <row r="1868">
          <cell r="A1868" t="str">
            <v>UMO42551</v>
          </cell>
          <cell r="D1868" t="str">
            <v>M02</v>
          </cell>
        </row>
        <row r="1869">
          <cell r="A1869" t="str">
            <v>UMO42561</v>
          </cell>
          <cell r="D1869" t="str">
            <v>M02</v>
          </cell>
        </row>
        <row r="1870">
          <cell r="A1870" t="str">
            <v>UMO42580</v>
          </cell>
          <cell r="D1870" t="str">
            <v>M02</v>
          </cell>
        </row>
        <row r="1871">
          <cell r="A1871" t="str">
            <v>UMO42590</v>
          </cell>
          <cell r="D1871" t="str">
            <v>M02</v>
          </cell>
        </row>
        <row r="1872">
          <cell r="A1872" t="str">
            <v>UMO42625</v>
          </cell>
          <cell r="D1872" t="str">
            <v>M02</v>
          </cell>
        </row>
        <row r="1873">
          <cell r="A1873" t="str">
            <v>UMO53004</v>
          </cell>
          <cell r="D1873" t="str">
            <v>M02</v>
          </cell>
        </row>
        <row r="1874">
          <cell r="A1874" t="str">
            <v>UMO53005</v>
          </cell>
          <cell r="D1874" t="str">
            <v>M02</v>
          </cell>
        </row>
        <row r="1875">
          <cell r="A1875" t="str">
            <v>UMR20483</v>
          </cell>
          <cell r="D1875" t="str">
            <v>M02</v>
          </cell>
        </row>
        <row r="1876">
          <cell r="A1876" t="str">
            <v>UMR20484</v>
          </cell>
          <cell r="D1876" t="str">
            <v>M02</v>
          </cell>
        </row>
        <row r="1877">
          <cell r="A1877" t="str">
            <v>UMR20485</v>
          </cell>
          <cell r="D1877" t="str">
            <v>M02</v>
          </cell>
        </row>
        <row r="1878">
          <cell r="A1878" t="str">
            <v>UMR20486</v>
          </cell>
          <cell r="D1878" t="str">
            <v>M02</v>
          </cell>
        </row>
        <row r="1879">
          <cell r="A1879" t="str">
            <v>MGF11545</v>
          </cell>
          <cell r="D1879" t="str">
            <v>M03</v>
          </cell>
        </row>
        <row r="1880">
          <cell r="A1880" t="str">
            <v>MMB40105</v>
          </cell>
          <cell r="D1880" t="str">
            <v>M03</v>
          </cell>
        </row>
        <row r="1881">
          <cell r="A1881" t="str">
            <v>MMB40107</v>
          </cell>
          <cell r="D1881" t="str">
            <v>M03</v>
          </cell>
        </row>
        <row r="1882">
          <cell r="A1882" t="str">
            <v>MMB40108</v>
          </cell>
          <cell r="D1882" t="str">
            <v>M03</v>
          </cell>
        </row>
        <row r="1883">
          <cell r="A1883" t="str">
            <v>MMB41313</v>
          </cell>
          <cell r="D1883" t="str">
            <v>M03</v>
          </cell>
        </row>
        <row r="1884">
          <cell r="A1884" t="str">
            <v>MMB41315</v>
          </cell>
          <cell r="D1884" t="str">
            <v>M03</v>
          </cell>
        </row>
        <row r="1885">
          <cell r="A1885" t="str">
            <v>MMB41317</v>
          </cell>
          <cell r="D1885" t="str">
            <v>M03</v>
          </cell>
        </row>
        <row r="1886">
          <cell r="A1886" t="str">
            <v>MMB41319</v>
          </cell>
          <cell r="D1886" t="str">
            <v>M03</v>
          </cell>
        </row>
        <row r="1887">
          <cell r="A1887" t="str">
            <v>MMB50105</v>
          </cell>
          <cell r="D1887" t="str">
            <v>M03</v>
          </cell>
        </row>
        <row r="1888">
          <cell r="A1888" t="str">
            <v>MMB50107</v>
          </cell>
          <cell r="D1888" t="str">
            <v>M03</v>
          </cell>
        </row>
        <row r="1889">
          <cell r="A1889" t="str">
            <v>MMB50108</v>
          </cell>
          <cell r="D1889" t="str">
            <v>M03</v>
          </cell>
        </row>
        <row r="1890">
          <cell r="A1890" t="str">
            <v>MMB50207</v>
          </cell>
          <cell r="D1890" t="str">
            <v>M03</v>
          </cell>
        </row>
        <row r="1891">
          <cell r="A1891" t="str">
            <v>MMB50208</v>
          </cell>
          <cell r="D1891" t="str">
            <v>M03</v>
          </cell>
        </row>
        <row r="1892">
          <cell r="A1892" t="str">
            <v>MMB50507</v>
          </cell>
          <cell r="D1892" t="str">
            <v>M03</v>
          </cell>
        </row>
        <row r="1893">
          <cell r="A1893" t="str">
            <v>MMB50508</v>
          </cell>
          <cell r="D1893" t="str">
            <v>M03</v>
          </cell>
        </row>
        <row r="1894">
          <cell r="A1894" t="str">
            <v>MMB51106</v>
          </cell>
          <cell r="D1894" t="str">
            <v>M03</v>
          </cell>
        </row>
        <row r="1895">
          <cell r="A1895" t="str">
            <v>MMB51202</v>
          </cell>
          <cell r="D1895" t="str">
            <v>M03</v>
          </cell>
        </row>
        <row r="1896">
          <cell r="A1896" t="str">
            <v>MMB51204</v>
          </cell>
          <cell r="D1896" t="str">
            <v>M03</v>
          </cell>
        </row>
        <row r="1897">
          <cell r="A1897" t="str">
            <v>MMB51607</v>
          </cell>
          <cell r="D1897" t="str">
            <v>M03</v>
          </cell>
        </row>
        <row r="1898">
          <cell r="A1898" t="str">
            <v>MMB51608</v>
          </cell>
          <cell r="D1898" t="str">
            <v>M03</v>
          </cell>
        </row>
        <row r="1899">
          <cell r="A1899" t="str">
            <v>MMB51813</v>
          </cell>
          <cell r="D1899" t="str">
            <v>M03</v>
          </cell>
        </row>
        <row r="1900">
          <cell r="A1900" t="str">
            <v>MMB51815</v>
          </cell>
          <cell r="D1900" t="str">
            <v>M03</v>
          </cell>
        </row>
        <row r="1901">
          <cell r="A1901" t="str">
            <v>MMC71450</v>
          </cell>
          <cell r="D1901" t="str">
            <v>M03</v>
          </cell>
        </row>
        <row r="1902">
          <cell r="A1902" t="str">
            <v>MMC71510</v>
          </cell>
          <cell r="D1902" t="str">
            <v>M03</v>
          </cell>
        </row>
        <row r="1903">
          <cell r="A1903" t="str">
            <v>MMO10515</v>
          </cell>
          <cell r="D1903" t="str">
            <v>M03</v>
          </cell>
        </row>
        <row r="1904">
          <cell r="A1904" t="str">
            <v>MMO22505</v>
          </cell>
          <cell r="D1904" t="str">
            <v>M03</v>
          </cell>
        </row>
        <row r="1905">
          <cell r="A1905" t="str">
            <v>MMO25010</v>
          </cell>
          <cell r="D1905" t="str">
            <v>M03</v>
          </cell>
        </row>
        <row r="1906">
          <cell r="A1906" t="str">
            <v>MMO25012</v>
          </cell>
          <cell r="D1906" t="str">
            <v>M03</v>
          </cell>
        </row>
        <row r="1907">
          <cell r="A1907" t="str">
            <v>MMO25013</v>
          </cell>
          <cell r="D1907" t="str">
            <v>M03</v>
          </cell>
        </row>
        <row r="1908">
          <cell r="A1908" t="str">
            <v>MMO25131</v>
          </cell>
          <cell r="D1908" t="str">
            <v>M03</v>
          </cell>
        </row>
        <row r="1909">
          <cell r="A1909" t="str">
            <v>MMO25138</v>
          </cell>
          <cell r="D1909" t="str">
            <v>M03</v>
          </cell>
        </row>
        <row r="1910">
          <cell r="A1910" t="str">
            <v>MMO31207</v>
          </cell>
          <cell r="D1910" t="str">
            <v>M03</v>
          </cell>
        </row>
        <row r="1911">
          <cell r="A1911" t="str">
            <v>MMO31212</v>
          </cell>
          <cell r="D1911" t="str">
            <v>M03</v>
          </cell>
        </row>
        <row r="1912">
          <cell r="A1912" t="str">
            <v>MMZ52201</v>
          </cell>
          <cell r="D1912" t="str">
            <v>M03</v>
          </cell>
        </row>
        <row r="1913">
          <cell r="A1913" t="str">
            <v>UEA01160</v>
          </cell>
          <cell r="D1913" t="str">
            <v>M03</v>
          </cell>
        </row>
        <row r="1914">
          <cell r="A1914" t="str">
            <v>UMB53115</v>
          </cell>
          <cell r="D1914" t="str">
            <v>M03</v>
          </cell>
        </row>
        <row r="1915">
          <cell r="A1915" t="str">
            <v>UMB53125</v>
          </cell>
          <cell r="D1915" t="str">
            <v>M03</v>
          </cell>
        </row>
        <row r="1916">
          <cell r="A1916" t="str">
            <v>UMC38619</v>
          </cell>
          <cell r="D1916" t="str">
            <v>M03</v>
          </cell>
        </row>
        <row r="1917">
          <cell r="A1917" t="str">
            <v>UMD25357</v>
          </cell>
          <cell r="D1917" t="str">
            <v>M03</v>
          </cell>
        </row>
        <row r="1918">
          <cell r="A1918" t="str">
            <v>UMD25358</v>
          </cell>
          <cell r="D1918" t="str">
            <v>M03</v>
          </cell>
        </row>
        <row r="1919">
          <cell r="A1919" t="str">
            <v>UMD34115</v>
          </cell>
          <cell r="D1919" t="str">
            <v>M03</v>
          </cell>
        </row>
        <row r="1920">
          <cell r="A1920" t="str">
            <v>UMD46402</v>
          </cell>
          <cell r="D1920" t="str">
            <v>M03</v>
          </cell>
        </row>
        <row r="1921">
          <cell r="A1921" t="str">
            <v>UMD46436</v>
          </cell>
          <cell r="D1921" t="str">
            <v>M03</v>
          </cell>
        </row>
        <row r="1922">
          <cell r="A1922" t="str">
            <v>UMD46438</v>
          </cell>
          <cell r="D1922" t="str">
            <v>M03</v>
          </cell>
        </row>
        <row r="1923">
          <cell r="A1923" t="str">
            <v>UMD46439</v>
          </cell>
          <cell r="D1923" t="str">
            <v>M03</v>
          </cell>
        </row>
        <row r="1924">
          <cell r="A1924" t="str">
            <v>UMD52107</v>
          </cell>
          <cell r="D1924" t="str">
            <v>M03</v>
          </cell>
        </row>
        <row r="1925">
          <cell r="A1925" t="str">
            <v>UMD52109</v>
          </cell>
          <cell r="D1925" t="str">
            <v>M03</v>
          </cell>
        </row>
        <row r="1926">
          <cell r="A1926" t="str">
            <v>UME23205</v>
          </cell>
          <cell r="D1926" t="str">
            <v>M03</v>
          </cell>
        </row>
        <row r="1927">
          <cell r="A1927" t="str">
            <v>UME27255</v>
          </cell>
          <cell r="D1927" t="str">
            <v>M03</v>
          </cell>
        </row>
        <row r="1928">
          <cell r="A1928" t="str">
            <v>UME40449</v>
          </cell>
          <cell r="D1928" t="str">
            <v>M03</v>
          </cell>
        </row>
        <row r="1929">
          <cell r="A1929" t="str">
            <v>UME43312</v>
          </cell>
          <cell r="D1929" t="str">
            <v>M03</v>
          </cell>
        </row>
        <row r="1930">
          <cell r="A1930" t="str">
            <v>UME43413</v>
          </cell>
          <cell r="D1930" t="str">
            <v>M03</v>
          </cell>
        </row>
        <row r="1931">
          <cell r="A1931" t="str">
            <v>UME43415</v>
          </cell>
          <cell r="D1931" t="str">
            <v>M03</v>
          </cell>
        </row>
        <row r="1932">
          <cell r="A1932" t="str">
            <v>UME45112</v>
          </cell>
          <cell r="D1932" t="str">
            <v>M03</v>
          </cell>
        </row>
        <row r="1933">
          <cell r="A1933" t="str">
            <v>UME45133</v>
          </cell>
          <cell r="D1933" t="str">
            <v>M03</v>
          </cell>
        </row>
        <row r="1934">
          <cell r="A1934" t="str">
            <v>UME45135</v>
          </cell>
          <cell r="D1934" t="str">
            <v>M03</v>
          </cell>
        </row>
        <row r="1935">
          <cell r="A1935" t="str">
            <v>UME54208</v>
          </cell>
          <cell r="D1935" t="str">
            <v>M03</v>
          </cell>
        </row>
        <row r="1936">
          <cell r="A1936" t="str">
            <v>UME56210</v>
          </cell>
          <cell r="D1936" t="str">
            <v>M03</v>
          </cell>
        </row>
        <row r="1937">
          <cell r="A1937" t="str">
            <v>UME80206</v>
          </cell>
          <cell r="D1937" t="str">
            <v>M03</v>
          </cell>
        </row>
        <row r="1938">
          <cell r="A1938" t="str">
            <v>UMI16521</v>
          </cell>
          <cell r="D1938" t="str">
            <v>M03</v>
          </cell>
        </row>
        <row r="1939">
          <cell r="A1939" t="str">
            <v>UMI18609</v>
          </cell>
          <cell r="D1939" t="str">
            <v>M03</v>
          </cell>
        </row>
        <row r="1940">
          <cell r="A1940" t="str">
            <v>UMI18610</v>
          </cell>
          <cell r="D1940" t="str">
            <v>M03</v>
          </cell>
        </row>
        <row r="1941">
          <cell r="A1941" t="str">
            <v>UMI20744</v>
          </cell>
          <cell r="D1941" t="str">
            <v>M03</v>
          </cell>
        </row>
        <row r="1942">
          <cell r="A1942" t="str">
            <v>UMI20754</v>
          </cell>
          <cell r="D1942" t="str">
            <v>M03</v>
          </cell>
        </row>
        <row r="1943">
          <cell r="A1943" t="str">
            <v>UMI20790</v>
          </cell>
          <cell r="D1943" t="str">
            <v>M03</v>
          </cell>
        </row>
        <row r="1944">
          <cell r="A1944" t="str">
            <v>UMI20792</v>
          </cell>
          <cell r="D1944" t="str">
            <v>M03</v>
          </cell>
        </row>
        <row r="1945">
          <cell r="A1945" t="str">
            <v>UMN34719</v>
          </cell>
          <cell r="D1945" t="str">
            <v>M03</v>
          </cell>
        </row>
        <row r="1946">
          <cell r="A1946" t="str">
            <v>UMO18501</v>
          </cell>
          <cell r="D1946" t="str">
            <v>M03</v>
          </cell>
        </row>
        <row r="1947">
          <cell r="A1947" t="str">
            <v>UMO18502</v>
          </cell>
          <cell r="D1947" t="str">
            <v>M03</v>
          </cell>
        </row>
        <row r="1948">
          <cell r="A1948" t="str">
            <v>UMO21113</v>
          </cell>
          <cell r="D1948" t="str">
            <v>M03</v>
          </cell>
        </row>
        <row r="1949">
          <cell r="A1949" t="str">
            <v>UMO24219</v>
          </cell>
          <cell r="D1949" t="str">
            <v>M03</v>
          </cell>
        </row>
        <row r="1950">
          <cell r="A1950" t="str">
            <v>UMO53032</v>
          </cell>
          <cell r="D1950" t="str">
            <v>M03</v>
          </cell>
        </row>
        <row r="1951">
          <cell r="A1951" t="str">
            <v>UMO53033</v>
          </cell>
          <cell r="D1951" t="str">
            <v>M03</v>
          </cell>
        </row>
        <row r="1952">
          <cell r="A1952" t="str">
            <v>UMO53034</v>
          </cell>
          <cell r="D1952" t="str">
            <v>M03</v>
          </cell>
        </row>
        <row r="1953">
          <cell r="A1953" t="str">
            <v>UMO53035</v>
          </cell>
          <cell r="D1953" t="str">
            <v>M03</v>
          </cell>
        </row>
        <row r="1954">
          <cell r="A1954" t="str">
            <v>UMP20203</v>
          </cell>
          <cell r="D1954" t="str">
            <v>M03</v>
          </cell>
        </row>
        <row r="1955">
          <cell r="A1955" t="str">
            <v>UMP27103</v>
          </cell>
          <cell r="D1955" t="str">
            <v>M03</v>
          </cell>
        </row>
        <row r="1956">
          <cell r="A1956" t="str">
            <v>UMR18221</v>
          </cell>
          <cell r="D1956" t="str">
            <v>M03</v>
          </cell>
        </row>
        <row r="1957">
          <cell r="A1957" t="str">
            <v>UMR18222</v>
          </cell>
          <cell r="D1957" t="str">
            <v>M03</v>
          </cell>
        </row>
        <row r="1958">
          <cell r="A1958" t="str">
            <v>UMR18223</v>
          </cell>
          <cell r="D1958" t="str">
            <v>M03</v>
          </cell>
        </row>
        <row r="1959">
          <cell r="A1959" t="str">
            <v>UMR18224</v>
          </cell>
          <cell r="D1959" t="str">
            <v>M03</v>
          </cell>
        </row>
        <row r="1960">
          <cell r="A1960" t="str">
            <v>UMR18225</v>
          </cell>
          <cell r="D1960" t="str">
            <v>M03</v>
          </cell>
        </row>
        <row r="1961">
          <cell r="A1961" t="str">
            <v>UMR18226</v>
          </cell>
          <cell r="D1961" t="str">
            <v>M03</v>
          </cell>
        </row>
        <row r="1962">
          <cell r="A1962" t="str">
            <v>UMR18227</v>
          </cell>
          <cell r="D1962" t="str">
            <v>M03</v>
          </cell>
        </row>
        <row r="1963">
          <cell r="A1963" t="str">
            <v>UMR18228</v>
          </cell>
          <cell r="D1963" t="str">
            <v>M03</v>
          </cell>
        </row>
        <row r="1964">
          <cell r="A1964" t="str">
            <v>UMR18229</v>
          </cell>
          <cell r="D1964" t="str">
            <v>M03</v>
          </cell>
        </row>
        <row r="1965">
          <cell r="A1965" t="str">
            <v>UMR18261</v>
          </cell>
          <cell r="D1965" t="str">
            <v>M03</v>
          </cell>
        </row>
        <row r="1966">
          <cell r="A1966" t="str">
            <v>UMR18262</v>
          </cell>
          <cell r="D1966" t="str">
            <v>M03</v>
          </cell>
        </row>
        <row r="1967">
          <cell r="A1967" t="str">
            <v>UMZ50116</v>
          </cell>
          <cell r="D1967" t="str">
            <v>M03</v>
          </cell>
        </row>
        <row r="1968">
          <cell r="A1968" t="str">
            <v>UMZ50960</v>
          </cell>
          <cell r="D1968" t="str">
            <v>M03</v>
          </cell>
        </row>
        <row r="1969">
          <cell r="A1969" t="str">
            <v>UTA11040</v>
          </cell>
          <cell r="D1969" t="str">
            <v>M03</v>
          </cell>
        </row>
        <row r="1970">
          <cell r="A1970" t="str">
            <v>UTA11050</v>
          </cell>
          <cell r="D1970" t="str">
            <v>M03</v>
          </cell>
        </row>
        <row r="1971">
          <cell r="A1971" t="str">
            <v>UTA11090</v>
          </cell>
          <cell r="D1971" t="str">
            <v>M03</v>
          </cell>
        </row>
        <row r="1972">
          <cell r="A1972" t="str">
            <v>UTA11110</v>
          </cell>
          <cell r="D1972" t="str">
            <v>M03</v>
          </cell>
        </row>
        <row r="1973">
          <cell r="A1973" t="str">
            <v>UTA11120</v>
          </cell>
          <cell r="D1973" t="str">
            <v>M03</v>
          </cell>
        </row>
        <row r="1974">
          <cell r="A1974" t="str">
            <v>UTA15120</v>
          </cell>
          <cell r="D1974" t="str">
            <v>M03</v>
          </cell>
        </row>
        <row r="1975">
          <cell r="A1975" t="str">
            <v>UTQ20010</v>
          </cell>
          <cell r="D1975" t="str">
            <v>M03</v>
          </cell>
        </row>
        <row r="1976">
          <cell r="A1976" t="str">
            <v>UTQ20050</v>
          </cell>
          <cell r="D1976" t="str">
            <v>M03</v>
          </cell>
        </row>
        <row r="1977">
          <cell r="A1977" t="str">
            <v>MCQ35303</v>
          </cell>
          <cell r="D1977" t="str">
            <v>M04</v>
          </cell>
        </row>
        <row r="1978">
          <cell r="A1978" t="str">
            <v>MCQ35304</v>
          </cell>
          <cell r="D1978" t="str">
            <v>M04</v>
          </cell>
        </row>
        <row r="1979">
          <cell r="A1979" t="str">
            <v>MGF11502</v>
          </cell>
          <cell r="D1979" t="str">
            <v>M04</v>
          </cell>
        </row>
        <row r="1980">
          <cell r="A1980" t="str">
            <v>MMB12212</v>
          </cell>
          <cell r="D1980" t="str">
            <v>M04</v>
          </cell>
        </row>
        <row r="1981">
          <cell r="A1981" t="str">
            <v>MMB40110</v>
          </cell>
          <cell r="D1981" t="str">
            <v>M04</v>
          </cell>
        </row>
        <row r="1982">
          <cell r="A1982" t="str">
            <v>MMB40112</v>
          </cell>
          <cell r="D1982" t="str">
            <v>M04</v>
          </cell>
        </row>
        <row r="1983">
          <cell r="A1983" t="str">
            <v>MMB40208</v>
          </cell>
          <cell r="D1983" t="str">
            <v>M04</v>
          </cell>
        </row>
        <row r="1984">
          <cell r="A1984" t="str">
            <v>MMB40210</v>
          </cell>
          <cell r="D1984" t="str">
            <v>M04</v>
          </cell>
        </row>
        <row r="1985">
          <cell r="A1985" t="str">
            <v>MMB40212</v>
          </cell>
          <cell r="D1985" t="str">
            <v>M04</v>
          </cell>
        </row>
        <row r="1986">
          <cell r="A1986" t="str">
            <v>MMB40213</v>
          </cell>
          <cell r="D1986" t="str">
            <v>M04</v>
          </cell>
        </row>
        <row r="1987">
          <cell r="A1987" t="str">
            <v>MMB40308</v>
          </cell>
          <cell r="D1987" t="str">
            <v>M04</v>
          </cell>
        </row>
        <row r="1988">
          <cell r="A1988" t="str">
            <v>MMB40310</v>
          </cell>
          <cell r="D1988" t="str">
            <v>M04</v>
          </cell>
        </row>
        <row r="1989">
          <cell r="A1989" t="str">
            <v>MMB40312</v>
          </cell>
          <cell r="D1989" t="str">
            <v>M04</v>
          </cell>
        </row>
        <row r="1990">
          <cell r="A1990" t="str">
            <v>MMB40313</v>
          </cell>
          <cell r="D1990" t="str">
            <v>M04</v>
          </cell>
        </row>
        <row r="1991">
          <cell r="A1991" t="str">
            <v>MMB41419</v>
          </cell>
          <cell r="D1991" t="str">
            <v>M04</v>
          </cell>
        </row>
        <row r="1992">
          <cell r="A1992" t="str">
            <v>MMB50205</v>
          </cell>
          <cell r="D1992" t="str">
            <v>M04</v>
          </cell>
        </row>
        <row r="1993">
          <cell r="A1993" t="str">
            <v>MMB53008</v>
          </cell>
          <cell r="D1993" t="str">
            <v>M04</v>
          </cell>
        </row>
        <row r="1994">
          <cell r="A1994" t="str">
            <v>MML20353</v>
          </cell>
          <cell r="D1994" t="str">
            <v>M04</v>
          </cell>
        </row>
        <row r="1995">
          <cell r="A1995" t="str">
            <v>MML20354</v>
          </cell>
          <cell r="D1995" t="str">
            <v>M04</v>
          </cell>
        </row>
        <row r="1996">
          <cell r="A1996" t="str">
            <v>MML31200</v>
          </cell>
          <cell r="D1996" t="str">
            <v>M04</v>
          </cell>
        </row>
        <row r="1997">
          <cell r="A1997" t="str">
            <v>MML40600</v>
          </cell>
          <cell r="D1997" t="str">
            <v>M04</v>
          </cell>
        </row>
        <row r="1998">
          <cell r="A1998" t="str">
            <v>MMO10519</v>
          </cell>
          <cell r="D1998" t="str">
            <v>M04</v>
          </cell>
        </row>
        <row r="1999">
          <cell r="A1999" t="str">
            <v>MMO25019</v>
          </cell>
          <cell r="D1999" t="str">
            <v>M04</v>
          </cell>
        </row>
        <row r="2000">
          <cell r="A2000" t="str">
            <v>MMO25158</v>
          </cell>
          <cell r="D2000" t="str">
            <v>M04</v>
          </cell>
        </row>
        <row r="2001">
          <cell r="A2001" t="str">
            <v>MMO25160</v>
          </cell>
          <cell r="D2001" t="str">
            <v>M04</v>
          </cell>
        </row>
        <row r="2002">
          <cell r="A2002" t="str">
            <v>MMO25162</v>
          </cell>
          <cell r="D2002" t="str">
            <v>M04</v>
          </cell>
        </row>
        <row r="2003">
          <cell r="A2003" t="str">
            <v>MMO25163</v>
          </cell>
          <cell r="D2003" t="str">
            <v>M04</v>
          </cell>
        </row>
        <row r="2004">
          <cell r="A2004" t="str">
            <v>MMO25165</v>
          </cell>
          <cell r="D2004" t="str">
            <v>M04</v>
          </cell>
        </row>
        <row r="2005">
          <cell r="A2005" t="str">
            <v>MMO25167</v>
          </cell>
          <cell r="D2005" t="str">
            <v>M04</v>
          </cell>
        </row>
        <row r="2006">
          <cell r="A2006" t="str">
            <v>MMO25403</v>
          </cell>
          <cell r="D2006" t="str">
            <v>M04</v>
          </cell>
        </row>
        <row r="2007">
          <cell r="A2007" t="str">
            <v>MMO25404</v>
          </cell>
          <cell r="D2007" t="str">
            <v>M04</v>
          </cell>
        </row>
        <row r="2008">
          <cell r="A2008" t="str">
            <v>MMO25405</v>
          </cell>
          <cell r="D2008" t="str">
            <v>M04</v>
          </cell>
        </row>
        <row r="2009">
          <cell r="A2009" t="str">
            <v>MMO25413</v>
          </cell>
          <cell r="D2009" t="str">
            <v>M04</v>
          </cell>
        </row>
        <row r="2010">
          <cell r="A2010" t="str">
            <v>MMO25414</v>
          </cell>
          <cell r="D2010" t="str">
            <v>M04</v>
          </cell>
        </row>
        <row r="2011">
          <cell r="A2011" t="str">
            <v>MMO25424</v>
          </cell>
          <cell r="D2011" t="str">
            <v>M04</v>
          </cell>
        </row>
        <row r="2012">
          <cell r="A2012" t="str">
            <v>MMO25425</v>
          </cell>
          <cell r="D2012" t="str">
            <v>M04</v>
          </cell>
        </row>
        <row r="2013">
          <cell r="A2013" t="str">
            <v>MMO25435</v>
          </cell>
          <cell r="D2013" t="str">
            <v>M04</v>
          </cell>
        </row>
        <row r="2014">
          <cell r="A2014" t="str">
            <v>MMO31922</v>
          </cell>
          <cell r="D2014" t="str">
            <v>M04</v>
          </cell>
        </row>
        <row r="2015">
          <cell r="A2015" t="str">
            <v>MMO53126</v>
          </cell>
          <cell r="D2015" t="str">
            <v>M04</v>
          </cell>
        </row>
        <row r="2016">
          <cell r="A2016" t="str">
            <v>UMA45709</v>
          </cell>
          <cell r="D2016" t="str">
            <v>M04</v>
          </cell>
        </row>
        <row r="2017">
          <cell r="A2017" t="str">
            <v>UMA52280</v>
          </cell>
          <cell r="D2017" t="str">
            <v>M04</v>
          </cell>
        </row>
        <row r="2018">
          <cell r="A2018" t="str">
            <v>UMD19610</v>
          </cell>
          <cell r="D2018" t="str">
            <v>M04</v>
          </cell>
        </row>
        <row r="2019">
          <cell r="A2019" t="str">
            <v>UMD22339</v>
          </cell>
          <cell r="D2019" t="str">
            <v>M04</v>
          </cell>
        </row>
        <row r="2020">
          <cell r="A2020" t="str">
            <v>UMD22359</v>
          </cell>
          <cell r="D2020" t="str">
            <v>M04</v>
          </cell>
        </row>
        <row r="2021">
          <cell r="A2021" t="str">
            <v>UMD46447</v>
          </cell>
          <cell r="D2021" t="str">
            <v>M04</v>
          </cell>
        </row>
        <row r="2022">
          <cell r="A2022" t="str">
            <v>UME13419</v>
          </cell>
          <cell r="D2022" t="str">
            <v>M04</v>
          </cell>
        </row>
        <row r="2023">
          <cell r="A2023" t="str">
            <v>UME40613</v>
          </cell>
          <cell r="D2023" t="str">
            <v>M04</v>
          </cell>
        </row>
        <row r="2024">
          <cell r="A2024" t="str">
            <v>UME40616</v>
          </cell>
          <cell r="D2024" t="str">
            <v>M04</v>
          </cell>
        </row>
        <row r="2025">
          <cell r="A2025" t="str">
            <v>UME82305</v>
          </cell>
          <cell r="D2025" t="str">
            <v>M04</v>
          </cell>
        </row>
        <row r="2026">
          <cell r="A2026" t="str">
            <v>UMJ24501</v>
          </cell>
          <cell r="D2026" t="str">
            <v>M04</v>
          </cell>
        </row>
        <row r="2027">
          <cell r="A2027" t="str">
            <v>UMJ50226</v>
          </cell>
          <cell r="D2027" t="str">
            <v>M04</v>
          </cell>
        </row>
        <row r="2028">
          <cell r="A2028" t="str">
            <v>UMJ50228</v>
          </cell>
          <cell r="D2028" t="str">
            <v>M04</v>
          </cell>
        </row>
        <row r="2029">
          <cell r="A2029" t="str">
            <v>UMJ61237</v>
          </cell>
          <cell r="D2029" t="str">
            <v>M04</v>
          </cell>
        </row>
        <row r="2030">
          <cell r="A2030" t="str">
            <v>UMK32010</v>
          </cell>
          <cell r="D2030" t="str">
            <v>M04</v>
          </cell>
        </row>
        <row r="2031">
          <cell r="A2031" t="str">
            <v>UMK32020</v>
          </cell>
          <cell r="D2031" t="str">
            <v>M04</v>
          </cell>
        </row>
        <row r="2032">
          <cell r="A2032" t="str">
            <v>UMK34235</v>
          </cell>
          <cell r="D2032" t="str">
            <v>M04</v>
          </cell>
        </row>
        <row r="2033">
          <cell r="A2033" t="str">
            <v>UMK34241</v>
          </cell>
          <cell r="D2033" t="str">
            <v>M04</v>
          </cell>
        </row>
        <row r="2034">
          <cell r="A2034" t="str">
            <v>UMK34302</v>
          </cell>
          <cell r="D2034" t="str">
            <v>M04</v>
          </cell>
        </row>
        <row r="2035">
          <cell r="A2035" t="str">
            <v>UMK40210</v>
          </cell>
          <cell r="D2035" t="str">
            <v>M04</v>
          </cell>
        </row>
        <row r="2036">
          <cell r="A2036" t="str">
            <v>UMK40212</v>
          </cell>
          <cell r="D2036" t="str">
            <v>M04</v>
          </cell>
        </row>
        <row r="2037">
          <cell r="A2037" t="str">
            <v>UMK40215</v>
          </cell>
          <cell r="D2037" t="str">
            <v>M04</v>
          </cell>
        </row>
        <row r="2038">
          <cell r="A2038" t="str">
            <v>UMK40220</v>
          </cell>
          <cell r="D2038" t="str">
            <v>M04</v>
          </cell>
        </row>
        <row r="2039">
          <cell r="A2039" t="str">
            <v>UMK40222</v>
          </cell>
          <cell r="D2039" t="str">
            <v>M04</v>
          </cell>
        </row>
        <row r="2040">
          <cell r="A2040" t="str">
            <v>UMK40250</v>
          </cell>
          <cell r="D2040" t="str">
            <v>M04</v>
          </cell>
        </row>
        <row r="2041">
          <cell r="A2041" t="str">
            <v>UMK40252</v>
          </cell>
          <cell r="D2041" t="str">
            <v>M04</v>
          </cell>
        </row>
        <row r="2042">
          <cell r="A2042" t="str">
            <v>UMK40260</v>
          </cell>
          <cell r="D2042" t="str">
            <v>M04</v>
          </cell>
        </row>
        <row r="2043">
          <cell r="A2043" t="str">
            <v>UMK40300</v>
          </cell>
          <cell r="D2043" t="str">
            <v>M04</v>
          </cell>
        </row>
        <row r="2044">
          <cell r="A2044" t="str">
            <v>UMK40310</v>
          </cell>
          <cell r="D2044" t="str">
            <v>M04</v>
          </cell>
        </row>
        <row r="2045">
          <cell r="A2045" t="str">
            <v>UMK40315</v>
          </cell>
          <cell r="D2045" t="str">
            <v>M04</v>
          </cell>
        </row>
        <row r="2046">
          <cell r="A2046" t="str">
            <v>UMK40320</v>
          </cell>
          <cell r="D2046" t="str">
            <v>M04</v>
          </cell>
        </row>
        <row r="2047">
          <cell r="A2047" t="str">
            <v>UMK40400</v>
          </cell>
          <cell r="D2047" t="str">
            <v>M04</v>
          </cell>
        </row>
        <row r="2048">
          <cell r="A2048" t="str">
            <v>UMK40410</v>
          </cell>
          <cell r="D2048" t="str">
            <v>M04</v>
          </cell>
        </row>
        <row r="2049">
          <cell r="A2049" t="str">
            <v>UML10116</v>
          </cell>
          <cell r="D2049" t="str">
            <v>M04</v>
          </cell>
        </row>
        <row r="2050">
          <cell r="A2050" t="str">
            <v>UML10501</v>
          </cell>
          <cell r="D2050" t="str">
            <v>M04</v>
          </cell>
        </row>
        <row r="2051">
          <cell r="A2051" t="str">
            <v>UML10560</v>
          </cell>
          <cell r="D2051" t="str">
            <v>M04</v>
          </cell>
        </row>
        <row r="2052">
          <cell r="A2052" t="str">
            <v>UML20201</v>
          </cell>
          <cell r="D2052" t="str">
            <v>M04</v>
          </cell>
        </row>
        <row r="2053">
          <cell r="A2053" t="str">
            <v>UML20203</v>
          </cell>
          <cell r="D2053" t="str">
            <v>M04</v>
          </cell>
        </row>
        <row r="2054">
          <cell r="A2054" t="str">
            <v>UML20353</v>
          </cell>
          <cell r="D2054" t="str">
            <v>M04</v>
          </cell>
        </row>
        <row r="2055">
          <cell r="A2055" t="str">
            <v>UML20354</v>
          </cell>
          <cell r="D2055" t="str">
            <v>M04</v>
          </cell>
        </row>
        <row r="2056">
          <cell r="A2056" t="str">
            <v>UML20360</v>
          </cell>
          <cell r="D2056" t="str">
            <v>M04</v>
          </cell>
        </row>
        <row r="2057">
          <cell r="A2057" t="str">
            <v>UML20710</v>
          </cell>
          <cell r="D2057" t="str">
            <v>M04</v>
          </cell>
        </row>
        <row r="2058">
          <cell r="A2058" t="str">
            <v>UML30220</v>
          </cell>
          <cell r="D2058" t="str">
            <v>M04</v>
          </cell>
        </row>
        <row r="2059">
          <cell r="A2059" t="str">
            <v>UML31100</v>
          </cell>
          <cell r="D2059" t="str">
            <v>M04</v>
          </cell>
        </row>
        <row r="2060">
          <cell r="A2060" t="str">
            <v>UMN30417</v>
          </cell>
          <cell r="D2060" t="str">
            <v>M04</v>
          </cell>
        </row>
        <row r="2061">
          <cell r="A2061" t="str">
            <v>UMO21153</v>
          </cell>
          <cell r="D2061" t="str">
            <v>M04</v>
          </cell>
        </row>
        <row r="2062">
          <cell r="A2062" t="str">
            <v>UMO28926</v>
          </cell>
          <cell r="D2062" t="str">
            <v>M04</v>
          </cell>
        </row>
        <row r="2063">
          <cell r="A2063" t="str">
            <v>UMO31155</v>
          </cell>
          <cell r="D2063" t="str">
            <v>M04</v>
          </cell>
        </row>
        <row r="2064">
          <cell r="A2064" t="str">
            <v>UMO31708</v>
          </cell>
          <cell r="D2064" t="str">
            <v>M04</v>
          </cell>
        </row>
        <row r="2065">
          <cell r="A2065" t="str">
            <v>UMO33950</v>
          </cell>
          <cell r="D2065" t="str">
            <v>M04</v>
          </cell>
        </row>
        <row r="2066">
          <cell r="A2066" t="str">
            <v>UMR12349</v>
          </cell>
          <cell r="D2066" t="str">
            <v>M04</v>
          </cell>
        </row>
        <row r="2067">
          <cell r="A2067" t="str">
            <v>UMR13367</v>
          </cell>
          <cell r="D2067" t="str">
            <v>M04</v>
          </cell>
        </row>
        <row r="2068">
          <cell r="A2068" t="str">
            <v>UMR13379</v>
          </cell>
          <cell r="D2068" t="str">
            <v>M04</v>
          </cell>
        </row>
        <row r="2069">
          <cell r="A2069" t="str">
            <v>UMR16119</v>
          </cell>
          <cell r="D2069" t="str">
            <v>M04</v>
          </cell>
        </row>
        <row r="2070">
          <cell r="A2070" t="str">
            <v>UMR16627</v>
          </cell>
          <cell r="D2070" t="str">
            <v>M04</v>
          </cell>
        </row>
        <row r="2071">
          <cell r="A2071" t="str">
            <v>UMR18625</v>
          </cell>
          <cell r="D2071" t="str">
            <v>M04</v>
          </cell>
        </row>
        <row r="2072">
          <cell r="A2072" t="str">
            <v>UMR18627</v>
          </cell>
          <cell r="D2072" t="str">
            <v>M04</v>
          </cell>
        </row>
        <row r="2073">
          <cell r="A2073" t="str">
            <v>UMR18628</v>
          </cell>
          <cell r="D2073" t="str">
            <v>M04</v>
          </cell>
        </row>
        <row r="2074">
          <cell r="A2074" t="str">
            <v>UMR18629</v>
          </cell>
          <cell r="D2074" t="str">
            <v>M04</v>
          </cell>
        </row>
        <row r="2075">
          <cell r="A2075" t="str">
            <v>UMR18655</v>
          </cell>
          <cell r="D2075" t="str">
            <v>M04</v>
          </cell>
        </row>
        <row r="2076">
          <cell r="A2076" t="str">
            <v>UMR18656</v>
          </cell>
          <cell r="D2076" t="str">
            <v>M04</v>
          </cell>
        </row>
        <row r="2077">
          <cell r="A2077" t="str">
            <v>UMR18657</v>
          </cell>
          <cell r="D2077" t="str">
            <v>M04</v>
          </cell>
        </row>
        <row r="2078">
          <cell r="A2078" t="str">
            <v>UMR18658</v>
          </cell>
          <cell r="D2078" t="str">
            <v>M04</v>
          </cell>
        </row>
        <row r="2079">
          <cell r="A2079" t="str">
            <v>UMZ50120</v>
          </cell>
          <cell r="D2079" t="str">
            <v>M04</v>
          </cell>
        </row>
        <row r="2080">
          <cell r="A2080" t="str">
            <v>AAD42031</v>
          </cell>
          <cell r="D2080" t="str">
            <v>M05</v>
          </cell>
        </row>
        <row r="2081">
          <cell r="A2081" t="str">
            <v>BGZ05050</v>
          </cell>
          <cell r="D2081" t="str">
            <v>M05</v>
          </cell>
        </row>
        <row r="2082">
          <cell r="A2082" t="str">
            <v>BMC02005</v>
          </cell>
          <cell r="D2082" t="str">
            <v>M05</v>
          </cell>
        </row>
        <row r="2083">
          <cell r="A2083" t="str">
            <v>BMC03008</v>
          </cell>
          <cell r="D2083" t="str">
            <v>M05</v>
          </cell>
        </row>
        <row r="2084">
          <cell r="A2084" t="str">
            <v>BMC04001</v>
          </cell>
          <cell r="D2084" t="str">
            <v>M05</v>
          </cell>
        </row>
        <row r="2085">
          <cell r="A2085" t="str">
            <v>MAH80709</v>
          </cell>
          <cell r="D2085" t="str">
            <v>M05</v>
          </cell>
        </row>
        <row r="2086">
          <cell r="A2086" t="str">
            <v>MEA23200</v>
          </cell>
          <cell r="D2086" t="str">
            <v>M05</v>
          </cell>
        </row>
        <row r="2087">
          <cell r="A2087" t="str">
            <v>MEA60010</v>
          </cell>
          <cell r="D2087" t="str">
            <v>M05</v>
          </cell>
        </row>
        <row r="2088">
          <cell r="A2088" t="str">
            <v>MEJ08230</v>
          </cell>
          <cell r="D2088" t="str">
            <v>M05</v>
          </cell>
        </row>
        <row r="2089">
          <cell r="A2089" t="str">
            <v>MMB12115</v>
          </cell>
          <cell r="D2089" t="str">
            <v>M05</v>
          </cell>
        </row>
        <row r="2090">
          <cell r="A2090" t="str">
            <v>MMB12117</v>
          </cell>
          <cell r="D2090" t="str">
            <v>M05</v>
          </cell>
        </row>
        <row r="2091">
          <cell r="A2091" t="str">
            <v>MMB12119</v>
          </cell>
          <cell r="D2091" t="str">
            <v>M05</v>
          </cell>
        </row>
        <row r="2092">
          <cell r="A2092" t="str">
            <v>MMB12213</v>
          </cell>
          <cell r="D2092" t="str">
            <v>M05</v>
          </cell>
        </row>
        <row r="2093">
          <cell r="A2093" t="str">
            <v>MMB12313</v>
          </cell>
          <cell r="D2093" t="str">
            <v>M05</v>
          </cell>
        </row>
        <row r="2094">
          <cell r="A2094" t="str">
            <v>MMB12415</v>
          </cell>
          <cell r="D2094" t="str">
            <v>M05</v>
          </cell>
        </row>
        <row r="2095">
          <cell r="A2095" t="str">
            <v>MMB12417</v>
          </cell>
          <cell r="D2095" t="str">
            <v>M05</v>
          </cell>
        </row>
        <row r="2096">
          <cell r="A2096" t="str">
            <v>MMB12419</v>
          </cell>
          <cell r="D2096" t="str">
            <v>M05</v>
          </cell>
        </row>
        <row r="2097">
          <cell r="A2097" t="str">
            <v>MMB12513</v>
          </cell>
          <cell r="D2097" t="str">
            <v>M05</v>
          </cell>
        </row>
        <row r="2098">
          <cell r="A2098" t="str">
            <v>MMB12815</v>
          </cell>
          <cell r="D2098" t="str">
            <v>M05</v>
          </cell>
        </row>
        <row r="2099">
          <cell r="A2099" t="str">
            <v>MMB12817</v>
          </cell>
          <cell r="D2099" t="str">
            <v>M05</v>
          </cell>
        </row>
        <row r="2100">
          <cell r="A2100" t="str">
            <v>MMB12819</v>
          </cell>
          <cell r="D2100" t="str">
            <v>M05</v>
          </cell>
        </row>
        <row r="2101">
          <cell r="A2101" t="str">
            <v>MMB13112</v>
          </cell>
          <cell r="D2101" t="str">
            <v>M05</v>
          </cell>
        </row>
        <row r="2102">
          <cell r="A2102" t="str">
            <v>MMB13113</v>
          </cell>
          <cell r="D2102" t="str">
            <v>M05</v>
          </cell>
        </row>
        <row r="2103">
          <cell r="A2103" t="str">
            <v>MMB26419</v>
          </cell>
          <cell r="D2103" t="str">
            <v>M05</v>
          </cell>
        </row>
        <row r="2104">
          <cell r="A2104" t="str">
            <v>MMB33111</v>
          </cell>
          <cell r="D2104" t="str">
            <v>M05</v>
          </cell>
        </row>
        <row r="2105">
          <cell r="A2105" t="str">
            <v>MMB35051</v>
          </cell>
          <cell r="D2105" t="str">
            <v>M05</v>
          </cell>
        </row>
        <row r="2106">
          <cell r="A2106" t="str">
            <v>MMB35101</v>
          </cell>
          <cell r="D2106" t="str">
            <v>M05</v>
          </cell>
        </row>
        <row r="2107">
          <cell r="A2107" t="str">
            <v>MMB35131</v>
          </cell>
          <cell r="D2107" t="str">
            <v>M05</v>
          </cell>
        </row>
        <row r="2108">
          <cell r="A2108" t="str">
            <v>MMB35133</v>
          </cell>
          <cell r="D2108" t="str">
            <v>M05</v>
          </cell>
        </row>
        <row r="2109">
          <cell r="A2109" t="str">
            <v>MMB35141</v>
          </cell>
          <cell r="D2109" t="str">
            <v>M05</v>
          </cell>
        </row>
        <row r="2110">
          <cell r="A2110" t="str">
            <v>MMB35142</v>
          </cell>
          <cell r="D2110" t="str">
            <v>M05</v>
          </cell>
        </row>
        <row r="2111">
          <cell r="A2111" t="str">
            <v>MMB35171</v>
          </cell>
          <cell r="D2111" t="str">
            <v>M05</v>
          </cell>
        </row>
        <row r="2112">
          <cell r="A2112" t="str">
            <v>MMB35173</v>
          </cell>
          <cell r="D2112" t="str">
            <v>M05</v>
          </cell>
        </row>
        <row r="2113">
          <cell r="A2113" t="str">
            <v>MMB35175</v>
          </cell>
          <cell r="D2113" t="str">
            <v>M05</v>
          </cell>
        </row>
        <row r="2114">
          <cell r="A2114" t="str">
            <v>MMB35179</v>
          </cell>
          <cell r="D2114" t="str">
            <v>M05</v>
          </cell>
        </row>
        <row r="2115">
          <cell r="A2115" t="str">
            <v>MMB35181</v>
          </cell>
          <cell r="D2115" t="str">
            <v>M05</v>
          </cell>
        </row>
        <row r="2116">
          <cell r="A2116" t="str">
            <v>MMB35201</v>
          </cell>
          <cell r="D2116" t="str">
            <v>M05</v>
          </cell>
        </row>
        <row r="2117">
          <cell r="A2117" t="str">
            <v>MMB35362</v>
          </cell>
          <cell r="D2117" t="str">
            <v>M05</v>
          </cell>
        </row>
        <row r="2118">
          <cell r="A2118" t="str">
            <v>MMB35363</v>
          </cell>
          <cell r="D2118" t="str">
            <v>M05</v>
          </cell>
        </row>
        <row r="2119">
          <cell r="A2119" t="str">
            <v>MMB35410</v>
          </cell>
          <cell r="D2119" t="str">
            <v>M05</v>
          </cell>
        </row>
        <row r="2120">
          <cell r="A2120" t="str">
            <v>MMB40115</v>
          </cell>
          <cell r="D2120" t="str">
            <v>M05</v>
          </cell>
        </row>
        <row r="2121">
          <cell r="A2121" t="str">
            <v>MMB40117</v>
          </cell>
          <cell r="D2121" t="str">
            <v>M05</v>
          </cell>
        </row>
        <row r="2122">
          <cell r="A2122" t="str">
            <v>MMB40119</v>
          </cell>
          <cell r="D2122" t="str">
            <v>M05</v>
          </cell>
        </row>
        <row r="2123">
          <cell r="A2123" t="str">
            <v>MMB40207</v>
          </cell>
          <cell r="D2123" t="str">
            <v>M05</v>
          </cell>
        </row>
        <row r="2124">
          <cell r="A2124" t="str">
            <v>MMB40215</v>
          </cell>
          <cell r="D2124" t="str">
            <v>M05</v>
          </cell>
        </row>
        <row r="2125">
          <cell r="A2125" t="str">
            <v>MMB40217</v>
          </cell>
          <cell r="D2125" t="str">
            <v>M05</v>
          </cell>
        </row>
        <row r="2126">
          <cell r="A2126" t="str">
            <v>MMB40219</v>
          </cell>
          <cell r="D2126" t="str">
            <v>M05</v>
          </cell>
        </row>
        <row r="2127">
          <cell r="A2127" t="str">
            <v>MMB40307</v>
          </cell>
          <cell r="D2127" t="str">
            <v>M05</v>
          </cell>
        </row>
        <row r="2128">
          <cell r="A2128" t="str">
            <v>MMB40315</v>
          </cell>
          <cell r="D2128" t="str">
            <v>M05</v>
          </cell>
        </row>
        <row r="2129">
          <cell r="A2129" t="str">
            <v>MMB40317</v>
          </cell>
          <cell r="D2129" t="str">
            <v>M05</v>
          </cell>
        </row>
        <row r="2130">
          <cell r="A2130" t="str">
            <v>MMB40319</v>
          </cell>
          <cell r="D2130" t="str">
            <v>M05</v>
          </cell>
        </row>
        <row r="2131">
          <cell r="A2131" t="str">
            <v>MMB40405</v>
          </cell>
          <cell r="D2131" t="str">
            <v>M05</v>
          </cell>
        </row>
        <row r="2132">
          <cell r="A2132" t="str">
            <v>MMB40407</v>
          </cell>
          <cell r="D2132" t="str">
            <v>M05</v>
          </cell>
        </row>
        <row r="2133">
          <cell r="A2133" t="str">
            <v>MMB40408</v>
          </cell>
          <cell r="D2133" t="str">
            <v>M05</v>
          </cell>
        </row>
        <row r="2134">
          <cell r="A2134" t="str">
            <v>MMB40410</v>
          </cell>
          <cell r="D2134" t="str">
            <v>M05</v>
          </cell>
        </row>
        <row r="2135">
          <cell r="A2135" t="str">
            <v>MMB40412</v>
          </cell>
          <cell r="D2135" t="str">
            <v>M05</v>
          </cell>
        </row>
        <row r="2136">
          <cell r="A2136" t="str">
            <v>MMB40415</v>
          </cell>
          <cell r="D2136" t="str">
            <v>M05</v>
          </cell>
        </row>
        <row r="2137">
          <cell r="A2137" t="str">
            <v>MMB40417</v>
          </cell>
          <cell r="D2137" t="str">
            <v>M05</v>
          </cell>
        </row>
        <row r="2138">
          <cell r="A2138" t="str">
            <v>MMB40419</v>
          </cell>
          <cell r="D2138" t="str">
            <v>M05</v>
          </cell>
        </row>
        <row r="2139">
          <cell r="A2139" t="str">
            <v>MMB40507</v>
          </cell>
          <cell r="D2139" t="str">
            <v>M05</v>
          </cell>
        </row>
        <row r="2140">
          <cell r="A2140" t="str">
            <v>MMB40508</v>
          </cell>
          <cell r="D2140" t="str">
            <v>M05</v>
          </cell>
        </row>
        <row r="2141">
          <cell r="A2141" t="str">
            <v>MMB40513</v>
          </cell>
          <cell r="D2141" t="str">
            <v>M05</v>
          </cell>
        </row>
        <row r="2142">
          <cell r="A2142" t="str">
            <v>MMB40950</v>
          </cell>
          <cell r="D2142" t="str">
            <v>M05</v>
          </cell>
        </row>
        <row r="2143">
          <cell r="A2143" t="str">
            <v>MMB40951</v>
          </cell>
          <cell r="D2143" t="str">
            <v>M05</v>
          </cell>
        </row>
        <row r="2144">
          <cell r="A2144" t="str">
            <v>MMB40952</v>
          </cell>
          <cell r="D2144" t="str">
            <v>M05</v>
          </cell>
        </row>
        <row r="2145">
          <cell r="A2145" t="str">
            <v>MMB40954</v>
          </cell>
          <cell r="D2145" t="str">
            <v>M05</v>
          </cell>
        </row>
        <row r="2146">
          <cell r="A2146" t="str">
            <v>MMB50110</v>
          </cell>
          <cell r="D2146" t="str">
            <v>M05</v>
          </cell>
        </row>
        <row r="2147">
          <cell r="A2147" t="str">
            <v>MMB50112</v>
          </cell>
          <cell r="D2147" t="str">
            <v>M05</v>
          </cell>
        </row>
        <row r="2148">
          <cell r="A2148" t="str">
            <v>MMB50113</v>
          </cell>
          <cell r="D2148" t="str">
            <v>M05</v>
          </cell>
        </row>
        <row r="2149">
          <cell r="A2149" t="str">
            <v>MMB50210</v>
          </cell>
          <cell r="D2149" t="str">
            <v>M05</v>
          </cell>
        </row>
        <row r="2150">
          <cell r="A2150" t="str">
            <v>MMB50213</v>
          </cell>
          <cell r="D2150" t="str">
            <v>M05</v>
          </cell>
        </row>
        <row r="2151">
          <cell r="A2151" t="str">
            <v>MMB50505</v>
          </cell>
          <cell r="D2151" t="str">
            <v>M05</v>
          </cell>
        </row>
        <row r="2152">
          <cell r="A2152" t="str">
            <v>MMB50510</v>
          </cell>
          <cell r="D2152" t="str">
            <v>M05</v>
          </cell>
        </row>
        <row r="2153">
          <cell r="A2153" t="str">
            <v>MMB50513</v>
          </cell>
          <cell r="D2153" t="str">
            <v>M05</v>
          </cell>
        </row>
        <row r="2154">
          <cell r="A2154" t="str">
            <v>MMC33212</v>
          </cell>
          <cell r="D2154" t="str">
            <v>M05</v>
          </cell>
        </row>
        <row r="2155">
          <cell r="A2155" t="str">
            <v>MMC33338</v>
          </cell>
          <cell r="D2155" t="str">
            <v>M05</v>
          </cell>
        </row>
        <row r="2156">
          <cell r="A2156" t="str">
            <v>MMC33339</v>
          </cell>
          <cell r="D2156" t="str">
            <v>M05</v>
          </cell>
        </row>
        <row r="2157">
          <cell r="A2157" t="str">
            <v>MMC33408</v>
          </cell>
          <cell r="D2157" t="str">
            <v>M05</v>
          </cell>
        </row>
        <row r="2158">
          <cell r="A2158" t="str">
            <v>MMC33412</v>
          </cell>
          <cell r="D2158" t="str">
            <v>M05</v>
          </cell>
        </row>
        <row r="2159">
          <cell r="A2159" t="str">
            <v>MMC37112</v>
          </cell>
          <cell r="D2159" t="str">
            <v>M05</v>
          </cell>
        </row>
        <row r="2160">
          <cell r="A2160" t="str">
            <v>MMC37210</v>
          </cell>
          <cell r="D2160" t="str">
            <v>M05</v>
          </cell>
        </row>
        <row r="2161">
          <cell r="A2161" t="str">
            <v>MMC37212</v>
          </cell>
          <cell r="D2161" t="str">
            <v>M05</v>
          </cell>
        </row>
        <row r="2162">
          <cell r="A2162" t="str">
            <v>MMC37351</v>
          </cell>
          <cell r="D2162" t="str">
            <v>M05</v>
          </cell>
        </row>
        <row r="2163">
          <cell r="A2163" t="str">
            <v>MMC37439</v>
          </cell>
          <cell r="D2163" t="str">
            <v>M05</v>
          </cell>
        </row>
        <row r="2164">
          <cell r="A2164" t="str">
            <v>MMC37448</v>
          </cell>
          <cell r="D2164" t="str">
            <v>M05</v>
          </cell>
        </row>
        <row r="2165">
          <cell r="A2165" t="str">
            <v>MMC37452</v>
          </cell>
          <cell r="D2165" t="str">
            <v>M05</v>
          </cell>
        </row>
        <row r="2166">
          <cell r="A2166" t="str">
            <v>MMC37453</v>
          </cell>
          <cell r="D2166" t="str">
            <v>M05</v>
          </cell>
        </row>
        <row r="2167">
          <cell r="A2167" t="str">
            <v>MMC37651</v>
          </cell>
          <cell r="D2167" t="str">
            <v>M05</v>
          </cell>
        </row>
        <row r="2168">
          <cell r="A2168" t="str">
            <v>MMC37742</v>
          </cell>
          <cell r="D2168" t="str">
            <v>M05</v>
          </cell>
        </row>
        <row r="2169">
          <cell r="A2169" t="str">
            <v>MMC37747</v>
          </cell>
          <cell r="D2169" t="str">
            <v>M05</v>
          </cell>
        </row>
        <row r="2170">
          <cell r="A2170" t="str">
            <v>MMC37752</v>
          </cell>
          <cell r="D2170" t="str">
            <v>M05</v>
          </cell>
        </row>
        <row r="2171">
          <cell r="A2171" t="str">
            <v>MMC37840</v>
          </cell>
          <cell r="D2171" t="str">
            <v>M05</v>
          </cell>
        </row>
        <row r="2172">
          <cell r="A2172" t="str">
            <v>MMC37842</v>
          </cell>
          <cell r="D2172" t="str">
            <v>M05</v>
          </cell>
        </row>
        <row r="2173">
          <cell r="A2173" t="str">
            <v>MMC37843</v>
          </cell>
          <cell r="D2173" t="str">
            <v>M05</v>
          </cell>
        </row>
        <row r="2174">
          <cell r="A2174" t="str">
            <v>MMC38216</v>
          </cell>
          <cell r="D2174" t="str">
            <v>M05</v>
          </cell>
        </row>
        <row r="2175">
          <cell r="A2175" t="str">
            <v>MMC38219</v>
          </cell>
          <cell r="D2175" t="str">
            <v>M05</v>
          </cell>
        </row>
        <row r="2176">
          <cell r="A2176" t="str">
            <v>MMC38412</v>
          </cell>
          <cell r="D2176" t="str">
            <v>M05</v>
          </cell>
        </row>
        <row r="2177">
          <cell r="A2177" t="str">
            <v>MMC40411</v>
          </cell>
          <cell r="D2177" t="str">
            <v>M05</v>
          </cell>
        </row>
        <row r="2178">
          <cell r="A2178" t="str">
            <v>MMC71405</v>
          </cell>
          <cell r="D2178" t="str">
            <v>M05</v>
          </cell>
        </row>
        <row r="2179">
          <cell r="A2179" t="str">
            <v>MME65102</v>
          </cell>
          <cell r="D2179" t="str">
            <v>M05</v>
          </cell>
        </row>
        <row r="2180">
          <cell r="A2180" t="str">
            <v>MME65103</v>
          </cell>
          <cell r="D2180" t="str">
            <v>M05</v>
          </cell>
        </row>
        <row r="2181">
          <cell r="A2181" t="str">
            <v>MME65112</v>
          </cell>
          <cell r="D2181" t="str">
            <v>M05</v>
          </cell>
        </row>
        <row r="2182">
          <cell r="A2182" t="str">
            <v>MME65113</v>
          </cell>
          <cell r="D2182" t="str">
            <v>M05</v>
          </cell>
        </row>
        <row r="2183">
          <cell r="A2183" t="str">
            <v>MMG10412</v>
          </cell>
          <cell r="D2183" t="str">
            <v>M05</v>
          </cell>
        </row>
        <row r="2184">
          <cell r="A2184" t="str">
            <v>MMG13200</v>
          </cell>
          <cell r="D2184" t="str">
            <v>M05</v>
          </cell>
        </row>
        <row r="2185">
          <cell r="A2185" t="str">
            <v>MMG13317</v>
          </cell>
          <cell r="D2185" t="str">
            <v>M05</v>
          </cell>
        </row>
        <row r="2186">
          <cell r="A2186" t="str">
            <v>MMG43240</v>
          </cell>
          <cell r="D2186" t="str">
            <v>M05</v>
          </cell>
        </row>
        <row r="2187">
          <cell r="A2187" t="str">
            <v>MMG43250</v>
          </cell>
          <cell r="D2187" t="str">
            <v>M05</v>
          </cell>
        </row>
        <row r="2188">
          <cell r="A2188" t="str">
            <v>MMG45205</v>
          </cell>
          <cell r="D2188" t="str">
            <v>M05</v>
          </cell>
        </row>
        <row r="2189">
          <cell r="A2189" t="str">
            <v>MMI16102</v>
          </cell>
          <cell r="D2189" t="str">
            <v>M05</v>
          </cell>
        </row>
        <row r="2190">
          <cell r="A2190" t="str">
            <v>MMI36083</v>
          </cell>
          <cell r="D2190" t="str">
            <v>M05</v>
          </cell>
        </row>
        <row r="2191">
          <cell r="A2191" t="str">
            <v>MMI36100</v>
          </cell>
          <cell r="D2191" t="str">
            <v>M05</v>
          </cell>
        </row>
        <row r="2192">
          <cell r="A2192" t="str">
            <v>MMI36130</v>
          </cell>
          <cell r="D2192" t="str">
            <v>M05</v>
          </cell>
        </row>
        <row r="2193">
          <cell r="A2193" t="str">
            <v>MMI36135</v>
          </cell>
          <cell r="D2193" t="str">
            <v>M05</v>
          </cell>
        </row>
        <row r="2194">
          <cell r="A2194" t="str">
            <v>MMI36140</v>
          </cell>
          <cell r="D2194" t="str">
            <v>M05</v>
          </cell>
        </row>
        <row r="2195">
          <cell r="A2195" t="str">
            <v>MMI36145</v>
          </cell>
          <cell r="D2195" t="str">
            <v>M05</v>
          </cell>
        </row>
        <row r="2196">
          <cell r="A2196" t="str">
            <v>MMI36525</v>
          </cell>
          <cell r="D2196" t="str">
            <v>M05</v>
          </cell>
        </row>
        <row r="2197">
          <cell r="A2197" t="str">
            <v>MMI36530</v>
          </cell>
          <cell r="D2197" t="str">
            <v>M05</v>
          </cell>
        </row>
        <row r="2198">
          <cell r="A2198" t="str">
            <v>MMI36535</v>
          </cell>
          <cell r="D2198" t="str">
            <v>M05</v>
          </cell>
        </row>
        <row r="2199">
          <cell r="A2199" t="str">
            <v>MMJ24432</v>
          </cell>
          <cell r="D2199" t="str">
            <v>M05</v>
          </cell>
        </row>
        <row r="2200">
          <cell r="A2200" t="str">
            <v>MMJ24438</v>
          </cell>
          <cell r="D2200" t="str">
            <v>M05</v>
          </cell>
        </row>
        <row r="2201">
          <cell r="A2201" t="str">
            <v>MMJ24442</v>
          </cell>
          <cell r="D2201" t="str">
            <v>M05</v>
          </cell>
        </row>
        <row r="2202">
          <cell r="A2202" t="str">
            <v>MMJ24445</v>
          </cell>
          <cell r="D2202" t="str">
            <v>M05</v>
          </cell>
        </row>
        <row r="2203">
          <cell r="A2203" t="str">
            <v>MMJ24447</v>
          </cell>
          <cell r="D2203" t="str">
            <v>M05</v>
          </cell>
        </row>
        <row r="2204">
          <cell r="A2204" t="str">
            <v>MMJ54312</v>
          </cell>
          <cell r="D2204" t="str">
            <v>M05</v>
          </cell>
        </row>
        <row r="2205">
          <cell r="A2205" t="str">
            <v>MMJ54412</v>
          </cell>
          <cell r="D2205" t="str">
            <v>M05</v>
          </cell>
        </row>
        <row r="2206">
          <cell r="A2206" t="str">
            <v>MMJ62550</v>
          </cell>
          <cell r="D2206" t="str">
            <v>M05</v>
          </cell>
        </row>
        <row r="2207">
          <cell r="A2207" t="str">
            <v>MMJ62551</v>
          </cell>
          <cell r="D2207" t="str">
            <v>M05</v>
          </cell>
        </row>
        <row r="2208">
          <cell r="A2208" t="str">
            <v>MML20300</v>
          </cell>
          <cell r="D2208" t="str">
            <v>M05</v>
          </cell>
        </row>
        <row r="2209">
          <cell r="A2209" t="str">
            <v>MML20600</v>
          </cell>
          <cell r="D2209" t="str">
            <v>M05</v>
          </cell>
        </row>
        <row r="2210">
          <cell r="A2210" t="str">
            <v>MML40310</v>
          </cell>
          <cell r="D2210" t="str">
            <v>M05</v>
          </cell>
        </row>
        <row r="2211">
          <cell r="A2211" t="str">
            <v>MMM10553</v>
          </cell>
          <cell r="D2211" t="str">
            <v>M05</v>
          </cell>
        </row>
        <row r="2212">
          <cell r="A2212" t="str">
            <v>MMM10710</v>
          </cell>
          <cell r="D2212" t="str">
            <v>M05</v>
          </cell>
        </row>
        <row r="2213">
          <cell r="A2213" t="str">
            <v>MMO10108</v>
          </cell>
          <cell r="D2213" t="str">
            <v>M05</v>
          </cell>
        </row>
        <row r="2214">
          <cell r="A2214" t="str">
            <v>MMO10115</v>
          </cell>
          <cell r="D2214" t="str">
            <v>M05</v>
          </cell>
        </row>
        <row r="2215">
          <cell r="A2215" t="str">
            <v>MMO10517</v>
          </cell>
          <cell r="D2215" t="str">
            <v>M05</v>
          </cell>
        </row>
        <row r="2216">
          <cell r="A2216" t="str">
            <v>MMO22507</v>
          </cell>
          <cell r="D2216" t="str">
            <v>M05</v>
          </cell>
        </row>
        <row r="2217">
          <cell r="A2217" t="str">
            <v>MMO25017</v>
          </cell>
          <cell r="D2217" t="str">
            <v>M05</v>
          </cell>
        </row>
        <row r="2218">
          <cell r="A2218" t="str">
            <v>MMO25033</v>
          </cell>
          <cell r="D2218" t="str">
            <v>M05</v>
          </cell>
        </row>
        <row r="2219">
          <cell r="A2219" t="str">
            <v>MMO31208</v>
          </cell>
          <cell r="D2219" t="str">
            <v>M05</v>
          </cell>
        </row>
        <row r="2220">
          <cell r="A2220" t="str">
            <v>MMO31213</v>
          </cell>
          <cell r="D2220" t="str">
            <v>M05</v>
          </cell>
        </row>
        <row r="2221">
          <cell r="A2221" t="str">
            <v>MMO31611</v>
          </cell>
          <cell r="D2221" t="str">
            <v>M05</v>
          </cell>
        </row>
        <row r="2222">
          <cell r="A2222" t="str">
            <v>MMO31908</v>
          </cell>
          <cell r="D2222" t="str">
            <v>M05</v>
          </cell>
        </row>
        <row r="2223">
          <cell r="A2223" t="str">
            <v>MMO31910</v>
          </cell>
          <cell r="D2223" t="str">
            <v>M05</v>
          </cell>
        </row>
        <row r="2224">
          <cell r="A2224" t="str">
            <v>MMO31914</v>
          </cell>
          <cell r="D2224" t="str">
            <v>M05</v>
          </cell>
        </row>
        <row r="2225">
          <cell r="A2225" t="str">
            <v>MMO53107</v>
          </cell>
          <cell r="D2225" t="str">
            <v>M05</v>
          </cell>
        </row>
        <row r="2226">
          <cell r="A2226" t="str">
            <v>MMO53108</v>
          </cell>
          <cell r="D2226" t="str">
            <v>M05</v>
          </cell>
        </row>
        <row r="2227">
          <cell r="A2227" t="str">
            <v>MMO53120</v>
          </cell>
          <cell r="D2227" t="str">
            <v>M05</v>
          </cell>
        </row>
        <row r="2228">
          <cell r="A2228" t="str">
            <v>MMO53123</v>
          </cell>
          <cell r="D2228" t="str">
            <v>M05</v>
          </cell>
        </row>
        <row r="2229">
          <cell r="A2229" t="str">
            <v>MMO53125</v>
          </cell>
          <cell r="D2229" t="str">
            <v>M05</v>
          </cell>
        </row>
        <row r="2230">
          <cell r="A2230" t="str">
            <v>MMP35204</v>
          </cell>
          <cell r="D2230" t="str">
            <v>M05</v>
          </cell>
        </row>
        <row r="2231">
          <cell r="A2231" t="str">
            <v>MMP90030</v>
          </cell>
          <cell r="D2231" t="str">
            <v>M05</v>
          </cell>
        </row>
        <row r="2232">
          <cell r="A2232" t="str">
            <v>SMA10683</v>
          </cell>
          <cell r="D2232" t="str">
            <v>M05</v>
          </cell>
        </row>
        <row r="2233">
          <cell r="A2233" t="str">
            <v>SMJ36666</v>
          </cell>
          <cell r="D2233" t="str">
            <v>M05</v>
          </cell>
        </row>
        <row r="2234">
          <cell r="A2234" t="str">
            <v>SMJ36687</v>
          </cell>
          <cell r="D2234" t="str">
            <v>M05</v>
          </cell>
        </row>
        <row r="2235">
          <cell r="A2235" t="str">
            <v>SMJ36705</v>
          </cell>
          <cell r="D2235" t="str">
            <v>M05</v>
          </cell>
        </row>
        <row r="2236">
          <cell r="A2236" t="str">
            <v>UAA15130</v>
          </cell>
          <cell r="D2236" t="str">
            <v>M05</v>
          </cell>
        </row>
        <row r="2237">
          <cell r="A2237" t="str">
            <v>UAA20730</v>
          </cell>
          <cell r="D2237" t="str">
            <v>M05</v>
          </cell>
        </row>
        <row r="2238">
          <cell r="A2238" t="str">
            <v>UAC10071</v>
          </cell>
          <cell r="D2238" t="str">
            <v>M05</v>
          </cell>
        </row>
        <row r="2239">
          <cell r="A2239" t="str">
            <v>UEA02160</v>
          </cell>
          <cell r="D2239" t="str">
            <v>M05</v>
          </cell>
        </row>
        <row r="2240">
          <cell r="A2240" t="str">
            <v>UEA02220</v>
          </cell>
          <cell r="D2240" t="str">
            <v>M05</v>
          </cell>
        </row>
        <row r="2241">
          <cell r="A2241" t="str">
            <v>UEA05160</v>
          </cell>
          <cell r="D2241" t="str">
            <v>M05</v>
          </cell>
        </row>
        <row r="2242">
          <cell r="A2242" t="str">
            <v>UEB00060</v>
          </cell>
          <cell r="D2242" t="str">
            <v>M05</v>
          </cell>
        </row>
        <row r="2243">
          <cell r="A2243" t="str">
            <v>UEB36030</v>
          </cell>
          <cell r="D2243" t="str">
            <v>M05</v>
          </cell>
        </row>
        <row r="2244">
          <cell r="A2244" t="str">
            <v>UEH01080</v>
          </cell>
          <cell r="D2244" t="str">
            <v>M05</v>
          </cell>
        </row>
        <row r="2245">
          <cell r="A2245" t="str">
            <v>UMA45061</v>
          </cell>
          <cell r="D2245" t="str">
            <v>M05</v>
          </cell>
        </row>
        <row r="2246">
          <cell r="A2246" t="str">
            <v>UMA45063</v>
          </cell>
          <cell r="D2246" t="str">
            <v>M05</v>
          </cell>
        </row>
        <row r="2247">
          <cell r="A2247" t="str">
            <v>UMA45065</v>
          </cell>
          <cell r="D2247" t="str">
            <v>M05</v>
          </cell>
        </row>
        <row r="2248">
          <cell r="A2248" t="str">
            <v>UMA45067</v>
          </cell>
          <cell r="D2248" t="str">
            <v>M05</v>
          </cell>
        </row>
        <row r="2249">
          <cell r="A2249" t="str">
            <v>UMA45069</v>
          </cell>
          <cell r="D2249" t="str">
            <v>M05</v>
          </cell>
        </row>
        <row r="2250">
          <cell r="A2250" t="str">
            <v>UMA45071</v>
          </cell>
          <cell r="D2250" t="str">
            <v>M05</v>
          </cell>
        </row>
        <row r="2251">
          <cell r="A2251" t="str">
            <v>UMA46423</v>
          </cell>
          <cell r="D2251" t="str">
            <v>M05</v>
          </cell>
        </row>
        <row r="2252">
          <cell r="A2252" t="str">
            <v>UMA52315</v>
          </cell>
          <cell r="D2252" t="str">
            <v>M05</v>
          </cell>
        </row>
        <row r="2253">
          <cell r="A2253" t="str">
            <v>UMA52319</v>
          </cell>
          <cell r="D2253" t="str">
            <v>M05</v>
          </cell>
        </row>
        <row r="2254">
          <cell r="A2254" t="str">
            <v>UMA54600</v>
          </cell>
          <cell r="D2254" t="str">
            <v>M05</v>
          </cell>
        </row>
        <row r="2255">
          <cell r="A2255" t="str">
            <v>UMA54601</v>
          </cell>
          <cell r="D2255" t="str">
            <v>M05</v>
          </cell>
        </row>
        <row r="2256">
          <cell r="A2256" t="str">
            <v>UMA54603</v>
          </cell>
          <cell r="D2256" t="str">
            <v>M05</v>
          </cell>
        </row>
        <row r="2257">
          <cell r="A2257" t="str">
            <v>UMA54605</v>
          </cell>
          <cell r="D2257" t="str">
            <v>M05</v>
          </cell>
        </row>
        <row r="2258">
          <cell r="A2258" t="str">
            <v>UMA54606</v>
          </cell>
          <cell r="D2258" t="str">
            <v>M05</v>
          </cell>
        </row>
        <row r="2259">
          <cell r="A2259" t="str">
            <v>UMA54607</v>
          </cell>
          <cell r="D2259" t="str">
            <v>M05</v>
          </cell>
        </row>
        <row r="2260">
          <cell r="A2260" t="str">
            <v>UMA54608</v>
          </cell>
          <cell r="D2260" t="str">
            <v>M05</v>
          </cell>
        </row>
        <row r="2261">
          <cell r="A2261" t="str">
            <v>UMB30290</v>
          </cell>
          <cell r="D2261" t="str">
            <v>M05</v>
          </cell>
        </row>
        <row r="2262">
          <cell r="A2262" t="str">
            <v>UMB30291</v>
          </cell>
          <cell r="D2262" t="str">
            <v>M05</v>
          </cell>
        </row>
        <row r="2263">
          <cell r="A2263" t="str">
            <v>UMB30292</v>
          </cell>
          <cell r="D2263" t="str">
            <v>M05</v>
          </cell>
        </row>
        <row r="2264">
          <cell r="A2264" t="str">
            <v>UMB35603</v>
          </cell>
          <cell r="D2264" t="str">
            <v>M05</v>
          </cell>
        </row>
        <row r="2265">
          <cell r="A2265" t="str">
            <v>UMB53105</v>
          </cell>
          <cell r="D2265" t="str">
            <v>M05</v>
          </cell>
        </row>
        <row r="2266">
          <cell r="A2266" t="str">
            <v>UMC38319</v>
          </cell>
          <cell r="D2266" t="str">
            <v>M05</v>
          </cell>
        </row>
        <row r="2267">
          <cell r="A2267" t="str">
            <v>UMC90150</v>
          </cell>
          <cell r="D2267" t="str">
            <v>M05</v>
          </cell>
        </row>
        <row r="2268">
          <cell r="A2268" t="str">
            <v>UMD25815</v>
          </cell>
          <cell r="D2268" t="str">
            <v>M05</v>
          </cell>
        </row>
        <row r="2269">
          <cell r="A2269" t="str">
            <v>UMD31143</v>
          </cell>
          <cell r="D2269" t="str">
            <v>M05</v>
          </cell>
        </row>
        <row r="2270">
          <cell r="A2270" t="str">
            <v>UMD40113</v>
          </cell>
          <cell r="D2270" t="str">
            <v>M05</v>
          </cell>
        </row>
        <row r="2271">
          <cell r="A2271" t="str">
            <v>UMD43207</v>
          </cell>
          <cell r="D2271" t="str">
            <v>M05</v>
          </cell>
        </row>
        <row r="2272">
          <cell r="A2272" t="str">
            <v>UMD46437</v>
          </cell>
          <cell r="D2272" t="str">
            <v>M05</v>
          </cell>
        </row>
        <row r="2273">
          <cell r="A2273" t="str">
            <v>UMD46440</v>
          </cell>
          <cell r="D2273" t="str">
            <v>M05</v>
          </cell>
        </row>
        <row r="2274">
          <cell r="A2274" t="str">
            <v>UMD60505</v>
          </cell>
          <cell r="D2274" t="str">
            <v>M05</v>
          </cell>
        </row>
        <row r="2275">
          <cell r="A2275" t="str">
            <v>UME17806</v>
          </cell>
          <cell r="D2275" t="str">
            <v>M05</v>
          </cell>
        </row>
        <row r="2276">
          <cell r="A2276" t="str">
            <v>UME17808</v>
          </cell>
          <cell r="D2276" t="str">
            <v>M05</v>
          </cell>
        </row>
        <row r="2277">
          <cell r="A2277" t="str">
            <v>UME17810</v>
          </cell>
          <cell r="D2277" t="str">
            <v>M05</v>
          </cell>
        </row>
        <row r="2278">
          <cell r="A2278" t="str">
            <v>UME17812</v>
          </cell>
          <cell r="D2278" t="str">
            <v>M05</v>
          </cell>
        </row>
        <row r="2279">
          <cell r="A2279" t="str">
            <v>UME17814</v>
          </cell>
          <cell r="D2279" t="str">
            <v>M05</v>
          </cell>
        </row>
        <row r="2280">
          <cell r="A2280" t="str">
            <v>UME27115</v>
          </cell>
          <cell r="D2280" t="str">
            <v>M05</v>
          </cell>
        </row>
        <row r="2281">
          <cell r="A2281" t="str">
            <v>UME27119</v>
          </cell>
          <cell r="D2281" t="str">
            <v>M05</v>
          </cell>
        </row>
        <row r="2282">
          <cell r="A2282" t="str">
            <v>UME27801</v>
          </cell>
          <cell r="D2282" t="str">
            <v>M05</v>
          </cell>
        </row>
        <row r="2283">
          <cell r="A2283" t="str">
            <v>UME27802</v>
          </cell>
          <cell r="D2283" t="str">
            <v>M05</v>
          </cell>
        </row>
        <row r="2284">
          <cell r="A2284" t="str">
            <v>UME27805</v>
          </cell>
          <cell r="D2284" t="str">
            <v>M05</v>
          </cell>
        </row>
        <row r="2285">
          <cell r="A2285" t="str">
            <v>UME27806</v>
          </cell>
          <cell r="D2285" t="str">
            <v>M05</v>
          </cell>
        </row>
        <row r="2286">
          <cell r="A2286" t="str">
            <v>UME27808</v>
          </cell>
          <cell r="D2286" t="str">
            <v>M05</v>
          </cell>
        </row>
        <row r="2287">
          <cell r="A2287" t="str">
            <v>UME27810</v>
          </cell>
          <cell r="D2287" t="str">
            <v>M05</v>
          </cell>
        </row>
        <row r="2288">
          <cell r="A2288" t="str">
            <v>UME27905</v>
          </cell>
          <cell r="D2288" t="str">
            <v>M05</v>
          </cell>
        </row>
        <row r="2289">
          <cell r="A2289" t="str">
            <v>UME27908</v>
          </cell>
          <cell r="D2289" t="str">
            <v>M05</v>
          </cell>
        </row>
        <row r="2290">
          <cell r="A2290" t="str">
            <v>UME38301</v>
          </cell>
          <cell r="D2290" t="str">
            <v>M05</v>
          </cell>
        </row>
        <row r="2291">
          <cell r="A2291" t="str">
            <v>UME38302</v>
          </cell>
          <cell r="D2291" t="str">
            <v>M05</v>
          </cell>
        </row>
        <row r="2292">
          <cell r="A2292" t="str">
            <v>UME38303</v>
          </cell>
          <cell r="D2292" t="str">
            <v>M05</v>
          </cell>
        </row>
        <row r="2293">
          <cell r="A2293" t="str">
            <v>UME38451</v>
          </cell>
          <cell r="D2293" t="str">
            <v>M05</v>
          </cell>
        </row>
        <row r="2294">
          <cell r="A2294" t="str">
            <v>UME38452</v>
          </cell>
          <cell r="D2294" t="str">
            <v>M05</v>
          </cell>
        </row>
        <row r="2295">
          <cell r="A2295" t="str">
            <v>UME38453</v>
          </cell>
          <cell r="D2295" t="str">
            <v>M05</v>
          </cell>
        </row>
        <row r="2296">
          <cell r="A2296" t="str">
            <v>UME38456</v>
          </cell>
          <cell r="D2296" t="str">
            <v>M05</v>
          </cell>
        </row>
        <row r="2297">
          <cell r="A2297" t="str">
            <v>UME38459</v>
          </cell>
          <cell r="D2297" t="str">
            <v>M05</v>
          </cell>
        </row>
        <row r="2298">
          <cell r="A2298" t="str">
            <v>UME38484</v>
          </cell>
          <cell r="D2298" t="str">
            <v>M05</v>
          </cell>
        </row>
        <row r="2299">
          <cell r="A2299" t="str">
            <v>UME40245</v>
          </cell>
          <cell r="D2299" t="str">
            <v>M05</v>
          </cell>
        </row>
        <row r="2300">
          <cell r="A2300" t="str">
            <v>UME90165</v>
          </cell>
          <cell r="D2300" t="str">
            <v>M05</v>
          </cell>
        </row>
        <row r="2301">
          <cell r="A2301" t="str">
            <v>UMF22118</v>
          </cell>
          <cell r="D2301" t="str">
            <v>M05</v>
          </cell>
        </row>
        <row r="2302">
          <cell r="A2302" t="str">
            <v>UMF22516</v>
          </cell>
          <cell r="D2302" t="str">
            <v>M05</v>
          </cell>
        </row>
        <row r="2303">
          <cell r="A2303" t="str">
            <v>UMF22518</v>
          </cell>
          <cell r="D2303" t="str">
            <v>M05</v>
          </cell>
        </row>
        <row r="2304">
          <cell r="A2304" t="str">
            <v>UMF22532</v>
          </cell>
          <cell r="D2304" t="str">
            <v>M05</v>
          </cell>
        </row>
        <row r="2305">
          <cell r="A2305" t="str">
            <v>UMG10108</v>
          </cell>
          <cell r="D2305" t="str">
            <v>M05</v>
          </cell>
        </row>
        <row r="2306">
          <cell r="A2306" t="str">
            <v>UMG10109</v>
          </cell>
          <cell r="D2306" t="str">
            <v>M05</v>
          </cell>
        </row>
        <row r="2307">
          <cell r="A2307" t="str">
            <v>UMG10119</v>
          </cell>
          <cell r="D2307" t="str">
            <v>M05</v>
          </cell>
        </row>
        <row r="2308">
          <cell r="A2308" t="str">
            <v>UMG10139</v>
          </cell>
          <cell r="D2308" t="str">
            <v>M05</v>
          </cell>
        </row>
        <row r="2309">
          <cell r="A2309" t="str">
            <v>UMG10147</v>
          </cell>
          <cell r="D2309" t="str">
            <v>M05</v>
          </cell>
        </row>
        <row r="2310">
          <cell r="A2310" t="str">
            <v>UMG10149</v>
          </cell>
          <cell r="D2310" t="str">
            <v>M05</v>
          </cell>
        </row>
        <row r="2311">
          <cell r="A2311" t="str">
            <v>UMG10290</v>
          </cell>
          <cell r="D2311" t="str">
            <v>M05</v>
          </cell>
        </row>
        <row r="2312">
          <cell r="A2312" t="str">
            <v>UMG13130</v>
          </cell>
          <cell r="D2312" t="str">
            <v>M05</v>
          </cell>
        </row>
        <row r="2313">
          <cell r="A2313" t="str">
            <v>UMG13145</v>
          </cell>
          <cell r="D2313" t="str">
            <v>M05</v>
          </cell>
        </row>
        <row r="2314">
          <cell r="A2314" t="str">
            <v>UMG13210</v>
          </cell>
          <cell r="D2314" t="str">
            <v>M05</v>
          </cell>
        </row>
        <row r="2315">
          <cell r="A2315" t="str">
            <v>UMG13600</v>
          </cell>
          <cell r="D2315" t="str">
            <v>M05</v>
          </cell>
        </row>
        <row r="2316">
          <cell r="A2316" t="str">
            <v>UMG16610</v>
          </cell>
          <cell r="D2316" t="str">
            <v>M05</v>
          </cell>
        </row>
        <row r="2317">
          <cell r="A2317" t="str">
            <v>UMG16616</v>
          </cell>
          <cell r="D2317" t="str">
            <v>M05</v>
          </cell>
        </row>
        <row r="2318">
          <cell r="A2318" t="str">
            <v>UMG19206</v>
          </cell>
          <cell r="D2318" t="str">
            <v>M05</v>
          </cell>
        </row>
        <row r="2319">
          <cell r="A2319" t="str">
            <v>UMG19309</v>
          </cell>
          <cell r="D2319" t="str">
            <v>M05</v>
          </cell>
        </row>
        <row r="2320">
          <cell r="A2320" t="str">
            <v>UMG19326</v>
          </cell>
          <cell r="D2320" t="str">
            <v>M05</v>
          </cell>
        </row>
        <row r="2321">
          <cell r="A2321" t="str">
            <v>UMG25108</v>
          </cell>
          <cell r="D2321" t="str">
            <v>M05</v>
          </cell>
        </row>
        <row r="2322">
          <cell r="A2322" t="str">
            <v>UMG25110</v>
          </cell>
          <cell r="D2322" t="str">
            <v>M05</v>
          </cell>
        </row>
        <row r="2323">
          <cell r="A2323" t="str">
            <v>UMG25115</v>
          </cell>
          <cell r="D2323" t="str">
            <v>M05</v>
          </cell>
        </row>
        <row r="2324">
          <cell r="A2324" t="str">
            <v>UMG25116</v>
          </cell>
          <cell r="D2324" t="str">
            <v>M05</v>
          </cell>
        </row>
        <row r="2325">
          <cell r="A2325" t="str">
            <v>UMG25117</v>
          </cell>
          <cell r="D2325" t="str">
            <v>M05</v>
          </cell>
        </row>
        <row r="2326">
          <cell r="A2326" t="str">
            <v>UMG25118</v>
          </cell>
          <cell r="D2326" t="str">
            <v>M05</v>
          </cell>
        </row>
        <row r="2327">
          <cell r="A2327" t="str">
            <v>UMG28205</v>
          </cell>
          <cell r="D2327" t="str">
            <v>M05</v>
          </cell>
        </row>
        <row r="2328">
          <cell r="A2328" t="str">
            <v>UMG28207</v>
          </cell>
          <cell r="D2328" t="str">
            <v>M05</v>
          </cell>
        </row>
        <row r="2329">
          <cell r="A2329" t="str">
            <v>UMG28215</v>
          </cell>
          <cell r="D2329" t="str">
            <v>M05</v>
          </cell>
        </row>
        <row r="2330">
          <cell r="A2330" t="str">
            <v>UMG28225</v>
          </cell>
          <cell r="D2330" t="str">
            <v>M05</v>
          </cell>
        </row>
        <row r="2331">
          <cell r="A2331" t="str">
            <v>UMG37111</v>
          </cell>
          <cell r="D2331" t="str">
            <v>M05</v>
          </cell>
        </row>
        <row r="2332">
          <cell r="A2332" t="str">
            <v>UMG37112</v>
          </cell>
          <cell r="D2332" t="str">
            <v>M05</v>
          </cell>
        </row>
        <row r="2333">
          <cell r="A2333" t="str">
            <v>UMG40012</v>
          </cell>
          <cell r="D2333" t="str">
            <v>M05</v>
          </cell>
        </row>
        <row r="2334">
          <cell r="A2334" t="str">
            <v>UMG40202</v>
          </cell>
          <cell r="D2334" t="str">
            <v>M05</v>
          </cell>
        </row>
        <row r="2335">
          <cell r="A2335" t="str">
            <v>UMG40203</v>
          </cell>
          <cell r="D2335" t="str">
            <v>M05</v>
          </cell>
        </row>
        <row r="2336">
          <cell r="A2336" t="str">
            <v>UMG40207</v>
          </cell>
          <cell r="D2336" t="str">
            <v>M05</v>
          </cell>
        </row>
        <row r="2337">
          <cell r="A2337" t="str">
            <v>UMG40225</v>
          </cell>
          <cell r="D2337" t="str">
            <v>M05</v>
          </cell>
        </row>
        <row r="2338">
          <cell r="A2338" t="str">
            <v>UMG43211</v>
          </cell>
          <cell r="D2338" t="str">
            <v>M05</v>
          </cell>
        </row>
        <row r="2339">
          <cell r="A2339" t="str">
            <v>UMG43225</v>
          </cell>
          <cell r="D2339" t="str">
            <v>M05</v>
          </cell>
        </row>
        <row r="2340">
          <cell r="A2340" t="str">
            <v>UMG43305</v>
          </cell>
          <cell r="D2340" t="str">
            <v>M05</v>
          </cell>
        </row>
        <row r="2341">
          <cell r="A2341" t="str">
            <v>UMG43400</v>
          </cell>
          <cell r="D2341" t="str">
            <v>M05</v>
          </cell>
        </row>
        <row r="2342">
          <cell r="A2342" t="str">
            <v>UMG43420</v>
          </cell>
          <cell r="D2342" t="str">
            <v>M05</v>
          </cell>
        </row>
        <row r="2343">
          <cell r="A2343" t="str">
            <v>UMG43430</v>
          </cell>
          <cell r="D2343" t="str">
            <v>M05</v>
          </cell>
        </row>
        <row r="2344">
          <cell r="A2344" t="str">
            <v>UMG43435</v>
          </cell>
          <cell r="D2344" t="str">
            <v>M05</v>
          </cell>
        </row>
        <row r="2345">
          <cell r="A2345" t="str">
            <v>UMG43440</v>
          </cell>
          <cell r="D2345" t="str">
            <v>M05</v>
          </cell>
        </row>
        <row r="2346">
          <cell r="A2346" t="str">
            <v>UMG43445</v>
          </cell>
          <cell r="D2346" t="str">
            <v>M05</v>
          </cell>
        </row>
        <row r="2347">
          <cell r="A2347" t="str">
            <v>UMG43450</v>
          </cell>
          <cell r="D2347" t="str">
            <v>M05</v>
          </cell>
        </row>
        <row r="2348">
          <cell r="A2348" t="str">
            <v>UMG43452</v>
          </cell>
          <cell r="D2348" t="str">
            <v>M05</v>
          </cell>
        </row>
        <row r="2349">
          <cell r="A2349" t="str">
            <v>UMG43500</v>
          </cell>
          <cell r="D2349" t="str">
            <v>M05</v>
          </cell>
        </row>
        <row r="2350">
          <cell r="A2350" t="str">
            <v>UMG43503</v>
          </cell>
          <cell r="D2350" t="str">
            <v>M05</v>
          </cell>
        </row>
        <row r="2351">
          <cell r="A2351" t="str">
            <v>UMG43506</v>
          </cell>
          <cell r="D2351" t="str">
            <v>M05</v>
          </cell>
        </row>
        <row r="2352">
          <cell r="A2352" t="str">
            <v>UMG43507</v>
          </cell>
          <cell r="D2352" t="str">
            <v>M05</v>
          </cell>
        </row>
        <row r="2353">
          <cell r="A2353" t="str">
            <v>UMG43520</v>
          </cell>
          <cell r="D2353" t="str">
            <v>M05</v>
          </cell>
        </row>
        <row r="2354">
          <cell r="A2354" t="str">
            <v>UMG43701</v>
          </cell>
          <cell r="D2354" t="str">
            <v>M05</v>
          </cell>
        </row>
        <row r="2355">
          <cell r="A2355" t="str">
            <v>UMG43705</v>
          </cell>
          <cell r="D2355" t="str">
            <v>M05</v>
          </cell>
        </row>
        <row r="2356">
          <cell r="A2356" t="str">
            <v>UMI18611</v>
          </cell>
          <cell r="D2356" t="str">
            <v>M05</v>
          </cell>
        </row>
        <row r="2357">
          <cell r="A2357" t="str">
            <v>UMI20954</v>
          </cell>
          <cell r="D2357" t="str">
            <v>M05</v>
          </cell>
        </row>
        <row r="2358">
          <cell r="A2358" t="str">
            <v>UMI20987</v>
          </cell>
          <cell r="D2358" t="str">
            <v>M05</v>
          </cell>
        </row>
        <row r="2359">
          <cell r="A2359" t="str">
            <v>UMI40501</v>
          </cell>
          <cell r="D2359" t="str">
            <v>M05</v>
          </cell>
        </row>
        <row r="2360">
          <cell r="A2360" t="str">
            <v>UMJ30302</v>
          </cell>
          <cell r="D2360" t="str">
            <v>M05</v>
          </cell>
        </row>
        <row r="2361">
          <cell r="A2361" t="str">
            <v>UMJ30303</v>
          </cell>
          <cell r="D2361" t="str">
            <v>M05</v>
          </cell>
        </row>
        <row r="2362">
          <cell r="A2362" t="str">
            <v>UMJ30305</v>
          </cell>
          <cell r="D2362" t="str">
            <v>M05</v>
          </cell>
        </row>
        <row r="2363">
          <cell r="A2363" t="str">
            <v>UMJ34120</v>
          </cell>
          <cell r="D2363" t="str">
            <v>M05</v>
          </cell>
        </row>
        <row r="2364">
          <cell r="A2364" t="str">
            <v>UMJ34512</v>
          </cell>
          <cell r="D2364" t="str">
            <v>M05</v>
          </cell>
        </row>
        <row r="2365">
          <cell r="A2365" t="str">
            <v>UMJ40460</v>
          </cell>
          <cell r="D2365" t="str">
            <v>M05</v>
          </cell>
        </row>
        <row r="2366">
          <cell r="A2366" t="str">
            <v>UMJ50225</v>
          </cell>
          <cell r="D2366" t="str">
            <v>M05</v>
          </cell>
        </row>
        <row r="2367">
          <cell r="A2367" t="str">
            <v>UMJ50230</v>
          </cell>
          <cell r="D2367" t="str">
            <v>M05</v>
          </cell>
        </row>
        <row r="2368">
          <cell r="A2368" t="str">
            <v>UMJ61134</v>
          </cell>
          <cell r="D2368" t="str">
            <v>M05</v>
          </cell>
        </row>
        <row r="2369">
          <cell r="A2369" t="str">
            <v>UML20119</v>
          </cell>
          <cell r="D2369" t="str">
            <v>M05</v>
          </cell>
        </row>
        <row r="2370">
          <cell r="A2370" t="str">
            <v>UML20205</v>
          </cell>
          <cell r="D2370" t="str">
            <v>M05</v>
          </cell>
        </row>
        <row r="2371">
          <cell r="A2371" t="str">
            <v>UML20321</v>
          </cell>
          <cell r="D2371" t="str">
            <v>M05</v>
          </cell>
        </row>
        <row r="2372">
          <cell r="A2372" t="str">
            <v>UML31101</v>
          </cell>
          <cell r="D2372" t="str">
            <v>M05</v>
          </cell>
        </row>
        <row r="2373">
          <cell r="A2373" t="str">
            <v>UML31300</v>
          </cell>
          <cell r="D2373" t="str">
            <v>M05</v>
          </cell>
        </row>
        <row r="2374">
          <cell r="A2374" t="str">
            <v>UML31400</v>
          </cell>
          <cell r="D2374" t="str">
            <v>M05</v>
          </cell>
        </row>
        <row r="2375">
          <cell r="A2375" t="str">
            <v>UMN30313</v>
          </cell>
          <cell r="D2375" t="str">
            <v>M05</v>
          </cell>
        </row>
        <row r="2376">
          <cell r="A2376" t="str">
            <v>UMN30317</v>
          </cell>
          <cell r="D2376" t="str">
            <v>M05</v>
          </cell>
        </row>
        <row r="2377">
          <cell r="A2377" t="str">
            <v>UMO21070</v>
          </cell>
          <cell r="D2377" t="str">
            <v>M05</v>
          </cell>
        </row>
        <row r="2378">
          <cell r="A2378" t="str">
            <v>UMO28290</v>
          </cell>
          <cell r="D2378" t="str">
            <v>M05</v>
          </cell>
        </row>
        <row r="2379">
          <cell r="A2379" t="str">
            <v>UMO28300</v>
          </cell>
          <cell r="D2379" t="str">
            <v>M05</v>
          </cell>
        </row>
        <row r="2380">
          <cell r="A2380" t="str">
            <v>UMO28481</v>
          </cell>
          <cell r="D2380" t="str">
            <v>M05</v>
          </cell>
        </row>
        <row r="2381">
          <cell r="A2381" t="str">
            <v>UMO28484</v>
          </cell>
          <cell r="D2381" t="str">
            <v>M05</v>
          </cell>
        </row>
        <row r="2382">
          <cell r="A2382" t="str">
            <v>UMO28502</v>
          </cell>
          <cell r="D2382" t="str">
            <v>M05</v>
          </cell>
        </row>
        <row r="2383">
          <cell r="A2383" t="str">
            <v>UMO28531</v>
          </cell>
          <cell r="D2383" t="str">
            <v>M05</v>
          </cell>
        </row>
        <row r="2384">
          <cell r="A2384" t="str">
            <v>UMO28750</v>
          </cell>
          <cell r="D2384" t="str">
            <v>M05</v>
          </cell>
        </row>
        <row r="2385">
          <cell r="A2385" t="str">
            <v>UMO31151</v>
          </cell>
          <cell r="D2385" t="str">
            <v>M05</v>
          </cell>
        </row>
        <row r="2386">
          <cell r="A2386" t="str">
            <v>UMO31153</v>
          </cell>
          <cell r="D2386" t="str">
            <v>M05</v>
          </cell>
        </row>
        <row r="2387">
          <cell r="A2387" t="str">
            <v>UMO31702</v>
          </cell>
          <cell r="D2387" t="str">
            <v>M05</v>
          </cell>
        </row>
        <row r="2388">
          <cell r="A2388" t="str">
            <v>UMO31703</v>
          </cell>
          <cell r="D2388" t="str">
            <v>M05</v>
          </cell>
        </row>
        <row r="2389">
          <cell r="A2389" t="str">
            <v>UMO31704</v>
          </cell>
          <cell r="D2389" t="str">
            <v>M05</v>
          </cell>
        </row>
        <row r="2390">
          <cell r="A2390" t="str">
            <v>UMO31705</v>
          </cell>
          <cell r="D2390" t="str">
            <v>M05</v>
          </cell>
        </row>
        <row r="2391">
          <cell r="A2391" t="str">
            <v>UMO31706</v>
          </cell>
          <cell r="D2391" t="str">
            <v>M05</v>
          </cell>
        </row>
        <row r="2392">
          <cell r="A2392" t="str">
            <v>UMO31707</v>
          </cell>
          <cell r="D2392" t="str">
            <v>M05</v>
          </cell>
        </row>
        <row r="2393">
          <cell r="A2393" t="str">
            <v>UMO31712</v>
          </cell>
          <cell r="D2393" t="str">
            <v>M05</v>
          </cell>
        </row>
        <row r="2394">
          <cell r="A2394" t="str">
            <v>UMO33161</v>
          </cell>
          <cell r="D2394" t="str">
            <v>M05</v>
          </cell>
        </row>
        <row r="2395">
          <cell r="A2395" t="str">
            <v>UMO33162</v>
          </cell>
          <cell r="D2395" t="str">
            <v>M05</v>
          </cell>
        </row>
        <row r="2396">
          <cell r="A2396" t="str">
            <v>UMO33706</v>
          </cell>
          <cell r="D2396" t="str">
            <v>M05</v>
          </cell>
        </row>
        <row r="2397">
          <cell r="A2397" t="str">
            <v>UMO33795</v>
          </cell>
          <cell r="D2397" t="str">
            <v>M05</v>
          </cell>
        </row>
        <row r="2398">
          <cell r="A2398" t="str">
            <v>UMO33804</v>
          </cell>
          <cell r="D2398" t="str">
            <v>M05</v>
          </cell>
        </row>
        <row r="2399">
          <cell r="A2399" t="str">
            <v>UMO42304</v>
          </cell>
          <cell r="D2399" t="str">
            <v>M05</v>
          </cell>
        </row>
        <row r="2400">
          <cell r="A2400" t="str">
            <v>UMP10504</v>
          </cell>
          <cell r="D2400" t="str">
            <v>M05</v>
          </cell>
        </row>
        <row r="2401">
          <cell r="A2401" t="str">
            <v>UMP10510</v>
          </cell>
          <cell r="D2401" t="str">
            <v>M05</v>
          </cell>
        </row>
        <row r="2402">
          <cell r="A2402" t="str">
            <v>UMP10513</v>
          </cell>
          <cell r="D2402" t="str">
            <v>M05</v>
          </cell>
        </row>
        <row r="2403">
          <cell r="A2403" t="str">
            <v>UMP10527</v>
          </cell>
          <cell r="D2403" t="str">
            <v>M05</v>
          </cell>
        </row>
        <row r="2404">
          <cell r="A2404" t="str">
            <v>UMP10532</v>
          </cell>
          <cell r="D2404" t="str">
            <v>M05</v>
          </cell>
        </row>
        <row r="2405">
          <cell r="A2405" t="str">
            <v>UMP10533</v>
          </cell>
          <cell r="D2405" t="str">
            <v>M05</v>
          </cell>
        </row>
        <row r="2406">
          <cell r="A2406" t="str">
            <v>UMP22108</v>
          </cell>
          <cell r="D2406" t="str">
            <v>M05</v>
          </cell>
        </row>
        <row r="2407">
          <cell r="A2407" t="str">
            <v>UMP22110</v>
          </cell>
          <cell r="D2407" t="str">
            <v>M05</v>
          </cell>
        </row>
        <row r="2408">
          <cell r="A2408" t="str">
            <v>UMP22113</v>
          </cell>
          <cell r="D2408" t="str">
            <v>M05</v>
          </cell>
        </row>
        <row r="2409">
          <cell r="A2409" t="str">
            <v>UMP46002</v>
          </cell>
          <cell r="D2409" t="str">
            <v>M05</v>
          </cell>
        </row>
        <row r="2410">
          <cell r="A2410" t="str">
            <v>UMR13405</v>
          </cell>
          <cell r="D2410" t="str">
            <v>M05</v>
          </cell>
        </row>
        <row r="2411">
          <cell r="A2411" t="str">
            <v>UMR13407</v>
          </cell>
          <cell r="D2411" t="str">
            <v>M05</v>
          </cell>
        </row>
        <row r="2412">
          <cell r="A2412" t="str">
            <v>UMR13408</v>
          </cell>
          <cell r="D2412" t="str">
            <v>M05</v>
          </cell>
        </row>
        <row r="2413">
          <cell r="A2413" t="str">
            <v>UMR13410</v>
          </cell>
          <cell r="D2413" t="str">
            <v>M05</v>
          </cell>
        </row>
        <row r="2414">
          <cell r="A2414" t="str">
            <v>UMR13412</v>
          </cell>
          <cell r="D2414" t="str">
            <v>M05</v>
          </cell>
        </row>
        <row r="2415">
          <cell r="A2415" t="str">
            <v>UMR13413</v>
          </cell>
          <cell r="D2415" t="str">
            <v>M05</v>
          </cell>
        </row>
        <row r="2416">
          <cell r="A2416" t="str">
            <v>UMR13415</v>
          </cell>
          <cell r="D2416" t="str">
            <v>M05</v>
          </cell>
        </row>
        <row r="2417">
          <cell r="A2417" t="str">
            <v>UMR13417</v>
          </cell>
          <cell r="D2417" t="str">
            <v>M05</v>
          </cell>
        </row>
        <row r="2418">
          <cell r="A2418" t="str">
            <v>UMR13419</v>
          </cell>
          <cell r="D2418" t="str">
            <v>M05</v>
          </cell>
        </row>
        <row r="2419">
          <cell r="A2419" t="str">
            <v>UMZ50223</v>
          </cell>
          <cell r="D2419" t="str">
            <v>M05</v>
          </cell>
        </row>
        <row r="2420">
          <cell r="A2420" t="str">
            <v>UMZ50970</v>
          </cell>
          <cell r="D2420" t="str">
            <v>M05</v>
          </cell>
        </row>
        <row r="2421">
          <cell r="A2421" t="str">
            <v>UMZ50971</v>
          </cell>
          <cell r="D2421" t="str">
            <v>M05</v>
          </cell>
        </row>
        <row r="2422">
          <cell r="A2422" t="str">
            <v>UTA11420</v>
          </cell>
          <cell r="D2422" t="str">
            <v>M05</v>
          </cell>
        </row>
        <row r="2423">
          <cell r="A2423" t="str">
            <v>UTB09030</v>
          </cell>
          <cell r="D2423" t="str">
            <v>M05</v>
          </cell>
        </row>
        <row r="2424">
          <cell r="A2424" t="str">
            <v>AAA31021</v>
          </cell>
          <cell r="D2424" t="str">
            <v>실적</v>
          </cell>
        </row>
        <row r="2425">
          <cell r="A2425" t="str">
            <v>AAA31031</v>
          </cell>
          <cell r="D2425" t="str">
            <v>실적</v>
          </cell>
        </row>
        <row r="2426">
          <cell r="A2426" t="str">
            <v>AAA31044</v>
          </cell>
          <cell r="D2426" t="str">
            <v>실적</v>
          </cell>
        </row>
        <row r="2427">
          <cell r="A2427" t="str">
            <v>AAA31045</v>
          </cell>
          <cell r="D2427" t="str">
            <v>실적</v>
          </cell>
        </row>
        <row r="2428">
          <cell r="A2428" t="str">
            <v>AAC11011</v>
          </cell>
          <cell r="D2428" t="str">
            <v>실적</v>
          </cell>
        </row>
        <row r="2429">
          <cell r="A2429" t="str">
            <v>AAC11021</v>
          </cell>
          <cell r="D2429" t="str">
            <v>실적</v>
          </cell>
        </row>
        <row r="2430">
          <cell r="A2430" t="str">
            <v>AAC11031</v>
          </cell>
          <cell r="D2430" t="str">
            <v>실적</v>
          </cell>
        </row>
        <row r="2431">
          <cell r="A2431" t="str">
            <v>AAC21011</v>
          </cell>
          <cell r="D2431" t="str">
            <v>실적</v>
          </cell>
        </row>
        <row r="2432">
          <cell r="A2432" t="str">
            <v>AAC21021</v>
          </cell>
          <cell r="D2432" t="str">
            <v>실적</v>
          </cell>
        </row>
        <row r="2433">
          <cell r="A2433" t="str">
            <v>AAC21031</v>
          </cell>
          <cell r="D2433" t="str">
            <v>실적</v>
          </cell>
        </row>
        <row r="2434">
          <cell r="A2434" t="str">
            <v>AAD16040</v>
          </cell>
          <cell r="D2434" t="str">
            <v>실적</v>
          </cell>
        </row>
        <row r="2435">
          <cell r="A2435" t="str">
            <v>AAD24043</v>
          </cell>
          <cell r="D2435" t="str">
            <v>실적</v>
          </cell>
        </row>
        <row r="2436">
          <cell r="A2436" t="str">
            <v>AAD42032</v>
          </cell>
          <cell r="D2436" t="str">
            <v>실적</v>
          </cell>
        </row>
        <row r="2437">
          <cell r="A2437" t="str">
            <v>ADA30060</v>
          </cell>
          <cell r="D2437" t="str">
            <v>실적</v>
          </cell>
        </row>
        <row r="2438">
          <cell r="A2438" t="str">
            <v>ADA30080</v>
          </cell>
          <cell r="D2438" t="str">
            <v>실적</v>
          </cell>
        </row>
        <row r="2439">
          <cell r="A2439" t="str">
            <v>ADB00022</v>
          </cell>
          <cell r="D2439" t="str">
            <v>실적</v>
          </cell>
        </row>
        <row r="2440">
          <cell r="A2440" t="str">
            <v>ADB00032</v>
          </cell>
          <cell r="D2440" t="str">
            <v>실적</v>
          </cell>
        </row>
        <row r="2441">
          <cell r="A2441" t="str">
            <v>ADR12010</v>
          </cell>
          <cell r="D2441" t="str">
            <v>실적</v>
          </cell>
        </row>
        <row r="2442">
          <cell r="A2442" t="str">
            <v>ADR13010</v>
          </cell>
          <cell r="D2442" t="str">
            <v>실적</v>
          </cell>
        </row>
        <row r="2443">
          <cell r="A2443" t="str">
            <v>ADR13040</v>
          </cell>
          <cell r="D2443" t="str">
            <v>실적</v>
          </cell>
        </row>
        <row r="2444">
          <cell r="A2444" t="str">
            <v>AFA11121</v>
          </cell>
          <cell r="D2444" t="str">
            <v>실적</v>
          </cell>
        </row>
        <row r="2445">
          <cell r="A2445" t="str">
            <v>AFA11122</v>
          </cell>
          <cell r="D2445" t="str">
            <v>실적</v>
          </cell>
        </row>
        <row r="2446">
          <cell r="A2446" t="str">
            <v>AFA11123</v>
          </cell>
          <cell r="D2446" t="str">
            <v>실적</v>
          </cell>
        </row>
        <row r="2447">
          <cell r="A2447" t="str">
            <v>AFA11321</v>
          </cell>
          <cell r="D2447" t="str">
            <v>실적</v>
          </cell>
        </row>
        <row r="2448">
          <cell r="A2448" t="str">
            <v>AFA11322</v>
          </cell>
          <cell r="D2448" t="str">
            <v>실적</v>
          </cell>
        </row>
        <row r="2449">
          <cell r="A2449" t="str">
            <v>AFB11110</v>
          </cell>
          <cell r="D2449" t="str">
            <v>실적</v>
          </cell>
        </row>
        <row r="2450">
          <cell r="A2450" t="str">
            <v>AFB11210</v>
          </cell>
          <cell r="D2450" t="str">
            <v>실적</v>
          </cell>
        </row>
        <row r="2451">
          <cell r="A2451" t="str">
            <v>AGA10001</v>
          </cell>
          <cell r="D2451" t="str">
            <v>실적</v>
          </cell>
        </row>
        <row r="2452">
          <cell r="A2452" t="str">
            <v>AGA11111</v>
          </cell>
          <cell r="D2452" t="str">
            <v>실적</v>
          </cell>
        </row>
        <row r="2453">
          <cell r="A2453" t="str">
            <v>AGA13411</v>
          </cell>
          <cell r="D2453" t="str">
            <v>실적</v>
          </cell>
        </row>
        <row r="2454">
          <cell r="A2454" t="str">
            <v>AGF21204</v>
          </cell>
          <cell r="D2454" t="str">
            <v>실적</v>
          </cell>
        </row>
        <row r="2455">
          <cell r="A2455" t="str">
            <v>AGH11010</v>
          </cell>
          <cell r="D2455" t="str">
            <v>실적</v>
          </cell>
        </row>
        <row r="2456">
          <cell r="A2456" t="str">
            <v>AHC10010</v>
          </cell>
          <cell r="D2456" t="str">
            <v>실적</v>
          </cell>
        </row>
        <row r="2457">
          <cell r="A2457" t="str">
            <v>AHC20010</v>
          </cell>
          <cell r="D2457" t="str">
            <v>실적</v>
          </cell>
        </row>
        <row r="2458">
          <cell r="A2458" t="str">
            <v>AHC90010</v>
          </cell>
          <cell r="D2458" t="str">
            <v>실적</v>
          </cell>
        </row>
        <row r="2459">
          <cell r="A2459" t="str">
            <v>AHC90020</v>
          </cell>
          <cell r="D2459" t="str">
            <v>실적</v>
          </cell>
        </row>
        <row r="2460">
          <cell r="A2460" t="str">
            <v>AHF21110</v>
          </cell>
          <cell r="D2460" t="str">
            <v>실적</v>
          </cell>
        </row>
        <row r="2461">
          <cell r="A2461" t="str">
            <v>AHF21120</v>
          </cell>
          <cell r="D2461" t="str">
            <v>실적</v>
          </cell>
        </row>
        <row r="2462">
          <cell r="A2462" t="str">
            <v>AHF21130</v>
          </cell>
          <cell r="D2462" t="str">
            <v>실적</v>
          </cell>
        </row>
        <row r="2463">
          <cell r="A2463" t="str">
            <v>AHF21210</v>
          </cell>
          <cell r="D2463" t="str">
            <v>실적</v>
          </cell>
        </row>
        <row r="2464">
          <cell r="A2464" t="str">
            <v>AHF21220</v>
          </cell>
          <cell r="D2464" t="str">
            <v>실적</v>
          </cell>
        </row>
        <row r="2465">
          <cell r="A2465" t="str">
            <v>AHF24110</v>
          </cell>
          <cell r="D2465" t="str">
            <v>실적</v>
          </cell>
        </row>
        <row r="2466">
          <cell r="A2466" t="str">
            <v>AHF24120</v>
          </cell>
          <cell r="D2466" t="str">
            <v>실적</v>
          </cell>
        </row>
        <row r="2467">
          <cell r="A2467" t="str">
            <v>AHF24210</v>
          </cell>
          <cell r="D2467" t="str">
            <v>실적</v>
          </cell>
        </row>
        <row r="2468">
          <cell r="A2468" t="str">
            <v>AHF24222</v>
          </cell>
          <cell r="D2468" t="str">
            <v>실적</v>
          </cell>
        </row>
        <row r="2469">
          <cell r="A2469" t="str">
            <v>AHF24231</v>
          </cell>
          <cell r="D2469" t="str">
            <v>실적</v>
          </cell>
        </row>
        <row r="2470">
          <cell r="A2470" t="str">
            <v>AHF24232</v>
          </cell>
          <cell r="D2470" t="str">
            <v>실적</v>
          </cell>
        </row>
        <row r="2471">
          <cell r="A2471" t="str">
            <v>AHF24260</v>
          </cell>
          <cell r="D2471" t="str">
            <v>실적</v>
          </cell>
        </row>
        <row r="2472">
          <cell r="A2472" t="str">
            <v>AHF40020</v>
          </cell>
          <cell r="D2472" t="str">
            <v>실적</v>
          </cell>
        </row>
        <row r="2473">
          <cell r="A2473" t="str">
            <v>AHF40030</v>
          </cell>
          <cell r="D2473" t="str">
            <v>실적</v>
          </cell>
        </row>
        <row r="2474">
          <cell r="A2474" t="str">
            <v>AHI00020</v>
          </cell>
          <cell r="D2474" t="str">
            <v>실적</v>
          </cell>
        </row>
        <row r="2475">
          <cell r="A2475" t="str">
            <v>AHI00030</v>
          </cell>
          <cell r="D2475" t="str">
            <v>실적</v>
          </cell>
        </row>
        <row r="2476">
          <cell r="A2476" t="str">
            <v>AHJ11130</v>
          </cell>
          <cell r="D2476" t="str">
            <v>실적</v>
          </cell>
        </row>
        <row r="2477">
          <cell r="A2477" t="str">
            <v>AHJ11220</v>
          </cell>
          <cell r="D2477" t="str">
            <v>실적</v>
          </cell>
        </row>
        <row r="2478">
          <cell r="A2478" t="str">
            <v>AHJ50001</v>
          </cell>
          <cell r="D2478" t="str">
            <v>실적</v>
          </cell>
        </row>
        <row r="2479">
          <cell r="A2479" t="str">
            <v>AHJ50002</v>
          </cell>
          <cell r="D2479" t="str">
            <v>실적</v>
          </cell>
        </row>
        <row r="2480">
          <cell r="A2480" t="str">
            <v>AIB40100</v>
          </cell>
          <cell r="D2480" t="str">
            <v>실적</v>
          </cell>
        </row>
        <row r="2481">
          <cell r="A2481" t="str">
            <v>AIB40200</v>
          </cell>
          <cell r="D2481" t="str">
            <v>실적</v>
          </cell>
        </row>
        <row r="2482">
          <cell r="A2482" t="str">
            <v>AKB11020</v>
          </cell>
          <cell r="D2482" t="str">
            <v>실적</v>
          </cell>
        </row>
        <row r="2483">
          <cell r="A2483" t="str">
            <v>AKC11010</v>
          </cell>
          <cell r="D2483" t="str">
            <v>실적</v>
          </cell>
        </row>
        <row r="2484">
          <cell r="A2484" t="str">
            <v>ALG11102</v>
          </cell>
          <cell r="D2484" t="str">
            <v>실적</v>
          </cell>
        </row>
        <row r="2485">
          <cell r="A2485" t="str">
            <v>ALG11301</v>
          </cell>
          <cell r="D2485" t="str">
            <v>실적</v>
          </cell>
        </row>
        <row r="2486">
          <cell r="A2486" t="str">
            <v>ALH11200</v>
          </cell>
          <cell r="D2486" t="str">
            <v>실적</v>
          </cell>
        </row>
        <row r="2487">
          <cell r="A2487" t="str">
            <v>AMA11214</v>
          </cell>
          <cell r="D2487" t="str">
            <v>실적</v>
          </cell>
        </row>
        <row r="2488">
          <cell r="A2488" t="str">
            <v>AMA11222</v>
          </cell>
          <cell r="D2488" t="str">
            <v>실적</v>
          </cell>
        </row>
        <row r="2489">
          <cell r="A2489" t="str">
            <v>AMA11226</v>
          </cell>
          <cell r="D2489" t="str">
            <v>실적</v>
          </cell>
        </row>
        <row r="2490">
          <cell r="A2490" t="str">
            <v>AMA19013</v>
          </cell>
          <cell r="D2490" t="str">
            <v>실적</v>
          </cell>
        </row>
        <row r="2491">
          <cell r="A2491" t="str">
            <v>AMA31122</v>
          </cell>
          <cell r="D2491" t="str">
            <v>실적</v>
          </cell>
        </row>
        <row r="2492">
          <cell r="A2492" t="str">
            <v>AMA31241</v>
          </cell>
          <cell r="D2492" t="str">
            <v>실적</v>
          </cell>
        </row>
        <row r="2493">
          <cell r="A2493" t="str">
            <v>AMA31381</v>
          </cell>
          <cell r="D2493" t="str">
            <v>실적</v>
          </cell>
        </row>
        <row r="2494">
          <cell r="A2494" t="str">
            <v>AMA31421</v>
          </cell>
          <cell r="D2494" t="str">
            <v>실적</v>
          </cell>
        </row>
        <row r="2495">
          <cell r="A2495" t="str">
            <v>AMA31443</v>
          </cell>
          <cell r="D2495" t="str">
            <v>실적</v>
          </cell>
        </row>
        <row r="2496">
          <cell r="A2496" t="str">
            <v>ANC23600</v>
          </cell>
          <cell r="D2496" t="str">
            <v>실적</v>
          </cell>
        </row>
        <row r="2497">
          <cell r="A2497" t="str">
            <v>ANJ00103</v>
          </cell>
          <cell r="D2497" t="str">
            <v>실적</v>
          </cell>
        </row>
        <row r="2498">
          <cell r="A2498" t="str">
            <v>ANJ00104</v>
          </cell>
          <cell r="D2498" t="str">
            <v>실적</v>
          </cell>
        </row>
        <row r="2499">
          <cell r="A2499" t="str">
            <v>AOA24200</v>
          </cell>
          <cell r="D2499" t="str">
            <v>실적</v>
          </cell>
        </row>
        <row r="2500">
          <cell r="A2500" t="str">
            <v>AOA30110</v>
          </cell>
          <cell r="D2500" t="str">
            <v>실적</v>
          </cell>
        </row>
        <row r="2501">
          <cell r="A2501" t="str">
            <v>AOB11300</v>
          </cell>
          <cell r="D2501" t="str">
            <v>실적</v>
          </cell>
        </row>
        <row r="2502">
          <cell r="A2502" t="str">
            <v>AOB12300</v>
          </cell>
          <cell r="D2502" t="str">
            <v>실적</v>
          </cell>
        </row>
        <row r="2503">
          <cell r="A2503" t="str">
            <v>AOB12330</v>
          </cell>
          <cell r="D2503" t="str">
            <v>실적</v>
          </cell>
        </row>
        <row r="2504">
          <cell r="A2504" t="str">
            <v>AOB14300</v>
          </cell>
          <cell r="D2504" t="str">
            <v>실적</v>
          </cell>
        </row>
        <row r="2505">
          <cell r="A2505" t="str">
            <v>AOB14330</v>
          </cell>
          <cell r="D2505" t="str">
            <v>실적</v>
          </cell>
        </row>
        <row r="2506">
          <cell r="A2506" t="str">
            <v>AOD13106</v>
          </cell>
          <cell r="D2506" t="str">
            <v>실적</v>
          </cell>
        </row>
        <row r="2507">
          <cell r="A2507" t="str">
            <v>AOD13144</v>
          </cell>
          <cell r="D2507" t="str">
            <v>실적</v>
          </cell>
        </row>
        <row r="2508">
          <cell r="A2508" t="str">
            <v>AOD13145</v>
          </cell>
          <cell r="D2508" t="str">
            <v>실적</v>
          </cell>
        </row>
        <row r="2509">
          <cell r="A2509" t="str">
            <v>AOD13146</v>
          </cell>
          <cell r="D2509" t="str">
            <v>실적</v>
          </cell>
        </row>
        <row r="2510">
          <cell r="A2510" t="str">
            <v>AOD13247</v>
          </cell>
          <cell r="D2510" t="str">
            <v>실적</v>
          </cell>
        </row>
        <row r="2511">
          <cell r="A2511" t="str">
            <v>AOD21102</v>
          </cell>
          <cell r="D2511" t="str">
            <v>실적</v>
          </cell>
        </row>
        <row r="2512">
          <cell r="A2512" t="str">
            <v>AOD21103</v>
          </cell>
          <cell r="D2512" t="str">
            <v>실적</v>
          </cell>
        </row>
        <row r="2513">
          <cell r="A2513" t="str">
            <v>AOG13002</v>
          </cell>
          <cell r="D2513" t="str">
            <v>실적</v>
          </cell>
        </row>
        <row r="2514">
          <cell r="A2514" t="str">
            <v>AOG43001</v>
          </cell>
          <cell r="D2514" t="str">
            <v>실적</v>
          </cell>
        </row>
        <row r="2515">
          <cell r="A2515" t="str">
            <v>AOG43003</v>
          </cell>
          <cell r="D2515" t="str">
            <v>실적</v>
          </cell>
        </row>
        <row r="2516">
          <cell r="A2516" t="str">
            <v>AOH50020</v>
          </cell>
          <cell r="D2516" t="str">
            <v>실적</v>
          </cell>
        </row>
        <row r="2517">
          <cell r="A2517" t="str">
            <v>AOH50030</v>
          </cell>
          <cell r="D2517" t="str">
            <v>실적</v>
          </cell>
        </row>
        <row r="2518">
          <cell r="A2518" t="str">
            <v>AOI50013</v>
          </cell>
          <cell r="D2518" t="str">
            <v>실적</v>
          </cell>
        </row>
        <row r="2519">
          <cell r="A2519" t="str">
            <v>AOI60020</v>
          </cell>
          <cell r="D2519" t="str">
            <v>실적</v>
          </cell>
        </row>
        <row r="2520">
          <cell r="A2520" t="str">
            <v>AOJ11021</v>
          </cell>
          <cell r="D2520" t="str">
            <v>실적</v>
          </cell>
        </row>
        <row r="2521">
          <cell r="A2521" t="str">
            <v>AOK30010</v>
          </cell>
          <cell r="D2521" t="str">
            <v>실적</v>
          </cell>
        </row>
        <row r="2522">
          <cell r="A2522" t="str">
            <v>BCB01ZO3</v>
          </cell>
          <cell r="D2522" t="str">
            <v>실적</v>
          </cell>
        </row>
        <row r="2523">
          <cell r="A2523" t="str">
            <v>BCB01ZO5</v>
          </cell>
          <cell r="D2523" t="str">
            <v>실적</v>
          </cell>
        </row>
        <row r="2524">
          <cell r="A2524" t="str">
            <v>BCB01ZO7</v>
          </cell>
          <cell r="D2524" t="str">
            <v>실적</v>
          </cell>
        </row>
        <row r="2525">
          <cell r="A2525" t="str">
            <v>BCB01ZO8</v>
          </cell>
          <cell r="D2525" t="str">
            <v>실적</v>
          </cell>
        </row>
        <row r="2526">
          <cell r="A2526" t="str">
            <v>BCB01ZP4</v>
          </cell>
          <cell r="D2526" t="str">
            <v>실적</v>
          </cell>
        </row>
        <row r="2527">
          <cell r="A2527" t="str">
            <v>BCB01ZP5</v>
          </cell>
          <cell r="D2527" t="str">
            <v>실적</v>
          </cell>
        </row>
        <row r="2528">
          <cell r="A2528" t="str">
            <v>CDC12010</v>
          </cell>
          <cell r="D2528" t="str">
            <v>실적</v>
          </cell>
        </row>
        <row r="2529">
          <cell r="A2529" t="str">
            <v>CDC21020</v>
          </cell>
          <cell r="D2529" t="str">
            <v>실적</v>
          </cell>
        </row>
        <row r="2530">
          <cell r="A2530" t="str">
            <v>CDH11090</v>
          </cell>
          <cell r="D2530" t="str">
            <v>실적</v>
          </cell>
        </row>
        <row r="2531">
          <cell r="A2531" t="str">
            <v>CEC11011</v>
          </cell>
          <cell r="D2531" t="str">
            <v>실적</v>
          </cell>
        </row>
        <row r="2532">
          <cell r="A2532" t="str">
            <v>CEC22013</v>
          </cell>
          <cell r="D2532" t="str">
            <v>실적</v>
          </cell>
        </row>
        <row r="2533">
          <cell r="A2533" t="str">
            <v>CED10001</v>
          </cell>
          <cell r="D2533" t="str">
            <v>실적</v>
          </cell>
        </row>
        <row r="2534">
          <cell r="A2534" t="str">
            <v>CED20001</v>
          </cell>
          <cell r="D2534" t="str">
            <v>실적</v>
          </cell>
        </row>
        <row r="2535">
          <cell r="A2535" t="str">
            <v>CED43001</v>
          </cell>
          <cell r="D2535" t="str">
            <v>실적</v>
          </cell>
        </row>
        <row r="2536">
          <cell r="A2536" t="str">
            <v>CGB20003</v>
          </cell>
          <cell r="D2536" t="str">
            <v>실적</v>
          </cell>
        </row>
        <row r="2537">
          <cell r="A2537" t="str">
            <v>CGD02030</v>
          </cell>
          <cell r="D2537" t="str">
            <v>실적</v>
          </cell>
        </row>
        <row r="2538">
          <cell r="A2538" t="str">
            <v>CGI11000</v>
          </cell>
          <cell r="D2538" t="str">
            <v>실적</v>
          </cell>
        </row>
        <row r="2539">
          <cell r="A2539" t="str">
            <v>CHG12001</v>
          </cell>
          <cell r="D2539" t="str">
            <v>실적</v>
          </cell>
        </row>
        <row r="2540">
          <cell r="A2540" t="str">
            <v>CLA10015</v>
          </cell>
          <cell r="D2540" t="str">
            <v>실적</v>
          </cell>
        </row>
        <row r="2541">
          <cell r="A2541" t="str">
            <v>GBA25100</v>
          </cell>
          <cell r="D2541" t="str">
            <v>실적</v>
          </cell>
        </row>
        <row r="2542">
          <cell r="A2542" t="str">
            <v>GBA26100</v>
          </cell>
          <cell r="D2542" t="str">
            <v>실적</v>
          </cell>
        </row>
        <row r="2543">
          <cell r="A2543" t="str">
            <v>GBA27100</v>
          </cell>
          <cell r="D2543" t="str">
            <v>실적</v>
          </cell>
        </row>
        <row r="2544">
          <cell r="A2544" t="str">
            <v>GBA28100</v>
          </cell>
          <cell r="D2544" t="str">
            <v>실적</v>
          </cell>
        </row>
        <row r="2545">
          <cell r="A2545" t="str">
            <v>GBB21100</v>
          </cell>
          <cell r="D2545" t="str">
            <v>실적</v>
          </cell>
        </row>
        <row r="2546">
          <cell r="A2546" t="str">
            <v>GBC22100</v>
          </cell>
          <cell r="D2546" t="str">
            <v>실적</v>
          </cell>
        </row>
        <row r="2547">
          <cell r="A2547" t="str">
            <v>GBC25100</v>
          </cell>
          <cell r="D2547" t="str">
            <v>실적</v>
          </cell>
        </row>
        <row r="2548">
          <cell r="A2548" t="str">
            <v>GBC26100</v>
          </cell>
          <cell r="D2548" t="str">
            <v>실적</v>
          </cell>
        </row>
        <row r="2549">
          <cell r="A2549" t="str">
            <v>GBC27100</v>
          </cell>
          <cell r="D2549" t="str">
            <v>실적</v>
          </cell>
        </row>
        <row r="2550">
          <cell r="A2550" t="str">
            <v>GBC28100</v>
          </cell>
          <cell r="D2550" t="str">
            <v>실적</v>
          </cell>
        </row>
        <row r="2551">
          <cell r="A2551" t="str">
            <v>GBC31100</v>
          </cell>
          <cell r="D2551" t="str">
            <v>실적</v>
          </cell>
        </row>
        <row r="2552">
          <cell r="A2552" t="str">
            <v>GBC32100</v>
          </cell>
          <cell r="D2552" t="str">
            <v>실적</v>
          </cell>
        </row>
        <row r="2553">
          <cell r="A2553" t="str">
            <v>GBC33100</v>
          </cell>
          <cell r="D2553" t="str">
            <v>실적</v>
          </cell>
        </row>
        <row r="2554">
          <cell r="A2554" t="str">
            <v>GBC34100</v>
          </cell>
          <cell r="D2554" t="str">
            <v>실적</v>
          </cell>
        </row>
        <row r="2555">
          <cell r="A2555" t="str">
            <v>GBC35100</v>
          </cell>
          <cell r="D2555" t="str">
            <v>실적</v>
          </cell>
        </row>
        <row r="2556">
          <cell r="A2556" t="str">
            <v>GBC36100</v>
          </cell>
          <cell r="D2556" t="str">
            <v>실적</v>
          </cell>
        </row>
        <row r="2557">
          <cell r="A2557" t="str">
            <v>GBC37100</v>
          </cell>
          <cell r="D2557" t="str">
            <v>실적</v>
          </cell>
        </row>
        <row r="2558">
          <cell r="A2558" t="str">
            <v>GBC38100</v>
          </cell>
          <cell r="D2558" t="str">
            <v>실적</v>
          </cell>
        </row>
        <row r="2559">
          <cell r="A2559" t="str">
            <v>GBD21100</v>
          </cell>
          <cell r="D2559" t="str">
            <v>실적</v>
          </cell>
        </row>
        <row r="2560">
          <cell r="A2560" t="str">
            <v>GBI24125</v>
          </cell>
          <cell r="D2560" t="str">
            <v>실적</v>
          </cell>
        </row>
        <row r="2561">
          <cell r="A2561" t="str">
            <v>GBI25125</v>
          </cell>
          <cell r="D2561" t="str">
            <v>실적</v>
          </cell>
        </row>
        <row r="2562">
          <cell r="A2562" t="str">
            <v>GBI26125</v>
          </cell>
          <cell r="D2562" t="str">
            <v>실적</v>
          </cell>
        </row>
        <row r="2563">
          <cell r="A2563" t="str">
            <v>GBI28125</v>
          </cell>
          <cell r="D2563" t="str">
            <v>실적</v>
          </cell>
        </row>
        <row r="2564">
          <cell r="A2564" t="str">
            <v>GBJ21125</v>
          </cell>
          <cell r="D2564" t="str">
            <v>실적</v>
          </cell>
        </row>
        <row r="2565">
          <cell r="A2565" t="str">
            <v>GBP31037</v>
          </cell>
          <cell r="D2565" t="str">
            <v>실적</v>
          </cell>
        </row>
        <row r="2566">
          <cell r="A2566" t="str">
            <v>GBP32037</v>
          </cell>
          <cell r="D2566" t="str">
            <v>실적</v>
          </cell>
        </row>
        <row r="2567">
          <cell r="A2567" t="str">
            <v>GBP33037</v>
          </cell>
          <cell r="D2567" t="str">
            <v>실적</v>
          </cell>
        </row>
        <row r="2568">
          <cell r="A2568" t="str">
            <v>GBP34037</v>
          </cell>
          <cell r="D2568" t="str">
            <v>실적</v>
          </cell>
        </row>
        <row r="2569">
          <cell r="A2569" t="str">
            <v>GBP35037</v>
          </cell>
          <cell r="D2569" t="str">
            <v>실적</v>
          </cell>
        </row>
        <row r="2570">
          <cell r="A2570" t="str">
            <v>GBP36037</v>
          </cell>
          <cell r="D2570" t="str">
            <v>실적</v>
          </cell>
        </row>
        <row r="2571">
          <cell r="A2571" t="str">
            <v>GBP37037</v>
          </cell>
          <cell r="D2571" t="str">
            <v>실적</v>
          </cell>
        </row>
        <row r="2572">
          <cell r="A2572" t="str">
            <v>GBP38037</v>
          </cell>
          <cell r="D2572" t="str">
            <v>실적</v>
          </cell>
        </row>
        <row r="2573">
          <cell r="A2573" t="str">
            <v>GBQ31037</v>
          </cell>
          <cell r="D2573" t="str">
            <v>실적</v>
          </cell>
        </row>
        <row r="2574">
          <cell r="A2574" t="str">
            <v>GDA11730</v>
          </cell>
          <cell r="D2574" t="str">
            <v>실적</v>
          </cell>
        </row>
        <row r="2575">
          <cell r="A2575" t="str">
            <v>GDA12730</v>
          </cell>
          <cell r="D2575" t="str">
            <v>실적</v>
          </cell>
        </row>
        <row r="2576">
          <cell r="A2576" t="str">
            <v>GDA13730</v>
          </cell>
          <cell r="D2576" t="str">
            <v>실적</v>
          </cell>
        </row>
        <row r="2577">
          <cell r="A2577" t="str">
            <v>GDA23730</v>
          </cell>
          <cell r="D2577" t="str">
            <v>실적</v>
          </cell>
        </row>
        <row r="2578">
          <cell r="A2578" t="str">
            <v>GDA24730</v>
          </cell>
          <cell r="D2578" t="str">
            <v>실적</v>
          </cell>
        </row>
        <row r="2579">
          <cell r="A2579" t="str">
            <v>GDA25730</v>
          </cell>
          <cell r="D2579" t="str">
            <v>실적</v>
          </cell>
        </row>
        <row r="2580">
          <cell r="A2580" t="str">
            <v>GDA26730</v>
          </cell>
          <cell r="D2580" t="str">
            <v>실적</v>
          </cell>
        </row>
        <row r="2581">
          <cell r="A2581" t="str">
            <v>GDA27730</v>
          </cell>
          <cell r="D2581" t="str">
            <v>실적</v>
          </cell>
        </row>
        <row r="2582">
          <cell r="A2582" t="str">
            <v>GDA28730</v>
          </cell>
          <cell r="D2582" t="str">
            <v>실적</v>
          </cell>
        </row>
        <row r="2583">
          <cell r="A2583" t="str">
            <v>GDA32730</v>
          </cell>
          <cell r="D2583" t="str">
            <v>실적</v>
          </cell>
        </row>
        <row r="2584">
          <cell r="A2584" t="str">
            <v>GDA33730</v>
          </cell>
          <cell r="D2584" t="str">
            <v>실적</v>
          </cell>
        </row>
        <row r="2585">
          <cell r="A2585" t="str">
            <v>GDA51150</v>
          </cell>
          <cell r="D2585" t="str">
            <v>실적</v>
          </cell>
        </row>
        <row r="2586">
          <cell r="A2586" t="str">
            <v>GDA52150</v>
          </cell>
          <cell r="D2586" t="str">
            <v>실적</v>
          </cell>
        </row>
        <row r="2587">
          <cell r="A2587" t="str">
            <v>GDA53150</v>
          </cell>
          <cell r="D2587" t="str">
            <v>실적</v>
          </cell>
        </row>
        <row r="2588">
          <cell r="A2588" t="str">
            <v>GDA54150</v>
          </cell>
          <cell r="D2588" t="str">
            <v>실적</v>
          </cell>
        </row>
        <row r="2589">
          <cell r="A2589" t="str">
            <v>GDA55150</v>
          </cell>
          <cell r="D2589" t="str">
            <v>실적</v>
          </cell>
        </row>
        <row r="2590">
          <cell r="A2590" t="str">
            <v>GDA56150</v>
          </cell>
          <cell r="D2590" t="str">
            <v>실적</v>
          </cell>
        </row>
        <row r="2591">
          <cell r="A2591" t="str">
            <v>GDA57150</v>
          </cell>
          <cell r="D2591" t="str">
            <v>실적</v>
          </cell>
        </row>
        <row r="2592">
          <cell r="A2592" t="str">
            <v>GDA57750</v>
          </cell>
          <cell r="D2592" t="str">
            <v>실적</v>
          </cell>
        </row>
        <row r="2593">
          <cell r="A2593" t="str">
            <v>GDA58150</v>
          </cell>
          <cell r="D2593" t="str">
            <v>실적</v>
          </cell>
        </row>
        <row r="2594">
          <cell r="A2594" t="str">
            <v>GDA58750</v>
          </cell>
          <cell r="D2594" t="str">
            <v>실적</v>
          </cell>
        </row>
        <row r="2595">
          <cell r="A2595" t="str">
            <v>GDA66150</v>
          </cell>
          <cell r="D2595" t="str">
            <v>실적</v>
          </cell>
        </row>
        <row r="2596">
          <cell r="A2596" t="str">
            <v>GDA67150</v>
          </cell>
          <cell r="D2596" t="str">
            <v>실적</v>
          </cell>
        </row>
        <row r="2597">
          <cell r="A2597" t="str">
            <v>GDA68150</v>
          </cell>
          <cell r="D2597" t="str">
            <v>실적</v>
          </cell>
        </row>
        <row r="2598">
          <cell r="A2598" t="str">
            <v>GDA71150</v>
          </cell>
          <cell r="D2598" t="str">
            <v>실적</v>
          </cell>
        </row>
        <row r="2599">
          <cell r="A2599" t="str">
            <v>GDB51150</v>
          </cell>
          <cell r="D2599" t="str">
            <v>실적</v>
          </cell>
        </row>
        <row r="2600">
          <cell r="A2600" t="str">
            <v>GDC16115</v>
          </cell>
          <cell r="D2600" t="str">
            <v>실적</v>
          </cell>
        </row>
        <row r="2601">
          <cell r="A2601" t="str">
            <v>GDC17115</v>
          </cell>
          <cell r="D2601" t="str">
            <v>실적</v>
          </cell>
        </row>
        <row r="2602">
          <cell r="A2602" t="str">
            <v>GDC18115</v>
          </cell>
          <cell r="D2602" t="str">
            <v>실적</v>
          </cell>
        </row>
        <row r="2603">
          <cell r="A2603" t="str">
            <v>GDD11115</v>
          </cell>
          <cell r="D2603" t="str">
            <v>실적</v>
          </cell>
        </row>
        <row r="2604">
          <cell r="A2604" t="str">
            <v>GDD61150</v>
          </cell>
          <cell r="D2604" t="str">
            <v>실적</v>
          </cell>
        </row>
        <row r="2605">
          <cell r="A2605" t="str">
            <v>GFA12210</v>
          </cell>
          <cell r="D2605" t="str">
            <v>실적</v>
          </cell>
        </row>
        <row r="2606">
          <cell r="A2606" t="str">
            <v>GFA13210</v>
          </cell>
          <cell r="D2606" t="str">
            <v>실적</v>
          </cell>
        </row>
        <row r="2607">
          <cell r="A2607" t="str">
            <v>GFA14210</v>
          </cell>
          <cell r="D2607" t="str">
            <v>실적</v>
          </cell>
        </row>
        <row r="2608">
          <cell r="A2608" t="str">
            <v>GFA16210</v>
          </cell>
          <cell r="D2608" t="str">
            <v>실적</v>
          </cell>
        </row>
        <row r="2609">
          <cell r="A2609" t="str">
            <v>GFA17230</v>
          </cell>
          <cell r="D2609" t="str">
            <v>실적</v>
          </cell>
        </row>
        <row r="2610">
          <cell r="A2610" t="str">
            <v>GFA18230</v>
          </cell>
          <cell r="D2610" t="str">
            <v>실적</v>
          </cell>
        </row>
        <row r="2611">
          <cell r="A2611" t="str">
            <v>GFA35220</v>
          </cell>
          <cell r="D2611" t="str">
            <v>실적</v>
          </cell>
        </row>
        <row r="2612">
          <cell r="A2612" t="str">
            <v>GFA55210</v>
          </cell>
          <cell r="D2612" t="str">
            <v>실적</v>
          </cell>
        </row>
        <row r="2613">
          <cell r="A2613" t="str">
            <v>GFA82210</v>
          </cell>
          <cell r="D2613" t="str">
            <v>실적</v>
          </cell>
        </row>
        <row r="2614">
          <cell r="A2614" t="str">
            <v>GFA83210</v>
          </cell>
          <cell r="D2614" t="str">
            <v>실적</v>
          </cell>
        </row>
        <row r="2615">
          <cell r="A2615" t="str">
            <v>GFA84210</v>
          </cell>
          <cell r="D2615" t="str">
            <v>실적</v>
          </cell>
        </row>
        <row r="2616">
          <cell r="A2616" t="str">
            <v>GFA85210</v>
          </cell>
          <cell r="D2616" t="str">
            <v>실적</v>
          </cell>
        </row>
        <row r="2617">
          <cell r="A2617" t="str">
            <v>GFA86210</v>
          </cell>
          <cell r="D2617" t="str">
            <v>실적</v>
          </cell>
        </row>
        <row r="2618">
          <cell r="A2618" t="str">
            <v>GFB11230</v>
          </cell>
          <cell r="D2618" t="str">
            <v>실적</v>
          </cell>
        </row>
        <row r="2619">
          <cell r="A2619" t="str">
            <v>GFC11200</v>
          </cell>
          <cell r="D2619" t="str">
            <v>실적</v>
          </cell>
        </row>
        <row r="2620">
          <cell r="A2620" t="str">
            <v>GFC12200</v>
          </cell>
          <cell r="D2620" t="str">
            <v>실적</v>
          </cell>
        </row>
        <row r="2621">
          <cell r="A2621" t="str">
            <v>GFC14200</v>
          </cell>
          <cell r="D2621" t="str">
            <v>실적</v>
          </cell>
        </row>
        <row r="2622">
          <cell r="A2622" t="str">
            <v>GFC15200</v>
          </cell>
          <cell r="D2622" t="str">
            <v>실적</v>
          </cell>
        </row>
        <row r="2623">
          <cell r="A2623" t="str">
            <v>GFC32000</v>
          </cell>
          <cell r="D2623" t="str">
            <v>실적</v>
          </cell>
        </row>
        <row r="2624">
          <cell r="A2624" t="str">
            <v>GFC33000</v>
          </cell>
          <cell r="D2624" t="str">
            <v>실적</v>
          </cell>
        </row>
        <row r="2625">
          <cell r="A2625" t="str">
            <v>GFC34000</v>
          </cell>
          <cell r="D2625" t="str">
            <v>실적</v>
          </cell>
        </row>
        <row r="2626">
          <cell r="A2626" t="str">
            <v>GFC35000</v>
          </cell>
          <cell r="D2626" t="str">
            <v>실적</v>
          </cell>
        </row>
        <row r="2627">
          <cell r="A2627" t="str">
            <v>GFC36000</v>
          </cell>
          <cell r="D2627" t="str">
            <v>실적</v>
          </cell>
        </row>
        <row r="2628">
          <cell r="A2628" t="str">
            <v>GFE21110</v>
          </cell>
          <cell r="D2628" t="str">
            <v>실적</v>
          </cell>
        </row>
        <row r="2629">
          <cell r="A2629" t="str">
            <v>GFE22110</v>
          </cell>
          <cell r="D2629" t="str">
            <v>실적</v>
          </cell>
        </row>
        <row r="2630">
          <cell r="A2630" t="str">
            <v>GFH23101</v>
          </cell>
          <cell r="D2630" t="str">
            <v>실적</v>
          </cell>
        </row>
        <row r="2631">
          <cell r="A2631" t="str">
            <v>GFH24102</v>
          </cell>
          <cell r="D2631" t="str">
            <v>실적</v>
          </cell>
        </row>
        <row r="2632">
          <cell r="A2632" t="str">
            <v>GFH25102</v>
          </cell>
          <cell r="D2632" t="str">
            <v>실적</v>
          </cell>
        </row>
        <row r="2633">
          <cell r="A2633" t="str">
            <v>GFH26102</v>
          </cell>
          <cell r="D2633" t="str">
            <v>실적</v>
          </cell>
        </row>
        <row r="2634">
          <cell r="A2634" t="str">
            <v>GGC11010</v>
          </cell>
          <cell r="D2634" t="str">
            <v>실적</v>
          </cell>
        </row>
        <row r="2635">
          <cell r="A2635" t="str">
            <v>GKC13000</v>
          </cell>
          <cell r="D2635" t="str">
            <v>실적</v>
          </cell>
        </row>
        <row r="2636">
          <cell r="A2636" t="str">
            <v>GKC62000</v>
          </cell>
          <cell r="D2636" t="str">
            <v>실적</v>
          </cell>
        </row>
        <row r="2637">
          <cell r="A2637" t="str">
            <v>GKF01000</v>
          </cell>
          <cell r="D2637" t="str">
            <v>실적</v>
          </cell>
        </row>
        <row r="2638">
          <cell r="A2638" t="str">
            <v>GKI11100</v>
          </cell>
          <cell r="D2638" t="str">
            <v>실적</v>
          </cell>
        </row>
        <row r="2639">
          <cell r="A2639" t="str">
            <v>GKO10011</v>
          </cell>
          <cell r="D2639" t="str">
            <v>실적</v>
          </cell>
        </row>
        <row r="2640">
          <cell r="A2640" t="str">
            <v>GKO10021</v>
          </cell>
          <cell r="D2640" t="str">
            <v>실적</v>
          </cell>
        </row>
        <row r="2641">
          <cell r="A2641" t="str">
            <v>GKO10031</v>
          </cell>
          <cell r="D2641" t="str">
            <v>실적</v>
          </cell>
        </row>
        <row r="2642">
          <cell r="A2642" t="str">
            <v>GKO10041</v>
          </cell>
          <cell r="D2642" t="str">
            <v>실적</v>
          </cell>
        </row>
        <row r="2643">
          <cell r="A2643" t="str">
            <v>GKO10051</v>
          </cell>
          <cell r="D2643" t="str">
            <v>실적</v>
          </cell>
        </row>
        <row r="2644">
          <cell r="A2644" t="str">
            <v>GKO10061</v>
          </cell>
          <cell r="D2644" t="str">
            <v>실적</v>
          </cell>
        </row>
        <row r="2645">
          <cell r="A2645" t="str">
            <v>GKO10071</v>
          </cell>
          <cell r="D2645" t="str">
            <v>실적</v>
          </cell>
        </row>
        <row r="2646">
          <cell r="A2646" t="str">
            <v>GKO10081</v>
          </cell>
          <cell r="D2646" t="str">
            <v>실적</v>
          </cell>
        </row>
      </sheetData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General Condition"/>
      <sheetName val="Schedule of rate"/>
      <sheetName val="Sum table"/>
      <sheetName val="Statement with Quantiti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제경비"/>
      <sheetName val="표지 (3)"/>
      <sheetName val="표지"/>
      <sheetName val="표지 (2)"/>
      <sheetName val="내역서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대비"/>
      <sheetName val="내역"/>
      <sheetName val="수량집계"/>
      <sheetName val="수량(교각)"/>
      <sheetName val="수량산출(2)"/>
      <sheetName val="단가(동바리)"/>
      <sheetName val="단가(강재운반)"/>
      <sheetName val="총괄표"/>
      <sheetName val="추진계획"/>
      <sheetName val="추진실적"/>
      <sheetName val="Sheet3"/>
      <sheetName val="공정표"/>
      <sheetName val="일수계산"/>
      <sheetName val="터널공기"/>
      <sheetName val="Sheet1"/>
      <sheetName val="Sheet2"/>
      <sheetName val="업협(토공,철콘)"/>
      <sheetName val="실행예산"/>
      <sheetName val="시방서"/>
      <sheetName val="계약현황"/>
      <sheetName val="간지"/>
      <sheetName val="견적(토공)"/>
      <sheetName val="견적(철콘)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xxxxxx"/>
      <sheetName val="0000"/>
      <sheetName val="현황"/>
      <sheetName val="철콘"/>
      <sheetName val="입찰표지"/>
      <sheetName val="BID"/>
      <sheetName val=" HIT-&gt;HMC 견적(3900)"/>
      <sheetName val="산출내역서"/>
      <sheetName val="Macro1"/>
      <sheetName val="입찰안"/>
      <sheetName val="한전일위"/>
      <sheetName val="일위대가목록"/>
      <sheetName val="투찰내역"/>
      <sheetName val="일위목록"/>
      <sheetName val="요율"/>
      <sheetName val="실행철강하도"/>
      <sheetName val="후다내역"/>
      <sheetName val="SG"/>
      <sheetName val="갑지"/>
      <sheetName val="현장관리비"/>
      <sheetName val="일위대가"/>
      <sheetName val="합계"/>
      <sheetName val="#2_일위대가목록"/>
      <sheetName val="단가"/>
      <sheetName val="간접비계산"/>
      <sheetName val="일위CODE"/>
      <sheetName val="중기비"/>
      <sheetName val="노무비"/>
      <sheetName val="품셈"/>
      <sheetName val="인부신상자료"/>
      <sheetName val="1공구원가계산서"/>
      <sheetName val="1공구산출내역서"/>
      <sheetName val="1유리"/>
      <sheetName val="자재단가"/>
      <sheetName val="일  위  대  가  목  록"/>
      <sheetName val="산수배수"/>
      <sheetName val="당초명세(평)"/>
      <sheetName val="건설성적"/>
      <sheetName val="간접(90)"/>
      <sheetName val="6. 안전관리비"/>
      <sheetName val="b_balju"/>
      <sheetName val="원가계산서"/>
      <sheetName val="관급자재"/>
      <sheetName val="금액결정"/>
      <sheetName val="일위산출"/>
      <sheetName val="HRSG SMALL07220"/>
      <sheetName val="전체"/>
      <sheetName val="조명율표"/>
      <sheetName val="원형1호맨홀토공수량"/>
      <sheetName val="장문교(대전)"/>
      <sheetName val="우배수"/>
      <sheetName val="계산식"/>
      <sheetName val="2000년1차"/>
      <sheetName val="2000전체분"/>
      <sheetName val="2공구산출내역"/>
      <sheetName val="직노"/>
      <sheetName val="INSTR"/>
      <sheetName val="기본설계기준"/>
      <sheetName val="일위"/>
      <sheetName val="#REF"/>
      <sheetName val="JUCKEYK"/>
      <sheetName val="S0"/>
      <sheetName val="단가산출"/>
      <sheetName val="세부추진"/>
      <sheetName val="제안서"/>
      <sheetName val="상용보강"/>
      <sheetName val="행정표준(1)"/>
      <sheetName val="행정표준(2)"/>
      <sheetName val="관급"/>
      <sheetName val="장비"/>
      <sheetName val="산근1"/>
      <sheetName val="노무"/>
      <sheetName val="자재"/>
      <sheetName val="조건표"/>
      <sheetName val="설계가"/>
      <sheetName val="증감내역서"/>
      <sheetName val="교각토공 _2_"/>
      <sheetName val="운반비요율"/>
      <sheetName val="1,2공구원가계산서"/>
      <sheetName val="3.공통공사대비"/>
      <sheetName val="유동표"/>
      <sheetName val="차액보증"/>
      <sheetName val="조건표 (2)"/>
      <sheetName val="입력데이타"/>
      <sheetName val="목차 "/>
      <sheetName val="별표집계"/>
      <sheetName val="Macro2"/>
      <sheetName val="TEST1"/>
      <sheetName val="단가적용"/>
      <sheetName val="PI"/>
      <sheetName val="품셈총괄표"/>
      <sheetName val="저"/>
      <sheetName val="참조"/>
      <sheetName val="노임단가"/>
      <sheetName val="견적의뢰서"/>
      <sheetName val="6PILE  (돌출)"/>
      <sheetName val="1단계"/>
      <sheetName val="일위총괄"/>
      <sheetName val="덕전리"/>
      <sheetName val="일위대가목록표"/>
      <sheetName val="c_balju"/>
      <sheetName val="작업일보"/>
      <sheetName val="조명시설"/>
      <sheetName val="입출재고현황 (2)"/>
      <sheetName val="을"/>
      <sheetName val="7. 현장관리비 "/>
      <sheetName val="코드표"/>
      <sheetName val="내역(한신APT)"/>
      <sheetName val="노임"/>
      <sheetName val="표지1"/>
      <sheetName val="준검 내역서"/>
      <sheetName val="97년 추정"/>
      <sheetName val="A1"/>
      <sheetName val="WORK"/>
      <sheetName val="예산총괄"/>
      <sheetName val="일위단가"/>
      <sheetName val="하도내역 (철콘)"/>
      <sheetName val="특기사항"/>
      <sheetName val="3개월-백데이타"/>
      <sheetName val="LG배관재단가"/>
      <sheetName val="다다수전류단가"/>
      <sheetName val="LG유통상품단가표"/>
      <sheetName val="기본단가표"/>
      <sheetName val="8.현장관리비"/>
      <sheetName val="7.안전관리비"/>
      <sheetName val="일위대가D"/>
      <sheetName val="ORIGIN"/>
      <sheetName val="FORM-0"/>
      <sheetName val="표준건축비"/>
      <sheetName val="프랜트면허"/>
      <sheetName val="토목주소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지급자재"/>
      <sheetName val="설계예산서"/>
      <sheetName val="배수내역"/>
      <sheetName val="10공구일위"/>
      <sheetName val="임율 Data"/>
      <sheetName val="도급"/>
      <sheetName val="일위대가목차"/>
      <sheetName val="1.설계기준"/>
      <sheetName val="BSD (2)"/>
      <sheetName val="노임조서"/>
      <sheetName val="노무비 근거"/>
      <sheetName val="48일위"/>
      <sheetName val="산출근거"/>
      <sheetName val="IT-BAT"/>
      <sheetName val="수문일위1"/>
      <sheetName val="공정집계_국별"/>
      <sheetName val="내역전기"/>
      <sheetName val="수량3"/>
      <sheetName val="일위산출근거"/>
      <sheetName val="인사자료총집계"/>
      <sheetName val="단면가정"/>
      <sheetName val="청천내"/>
      <sheetName val="이월"/>
      <sheetName val="DANGA"/>
      <sheetName val="간선계산"/>
      <sheetName val="업체별기성내역"/>
      <sheetName val="포장(수량)-관로부"/>
      <sheetName val="2터널시점"/>
      <sheetName val="기초1"/>
      <sheetName val="추가예산"/>
      <sheetName val="DHEQSUPT"/>
      <sheetName val="수정2"/>
      <sheetName val="수량산출서"/>
      <sheetName val="신공항A-9(원가수정)"/>
      <sheetName val="약품공급2"/>
      <sheetName val="SLAB근거-1"/>
      <sheetName val="단면 (2)"/>
      <sheetName val="실행대비"/>
      <sheetName val="집계"/>
      <sheetName val="개거총"/>
      <sheetName val="물가시세"/>
      <sheetName val="잡비"/>
      <sheetName val="중기"/>
      <sheetName val="U형개거"/>
      <sheetName val="제경비산출서"/>
      <sheetName val="철거산출근거"/>
      <sheetName val="CTEMCOST"/>
      <sheetName val="유치원내역"/>
      <sheetName val="P_RPTB04_산근"/>
      <sheetName val="단위단가"/>
      <sheetName val="하도금액분계"/>
      <sheetName val="견적"/>
      <sheetName val="설계"/>
      <sheetName val="경상비"/>
      <sheetName val="전문하도급"/>
      <sheetName val="교량전기"/>
      <sheetName val="평가데이터"/>
      <sheetName val="MOTOR"/>
      <sheetName val="현장관리비 산출내역"/>
      <sheetName val="8.PILE  (돌출)"/>
      <sheetName val="표지_(3)"/>
      <sheetName val="표지_(2)"/>
      <sheetName val="교각집계_(2)"/>
      <sheetName val="교각토공_(2)"/>
      <sheetName val="교각철근_(2)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HRSG_SMALL07220"/>
      <sheetName val="6__안전관리비"/>
      <sheetName val="수량산출"/>
      <sheetName val="기계내역"/>
      <sheetName val="인사자료"/>
      <sheetName val="토공유동표(전체.당초)"/>
      <sheetName val="호안사석"/>
      <sheetName val="배수자집"/>
      <sheetName val="첨부1"/>
      <sheetName val="적현로"/>
      <sheetName val="공량산출서"/>
      <sheetName val="재료비"/>
      <sheetName val="b_balju (2)"/>
      <sheetName val="b_gunmul"/>
      <sheetName val="공통가설"/>
      <sheetName val="직접비"/>
      <sheetName val="건장설비"/>
      <sheetName val="교통대책내역"/>
      <sheetName val="인원"/>
      <sheetName val="기성갑지"/>
      <sheetName val="공사내역서(을)실행"/>
      <sheetName val="3_공통공사대비"/>
      <sheetName val="BND"/>
      <sheetName val="중기일위대가"/>
      <sheetName val="Total"/>
      <sheetName val="음성방향"/>
      <sheetName val="준검_내역서"/>
      <sheetName val="97년_추정"/>
      <sheetName val="6PILE__(돌출)"/>
      <sheetName val="2000용수잠관-수량집계"/>
      <sheetName val="유입량"/>
      <sheetName val="일위(PN)"/>
      <sheetName val="일일"/>
      <sheetName val="#2정산"/>
      <sheetName val="환기시설"/>
      <sheetName val="조명"/>
      <sheetName val="점보전력사용"/>
      <sheetName val="단면"/>
      <sheetName val="배수처리"/>
      <sheetName val="입력자료(노무비)"/>
      <sheetName val="INPUT"/>
      <sheetName val="DATE"/>
      <sheetName val="토공(1)"/>
      <sheetName val="차수공(1)"/>
      <sheetName val="기본단가"/>
      <sheetName val="1. 설계조건 2.단면가정 3. 하중계산"/>
      <sheetName val="DATA 입력란"/>
      <sheetName val="토목품셈"/>
      <sheetName val="구조     ."/>
      <sheetName val="DATA"/>
      <sheetName val="(당평)자재"/>
      <sheetName val="일위집계(기존)"/>
      <sheetName val="A LINE"/>
      <sheetName val="공사비증감"/>
      <sheetName val="장비단가"/>
      <sheetName val="수량분개내역"/>
      <sheetName val="전기"/>
      <sheetName val="효율표"/>
      <sheetName val="노무비 "/>
      <sheetName val="ABUT수량-A1"/>
      <sheetName val="단가표"/>
      <sheetName val="배수공"/>
      <sheetName val="인명부"/>
      <sheetName val="내역표지"/>
      <sheetName val="가스"/>
      <sheetName val="양수장(기계)"/>
      <sheetName val="공사비예산서(토목분)"/>
      <sheetName val="운반"/>
      <sheetName val="사업관리"/>
      <sheetName val="FB25JN"/>
      <sheetName val="설계명세서"/>
      <sheetName val="내역서 제출"/>
      <sheetName val="자료입력"/>
      <sheetName val="파이프류"/>
      <sheetName val="기성내역"/>
      <sheetName val="토공사"/>
      <sheetName val="단위중량"/>
      <sheetName val="4.일위대가집계"/>
      <sheetName val="일위대가표48"/>
      <sheetName val="총괄내역서"/>
      <sheetName val="1.설계조건"/>
      <sheetName val="유림골조"/>
      <sheetName val="공통부대비"/>
      <sheetName val="물가자료"/>
      <sheetName val="경산"/>
      <sheetName val="결재난"/>
      <sheetName val="건설실행"/>
      <sheetName val="세부내역서"/>
      <sheetName val="중기조종사 단위단가"/>
      <sheetName val="(원)기흥상갈"/>
      <sheetName val="tggwan(mac)"/>
      <sheetName val="금액내역서"/>
      <sheetName val="lab"/>
      <sheetName val="1"/>
      <sheetName val="만년달력"/>
      <sheetName val="내역(2000년)"/>
      <sheetName val="실행내역서 "/>
      <sheetName val="경영상태"/>
      <sheetName val="대로근거"/>
      <sheetName val="중로근거"/>
      <sheetName val="SHL"/>
      <sheetName val="특수선일위대가"/>
      <sheetName val="소방"/>
      <sheetName val="일위(시설)"/>
      <sheetName val="예가표"/>
      <sheetName val="우석문틀"/>
      <sheetName val="Temporary Mooring"/>
      <sheetName val="공문"/>
      <sheetName val="시화점실행"/>
      <sheetName val="우수"/>
      <sheetName val="7.PILE  (돌출)"/>
      <sheetName val="품셈TABLE"/>
      <sheetName val="2.대외공문"/>
      <sheetName val="초기화면"/>
      <sheetName val="RE9604"/>
      <sheetName val="콘크리트타설집계표"/>
      <sheetName val="간 지1"/>
      <sheetName val="실행내역"/>
      <sheetName val="2"/>
      <sheetName val="5. 현장관리비(new) "/>
      <sheetName val="날개벽수량표"/>
      <sheetName val="금융비용"/>
      <sheetName val="Customer Databas"/>
      <sheetName val="일위대가(1)"/>
      <sheetName val="부하계산서"/>
      <sheetName val="인원계획"/>
      <sheetName val="단위량당중기"/>
      <sheetName val="금리계산"/>
      <sheetName val="마산방향철근집계"/>
      <sheetName val="진주방향"/>
      <sheetName val="일위목록데이타"/>
      <sheetName val="식재가격"/>
      <sheetName val="식재총괄"/>
      <sheetName val="돈암사업"/>
      <sheetName val="2.2_오피스텔(12~32F)"/>
      <sheetName val="설내역서 "/>
      <sheetName val="현장별"/>
      <sheetName val="간접비"/>
      <sheetName val="격점별물량"/>
      <sheetName val="골조"/>
      <sheetName val="산출내역서집계표"/>
      <sheetName val="5_ 현장관리비_new_ "/>
      <sheetName val="기본일위"/>
      <sheetName val="일용직6월"/>
      <sheetName val="자재일람"/>
      <sheetName val="화재 탐지 설비"/>
      <sheetName val="입력정보"/>
      <sheetName val="설 계"/>
      <sheetName val="BQ"/>
      <sheetName val="공사원가계산서"/>
      <sheetName val=" 갑지"/>
      <sheetName val="방배동내역(리라)"/>
      <sheetName val="현장경비"/>
      <sheetName val="건축공사집계표"/>
      <sheetName val="방배동내역 (총괄)"/>
      <sheetName val="부대공사총괄"/>
      <sheetName val="인계"/>
      <sheetName val="단가산출(T)"/>
      <sheetName val="날개벽(시점좌측)"/>
      <sheetName val="맨홀수량산출"/>
      <sheetName val="재료집계표"/>
      <sheetName val="경비2내역"/>
      <sheetName val="U-TYPE(1)"/>
      <sheetName val="일반공사"/>
      <sheetName val="일위대가집계"/>
      <sheetName val="단가대비표"/>
      <sheetName val="N賃率-職"/>
      <sheetName val="원도급"/>
      <sheetName val="하도급"/>
      <sheetName val="코드"/>
      <sheetName val="여과지동"/>
      <sheetName val="기초자료"/>
      <sheetName val="일H35Y4"/>
      <sheetName val="기자재비"/>
      <sheetName val="교각계산"/>
      <sheetName val="700seg"/>
      <sheetName val="내역서2안"/>
      <sheetName val="CONCRETE"/>
      <sheetName val="원가계산서(변경)"/>
      <sheetName val="하중계산"/>
      <sheetName val="철근량"/>
      <sheetName val="설계내역"/>
      <sheetName val="차수"/>
      <sheetName val="월별손익"/>
      <sheetName val="외주대비 -석축_x0000__x0000__x0000__x0000__x0000__x0012_[후다내역.XLS]견적표지 (3"/>
      <sheetName val="부대내역"/>
      <sheetName val="터널대가"/>
      <sheetName val="터파기및재료"/>
      <sheetName val="4.2.1 마루높이 검토"/>
      <sheetName val="기초단가"/>
      <sheetName val="입력데이타(비인쇄용)"/>
      <sheetName val="1.취수장"/>
      <sheetName val="실행(ALT1)"/>
      <sheetName val="환율change"/>
      <sheetName val="GRDBS"/>
      <sheetName val="견적대비표"/>
      <sheetName val="Y-WORK"/>
      <sheetName val="4 LINE"/>
      <sheetName val="7 th"/>
      <sheetName val="C10집계2"/>
      <sheetName val="일위대가목록(ems)"/>
      <sheetName val="하도내역_(철콘)"/>
      <sheetName val="입출재고현황_(2)"/>
      <sheetName val="노무비_근거"/>
      <sheetName val="임율_Data"/>
      <sheetName val="조건표_(2)"/>
      <sheetName val="목차_"/>
      <sheetName val="1_설계기준"/>
      <sheetName val="7__현장관리비_"/>
      <sheetName val="전도금월정금액"/>
      <sheetName val="총 원가계산"/>
      <sheetName val="동천하상준설"/>
      <sheetName val="측량요율"/>
      <sheetName val="자재대"/>
      <sheetName val="점검총괄"/>
      <sheetName val="자  재"/>
      <sheetName val="건축외주"/>
      <sheetName val="노원열병합  건축공사기성내역서"/>
      <sheetName val="개요"/>
      <sheetName val="케이블규격"/>
      <sheetName val="COVERSHEET"/>
      <sheetName val="할증 "/>
      <sheetName val="개인별 순위표"/>
      <sheetName val="CM 1"/>
      <sheetName val="전기실-1"/>
      <sheetName val="ROOF(ALKALI)"/>
      <sheetName val="현장일반사항"/>
      <sheetName val="Sheet5"/>
      <sheetName val="유림총괄"/>
      <sheetName val="건축내역"/>
      <sheetName val="단중표"/>
      <sheetName val="일위총괄표"/>
      <sheetName val="감액총괄표"/>
      <sheetName val="제출내역 (2)"/>
      <sheetName val="J直材4"/>
      <sheetName val="9.1지하2층하부보"/>
      <sheetName val="개산공사비"/>
      <sheetName val="집 계 표"/>
      <sheetName val="갑지(추정)"/>
      <sheetName val="계측기"/>
      <sheetName val="선정요령"/>
      <sheetName val="B"/>
      <sheetName val="COVER-P"/>
      <sheetName val="자동제어"/>
      <sheetName val="화전내"/>
      <sheetName val="시중노임단가"/>
      <sheetName val="정렬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교각토공__2_1"/>
      <sheetName val="3_공통공사대비1"/>
      <sheetName val="6__안전관리비1"/>
      <sheetName val="6PILE__(돌출)1"/>
      <sheetName val="HRSG_SMALL072201"/>
      <sheetName val="준검_내역서1"/>
      <sheetName val="97년_추정1"/>
      <sheetName val="2차전체변경예정_(2)"/>
      <sheetName val="BSD_(2)"/>
      <sheetName val="토공유동표(전체_당초)"/>
      <sheetName val="단면_(2)"/>
      <sheetName val="b_balju_(2)"/>
      <sheetName val="8_PILE__(돌출)"/>
      <sheetName val="8_현장관리비"/>
      <sheetName val="7_안전관리비"/>
      <sheetName val="중기조종사_단위단가"/>
      <sheetName val="Code"/>
      <sheetName val="양덕동"/>
      <sheetName val="경비"/>
      <sheetName val="총괄"/>
      <sheetName val="자재단가비교표"/>
      <sheetName val="기술부 VENDOR LIST"/>
      <sheetName val="대치판정"/>
      <sheetName val="이형관중량"/>
      <sheetName val="일위대가(목록)"/>
      <sheetName val="산근(목록)"/>
      <sheetName val="70%"/>
      <sheetName val="법면"/>
      <sheetName val="부대공"/>
      <sheetName val="구조물공"/>
      <sheetName val="포장공"/>
      <sheetName val="배수공1"/>
      <sheetName val="기계"/>
      <sheetName val="252K444"/>
      <sheetName val="일위대가 집계표"/>
      <sheetName val="일대"/>
      <sheetName val="증감대비"/>
      <sheetName val="단계별내역 (2)"/>
      <sheetName val="데이타"/>
      <sheetName val="식재인부"/>
      <sheetName val="공통(20-91)"/>
      <sheetName val="관로분포도"/>
      <sheetName val="일위대가(가설)"/>
      <sheetName val="입력"/>
      <sheetName val="일용직"/>
      <sheetName val="인천제철"/>
      <sheetName val="6_ 안전관리비"/>
      <sheetName val="전체내역서"/>
      <sheetName val="전기내역서"/>
      <sheetName val="자재수량"/>
      <sheetName val="1공구 건정토건 토공"/>
      <sheetName val="1공구 건정토건 철콘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제어계측"/>
      <sheetName val="Sheet4"/>
      <sheetName val="Sheet6"/>
      <sheetName val="Sheet16"/>
      <sheetName val="보도내역 (3)"/>
      <sheetName val="Module1"/>
      <sheetName val="Qheet6"/>
      <sheetName val="총괄-1"/>
      <sheetName val="단가산출서"/>
      <sheetName val="공사개요"/>
      <sheetName val="주차구획선수량"/>
      <sheetName val="부대tu"/>
      <sheetName val="목차"/>
      <sheetName val="정부노임단가"/>
      <sheetName val="A-4"/>
      <sheetName val="금호"/>
      <sheetName val="하조서"/>
      <sheetName val="한강운반비"/>
      <sheetName val="서∼군(2)"/>
      <sheetName val="가도공"/>
      <sheetName val="변경비교-을"/>
      <sheetName val="6공구(당초)"/>
      <sheetName val="품의서"/>
      <sheetName val="데리네이타현황"/>
      <sheetName val="재개발"/>
      <sheetName val="내역(최종본4.5)"/>
      <sheetName val="SP-B1"/>
      <sheetName val="토적집계"/>
      <sheetName val="98NS-N"/>
      <sheetName val="소야공정계획표"/>
      <sheetName val="45,46"/>
      <sheetName val="기초코드"/>
      <sheetName val="1.수인터널"/>
      <sheetName val="일위대가표"/>
      <sheetName val="보할"/>
      <sheetName val="공업용수관로"/>
      <sheetName val="일위(토목)"/>
      <sheetName val="물량표"/>
      <sheetName val="낙찰표"/>
      <sheetName val="입적표"/>
      <sheetName val="지주설치제원"/>
      <sheetName val="준공조서갑지"/>
      <sheetName val="실행내역서"/>
      <sheetName val="98지급계획"/>
      <sheetName val="수문일1"/>
      <sheetName val="가시설"/>
      <sheetName val="시공여유율"/>
      <sheetName val="SANTOGO"/>
      <sheetName val="흥양2교토공집계표"/>
      <sheetName val="eq_data"/>
      <sheetName val="ELECTRIC"/>
      <sheetName val="전기공사"/>
      <sheetName val="AS포장복구 "/>
      <sheetName val="건축내역서"/>
      <sheetName val="Dae_Jiju"/>
      <sheetName val="Sikje_ingun"/>
      <sheetName val="TREE_D"/>
      <sheetName val="단가비교표"/>
      <sheetName val="입력시트"/>
      <sheetName val="장비집계"/>
      <sheetName val="확약서"/>
      <sheetName val="결과조달"/>
      <sheetName val="원본(갑지)"/>
      <sheetName val="3차준공"/>
      <sheetName val="입찰품의서"/>
      <sheetName val="토사(PE)"/>
      <sheetName val="날개벽"/>
      <sheetName val="choose"/>
      <sheetName val="변경내역"/>
      <sheetName val="인건비"/>
      <sheetName val="FACTOR"/>
      <sheetName val="수리결과"/>
      <sheetName val="COVER"/>
      <sheetName val="플랜트 설치"/>
      <sheetName val="퍼스트"/>
      <sheetName val="추가일위대가"/>
      <sheetName val="주요항목별"/>
      <sheetName val="Sheet1 (2)"/>
      <sheetName val="보도경계블럭"/>
      <sheetName val="말뚝지지력산정"/>
      <sheetName val="관개"/>
      <sheetName val="총체"/>
      <sheetName val="기계경비일람"/>
      <sheetName val="일집"/>
      <sheetName val="2.2 띠장의 설계"/>
      <sheetName val="설비"/>
      <sheetName val="장비가동"/>
      <sheetName val="배수관공"/>
      <sheetName val="cctv예산대비"/>
      <sheetName val="라이닝폼예산대비내역"/>
      <sheetName val="STEEL BOX 단면설계(SEC.8)"/>
      <sheetName val="세골재  T2 변경 현황"/>
      <sheetName val="MODELING"/>
      <sheetName val="환산"/>
      <sheetName val="분전반"/>
      <sheetName val="특별"/>
      <sheetName val="마산월령동골조물량변경"/>
      <sheetName val="호표"/>
      <sheetName val="소비자가"/>
      <sheetName val="간접1"/>
      <sheetName val="골조시행"/>
      <sheetName val="Print"/>
      <sheetName val="MATRLDATA"/>
      <sheetName val="소방사항"/>
      <sheetName val="건축공사"/>
      <sheetName val="가설건물"/>
      <sheetName val="옥외배관기본공량"/>
      <sheetName val="대비2"/>
      <sheetName val="옥외외등집계표"/>
      <sheetName val="제수변수량"/>
      <sheetName val="일위1"/>
      <sheetName val="임율산출표"/>
      <sheetName val="9GNG운반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Baby일위대가"/>
      <sheetName val="샘플표지"/>
      <sheetName val="s"/>
      <sheetName val="시운전연료비"/>
      <sheetName val="지원사무소원가배부내역"/>
      <sheetName val="수량산출목록표"/>
      <sheetName val="WING3"/>
      <sheetName val="VE절감"/>
      <sheetName val="청주(철골발주의뢰서)"/>
      <sheetName val="4.일위대가"/>
      <sheetName val="일위대가목록(기계)"/>
      <sheetName val="시설,관리하위"/>
      <sheetName val="남양내역"/>
      <sheetName val="실행내역_원본"/>
      <sheetName val="GEN"/>
      <sheetName val="대운반(철재)"/>
      <sheetName val="기안"/>
      <sheetName val="원가계산"/>
      <sheetName val="공종보합"/>
      <sheetName val="출력원가"/>
      <sheetName val="공종원가"/>
      <sheetName val="총괄원가"/>
      <sheetName val="아파트"/>
      <sheetName val="상가,복지관"/>
      <sheetName val="주차장"/>
      <sheetName val="경비실"/>
      <sheetName val="BOX 본체"/>
      <sheetName val="잔수량(작성)"/>
      <sheetName val="내역(설계)"/>
      <sheetName val="6호기"/>
      <sheetName val="2.1외주"/>
      <sheetName val="2.3노무"/>
      <sheetName val="2.4자재"/>
      <sheetName val="2.2장비"/>
      <sheetName val="2.5경비"/>
      <sheetName val="2.6수목대"/>
      <sheetName val="기계경비"/>
      <sheetName val="3련 BOX"/>
      <sheetName val="중기사용료"/>
      <sheetName val="방음벽기초"/>
      <sheetName val="도수로집계"/>
      <sheetName val="단가삐출"/>
      <sheetName val="원하대비"/>
      <sheetName val="예산변경원인분석"/>
      <sheetName val="횡배위치"/>
      <sheetName val="깨기"/>
      <sheetName val="흄관수량"/>
      <sheetName val="4동급수"/>
      <sheetName val="메서,변+증"/>
      <sheetName val="명일작업계획 (3)"/>
      <sheetName val="요약서"/>
      <sheetName val="22인공"/>
      <sheetName val="연결원본-절대지우지말것"/>
      <sheetName val="일위대가집계표"/>
      <sheetName val="산출서집계HS"/>
      <sheetName val="검색방"/>
      <sheetName val="단위목록"/>
      <sheetName val="자재운반단가일람표"/>
      <sheetName val="기계경비목록1"/>
      <sheetName val="자동세륜기"/>
      <sheetName val="단"/>
      <sheetName val="자료"/>
      <sheetName val="원가(칠곡다부)"/>
      <sheetName val="다부IC내역"/>
      <sheetName val="원가(재방송)"/>
      <sheetName val="재방송"/>
      <sheetName val="다부내역"/>
      <sheetName val="읍내터널"/>
      <sheetName val="칠곡IC내역"/>
      <sheetName val="VXXXXX"/>
      <sheetName val="내역집계표"/>
      <sheetName val="내역서 (3)"/>
      <sheetName val="대가"/>
      <sheetName val="산출양식"/>
      <sheetName val="대가목록"/>
      <sheetName val="산출양식 (2)"/>
      <sheetName val="토목원가계산서"/>
      <sheetName val="토목원가"/>
      <sheetName val="집계장"/>
      <sheetName val="제외공종"/>
      <sheetName val="선급금사용계획서"/>
      <sheetName val="사용세부내역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공사비"/>
      <sheetName val="가드레일산근"/>
      <sheetName val="수량집계표"/>
      <sheetName val="수량"/>
      <sheetName val="단가비교"/>
      <sheetName val="적용2002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b_balju_cho"/>
      <sheetName val="실행총괄 "/>
      <sheetName val="토목"/>
      <sheetName val="본체"/>
      <sheetName val="[IL-3.XLSY갑지"/>
      <sheetName val=""/>
      <sheetName val="설비내역서"/>
      <sheetName val="CON'C"/>
      <sheetName val="도급내역서(재노경)"/>
      <sheetName val="4.일위대가목차"/>
      <sheetName val="96노임기준"/>
      <sheetName val="기계경비(시간당)"/>
      <sheetName val="램머"/>
      <sheetName val="내역_ver1.0"/>
      <sheetName val="2000,9월 일위"/>
      <sheetName val="단가일람표"/>
      <sheetName val="IL-3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공사비총괄표"/>
      <sheetName val="차수공개요"/>
      <sheetName val="재료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매출현황"/>
      <sheetName val="단가 "/>
      <sheetName val="보온일위"/>
      <sheetName val="49일위"/>
      <sheetName val="22일위"/>
      <sheetName val="49수량"/>
      <sheetName val="성토도수로현황"/>
      <sheetName val="6.이토처리시간"/>
      <sheetName val="PROCURE"/>
      <sheetName val="우수공,맨홀,집수정"/>
      <sheetName val="앵커(3안)"/>
      <sheetName val="표지_(3)2"/>
      <sheetName val="표지_(2)2"/>
      <sheetName val="교각집계_(2)2"/>
      <sheetName val="교각토공_(2)2"/>
      <sheetName val="교각철근_(2)2"/>
      <sheetName val="외주대비_-석축2"/>
      <sheetName val="외주대비-구조물_(2)2"/>
      <sheetName val="견적표지_(3)2"/>
      <sheetName val="_HIT-&gt;HMC_견적(3900)2"/>
      <sheetName val="일__위__대__가__목__록2"/>
      <sheetName val="교각토공__2_2"/>
      <sheetName val="3_공통공사대비2"/>
      <sheetName val="6__안전관리비2"/>
      <sheetName val="조건표_(2)1"/>
      <sheetName val="입출재고현황_(2)1"/>
      <sheetName val="노무비_근거1"/>
      <sheetName val="6PILE__(돌출)2"/>
      <sheetName val="HRSG_SMALL072202"/>
      <sheetName val="하도내역_(철콘)1"/>
      <sheetName val="준검_내역서2"/>
      <sheetName val="임율_Data1"/>
      <sheetName val="97년_추정2"/>
      <sheetName val="2차전체변경예정_(2)1"/>
      <sheetName val="BSD_(2)1"/>
      <sheetName val="1_설계기준1"/>
      <sheetName val="토공유동표(전체_당초)1"/>
      <sheetName val="목차_1"/>
      <sheetName val="단면_(2)1"/>
      <sheetName val="8_현장관리비1"/>
      <sheetName val="7_안전관리비1"/>
      <sheetName val="7__현장관리비_1"/>
      <sheetName val="1__설계조건_2_단면가정_3__하중계산"/>
      <sheetName val="DATA_입력란"/>
      <sheetName val="구조______"/>
      <sheetName val="8_PILE__(돌출)1"/>
      <sheetName val="b_balju_(2)1"/>
      <sheetName val="노무비_"/>
      <sheetName val="현장관리비_산출내역"/>
      <sheetName val="4_일위대가집계"/>
      <sheetName val="내역서_제출"/>
      <sheetName val="실행내역서_"/>
      <sheetName val="간_지1"/>
      <sheetName val="화재_탐지_설비"/>
      <sheetName val="5__현장관리비(new)_"/>
      <sheetName val="Customer_Databas"/>
      <sheetName val="방배동내역_(총괄)"/>
      <sheetName val="1_설계조건"/>
      <sheetName val="중기조종사_단위단가1"/>
      <sheetName val="5__현장관리비_new__"/>
      <sheetName val="Temporary_Mooring"/>
      <sheetName val="A_LINE"/>
      <sheetName val="2_대외공문"/>
      <sheetName val="설내역서_"/>
      <sheetName val="설_계"/>
      <sheetName val="7_PILE__(돌출)"/>
      <sheetName val="2_2_오피스텔(12~32F)"/>
      <sheetName val="일위대가_집계표"/>
      <sheetName val="9_1지하2층하부보"/>
      <sheetName val="Sheet1_(2)"/>
      <sheetName val="단계별내역_(2)"/>
      <sheetName val="2_2_띠장의_설계"/>
      <sheetName val="1_취수장"/>
      <sheetName val="4_LINE"/>
      <sheetName val="7_th"/>
      <sheetName val="_갑지"/>
      <sheetName val="집_계_표"/>
      <sheetName val="총_원가계산"/>
      <sheetName val="6__안전관리비3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내역(최종본4_5)"/>
      <sheetName val="1_수인터널"/>
      <sheetName val="AS포장복구_"/>
      <sheetName val="자__재"/>
      <sheetName val="노원열병합__건축공사기성내역서"/>
      <sheetName val="할증_"/>
      <sheetName val="개인별_순위표"/>
      <sheetName val="CM_1"/>
      <sheetName val="기술부_VENDOR_LIST"/>
      <sheetName val="제출내역_(2)"/>
      <sheetName val="외주대비_-석축[후다내역_XLS]견적표지_(3"/>
      <sheetName val="4_일위대가"/>
      <sheetName val="플랜트_설치"/>
      <sheetName val="주소"/>
      <sheetName val="MP MOB"/>
      <sheetName val="기둥(원형)"/>
      <sheetName val="단가비교표(노무)"/>
      <sheetName val="수목표준대가"/>
      <sheetName val="변경품셈총괄"/>
      <sheetName val="고창터널(고창방향)"/>
      <sheetName val="변압기 및 발전기 용량"/>
      <sheetName val="냉천부속동"/>
      <sheetName val="공종단가"/>
      <sheetName val="조도계산서 (도서)"/>
      <sheetName val="암거단위"/>
      <sheetName val="보증수수료산출"/>
      <sheetName val="총공사내역서"/>
      <sheetName val="DAN"/>
      <sheetName val="백호우계수"/>
      <sheetName val="설직재-1"/>
      <sheetName val="기흥하도용"/>
      <sheetName val="대포2교접속"/>
      <sheetName val="천방교접속"/>
      <sheetName val="실행예산서"/>
      <sheetName val="BQ(실행)"/>
      <sheetName val="일반전기(2단지-을지)"/>
      <sheetName val="단가조사"/>
      <sheetName val="토목공사"/>
      <sheetName val="일위대가(4층원격)"/>
      <sheetName val="BM"/>
      <sheetName val="찍기"/>
      <sheetName val="의왕내역"/>
      <sheetName val="세부내역"/>
      <sheetName val="단가대비"/>
      <sheetName val="총괄집계표"/>
      <sheetName val="인수공규격"/>
      <sheetName val="단가(1)"/>
      <sheetName val="원가"/>
      <sheetName val="적용단위길이"/>
      <sheetName val="일위대가(건축)"/>
      <sheetName val="빌딩 안내"/>
      <sheetName val="기계공사비집계(원안)"/>
      <sheetName val="48단가"/>
      <sheetName val="CABLE"/>
      <sheetName val="CABLE (2)"/>
      <sheetName val="일위_파일"/>
      <sheetName val="연결임시"/>
      <sheetName val="접지수량"/>
      <sheetName val="G.R300경비"/>
      <sheetName val="교수설계"/>
      <sheetName val="공종구간"/>
      <sheetName val="조경일람"/>
      <sheetName val="49단가"/>
      <sheetName val="구간산출"/>
      <sheetName val="부하LOAD"/>
      <sheetName val="노임단가산출근거"/>
      <sheetName val="COST"/>
      <sheetName val="항목등록"/>
      <sheetName val="원가계산서(남측)"/>
      <sheetName val="신고분기설정참고"/>
      <sheetName val="거래처자료등록"/>
      <sheetName val="조도계산"/>
      <sheetName val="국내조달(통합-1)"/>
      <sheetName val="상시"/>
      <sheetName val="주beam"/>
      <sheetName val="9811"/>
      <sheetName val="출력용"/>
      <sheetName val="단가대비표 (3)"/>
      <sheetName val="하부철근수량"/>
      <sheetName val="연결관산출조서"/>
      <sheetName val="내역서적용수량"/>
      <sheetName val="계획집계"/>
      <sheetName val="기계물량"/>
      <sheetName val="단가목록"/>
      <sheetName val="비탈면보호공수량산출"/>
      <sheetName val="준공검사원(갑)"/>
      <sheetName val="기성내역서(을) (2)"/>
      <sheetName val="전기일위대가"/>
      <sheetName val="영신토건물가변동"/>
      <sheetName val="변수값"/>
      <sheetName val="중기상차"/>
      <sheetName val="AS복구"/>
      <sheetName val="중기터파기"/>
      <sheetName val="1단계 (2)"/>
      <sheetName val="L_RPTA05_목록"/>
      <sheetName val="동원인원"/>
      <sheetName val="2.1  노무비 평균단가산출"/>
      <sheetName val="예산명세서"/>
      <sheetName val="입상내역"/>
      <sheetName val="단가일람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견"/>
      <sheetName val="#3_일위대가목록"/>
      <sheetName val="Macro(차단기)"/>
      <sheetName val="띘랷랷랷"/>
      <sheetName val="TRE TABLE"/>
      <sheetName val="Requirement(Work Crew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대전-교대(A1-A2)"/>
      <sheetName val="7단가"/>
      <sheetName val="9509"/>
      <sheetName val="총공사원가"/>
      <sheetName val="건축공사원가"/>
      <sheetName val="설비공사원가"/>
      <sheetName val="견적서"/>
      <sheetName val="배관공사기초자료"/>
      <sheetName val="Ekog10"/>
      <sheetName val="AL공사(원)"/>
      <sheetName val="내역서1"/>
      <sheetName val="22수량"/>
      <sheetName val="품목현황"/>
      <sheetName val="출고대장"/>
      <sheetName val="바닥판"/>
      <sheetName val="입력DATA"/>
      <sheetName val="asd"/>
      <sheetName val="★도급내역"/>
      <sheetName val="back-data"/>
      <sheetName val="인월수표"/>
      <sheetName val="중기가격"/>
      <sheetName val="분전함신설"/>
      <sheetName val="접지1종"/>
      <sheetName val="단위수량"/>
      <sheetName val="진입도로B (2)"/>
      <sheetName val="백암비스타내역"/>
      <sheetName val="수목데이타 "/>
      <sheetName val="2.냉난방설비공사"/>
      <sheetName val="7.자동제어공사"/>
      <sheetName val="중강당 내역"/>
      <sheetName val="제-노임"/>
      <sheetName val="AV시스템"/>
      <sheetName val="guard(mac)"/>
      <sheetName val="COPING"/>
      <sheetName val="전체분2회변경"/>
      <sheetName val="산출근거(복구)"/>
      <sheetName val="영창26"/>
      <sheetName val="웅진교-S2"/>
      <sheetName val="횡배수관집현황(2공구)"/>
      <sheetName val="남양주부대"/>
      <sheetName val="기초자료입력및 K치 확인"/>
      <sheetName val="ES조서출력하기"/>
      <sheetName val="등록자료"/>
      <sheetName val="역T형교대(PILE기초)"/>
      <sheetName val="실행내역 "/>
      <sheetName val="산근"/>
      <sheetName val="수원역(전체분)설계서"/>
      <sheetName val="단가조사-2"/>
      <sheetName val="자재 단가 비교표(견적)"/>
      <sheetName val="자재 단가 비교표"/>
      <sheetName val="BDATA"/>
      <sheetName val="지하"/>
      <sheetName val="건설기계목록"/>
      <sheetName val="일위대가_목록"/>
      <sheetName val="재료단가"/>
      <sheetName val="시중노임"/>
      <sheetName val="지불내역1"/>
      <sheetName val="지질조사"/>
      <sheetName val="암거단위-1련"/>
      <sheetName val="의뢰내역서"/>
      <sheetName val="준공내역서표지"/>
      <sheetName val="䂰출양식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48수량"/>
      <sheetName val="내역서 (2)"/>
      <sheetName val="98수문일위"/>
      <sheetName val="단가비교표_공통1"/>
      <sheetName val="내역(원안-대안)"/>
      <sheetName val="산출목록표"/>
      <sheetName val="전화공사 공량 및 집계표"/>
      <sheetName val="공사착공계"/>
      <sheetName val="참조 (2)"/>
      <sheetName val="6. 직접경비"/>
      <sheetName val="노임이"/>
      <sheetName val="이토변실(A3-LINE)"/>
      <sheetName val="조경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MAIN"/>
      <sheetName val="부표총괄"/>
      <sheetName val="일대목차"/>
      <sheetName val="ITEM"/>
      <sheetName val="단가(보완)"/>
      <sheetName val="대가 (보완)"/>
      <sheetName val="기계경비목록"/>
      <sheetName val="몰탈재료산출"/>
      <sheetName val="3.자재비(총괄)"/>
      <sheetName val="제출내역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품목납기"/>
      <sheetName val="정공공사"/>
      <sheetName val="단가기준"/>
      <sheetName val="횡배수관수량집계"/>
      <sheetName val="우,오수"/>
      <sheetName val="유의사항"/>
      <sheetName val="현장설명"/>
      <sheetName val="특별조건"/>
      <sheetName val="토공갑"/>
      <sheetName val="구조물갑"/>
      <sheetName val="투찰계획서"/>
      <sheetName val="실행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99총공사내역서"/>
      <sheetName val="평야부단가"/>
      <sheetName val="예산서"/>
      <sheetName val="오동"/>
      <sheetName val="대조"/>
      <sheetName val="나한"/>
      <sheetName val="단가대비표(계측)"/>
      <sheetName val="공정외주"/>
      <sheetName val="제조 경영"/>
      <sheetName val="36단가"/>
      <sheetName val="36수량"/>
      <sheetName val="메인거더-크로스빔200연결부"/>
      <sheetName val="인건비 "/>
      <sheetName val="기본자료"/>
      <sheetName val="설계서을"/>
      <sheetName val="을지"/>
      <sheetName val="EQ-R1"/>
      <sheetName val="L-type"/>
      <sheetName val="bearing"/>
      <sheetName val="조내역"/>
      <sheetName val="부안일위"/>
      <sheetName val="C지구"/>
      <sheetName val="사내도로"/>
      <sheetName val="4.전기"/>
      <sheetName val="노 무 비"/>
      <sheetName val="노임단가표"/>
      <sheetName val="결선list"/>
      <sheetName val="위치도1"/>
      <sheetName val="자재단가-1"/>
      <sheetName val="갑지1"/>
      <sheetName val="도급정산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제잡비집계"/>
      <sheetName val="가로등내역서"/>
      <sheetName val="내역서(토목)"/>
      <sheetName val="미납품 현황"/>
      <sheetName val="신설개소별 총집계표(동해-배전)"/>
      <sheetName val="품셈기준"/>
      <sheetName val="설치자재"/>
      <sheetName val="단면치수"/>
      <sheetName val="적용토목"/>
      <sheetName val="unit 4"/>
      <sheetName val="SSMITM"/>
      <sheetName val="토목단가산출"/>
      <sheetName val="전 체"/>
      <sheetName val="사업개요"/>
      <sheetName val="현장관리비_입력"/>
      <sheetName val="목록"/>
      <sheetName val="가격조사서"/>
      <sheetName val="TABLE DB"/>
      <sheetName val="쌍용 data base"/>
      <sheetName val="계정"/>
      <sheetName val="년차"/>
      <sheetName val="실행간접비"/>
      <sheetName val="원가서"/>
      <sheetName val="조건"/>
      <sheetName val="일위집계"/>
      <sheetName val="결재란"/>
      <sheetName val="소요갑지"/>
      <sheetName val="소요을지"/>
      <sheetName val="접지집계"/>
      <sheetName val="접지지하1층"/>
      <sheetName val="접지지상1층"/>
      <sheetName val="모선자재 집계표"/>
      <sheetName val="케이블집계"/>
      <sheetName val="케이블포설"/>
      <sheetName val="철구물집"/>
      <sheetName val="철구물량"/>
      <sheetName val="기초물량"/>
      <sheetName val="재료의 할증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설계서"/>
      <sheetName val="노무비단가"/>
      <sheetName val="감곡소요"/>
      <sheetName val="기본사항"/>
      <sheetName val="대공종"/>
      <sheetName val="0.0ControlSheet"/>
      <sheetName val="0.1keyAssumption"/>
      <sheetName val="현장관리"/>
      <sheetName val="횡배수관토공수량"/>
      <sheetName val="접속도로1"/>
      <sheetName val="인건-측정"/>
      <sheetName val="BJJIN"/>
      <sheetName val="공제구간조서"/>
      <sheetName val="전체_1설계"/>
      <sheetName val="수로단위수량"/>
      <sheetName val="A-7-1LINE(수량)"/>
      <sheetName val="상-교대(A1-A2)"/>
      <sheetName val="기성신청"/>
      <sheetName val="하수급견적대비"/>
      <sheetName val="공문(신)"/>
      <sheetName val="APT"/>
      <sheetName val="STAND20"/>
      <sheetName val="부하(성남)"/>
      <sheetName val="강교(Sub)"/>
      <sheetName val="배수통관(좌)"/>
      <sheetName val="맨홀수량"/>
      <sheetName val="전차선로 물량표"/>
      <sheetName val="TYPE-A"/>
      <sheetName val="위치조서"/>
      <sheetName val="광산내역"/>
      <sheetName val="2000년하반기"/>
      <sheetName val="4.내진설계"/>
      <sheetName val="공사"/>
      <sheetName val="현장별계약현황('98.10.31)"/>
      <sheetName val="4)유동표"/>
      <sheetName val="충주"/>
      <sheetName val="구의33고"/>
      <sheetName val="전신"/>
      <sheetName val="wall"/>
      <sheetName val="설계내역서"/>
      <sheetName val="96보완계획7.12"/>
      <sheetName val="배관단가조사서"/>
      <sheetName val="교각1"/>
      <sheetName val="type-F"/>
      <sheetName val="설계예산"/>
      <sheetName val="전신환매도율"/>
      <sheetName val="손익현황"/>
      <sheetName val="현황CODE"/>
      <sheetName val="교대(A1)"/>
      <sheetName val="I一般比"/>
      <sheetName val="관일"/>
      <sheetName val="투찰(하수)"/>
      <sheetName val="현대물량"/>
      <sheetName val="nys"/>
      <sheetName val="일위대가(계측기설치)"/>
      <sheetName val="설계조건"/>
      <sheetName val="부재력정리"/>
      <sheetName val="최초침전지집계표"/>
      <sheetName val="TB-내역서"/>
      <sheetName val="EQUIP-H"/>
      <sheetName val="200"/>
      <sheetName val="신대방33(적용)"/>
      <sheetName val="구천"/>
      <sheetName val="평3"/>
      <sheetName val="수량조서"/>
      <sheetName val="현황산출서"/>
      <sheetName val="부대입찰 내역서"/>
      <sheetName val=" 총괄표"/>
      <sheetName val="적용대가"/>
      <sheetName val="공종별산출내역서"/>
      <sheetName val="수자재단위당"/>
      <sheetName val="자재목록"/>
      <sheetName val="중기목록"/>
      <sheetName val="노임목록"/>
      <sheetName val="제잡비.xls"/>
      <sheetName val="Eq. Mobilization"/>
      <sheetName val="3BL공동구 수량"/>
      <sheetName val="토공(우물통,기타) "/>
      <sheetName val="명단"/>
      <sheetName val="포장단면별단위수량"/>
      <sheetName val="2.고용보험료산출근거"/>
      <sheetName val="세금자료"/>
      <sheetName val="연습"/>
      <sheetName val="자재집계표"/>
      <sheetName val="포장공자재집계표"/>
      <sheetName val="토목내역"/>
      <sheetName val="0_0ControlSheet"/>
      <sheetName val="0_1keyAssumption"/>
      <sheetName val="Front"/>
      <sheetName val="건축집계"/>
      <sheetName val="Type(123)"/>
      <sheetName val="전라자금"/>
      <sheetName val="b_yesan"/>
      <sheetName val="횡배수관"/>
      <sheetName val="원가계산 (2)"/>
      <sheetName val="화설내"/>
      <sheetName val="도급b_balju"/>
      <sheetName val="뚝토공"/>
      <sheetName val="건축내역(진해석동)"/>
      <sheetName val="주경기-오배수"/>
      <sheetName val="팔당터널(1공구)"/>
      <sheetName val="VXXXXXXX"/>
      <sheetName val="전기단가조사서"/>
      <sheetName val="총공사비"/>
      <sheetName val="집계표(수배전제조구매)"/>
      <sheetName val="F4-F7"/>
      <sheetName val="장비당단가 (1)"/>
      <sheetName val="Sheet2 (2)"/>
      <sheetName val="업무"/>
      <sheetName val="보고"/>
      <sheetName val="건축-물가변동"/>
      <sheetName val="_REF"/>
      <sheetName val="정보"/>
      <sheetName val="종단계산"/>
      <sheetName val="입적6-10"/>
      <sheetName val="실행간접비용"/>
      <sheetName val="마산방향"/>
      <sheetName val="INPUT(덕도방향-시점)"/>
      <sheetName val="CPM챠트"/>
      <sheetName val="지우지마"/>
      <sheetName val="설계기준"/>
      <sheetName val="내역1"/>
      <sheetName val="DC-O-4-S(설명서)"/>
      <sheetName val="평균터파기고(1-2,ASP)"/>
      <sheetName val="내   역"/>
      <sheetName val="단가(반정1교-원주)"/>
      <sheetName val="주요자재단가"/>
      <sheetName val="각형맨홀"/>
      <sheetName val="본공사"/>
      <sheetName val="자금청구"/>
      <sheetName val="0Title"/>
      <sheetName val="경영혁신본부"/>
      <sheetName val="내역서01"/>
      <sheetName val="프라임 강변역(4,236)"/>
      <sheetName val="집계표(OPTION)"/>
      <sheetName val="물집"/>
      <sheetName val="음료실행"/>
      <sheetName val="하중"/>
      <sheetName val="장비별표(오거보링)(Ø400)(12M)"/>
      <sheetName val="공사비산출내역"/>
      <sheetName val="IW-LIST"/>
      <sheetName val="발주설계서(당초)"/>
      <sheetName val="설-원가"/>
      <sheetName val="변경후원본2"/>
      <sheetName val="콤보박스와 리스트박스의 연결"/>
      <sheetName val="유형처분"/>
      <sheetName val="예산M6-B"/>
      <sheetName val="AB자재단가"/>
      <sheetName val="상세산출"/>
      <sheetName val="울산자금"/>
      <sheetName val="비교1"/>
      <sheetName val="신우"/>
      <sheetName val="강북라우터"/>
      <sheetName val="機器明細(MC)"/>
      <sheetName val="공사분석"/>
      <sheetName val="국내"/>
      <sheetName val="건집"/>
      <sheetName val="기집"/>
      <sheetName val="토집"/>
      <sheetName val="조집"/>
      <sheetName val="2000년 공정표"/>
      <sheetName val="입찰보고"/>
      <sheetName val="건축적용원가계산"/>
      <sheetName val="총집계표"/>
      <sheetName val="신공항A-;(원가수정)"/>
      <sheetName val="수 량 명 세 서 - 1"/>
      <sheetName val="견적조건"/>
      <sheetName val="2.교량(신설)"/>
      <sheetName val="5.2코핑"/>
      <sheetName val="현경"/>
      <sheetName val="부대공Ⅱ"/>
      <sheetName val="맨홀(2호)"/>
      <sheetName val="2.건축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앵커구조계산"/>
      <sheetName val="밸브설치"/>
      <sheetName val="공정표 "/>
      <sheetName val="S12"/>
      <sheetName val="기초(1)"/>
      <sheetName val="P.M 별"/>
      <sheetName val="예산내역서"/>
      <sheetName val="수입"/>
      <sheetName val="TOT"/>
      <sheetName val="1호맨홀수량산출"/>
      <sheetName val="관련자료입력"/>
      <sheetName val="구조물철거타공정이월"/>
      <sheetName val="50-4(2차)"/>
      <sheetName val="철근단면적"/>
      <sheetName val="TBN실행"/>
      <sheetName val="지중자재단가"/>
      <sheetName val="역T형"/>
      <sheetName val="위생기구"/>
      <sheetName val="기계실냉난방"/>
      <sheetName val="4.경비 5.영업외수지"/>
      <sheetName val="TS"/>
      <sheetName val="지급어음"/>
      <sheetName val="최종보고1"/>
      <sheetName val="9-1차이내역"/>
      <sheetName val=" 견적서"/>
      <sheetName val="3월"/>
      <sheetName val="CJE"/>
      <sheetName val="내역서(전기)"/>
      <sheetName val="모래기초"/>
      <sheetName val="전체ﾴ엿서"/>
      <sheetName val="구조물터파기수량집계"/>
      <sheetName val="측구터파기공수량집계"/>
      <sheetName val="배수공 시멘트 및 골재량 산출"/>
      <sheetName val="예산총괄표"/>
      <sheetName val="대림경상68억"/>
      <sheetName val="별표 "/>
      <sheetName val="3F"/>
      <sheetName val="base"/>
      <sheetName val="포설list원본"/>
      <sheetName val="업무분장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7"/>
      <sheetName val="8"/>
      <sheetName val="9"/>
      <sheetName val="간접경상비"/>
      <sheetName val="BREAKDOWN(철거설치)"/>
      <sheetName val="견적을지"/>
      <sheetName val="수토공단위당"/>
      <sheetName val="인원현황"/>
      <sheetName val="영업소실적"/>
      <sheetName val="대우"/>
      <sheetName val="1맨AO"/>
      <sheetName val="CALCULATION"/>
      <sheetName val="내역분기"/>
      <sheetName val="수목단가"/>
      <sheetName val="시설수량표"/>
      <sheetName val="식재수량표"/>
      <sheetName val="명세서"/>
      <sheetName val="입찰"/>
      <sheetName val="공통가설공사"/>
      <sheetName val="구분자"/>
      <sheetName val="1차설계변경내역"/>
      <sheetName val="간접"/>
      <sheetName val="작성기준"/>
      <sheetName val="본부장"/>
      <sheetName val="설계변경내역서"/>
      <sheetName val="전체내역 (2)"/>
      <sheetName val="Hyundai.Unit.cost.xls"/>
      <sheetName val="OPTION"/>
      <sheetName val="감가상각"/>
      <sheetName val="채권(하반기)"/>
      <sheetName val="연차일수"/>
      <sheetName val="2004연차사용현황"/>
      <sheetName val="TEMP2"/>
      <sheetName val="BS"/>
      <sheetName val="PL"/>
      <sheetName val="환율"/>
      <sheetName val="PAINT"/>
      <sheetName val="울진항공등화 내역서"/>
      <sheetName val="일 위 대 가 표"/>
      <sheetName val="공사비집계"/>
      <sheetName val="일위목차"/>
      <sheetName val="내역서 "/>
      <sheetName val="물량집계표(1c)"/>
      <sheetName val="공통단가"/>
      <sheetName val="영흥TL(UP,DOWN) "/>
      <sheetName val="콘크리트포장"/>
      <sheetName val="암거난간벽집계(2)"/>
      <sheetName val="95년12월말"/>
      <sheetName val="당진1,2호기전선관설치및접지4차공사내역서-을지"/>
      <sheetName val="신천3호용수로"/>
      <sheetName val="통계연보"/>
      <sheetName val="목록표"/>
      <sheetName val="용선 C.L"/>
      <sheetName val="임차비용"/>
      <sheetName val="표  지"/>
      <sheetName val="조명일위"/>
      <sheetName val="eq_dat_x0000_"/>
      <sheetName val="선급금신청서"/>
      <sheetName val="A1(구조물)"/>
      <sheetName val="A1(토공)"/>
      <sheetName val="철근집계표"/>
      <sheetName val="GRD郅≙"/>
      <sheetName val="고창방향"/>
      <sheetName val="가로등기초"/>
      <sheetName val="아파트건축"/>
      <sheetName val="맨홀되메우기"/>
      <sheetName val="인입관수량총괄"/>
      <sheetName val="Chart1"/>
      <sheetName val="조건입력"/>
      <sheetName val="자립흙막이"/>
      <sheetName val="흙막이A"/>
      <sheetName val="흙막이B"/>
      <sheetName val="흙막이B (오산운암)"/>
      <sheetName val="흙막이C"/>
      <sheetName val="타이로드 흙막이"/>
      <sheetName val="타이로드 흙막이(근입장2.5M)"/>
      <sheetName val="어스앙카"/>
      <sheetName val="타이로드"/>
      <sheetName val="타이로드(근입장2.5M)"/>
      <sheetName val="pile 항타"/>
      <sheetName val="pile 항타(디젤)"/>
      <sheetName val="pile 항타 A"/>
      <sheetName val="pile 항타 B"/>
      <sheetName val="pile 항타 C"/>
      <sheetName val="pile 인발"/>
      <sheetName val="pile 인발 A"/>
      <sheetName val="pile 인발 B"/>
      <sheetName val="pile 인발 C"/>
      <sheetName val="토류판"/>
      <sheetName val="H-BEAM설치및철거"/>
      <sheetName val="BRACKET"/>
      <sheetName val="20TON TRAILER"/>
      <sheetName val="토류판 (2)"/>
      <sheetName val="SHEET PILE단가"/>
      <sheetName val="공사기간"/>
      <sheetName val="단가 및 재료비"/>
      <sheetName val="단가산출1"/>
      <sheetName val="일일현황"/>
      <sheetName val="Ⅱ1-0타"/>
      <sheetName val="맨홀수량산출(A-LINE)"/>
      <sheetName val="C䈀꼬ԯ"/>
      <sheetName val="일일총괄"/>
      <sheetName val="연돌일위집계"/>
      <sheetName val="0226"/>
      <sheetName val="울산"/>
      <sheetName val="Anti"/>
      <sheetName val="Xunit (단위환산)"/>
      <sheetName val="위치"/>
      <sheetName val="1-1"/>
      <sheetName val="적용단가"/>
      <sheetName val="설계예시"/>
      <sheetName val="양배수장"/>
      <sheetName val="맨홀토공"/>
      <sheetName val="전기일목(조사가)"/>
      <sheetName val="공사내역"/>
      <sheetName val="수목데이타"/>
      <sheetName val="실행내역서(DCU)"/>
      <sheetName val="제경비율"/>
      <sheetName val="테이블"/>
      <sheetName val="일위대가(통신)"/>
      <sheetName val="실행(1)"/>
      <sheetName val="소화실적"/>
      <sheetName val="단위별용량계산"/>
      <sheetName val="광통신 견적내역서1"/>
      <sheetName val="잡철물"/>
      <sheetName val="EJ"/>
      <sheetName val="당초"/>
      <sheetName val="실행(표지,갑,을)"/>
      <sheetName val="8)중점관리장비현황"/>
      <sheetName val="단중"/>
      <sheetName val="전체기준Data"/>
      <sheetName val="울산자동제어"/>
      <sheetName val="일반부표"/>
      <sheetName val="형틀공사"/>
      <sheetName val="사통"/>
      <sheetName val="CIP 공사"/>
      <sheetName val="토량1-1"/>
      <sheetName val="수량산출서 갑지"/>
      <sheetName val="DATA 입력부"/>
      <sheetName val="A"/>
      <sheetName val="식재일위"/>
      <sheetName val="직공비"/>
      <sheetName val="NOMUBI"/>
      <sheetName val="sw1"/>
      <sheetName val="벽체면적당일위대가"/>
      <sheetName val="Mc1"/>
      <sheetName val="주식"/>
      <sheetName val="배명(단가)"/>
      <sheetName val="물량산출근거"/>
      <sheetName val="유림콘도"/>
      <sheetName val="자재co"/>
      <sheetName val="일위대가 (PM)"/>
      <sheetName val="토목-물가"/>
      <sheetName val="1차3회-개소별명세서-빨간색-인쇄용(21873)"/>
      <sheetName val="중기사용료산출근거"/>
      <sheetName val="D1.2 COF모듈자재 입출재고 (B급)"/>
      <sheetName val="동업계매출속보"/>
      <sheetName val="제잡비"/>
      <sheetName val="대가표(품셈)"/>
      <sheetName val="샌딩 에폭시 도장"/>
      <sheetName val="1-1.현장정리"/>
      <sheetName val="1-2.토공"/>
      <sheetName val="1-3.WMM,GSB"/>
      <sheetName val="1-4.BITUMINOUS COURSE"/>
      <sheetName val="1-5.BOX CULVERTS"/>
      <sheetName val="1-6.BRIDGE"/>
      <sheetName val="1-7.DRAINAGE"/>
      <sheetName val="1-8.TRAFFIC"/>
      <sheetName val="1-9.MISCELLANEOUS"/>
      <sheetName val="1-10.ELECTRICAL"/>
      <sheetName val="1-12.도급외항목"/>
      <sheetName val="일위대가단가표"/>
      <sheetName val="FAB별"/>
      <sheetName val="학생내역"/>
      <sheetName val="설계명세"/>
      <sheetName val="산출금액내역"/>
      <sheetName val="database"/>
      <sheetName val="Macro(전동기)"/>
      <sheetName val="일반수량"/>
      <sheetName val="1공구_건정토건_토공1"/>
      <sheetName val="1공구_건정토건_철콘1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토__목1"/>
      <sheetName val="조__경1"/>
      <sheetName val="전_기1"/>
      <sheetName val="건__축1"/>
      <sheetName val="보도내역_(3)1"/>
      <sheetName val="4_내진설계"/>
      <sheetName val="마감사양"/>
      <sheetName val="건축토목실행내역"/>
      <sheetName val="출장내역"/>
      <sheetName val="XL4Poppy"/>
      <sheetName val="10동"/>
      <sheetName val="5사남"/>
      <sheetName val="C-노임단가"/>
      <sheetName val="전계가"/>
      <sheetName val="식재"/>
      <sheetName val="시설물"/>
      <sheetName val="식재출력용"/>
      <sheetName val="유지관리"/>
      <sheetName val="아파트-가설"/>
      <sheetName val="연부97-1"/>
      <sheetName val="SUB일위대가"/>
      <sheetName val="평자재단가"/>
      <sheetName val="방송(체육관)"/>
      <sheetName val="동원(3)"/>
      <sheetName val="측구공"/>
      <sheetName val="시운전연료"/>
      <sheetName val="1.3.1절점좌표"/>
      <sheetName val="1.1설계기준"/>
      <sheetName val="증감분석"/>
      <sheetName val="말고개터널조명전압강하"/>
      <sheetName val="2000.05"/>
      <sheetName val="남양시작동010313100%"/>
      <sheetName val="투찰내역서"/>
      <sheetName val="1_수인터널1"/>
      <sheetName val="AS포장복구_1"/>
      <sheetName val="2_대외공문1"/>
      <sheetName val="설_계1"/>
      <sheetName val="CIP_공사"/>
      <sheetName val="_총괄표"/>
      <sheetName val="인건비_"/>
      <sheetName val="전차선로_물량표"/>
      <sheetName val="96보완계획7_12"/>
      <sheetName val="콤보박스와_리스트박스의_연결"/>
      <sheetName val="제잡비_xls"/>
      <sheetName val="3BL공동구_수량"/>
      <sheetName val="부대입찰_내역서"/>
      <sheetName val="2_고용보험료산출근거"/>
      <sheetName val="현장지지물물량"/>
      <sheetName val="입찰내역"/>
      <sheetName val="내역서당초"/>
      <sheetName val="내역서변경성원"/>
      <sheetName val="근로자자료입력"/>
      <sheetName val="참고자료"/>
      <sheetName val="변경후-SHEET"/>
      <sheetName val="1.본부별"/>
      <sheetName val="000000"/>
      <sheetName val="상수도토공집계표"/>
      <sheetName val="기본DATA"/>
      <sheetName val="공통자료"/>
      <sheetName val="안전시설내역서"/>
      <sheetName val="구조물"/>
      <sheetName val="FI원가_1"/>
      <sheetName val="cable-data"/>
      <sheetName val="노무비산출"/>
      <sheetName val="기초입력 DATA"/>
      <sheetName val="#3E1_GCR"/>
      <sheetName val="소소총괄표"/>
      <sheetName val="1공구_건정토건_토공2"/>
      <sheetName val="구단"/>
      <sheetName val="배수문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1_수인터널2"/>
      <sheetName val="AS포장복구_2"/>
      <sheetName val="2_대외공문2"/>
      <sheetName val="설_계2"/>
      <sheetName val="내역(최종본4_5)2"/>
      <sheetName val="Sheet1_(2)1"/>
      <sheetName val="0_0ControlSheet2"/>
      <sheetName val="0_1keyAssumption2"/>
      <sheetName val="부대입찰_내역서1"/>
      <sheetName val="전차선로_물량표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내역(최종본4_5)1"/>
      <sheetName val="0_0ControlSheet1"/>
      <sheetName val="0_1keyAssumption1"/>
      <sheetName val="토공(우물통,기타)_"/>
      <sheetName val="Eq__Mobilization"/>
      <sheetName val="원가계산_(2)"/>
      <sheetName val="현장별계약현황('98_10_31)"/>
      <sheetName val="원본"/>
      <sheetName val="EQUIP LIST"/>
      <sheetName val="교각"/>
      <sheetName val="내부마감"/>
      <sheetName val="간접재료비산출표-27-30"/>
      <sheetName val="1안"/>
      <sheetName val="첨부1-1"/>
      <sheetName val="빙설"/>
      <sheetName val="가중치"/>
      <sheetName val="분전반일위대가"/>
      <sheetName val="단양 00 아파트-세부내역"/>
      <sheetName val="상호참고자료"/>
      <sheetName val="발주처자료입력"/>
      <sheetName val="회사기본자료"/>
      <sheetName val="하자보증자료"/>
      <sheetName val="기술자관련자료"/>
      <sheetName val="빙100장비사양"/>
      <sheetName val="본사인상전"/>
      <sheetName val="4.장비손료"/>
      <sheetName val="내역및원가02"/>
      <sheetName val="TYPE1"/>
      <sheetName val="배선(낙차)"/>
      <sheetName val="SF내역및원가02"/>
      <sheetName val="산출기준(파견전산실)"/>
      <sheetName val="정의"/>
      <sheetName val="재활용 악취_먼지DUCT산출"/>
      <sheetName val="항목지정"/>
      <sheetName val="기기리스트"/>
      <sheetName val="시설물기초"/>
      <sheetName val="산출근거(S4)"/>
      <sheetName val="경비산출"/>
      <sheetName val="다곡2교"/>
      <sheetName val="공정코드"/>
      <sheetName val="현장식당(1)"/>
      <sheetName val="쌍송교"/>
      <sheetName val="입력그림"/>
      <sheetName val="정부노임"/>
      <sheetName val="흄관기초"/>
      <sheetName val="부산제일극장"/>
      <sheetName val="수주현황2월"/>
      <sheetName val="1F"/>
      <sheetName val="NAIL단가산출"/>
      <sheetName val="제거식EA"/>
      <sheetName val="이자율"/>
      <sheetName val="DATA2000"/>
      <sheetName val="5.정산서"/>
      <sheetName val="포장직선구간"/>
      <sheetName val="입력값"/>
      <sheetName val="설계기준 및 하중계산"/>
      <sheetName val="1-1호"/>
      <sheetName val="원내역서 그대로"/>
      <sheetName val="01"/>
      <sheetName val="은행"/>
      <sheetName val="예산M12A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내역총괄"/>
      <sheetName val="내역총괄2"/>
      <sheetName val="내역총괄3"/>
      <sheetName val="예총"/>
      <sheetName val="1062-X방향 "/>
      <sheetName val="품셈(기초)"/>
      <sheetName val="식재일위대가"/>
      <sheetName val="기초일위대가"/>
      <sheetName val="부대공자재집계표"/>
      <sheetName val="집계표(공종별)"/>
      <sheetName val="현금흐름"/>
      <sheetName val="교통표지판수량집계표"/>
      <sheetName val="작성"/>
      <sheetName val="예정(3)"/>
      <sheetName val="원남"/>
      <sheetName val="원가계산(조,투,실)"/>
      <sheetName val="관리비"/>
      <sheetName val="조사가추정"/>
      <sheetName val="업체"/>
      <sheetName val="대비집계장(견적)"/>
      <sheetName val="설계집계장"/>
      <sheetName val="실행집계장"/>
      <sheetName val="투찰집계장"/>
      <sheetName val="♣총괄내역서♣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PROJECT BRIEF"/>
      <sheetName val="969910( R)"/>
      <sheetName val="가시설(TYPE-A)"/>
      <sheetName val="1-1평균터파기고(1)"/>
      <sheetName val="계약서"/>
      <sheetName val="옹벽단면치수"/>
      <sheetName val="관리"/>
      <sheetName val="적정"/>
      <sheetName val="하도"/>
      <sheetName val="별지"/>
      <sheetName val="보링"/>
      <sheetName val="철물"/>
      <sheetName val="철강재"/>
      <sheetName val="견적내역"/>
      <sheetName val="합의서"/>
      <sheetName val="포장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가시설수량"/>
      <sheetName val="가시설단위수량"/>
      <sheetName val="SORCE1"/>
      <sheetName val="현장업무"/>
      <sheetName val="품셈표"/>
      <sheetName val="신복2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DB"/>
      <sheetName val="건축"/>
      <sheetName val="공주방향"/>
      <sheetName val="5호광장_(만점)"/>
      <sheetName val="인천국제_(만점)_(2)"/>
      <sheetName val="배수공_시멘트_및_골재량_산출"/>
      <sheetName val="대운산출"/>
      <sheetName val="산3_4"/>
      <sheetName val="공통비"/>
      <sheetName val="VENDOR LIST"/>
      <sheetName val="손익분석"/>
      <sheetName val="대비표"/>
      <sheetName val="주공기준"/>
      <sheetName val="수정계획3"/>
      <sheetName val="CԀ_x0000_缀"/>
      <sheetName val="회사정보"/>
      <sheetName val="본실행경비"/>
      <sheetName val="Sikje_inĴ¾_x0000_"/>
      <sheetName val="GRD⍠も"/>
      <sheetName val="고암DATA"/>
      <sheetName val="업체별기성"/>
      <sheetName val="표준차도부연장집계-ASP"/>
      <sheetName val="갑"/>
      <sheetName val="사유서제출현황-2"/>
      <sheetName val="J"/>
      <sheetName val="월별수입"/>
      <sheetName val="연장및면적(좌측)"/>
      <sheetName val="2련간지"/>
      <sheetName val="안정검토"/>
      <sheetName val="기존단가 (2)"/>
      <sheetName val="인력터파기품"/>
      <sheetName val="운동장 (2)"/>
      <sheetName val="일대목록표"/>
      <sheetName val="외주대비 ᨀ晙ԯ"/>
      <sheetName val="목창호"/>
      <sheetName val="배수관연장조서"/>
      <sheetName val="유통간부"/>
      <sheetName val="장기"/>
      <sheetName val="4_경비_5_영업외수지"/>
      <sheetName val="_견적서"/>
      <sheetName val="장비당단가_(1)"/>
      <sheetName val="Sheet2_(2)"/>
      <sheetName val="광통신_견적내역서1"/>
      <sheetName val="unit_4"/>
      <sheetName val="별표_"/>
      <sheetName val="수_량_명_세_서_-_1"/>
      <sheetName val="2_건축"/>
      <sheetName val="공정표_"/>
      <sheetName val="프라임_강변역(4,236)"/>
      <sheetName val="내___역"/>
      <sheetName val="2000년_공정표"/>
      <sheetName val="5_2코핑"/>
      <sheetName val="P_M_별"/>
      <sheetName val="수량산출서_갑지"/>
      <sheetName val="DATA_입력부"/>
      <sheetName val="UR2-Calculation"/>
      <sheetName val="중기쥰종사 단위단가"/>
      <sheetName val="배명(단가柖"/>
      <sheetName val="FANDBS"/>
      <sheetName val="GRDATA"/>
      <sheetName val="SHAFTDBSE"/>
      <sheetName val="일반관리비전체분당초변경대비표"/>
      <sheetName val="사용계획"/>
      <sheetName val="지급수수료월별금액산정"/>
      <sheetName val="공사수행보고"/>
      <sheetName val="BOJUNGGM"/>
      <sheetName val="일반물자(한국통신)"/>
      <sheetName val="108.수선비"/>
      <sheetName val="예산대비"/>
      <sheetName val="예산조서"/>
      <sheetName val="99 조정금액"/>
      <sheetName val="주요재료비(원본)"/>
      <sheetName val="시약"/>
      <sheetName val="설계카드"/>
      <sheetName val="공사설명서"/>
      <sheetName val="공사계획서"/>
      <sheetName val="변경증감내역서"/>
      <sheetName val="보험료산출"/>
      <sheetName val="2F 회의실견적(5_14 일대)"/>
      <sheetName val="한성교회 신축공사(050713)_CheckList"/>
      <sheetName val="사진"/>
      <sheetName val="Trend(Agitator)"/>
      <sheetName val="L형옹벽"/>
      <sheetName val="포장절단"/>
      <sheetName val="1호맨홀토공"/>
      <sheetName val="Sight n M.H"/>
      <sheetName val="포장수량집계"/>
      <sheetName val="(C)원내역"/>
      <sheetName val="터널조도"/>
      <sheetName val="3차토목내역"/>
      <sheetName val="표층포설및다짐"/>
      <sheetName val="참조-(1)"/>
      <sheetName val="외주가공"/>
      <sheetName val="횡날개수집"/>
      <sheetName val="경비 (1)"/>
      <sheetName val="성서방향-교대(A2)"/>
      <sheetName val="편성절차"/>
      <sheetName val="2002자금수지계획(진행+신규)"/>
      <sheetName val="2변경1"/>
      <sheetName val="중기단가"/>
      <sheetName val="전도품의"/>
      <sheetName val="영동(D)"/>
      <sheetName val="총괄집계 "/>
      <sheetName val="15100"/>
      <sheetName val="산출근거#2-3"/>
      <sheetName val="전국현황"/>
      <sheetName val="상가지급현황"/>
      <sheetName val="배수장토목공사비"/>
      <sheetName val="자금총괄"/>
      <sheetName val="전도금정산서(27)"/>
      <sheetName val="말뚝기초(안정검토)-외측"/>
      <sheetName val="일위대가-01"/>
      <sheetName val="다중모드"/>
      <sheetName val="도"/>
      <sheetName val="단위수량산출"/>
      <sheetName val="Piping Design Data"/>
      <sheetName val="4 &amp; 10-inch, CO2 Combo &amp; Sweep"/>
      <sheetName val="__MAIN"/>
      <sheetName val="과천MAIN"/>
      <sheetName val="1호맨홀가감수량"/>
      <sheetName val="ilch"/>
      <sheetName val="ASALTOTA"/>
      <sheetName val="용집"/>
      <sheetName val="상행-교대(A1-A2)"/>
      <sheetName val="총수량집계표"/>
      <sheetName val="strut type"/>
      <sheetName val="매출요약(월별) -년간"/>
      <sheetName val="Table"/>
      <sheetName val="미드수량"/>
      <sheetName val="배관물량집계(기본)"/>
      <sheetName val="수문보고"/>
      <sheetName val="옥외"/>
      <sheetName val="工완성공사율"/>
      <sheetName val="1차설계Ꮗԯ_x0000_"/>
      <sheetName val="1차설계逷≙_xdc00_≙"/>
      <sheetName val="-15.0"/>
      <sheetName val="토지산출내역"/>
      <sheetName val="P_x0005_"/>
      <sheetName val="P嘐"/>
      <sheetName val="48_x0005__x0000_"/>
      <sheetName val="울산시산표"/>
      <sheetName val="암거"/>
      <sheetName val="공정표_1"/>
      <sheetName val="장비당단가_(1)1"/>
      <sheetName val="Sheet2_(2)1"/>
      <sheetName val="별표_1"/>
      <sheetName val="2_건축1"/>
      <sheetName val="수_량_명_세_서_-_11"/>
      <sheetName val="DC"/>
      <sheetName val="1공구_건정토건_토공3"/>
      <sheetName val="1공구_건정토건_철콘3"/>
      <sheetName val="도급표지_3"/>
      <sheetName val="도급표지__(4)3"/>
      <sheetName val="부대표지_(4)3"/>
      <sheetName val="도급표지__(3)3"/>
      <sheetName val="부대표지_(3)3"/>
      <sheetName val="도급표지__(2)3"/>
      <sheetName val="부대표지_(2)3"/>
      <sheetName val="토__목3"/>
      <sheetName val="조__경3"/>
      <sheetName val="전_기3"/>
      <sheetName val="건__축3"/>
      <sheetName val="보도내역_(3)3"/>
      <sheetName val="준검_내역서3"/>
      <sheetName val="1_수인터널3"/>
      <sheetName val="6PILE__(돌출)3"/>
      <sheetName val="0_0ControlSheet3"/>
      <sheetName val="0_1keyAssumption3"/>
      <sheetName val="2_대외공문3"/>
      <sheetName val="설_계3"/>
      <sheetName val="Sheet1_(2)2"/>
      <sheetName val="AS포장복구_3"/>
      <sheetName val="내역(최종본4_5)3"/>
      <sheetName val="입출재고현황_(2)2"/>
      <sheetName val="96보완계획7_122"/>
      <sheetName val="1_취수장2"/>
      <sheetName val="_총괄표2"/>
      <sheetName val="전차선로_물량표2"/>
      <sheetName val="BSD_(2)2"/>
      <sheetName val="4_내진설계2"/>
      <sheetName val="인건비_2"/>
      <sheetName val="1__설계조건_2_단면가정_3__하중계산2"/>
      <sheetName val="DATA_입력란2"/>
      <sheetName val="2_고용보험료산출근거2"/>
      <sheetName val="노원열병합__건축공사기성내역서2"/>
      <sheetName val="제잡비_xls2"/>
      <sheetName val="3BL공동구_수량2"/>
      <sheetName val="부대입찰_내역서2"/>
      <sheetName val="토공(우물통,기타)_2"/>
      <sheetName val="현장별계약현황('98_10_31)2"/>
      <sheetName val="실행내역서_2"/>
      <sheetName val="원가계산_(2)2"/>
      <sheetName val="Eq__Mobilization2"/>
      <sheetName val="1_설계조건2"/>
      <sheetName val="플랜트_설치2"/>
      <sheetName val="콤보박스와_리스트박스의_연결2"/>
      <sheetName val="현장관리비_산출내역2"/>
      <sheetName val="설내역서_1"/>
      <sheetName val="CIP_공사1"/>
      <sheetName val="2_교량(신설)"/>
      <sheetName val="4_장비손료"/>
      <sheetName val="2000_05"/>
      <sheetName val="1_3_1절점좌표"/>
      <sheetName val="1_1설계기준"/>
      <sheetName val="단양_00_아파트-세부내역"/>
      <sheetName val="EQUIP_LIST"/>
      <sheetName val="5_정산서"/>
      <sheetName val="1_본부별"/>
      <sheetName val="기초입력_DATA"/>
      <sheetName val="재활용_악취_먼지DUCT산출"/>
      <sheetName val="현장관리비내역서"/>
      <sheetName val="단면설계"/>
      <sheetName val="단Ⰰ비교표"/>
      <sheetName val="실唉내역서"/>
      <sheetName val="㋨가산출서"/>
      <sheetName val="시噔점쉤행"/>
      <sheetName val="횡배수ⴀ토공수량"/>
      <sheetName val="공䠜구간조서"/>
      <sheetName val="배수턵관(䢌)"/>
      <sheetName val="공㬸(신)"/>
      <sheetName val="강ⵐ(Sub)"/>
      <sheetName val="준걵조서Ⱁ지"/>
      <sheetName val="9GNG옴반"/>
      <sheetName val="㶀하(성남)"/>
      <sheetName val="부啘계산서"/>
      <sheetName val="冠사(PE)"/>
      <sheetName val="몰큈재료䂰출"/>
      <sheetName val="䣐_x0000__x0000_갑쥀)"/>
      <sheetName val="䴝괄내역서"/>
      <sheetName val="Nೃ拏-職"/>
      <sheetName val="㏄급표지_"/>
      <sheetName val="부㌀표지_(4)"/>
      <sheetName val="부㌀표지_(3)"/>
      <sheetName val="㶀대표지_(2)"/>
      <sheetName val="보㏄내역_(3)"/>
      <sheetName val="준Ⲁ_내역서"/>
      <sheetName val="⳵사비총ⴄ표"/>
      <sheetName val="1.䷨수장"/>
      <sheetName val="2000ㅄ하반기"/>
      <sheetName val="인ⱴ-측정"/>
      <sheetName val="4.뀴진설Ⳅ"/>
      <sheetName val="type-H"/>
      <sheetName val="4)䠠동표"/>
      <sheetName val="배ⴀ단가조사서"/>
      <sheetName val="䡼위대가(가설)"/>
      <sheetName val="䠑속도로1"/>
      <sheetName val="견䠁대비표"/>
      <sheetName val="교㌀(A1)"/>
      <sheetName val="부윬력정㦬"/>
      <sheetName val="전䰨선로 물량표"/>
      <sheetName val="COPINH"/>
      <sheetName val="공䠅별산출뀴역서"/>
      <sheetName val="䡼위(PN)"/>
      <sheetName val="전기일䠄대가"/>
      <sheetName val="전쉠환매도율"/>
      <sheetName val="䄤직윬-1"/>
      <sheetName val="현噩CODE"/>
      <sheetName val="䈘자䢬단위당"/>
      <sheetName val="일䠄대가(1)"/>
      <sheetName val="Ⰰ격조사서"/>
      <sheetName val="㶀대입찰 내역서"/>
      <sheetName val="자윬집계呜"/>
      <sheetName val="소일위대가코드표"/>
      <sheetName val="심사"/>
      <sheetName val="도급내역"/>
      <sheetName val="사  업  비  수  지  예  산  서"/>
      <sheetName val="시가지우회도로공내역서"/>
      <sheetName val="사다리"/>
      <sheetName val="중기일위대밀"/>
      <sheetName val="현금흐름표"/>
      <sheetName val="07제품별수익성"/>
      <sheetName val="총체보활공정표"/>
      <sheetName val="철골공사"/>
      <sheetName val="수장"/>
      <sheetName val="상세도"/>
      <sheetName val="지구단위계획"/>
      <sheetName val="hvac(제어동)"/>
      <sheetName val="5.2.6~7공사요율"/>
      <sheetName val="Sikje_in_x0005__x0000_"/>
      <sheetName val="조인트"/>
      <sheetName val="데리네И̏䨸ɟ"/>
      <sheetName val="5월건강보험(일용직)"/>
      <sheetName val="04.12월건강보험(일용직)"/>
      <sheetName val="SAMPLE!"/>
      <sheetName val="투자예산"/>
      <sheetName val="견적서갑지연속"/>
      <sheetName val="(A)내역서"/>
      <sheetName val="분뇨"/>
      <sheetName val="06 일위대가목록"/>
      <sheetName val="O＆P"/>
      <sheetName val="PAD TR보호대기초"/>
      <sheetName val="GI-LIST"/>
      <sheetName val="중기사용료 (2)"/>
      <sheetName val="산출0"/>
      <sheetName val="맨홀_공사비"/>
      <sheetName val="기본정보"/>
      <sheetName val="라이신_NML"/>
      <sheetName val="PRO_DCI"/>
      <sheetName val="INST_DCI"/>
      <sheetName val="HVAC_DCI"/>
      <sheetName val="PIPE_DCI"/>
      <sheetName val="①idea pipeline"/>
      <sheetName val="Comps"/>
      <sheetName val="교육훈련비6"/>
      <sheetName val="ver2"/>
      <sheetName val="IMP 통일양식"/>
      <sheetName val="LYS 통일양식"/>
      <sheetName val="TB(BS)"/>
      <sheetName val="TB(PL)"/>
      <sheetName val="patch"/>
      <sheetName val="유통기한 프로그램"/>
      <sheetName val="배부전"/>
      <sheetName val="일위(열차무선)"/>
      <sheetName val="구의동공내역서"/>
      <sheetName val="__"/>
      <sheetName val="7월11일"/>
      <sheetName val="안전장치"/>
      <sheetName val="보도내 _x0000__x0000_䪾"/>
      <sheetName val="비용"/>
      <sheetName val="리스트"/>
      <sheetName val="건축공사실행"/>
      <sheetName val="건축원가"/>
      <sheetName val="1차 내역서"/>
      <sheetName val="물량내역서"/>
      <sheetName val="기초목"/>
      <sheetName val="입찰견적보고서"/>
      <sheetName val="정산내역"/>
      <sheetName val="입력데이타(비É"/>
      <sheetName val="외주대비 -석É"/>
      <sheetName val="근로자명단2013"/>
      <sheetName val="데리네鶈㇨ᓣ"/>
      <sheetName val="관급현황"/>
      <sheetName val="기술조건"/>
      <sheetName val="1.내역(청.하역장전등)"/>
      <sheetName val="정화조"/>
      <sheetName val="투자효율분석"/>
      <sheetName val="판정1교토공"/>
      <sheetName val="2.원가집계"/>
      <sheetName val="99년원가"/>
      <sheetName val="FAX"/>
      <sheetName val="Macro4"/>
      <sheetName val="특별땅고르기"/>
      <sheetName val="내역(최종본浳き_x0000__x0000_"/>
      <sheetName val="내역(최종본浳⿢_x0000__x0000_"/>
      <sheetName val="내역(최종본浳ぁ_x0000__x0000_"/>
      <sheetName val="직접공사비"/>
      <sheetName val="inputdata"/>
      <sheetName val="도수로수량산출"/>
      <sheetName val="공사비예산서"/>
      <sheetName val="산출"/>
      <sheetName val="예산조서(전송)"/>
      <sheetName val="기성"/>
      <sheetName val="설원"/>
      <sheetName val="산출(1~20)"/>
      <sheetName val="신고조서"/>
      <sheetName val="인건蠉"/>
      <sheetName val="기본자료(실행)"/>
      <sheetName val="제품현황"/>
      <sheetName val="05 유류비자금청구(완)"/>
      <sheetName val="SPEC"/>
      <sheetName val="10.경제성분석"/>
      <sheetName val="SCH"/>
      <sheetName val="산근(1)"/>
      <sheetName val="장척총괄"/>
      <sheetName val="참고"/>
      <sheetName val="4월예정공정표"/>
      <sheetName val="가격"/>
      <sheetName val="2.1"/>
      <sheetName val="청 구"/>
      <sheetName val="철거폐쇄현황"/>
      <sheetName val="암거(2)"/>
      <sheetName val="단지배치도"/>
      <sheetName val="입찰유의사항"/>
      <sheetName val="하도급이행사항"/>
      <sheetName val="공내역 및 견적조건"/>
      <sheetName val="특수조건"/>
      <sheetName val="참석확인"/>
      <sheetName val="검토현황"/>
      <sheetName val="증감내역"/>
      <sheetName val="교각별철근수량집계표"/>
      <sheetName val="출력X"/>
      <sheetName val="6동"/>
      <sheetName val="포장공사"/>
      <sheetName val="통합"/>
      <sheetName val="기계 도급내역서"/>
      <sheetName val="철탑공사"/>
      <sheetName val="경성자금"/>
      <sheetName val="수전기기DATA"/>
      <sheetName val="ETC"/>
      <sheetName val="일위대가1"/>
      <sheetName val="7.전산해석결과"/>
      <sheetName val="4.하중"/>
      <sheetName val="T기성9605"/>
      <sheetName val="비교표"/>
      <sheetName val="kimre scrubber"/>
      <sheetName val="미장"/>
      <sheetName val="PĴ"/>
      <sheetName val="Pꮸ"/>
      <sheetName val="P估"/>
      <sheetName val="quotation"/>
      <sheetName val="기성금내역서"/>
      <sheetName val="MIJIBI"/>
      <sheetName val="내역서(총)"/>
      <sheetName val="TCDB"/>
      <sheetName val=" ｹ-ﾌﾞﾙ"/>
      <sheetName val="01AC"/>
      <sheetName val="문학간접"/>
      <sheetName val="품목"/>
      <sheetName val="전기2005"/>
      <sheetName val="1월"/>
      <sheetName val="세부항목"/>
      <sheetName val="출력자료"/>
      <sheetName val="Balance"/>
      <sheetName val="제안실적sum조회"/>
      <sheetName val="FRP PIPING 일위대가"/>
      <sheetName val="경비공통"/>
      <sheetName val="전체공사"/>
      <sheetName val="내역(가지)"/>
      <sheetName val="신평리 권리자명부"/>
      <sheetName val="수완하도"/>
      <sheetName val="김포내역"/>
      <sheetName val="2004노형교"/>
      <sheetName val="Macro3"/>
      <sheetName val="용수간선"/>
      <sheetName val="평균높이산출근거"/>
      <sheetName val="횡배수관위치조서"/>
      <sheetName val="ESC(K치)"/>
      <sheetName val="도급내역서"/>
      <sheetName val="관리비비계상"/>
      <sheetName val="콘센트신설"/>
      <sheetName val="97 사업추정(WEKI)"/>
      <sheetName val="품종코드"/>
      <sheetName val="CAPVC"/>
      <sheetName val="기초단가일람표"/>
      <sheetName val="태안9)3-2)원내역"/>
      <sheetName val="맨홀"/>
      <sheetName val="JJ"/>
      <sheetName val="인적사항"/>
      <sheetName val="납부서"/>
      <sheetName val="견적颙⿬_x0005_"/>
      <sheetName val="견적颙⿶_x0005_"/>
      <sheetName val="견적_x0005__x0000_"/>
      <sheetName val="견적叐E吜"/>
      <sheetName val="견적颙』_x0005_"/>
      <sheetName val="EACT10"/>
      <sheetName val="차선"/>
      <sheetName val="차조서"/>
      <sheetName val="L형옹벽(key)"/>
      <sheetName val="자재비"/>
      <sheetName val="기초공"/>
      <sheetName val="흄관기鬀"/>
      <sheetName val="토  공"/>
      <sheetName val="신규단가산출"/>
      <sheetName val="날개벽(좌,우=45도,75도)"/>
      <sheetName val="죽원1교"/>
      <sheetName val="참조자료"/>
      <sheetName val="일반수량집계표"/>
      <sheetName val="대동교-단면(무장)"/>
      <sheetName val="라멘수량(무장)"/>
      <sheetName val="대동교-단면(아산)"/>
      <sheetName val="토공집계표"/>
      <sheetName val="토공시점"/>
      <sheetName val="토공종점"/>
      <sheetName val="주공 갑지"/>
      <sheetName val="점ᥰ@띘"/>
      <sheetName val="점ᤠ@띘"/>
      <sheetName val="점៰2띘"/>
      <sheetName val="여흥"/>
      <sheetName val="경율산정.XLS"/>
      <sheetName val="RD제품개발투자비(매가)"/>
      <sheetName val="예산"/>
      <sheetName val="grid (1)"/>
      <sheetName val="공사개요-C"/>
      <sheetName val="도급표지É_x0000__x0000__x0001_Ԁ"/>
      <sheetName val="일위목록-기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ELECTR蔨ũ"/>
      <sheetName val="계림(함평)"/>
      <sheetName val="계림(장성)"/>
      <sheetName val="직재"/>
      <sheetName val="마스터02"/>
      <sheetName val="GC산출"/>
      <sheetName val="건축일"/>
      <sheetName val="일위수량"/>
      <sheetName val="PTVT (MAU)"/>
      <sheetName val="Cable임피던스"/>
      <sheetName val="내역서-설비"/>
      <sheetName val="산출내력"/>
      <sheetName val="8월차잔"/>
      <sheetName val="시설이용권명세서"/>
      <sheetName val="특기시방서"/>
      <sheetName val="간이연락"/>
      <sheetName val="전도금청구서"/>
      <sheetName val="2월"/>
      <sheetName val="125x125"/>
      <sheetName val="TOSHIBA-Structure"/>
      <sheetName val="tra-vat-lieu"/>
      <sheetName val="Div26 - Elect"/>
      <sheetName val="SITE-E"/>
      <sheetName val="cong thuc tinh chi tiet"/>
      <sheetName val="00000000"/>
      <sheetName val="Quantity"/>
      <sheetName val="NOTE"/>
      <sheetName val="THVT"/>
      <sheetName val="하도내역_(철콘)2"/>
      <sheetName val="조건표_(2)2"/>
      <sheetName val="목차_2"/>
      <sheetName val="7__현장관리비_2"/>
      <sheetName val="노무비_근거2"/>
      <sheetName val="임율_Data2"/>
      <sheetName val="1_설계기준2"/>
      <sheetName val="구조______1"/>
      <sheetName val="노무비_1"/>
      <sheetName val="화재_탐지_설비1"/>
      <sheetName val="Customer_Databas1"/>
      <sheetName val="4_LINE1"/>
      <sheetName val="7_th1"/>
      <sheetName val="_갑지1"/>
      <sheetName val="4_경비_5_영업외수지1"/>
      <sheetName val="_견적서1"/>
      <sheetName val="4_일위대가집계1"/>
      <sheetName val="내역서_제출1"/>
      <sheetName val="A_LINE1"/>
      <sheetName val="5__현장관리비(new)_1"/>
      <sheetName val="할증_1"/>
      <sheetName val="방배동내역_(총괄)1"/>
      <sheetName val="간_지11"/>
      <sheetName val="5__현장관리비_new__1"/>
      <sheetName val="Temporary_Mooring1"/>
      <sheetName val="7_PILE__(돌출)1"/>
      <sheetName val="총_원가계산1"/>
      <sheetName val="광통신_견적내역서11"/>
      <sheetName val="unit_41"/>
      <sheetName val="프라임_강변역(4,236)1"/>
      <sheetName val="내___역1"/>
      <sheetName val="집_계_표1"/>
      <sheetName val="2000년_공정표1"/>
      <sheetName val="5_2코핑1"/>
      <sheetName val="배수공_시멘트_및_골재량_산출1"/>
      <sheetName val="P_M_별1"/>
      <sheetName val="수량산출서_갑지1"/>
      <sheetName val="DATA_입력부1"/>
      <sheetName val="일위대가_(PM)"/>
      <sheetName val="중기쥰종사_단위단가"/>
      <sheetName val="1-1_현장정리"/>
      <sheetName val="1-2_토공"/>
      <sheetName val="1-3_WMM,GSB"/>
      <sheetName val="1-4_BITUMINOUS_COURSE"/>
      <sheetName val="1-5_BOX_CULVERTS"/>
      <sheetName val="1-6_BRIDGE"/>
      <sheetName val="1-7_DRAINAGE"/>
      <sheetName val="1-8_TRAFFIC"/>
      <sheetName val="1-9_MISCELLANEOUS"/>
      <sheetName val="1-10_ELECTRICAL"/>
      <sheetName val="1-12_도급외항목"/>
      <sheetName val="4_2_1_마루높이_검토"/>
      <sheetName val="BOX_본체"/>
      <sheetName val="STEEL_BOX_단면설계(SEC_8)"/>
      <sheetName val="6_이토처리시간"/>
      <sheetName val="울진항공등화_내역서"/>
      <sheetName val="영흥TL(UP,DOWN)_"/>
      <sheetName val="일_위_대_가_표"/>
      <sheetName val="PTVT_(MAU)"/>
      <sheetName val="1차_내역서"/>
      <sheetName val="MP_MOB"/>
      <sheetName val="원내역서_그대로"/>
      <sheetName val="남양시작동자105노65기1_3화1_2"/>
      <sheetName val="관음목장(제출용)자105인97_5"/>
      <sheetName val="전체내역_(2)"/>
      <sheetName val="Hyundai_Unit_cost_xls"/>
      <sheetName val="TABLE_DB"/>
      <sheetName val="쌍용_data_base"/>
      <sheetName val="969910(_R)"/>
      <sheetName val="1062-X방향_"/>
      <sheetName val="PROJECT_BRIEF"/>
      <sheetName val="①idea_pipeline"/>
      <sheetName val="IMP_통일양식"/>
      <sheetName val="LYS_통일양식"/>
      <sheetName val="Xunit_(단위환산)"/>
      <sheetName val="유통기한_프로그램"/>
      <sheetName val="고객사 관리 코드"/>
      <sheetName val="표지_(3)3"/>
      <sheetName val="표지_(2)3"/>
      <sheetName val="교각집계_(2)3"/>
      <sheetName val="교각토공_(2)3"/>
      <sheetName val="교각철근_(2)3"/>
      <sheetName val="외주대비_-석축3"/>
      <sheetName val="외주대비-구조물_(2)3"/>
      <sheetName val="견적표지_(3)3"/>
      <sheetName val="_HIT-&gt;HMC_견적(3900)3"/>
      <sheetName val="일__위__대__가__목__록3"/>
      <sheetName val="6__안전관리비4"/>
      <sheetName val="HRSG_SMALL072203"/>
      <sheetName val="교각토공__2_3"/>
      <sheetName val="3_공통공사대비3"/>
      <sheetName val="97년_추정3"/>
      <sheetName val="8_현장관리비2"/>
      <sheetName val="7_안전관리비2"/>
      <sheetName val="2차전체변경예정_(2)2"/>
      <sheetName val="단면_(2)2"/>
      <sheetName val="8_PILE__(돌출)2"/>
      <sheetName val="토공유동표(전체_당초)2"/>
      <sheetName val="b_balju_(2)2"/>
      <sheetName val="중기조종사_단위단가2"/>
      <sheetName val="2_2_오피스텔(12~32F)1"/>
      <sheetName val="일위대가_집계표1"/>
      <sheetName val="6__안전관리비5"/>
      <sheetName val="자__재1"/>
      <sheetName val="개인별_순위표1"/>
      <sheetName val="CM_11"/>
      <sheetName val="기술부_VENDOR_LIST1"/>
      <sheetName val="단계별내역_(2)1"/>
      <sheetName val="제출내역_(2)1"/>
      <sheetName val="2_2_띠장의_설계1"/>
      <sheetName val="9_1지하2층하부보1"/>
      <sheetName val="4_일위대가1"/>
      <sheetName val="명일작업계획_(3)"/>
      <sheetName val="내역서_(3)1"/>
      <sheetName val="산출양식_(2)1"/>
      <sheetName val="전체산출내역서갑(변경)_1"/>
      <sheetName val="A_터파기공1"/>
      <sheetName val="B_측·집1"/>
      <sheetName val="배(자·집)_(2)1"/>
      <sheetName val="2_01측·터·집1"/>
      <sheetName val="땅깍·수_(1-1)1"/>
      <sheetName val="0-52_1"/>
      <sheetName val="콘·다_(2)1"/>
      <sheetName val="기·집_(2)1"/>
      <sheetName val="콘·다_(3)1"/>
      <sheetName val="병원내역집계표_(2)1"/>
      <sheetName val="실행총괄_1"/>
      <sheetName val="[IL-3_XLSY갑지1"/>
      <sheetName val="4_일위대가목차1"/>
      <sheetName val="내역_ver1_01"/>
      <sheetName val="2000,9월_일위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단가_"/>
      <sheetName val="변압기_및_발전기_용량"/>
      <sheetName val="조도계산서_(도서)"/>
      <sheetName val="빌딩_안내"/>
      <sheetName val="CABLE_(2)"/>
      <sheetName val="G_R300경비"/>
      <sheetName val="단가대비표_(3)"/>
      <sheetName val="기성내역서(을)_(2)"/>
      <sheetName val="1단계_(2)"/>
      <sheetName val="2_1__노무비_평균단가산출"/>
      <sheetName val="3_공사비(07년노임단가)"/>
      <sheetName val="3_공사비(단가조사표)"/>
      <sheetName val="3_공사비(물량산출표)"/>
      <sheetName val="3_공사비(일위대가표목록)"/>
      <sheetName val="3_공사비(일위대가표)"/>
      <sheetName val="TRE_TABLE"/>
      <sheetName val="Requirement(Work_Crew)"/>
      <sheetName val="진입도로B_(2)"/>
      <sheetName val="수목데이타_"/>
      <sheetName val="2_냉난방설비공사"/>
      <sheetName val="7_자동제어공사"/>
      <sheetName val="중강당_내역"/>
      <sheetName val="기초자료입력및_K치_확인"/>
      <sheetName val="실행내역_"/>
      <sheetName val="자재_단가_비교표(견적)"/>
      <sheetName val="자재_단가_비교표"/>
      <sheetName val="Bid_Summary"/>
      <sheetName val="이동시_예상비용"/>
      <sheetName val="Seg_1DE비용"/>
      <sheetName val="Transit_비용_감가상각미포함"/>
      <sheetName val="세골재__T2_변경_현황"/>
      <sheetName val="내역서_(2)"/>
      <sheetName val="전화공사_공량_및_집계표"/>
      <sheetName val="참조_(2)"/>
      <sheetName val="6__직접경비"/>
      <sheetName val="대가_(보완)"/>
      <sheetName val="3_자재비(총괄)"/>
      <sheetName val="5호광장_(만점)1"/>
      <sheetName val="인천국제_(만점)_(2)1"/>
      <sheetName val="제조_경영"/>
      <sheetName val="4_전기"/>
      <sheetName val="노_무_비"/>
      <sheetName val="미납품_현황"/>
      <sheetName val="신설개소별_총집계표(동해-배전)"/>
      <sheetName val="용선_C_L"/>
      <sheetName val="전_체"/>
      <sheetName val="흙막이B_(오산운암)"/>
      <sheetName val="타이로드_흙막이"/>
      <sheetName val="타이로드_흙막이(근입장2_5M)"/>
      <sheetName val="타이로드(근입장2_5M)"/>
      <sheetName val="pile_항타"/>
      <sheetName val="pile_항타(디젤)"/>
      <sheetName val="pile_항타_A"/>
      <sheetName val="pile_항타_B"/>
      <sheetName val="pile_항타_C"/>
      <sheetName val="pile_인발"/>
      <sheetName val="pile_인발_A"/>
      <sheetName val="pile_인발_B"/>
      <sheetName val="pile_인발_C"/>
      <sheetName val="20TON_TRAILER"/>
      <sheetName val="토류판_(2)"/>
      <sheetName val="SHEET_PILE단가"/>
      <sheetName val="108_수선비"/>
      <sheetName val="전선_및_전선관"/>
      <sheetName val="VENDOR_LIST"/>
      <sheetName val="2_1외주"/>
      <sheetName val="2_3노무"/>
      <sheetName val="2_4자재"/>
      <sheetName val="2_2장비"/>
      <sheetName val="2_5경비"/>
      <sheetName val="2_6수목대"/>
      <sheetName val="3련_BOX"/>
      <sheetName val="경비_(1)"/>
      <sheetName val="2F_회의실견적(5_14_일대)"/>
      <sheetName val="설계기준_및_하중계산"/>
      <sheetName val="Sight_n_M_H"/>
      <sheetName val="매출요약(월별)_-년간"/>
      <sheetName val="Piping_Design_Data"/>
      <sheetName val="4_&amp;_10-inch,_CO2_Combo_&amp;_Sweep"/>
      <sheetName val="1_䷨수장"/>
      <sheetName val="4_뀴진설Ⳅ"/>
      <sheetName val="전䰨선로_물량표"/>
      <sheetName val="㶀대입찰_내역서"/>
      <sheetName val="총괄집계_"/>
      <sheetName val="고객사_관리_코드"/>
      <sheetName val="한성교회_신축공사(050713)_CheckList"/>
      <sheetName val="제수"/>
      <sheetName val="공기"/>
      <sheetName val="함열량 db"/>
      <sheetName val="Prelims"/>
      <sheetName val="Rate"/>
      <sheetName val="chitiet"/>
      <sheetName val="chiettinh"/>
      <sheetName val="cable산출"/>
      <sheetName val="Summary"/>
      <sheetName val="H. MECHANICAL"/>
      <sheetName val="J. FIRE FIGHTING"/>
      <sheetName val="MECHANICAL"/>
      <sheetName val="1공구_건정토건_토공4"/>
      <sheetName val="1공구_건정토건_철콘4"/>
      <sheetName val="도급표지_4"/>
      <sheetName val="도급표지__(4)4"/>
      <sheetName val="부대표지_(4)4"/>
      <sheetName val="도급표지__(3)4"/>
      <sheetName val="부대표지_(3)4"/>
      <sheetName val="도급표지__(2)4"/>
      <sheetName val="부대표지_(2)4"/>
      <sheetName val="토__목4"/>
      <sheetName val="조__경4"/>
      <sheetName val="전_기4"/>
      <sheetName val="건__축4"/>
      <sheetName val="보도내역_(3)4"/>
      <sheetName val="준검_내역서4"/>
      <sheetName val="내역(최종본4_5)4"/>
      <sheetName val="1_수인터널4"/>
      <sheetName val="설_계4"/>
      <sheetName val="입출재고현황_(2)3"/>
      <sheetName val="6PILE__(돌출)4"/>
      <sheetName val="2_대외공문4"/>
      <sheetName val="AS포장복구_4"/>
      <sheetName val="0_0ControlSheet4"/>
      <sheetName val="0_1keyAssumption4"/>
      <sheetName val="4_내진설계3"/>
      <sheetName val="Sheet1_(2)3"/>
      <sheetName val="1_취수장3"/>
      <sheetName val="BSD_(2)3"/>
      <sheetName val="실행내역서_3"/>
      <sheetName val="96보완계획7_123"/>
      <sheetName val="전차선로_물량표3"/>
      <sheetName val="부대입찰_내역서3"/>
      <sheetName val="1__설계조건_2_단면가정_3__하중계산3"/>
      <sheetName val="DATA_입력란3"/>
      <sheetName val="3BL공동구_수량3"/>
      <sheetName val="제잡비_xls3"/>
      <sheetName val="인건비_3"/>
      <sheetName val="_총괄표3"/>
      <sheetName val="2_고용보험료산출근거3"/>
      <sheetName val="토공(우물통,기타)_3"/>
      <sheetName val="현장관리비_산출내역3"/>
      <sheetName val="현장별계약현황('98_10_31)3"/>
      <sheetName val="Eq__Mobilization3"/>
      <sheetName val="원가계산_(2)3"/>
      <sheetName val="1_설계조건3"/>
      <sheetName val="노원열병합__건축공사기성내역서3"/>
      <sheetName val="플랜트_설치3"/>
      <sheetName val="콤보박스와_리스트박스의_연결3"/>
      <sheetName val="설내역서_2"/>
      <sheetName val="CIP_공사2"/>
      <sheetName val="2_교량(신설)1"/>
      <sheetName val="EQUIP_LIST1"/>
      <sheetName val="2000_051"/>
      <sheetName val="1_3_1절점좌표1"/>
      <sheetName val="1_1설계기준1"/>
      <sheetName val="1_본부별1"/>
      <sheetName val="기초입력_DATA1"/>
      <sheetName val="재활용_악취_먼지DUCT산출1"/>
      <sheetName val="5_정산서1"/>
      <sheetName val="4_장비손료1"/>
      <sheetName val="단양_00_아파트-세부내역1"/>
      <sheetName val="단가_및_재료비"/>
      <sheetName val="업무처리전"/>
      <sheetName val="시험연구비상각"/>
      <sheetName val="Parem"/>
      <sheetName val="Bảng mã VT"/>
      <sheetName val="장비당단가_(1)2"/>
      <sheetName val="Sheet2_(2)2"/>
      <sheetName val="수_량_명_세_서_-_12"/>
      <sheetName val="별표_2"/>
      <sheetName val="2_건축2"/>
      <sheetName val="공정표_2"/>
      <sheetName val="kimre_scrubber"/>
      <sheetName val="strut_type"/>
      <sheetName val="FRP_PIPING_일위대가"/>
      <sheetName val="48"/>
      <sheetName val="Khoi luong"/>
      <sheetName val="LEGEND"/>
      <sheetName val="DonGia chetao"/>
      <sheetName val="DonGia VatTuLK"/>
      <sheetName val="표지_(3)4"/>
      <sheetName val="표지_(2)4"/>
      <sheetName val="교각집계_(2)4"/>
      <sheetName val="교각토공_(2)4"/>
      <sheetName val="교각철근_(2)4"/>
      <sheetName val="외주대비_-석축4"/>
      <sheetName val="외주대비-구조물_(2)4"/>
      <sheetName val="견적표지_(3)4"/>
      <sheetName val="_HIT-&gt;HMC_견적(3900)4"/>
      <sheetName val="일__위__대__가__목__록4"/>
      <sheetName val="1공구_건정토건_토공5"/>
      <sheetName val="1공구_건정토건_철콘5"/>
      <sheetName val="도급표지_5"/>
      <sheetName val="도급표지__(4)5"/>
      <sheetName val="부대표지_(4)5"/>
      <sheetName val="도급표지__(3)5"/>
      <sheetName val="부대표지_(3)5"/>
      <sheetName val="도급표지__(2)5"/>
      <sheetName val="부대표지_(2)5"/>
      <sheetName val="토__목5"/>
      <sheetName val="조__경5"/>
      <sheetName val="전_기5"/>
      <sheetName val="건__축5"/>
      <sheetName val="보도내역_(3)5"/>
      <sheetName val="준검_내역서5"/>
      <sheetName val="내역(최종본4_5)5"/>
      <sheetName val="1_수인터널5"/>
      <sheetName val="설_계5"/>
      <sheetName val="입출재고현황_(2)4"/>
      <sheetName val="6PILE__(돌출)5"/>
      <sheetName val="2_대외공문5"/>
      <sheetName val="AS포장복구_5"/>
      <sheetName val="6__안전관리비6"/>
      <sheetName val="HRSG_SMALL072204"/>
      <sheetName val="교각토공__2_4"/>
      <sheetName val="3_공통공사대비4"/>
      <sheetName val="97년_추정4"/>
      <sheetName val="8_현장관리비3"/>
      <sheetName val="7_안전관리비3"/>
      <sheetName val="하도내역_(철콘)3"/>
      <sheetName val="조건표_(2)3"/>
      <sheetName val="목차_3"/>
      <sheetName val="7__현장관리비_3"/>
      <sheetName val="노무비_근거3"/>
      <sheetName val="임율_Data3"/>
      <sheetName val="1_설계기준3"/>
      <sheetName val="BSD_(2)4"/>
      <sheetName val="2차전체변경예정_(2)3"/>
      <sheetName val="단면_(2)3"/>
      <sheetName val="1_취수장4"/>
      <sheetName val="8_PILE__(돌출)3"/>
      <sheetName val="토공유동표(전체_당초)3"/>
      <sheetName val="1__설계조건_2_단면가정_3__하중계산4"/>
      <sheetName val="DATA_입력란4"/>
      <sheetName val="구조______2"/>
      <sheetName val="현장관리비_산출내역4"/>
      <sheetName val="b_balju_(2)3"/>
      <sheetName val="노무비_2"/>
      <sheetName val="화재_탐지_설비2"/>
      <sheetName val="Customer_Databas2"/>
      <sheetName val="실행내역서_4"/>
      <sheetName val="4_LINE2"/>
      <sheetName val="7_th2"/>
      <sheetName val="_갑지2"/>
      <sheetName val="0_0ControlSheet5"/>
      <sheetName val="0_1keyAssumption5"/>
      <sheetName val="4_내진설계4"/>
      <sheetName val="Sheet1_(2)4"/>
      <sheetName val="4_경비_5_영업외수지2"/>
      <sheetName val="_견적서2"/>
      <sheetName val="4_일위대가집계2"/>
      <sheetName val="1_설계조건4"/>
      <sheetName val="내역서_제출2"/>
      <sheetName val="A_LINE2"/>
      <sheetName val="장비당단가_(1)3"/>
      <sheetName val="Sheet2_(2)3"/>
      <sheetName val="96보완계획7_124"/>
      <sheetName val="전차선로_물량표4"/>
      <sheetName val="부대입찰_내역서4"/>
      <sheetName val="3BL공동구_수량4"/>
      <sheetName val="노원열병합__건축공사기성내역서4"/>
      <sheetName val="_총괄표4"/>
      <sheetName val="2_고용보험료산출근거4"/>
      <sheetName val="제잡비_xls4"/>
      <sheetName val="인건비_4"/>
      <sheetName val="콤보박스와_리스트박스의_연결4"/>
      <sheetName val="현장별계약현황('98_10_31)4"/>
      <sheetName val="토공(우물통,기타)_4"/>
      <sheetName val="플랜트_설치4"/>
      <sheetName val="원가계산_(2)4"/>
      <sheetName val="Eq__Mobilization4"/>
      <sheetName val="2000년_공정표2"/>
      <sheetName val="수_량_명_세_서_-_13"/>
      <sheetName val="광통신_견적내역서12"/>
      <sheetName val="할증_2"/>
      <sheetName val="unit_42"/>
      <sheetName val="별표_3"/>
      <sheetName val="2_건축3"/>
      <sheetName val="공정표_3"/>
      <sheetName val="설내역서_3"/>
      <sheetName val="프라임_강변역(4,236)2"/>
      <sheetName val="내___역2"/>
      <sheetName val="집_계_표2"/>
      <sheetName val="5_2코핑2"/>
      <sheetName val="배수공_시멘트_및_골재량_산출2"/>
      <sheetName val="7_PILE__(돌출)2"/>
      <sheetName val="P_M_별2"/>
      <sheetName val="CIP_공사3"/>
      <sheetName val="수량산출서_갑지2"/>
      <sheetName val="DATA_입력부2"/>
      <sheetName val="5__현장관리비(new)_2"/>
      <sheetName val="방배동내역_(총괄)2"/>
      <sheetName val="간_지12"/>
      <sheetName val="5__현장관리비_new__2"/>
      <sheetName val="Temporary_Mooring2"/>
      <sheetName val="중기조종사_단위단가3"/>
      <sheetName val="총_원가계산2"/>
      <sheetName val="일위대가_(PM)1"/>
      <sheetName val="2_교량(신설)2"/>
      <sheetName val="EQUIP_LIST2"/>
      <sheetName val="2_2_오피스텔(12~32F)2"/>
      <sheetName val="일위대가_집계표2"/>
      <sheetName val="중기쥰종사_단위단가1"/>
      <sheetName val="6__안전관리비7"/>
      <sheetName val="자__재2"/>
      <sheetName val="개인별_순위표2"/>
      <sheetName val="CM_12"/>
      <sheetName val="기술부_VENDOR_LIST2"/>
      <sheetName val="단계별내역_(2)2"/>
      <sheetName val="제출내역_(2)2"/>
      <sheetName val="2_2_띠장의_설계2"/>
      <sheetName val="1-1_현장정리1"/>
      <sheetName val="1-2_토공1"/>
      <sheetName val="1-3_WMM,GSB1"/>
      <sheetName val="1-4_BITUMINOUS_COURSE1"/>
      <sheetName val="1-5_BOX_CULVERTS1"/>
      <sheetName val="1-6_BRIDGE1"/>
      <sheetName val="1-7_DRAINAGE1"/>
      <sheetName val="1-8_TRAFFIC1"/>
      <sheetName val="1-9_MISCELLANEOUS1"/>
      <sheetName val="1-10_ELECTRICAL1"/>
      <sheetName val="1-12_도급외항목1"/>
      <sheetName val="9_1지하2층하부보2"/>
      <sheetName val="4_2_1_마루높이_검토1"/>
      <sheetName val="4_일위대가2"/>
      <sheetName val="BOX_본체1"/>
      <sheetName val="PTVT_(MAU)1"/>
      <sheetName val="STEEL_BOX_단면설계(SEC_8)1"/>
      <sheetName val="6_이토처리시간1"/>
      <sheetName val="울진항공등화_내역서1"/>
      <sheetName val="영흥TL(UP,DOWN)_1"/>
      <sheetName val="일_위_대_가_표1"/>
      <sheetName val="1차_내역서1"/>
      <sheetName val="2000_052"/>
      <sheetName val="원내역서_그대로1"/>
      <sheetName val="1_3_1절점좌표2"/>
      <sheetName val="1_1설계기준2"/>
      <sheetName val="1_본부별2"/>
      <sheetName val="기초입력_DATA2"/>
      <sheetName val="재활용_악취_먼지DUCT산출2"/>
      <sheetName val="남양시작동자105노65기1_3화1_21"/>
      <sheetName val="관음목장(제출용)자105인97_51"/>
      <sheetName val="전체내역_(2)1"/>
      <sheetName val="Hyundai_Unit_cost_xls1"/>
      <sheetName val="TABLE_DB1"/>
      <sheetName val="쌍용_data_base1"/>
      <sheetName val="969910(_R)1"/>
      <sheetName val="1062-X방향_1"/>
      <sheetName val="5_정산서2"/>
      <sheetName val="PROJECT_BRIEF1"/>
      <sheetName val="4_장비손료2"/>
      <sheetName val="①idea_pipeline1"/>
      <sheetName val="IMP_통일양식1"/>
      <sheetName val="LYS_통일양식1"/>
      <sheetName val="Xunit_(단위환산)1"/>
      <sheetName val="유통기한_프로그램1"/>
      <sheetName val="경비_(1)1"/>
      <sheetName val="2F_회의실견적(5_14_일대)1"/>
      <sheetName val="단양_00_아파트-세부내역2"/>
      <sheetName val="VENDOR_LIST1"/>
      <sheetName val="단가_1"/>
      <sheetName val="108_수선비1"/>
      <sheetName val="MP_MOB1"/>
      <sheetName val="명일작업계획_(3)1"/>
      <sheetName val="내역서_(3)2"/>
      <sheetName val="산출양식_(2)2"/>
      <sheetName val="전체산출내역서갑(변경)_2"/>
      <sheetName val="A_터파기공2"/>
      <sheetName val="B_측·집2"/>
      <sheetName val="배(자·집)_(2)2"/>
      <sheetName val="2_01측·터·집2"/>
      <sheetName val="땅깍·수_(1-1)2"/>
      <sheetName val="0-52_2"/>
      <sheetName val="콘·다_(2)2"/>
      <sheetName val="기·집_(2)2"/>
      <sheetName val="콘·다_(3)2"/>
      <sheetName val="병원내역집계표_(2)2"/>
      <sheetName val="실행총괄_2"/>
      <sheetName val="[IL-3_XLSY갑지2"/>
      <sheetName val="4_일위대가목차2"/>
      <sheetName val="내역_ver1_02"/>
      <sheetName val="2000,9월_일위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변압기_및_발전기_용량1"/>
      <sheetName val="조도계산서_(도서)1"/>
      <sheetName val="빌딩_안내1"/>
      <sheetName val="CABLE_(2)1"/>
      <sheetName val="G_R300경비1"/>
      <sheetName val="단가대비표_(3)1"/>
      <sheetName val="기성내역서(을)_(2)1"/>
      <sheetName val="1단계_(2)1"/>
      <sheetName val="2_1__노무비_평균단가산출1"/>
      <sheetName val="3_공사비(07년노임단가)1"/>
      <sheetName val="3_공사비(단가조사표)1"/>
      <sheetName val="3_공사비(물량산출표)1"/>
      <sheetName val="3_공사비(일위대가표목록)1"/>
      <sheetName val="3_공사비(일위대가표)1"/>
      <sheetName val="TRE_TABLE1"/>
      <sheetName val="Requirement(Work_Crew)1"/>
      <sheetName val="진입도로B_(2)1"/>
      <sheetName val="수목데이타_1"/>
      <sheetName val="2_냉난방설비공사1"/>
      <sheetName val="7_자동제어공사1"/>
      <sheetName val="중강당_내역1"/>
      <sheetName val="기초자료입력및_K치_확인1"/>
      <sheetName val="실행내역_1"/>
      <sheetName val="자재_단가_비교표(견적)1"/>
      <sheetName val="자재_단가_비교표1"/>
      <sheetName val="Bid_Summary1"/>
      <sheetName val="이동시_예상비용1"/>
      <sheetName val="Seg_1DE비용1"/>
      <sheetName val="Transit_비용_감가상각미포함1"/>
      <sheetName val="세골재__T2_변경_현황1"/>
      <sheetName val="내역서_(2)1"/>
      <sheetName val="전화공사_공량_및_집계표1"/>
      <sheetName val="참조_(2)1"/>
      <sheetName val="6__직접경비1"/>
      <sheetName val="대가_(보완)1"/>
      <sheetName val="3_자재비(총괄)1"/>
      <sheetName val="5호광장_(만점)2"/>
      <sheetName val="인천국제_(만점)_(2)2"/>
      <sheetName val="제조_경영1"/>
      <sheetName val="4_전기1"/>
      <sheetName val="노_무_비1"/>
      <sheetName val="미납품_현황1"/>
      <sheetName val="신설개소별_총집계표(동해-배전)1"/>
      <sheetName val="용선_C_L1"/>
      <sheetName val="전_체1"/>
      <sheetName val="흙막이B_(오산운암)1"/>
      <sheetName val="타이로드_흙막이1"/>
      <sheetName val="타이로드_흙막이(근입장2_5M)1"/>
      <sheetName val="타이로드(근입장2_5M)1"/>
      <sheetName val="pile_항타1"/>
      <sheetName val="pile_항타(디젤)1"/>
      <sheetName val="pile_항타_A1"/>
      <sheetName val="pile_항타_B1"/>
      <sheetName val="pile_항타_C1"/>
      <sheetName val="pile_인발1"/>
      <sheetName val="pile_인발_A1"/>
      <sheetName val="pile_인발_B1"/>
      <sheetName val="pile_인발_C1"/>
      <sheetName val="20TON_TRAILER1"/>
      <sheetName val="토류판_(2)1"/>
      <sheetName val="SHEET_PILE단가1"/>
      <sheetName val="전선_및_전선관1"/>
      <sheetName val="2_1외주1"/>
      <sheetName val="2_3노무1"/>
      <sheetName val="2_4자재1"/>
      <sheetName val="2_2장비1"/>
      <sheetName val="2_5경비1"/>
      <sheetName val="2_6수목대1"/>
      <sheetName val="3련_BOX1"/>
      <sheetName val="Div26_-_Elect"/>
      <sheetName val="Sight_n_M_H1"/>
      <sheetName val="매출요약(월별)_-년간1"/>
      <sheetName val="Piping_Design_Data1"/>
      <sheetName val="4_&amp;_10-inch,_CO2_Combo_&amp;_Sweep1"/>
      <sheetName val="설계기준_및_하중계산1"/>
      <sheetName val="1_䷨수장1"/>
      <sheetName val="4_뀴진설Ⳅ1"/>
      <sheetName val="전䰨선로_물량표1"/>
      <sheetName val="㶀대입찰_내역서1"/>
      <sheetName val="모선자재_집계표"/>
      <sheetName val="재료의_할증"/>
      <sheetName val="총괄집계_1"/>
      <sheetName val="kimre_scrubber1"/>
      <sheetName val="strut_type1"/>
      <sheetName val="한성교회_신축공사(050713)_CheckList1"/>
      <sheetName val="FRP_PIPING_일위대가1"/>
      <sheetName val="단가_및_재료비1"/>
      <sheetName val="내역서_"/>
      <sheetName val="함열량_db"/>
      <sheetName val="10_경제성분석"/>
      <sheetName val="기계_도급내역서"/>
      <sheetName val="-15_0"/>
      <sheetName val="고객사_관리_코드1"/>
      <sheetName val="사__업__비__수__지__예__산__서"/>
      <sheetName val="1차설계逷≙≙"/>
      <sheetName val="표__지"/>
      <sheetName val="D1_2_COF모듈자재_입출재고_(B급)"/>
      <sheetName val="cong_thuc_tinh_chi_tiet"/>
      <sheetName val="공내역_및_견적조건"/>
      <sheetName val="2_1"/>
      <sheetName val="Bảng_mã_VT"/>
      <sheetName val="Khoi_luong"/>
      <sheetName val="DonGia_chetao"/>
      <sheetName val="DonGia_VatTuLK"/>
      <sheetName val="표지_(3)5"/>
      <sheetName val="표지_(2)5"/>
      <sheetName val="교각집계_(2)5"/>
      <sheetName val="교각토공_(2)5"/>
      <sheetName val="교각철근_(2)5"/>
      <sheetName val="외주대비_-석축5"/>
      <sheetName val="외주대비-구조물_(2)5"/>
      <sheetName val="견적표지_(3)5"/>
      <sheetName val="_HIT-&gt;HMC_견적(3900)5"/>
      <sheetName val="일__위__대__가__목__록5"/>
      <sheetName val="1공구_건정토건_토공6"/>
      <sheetName val="1공구_건정토건_철콘6"/>
      <sheetName val="도급표지_6"/>
      <sheetName val="도급표지__(4)6"/>
      <sheetName val="부대표지_(4)6"/>
      <sheetName val="도급표지__(3)6"/>
      <sheetName val="부대표지_(3)6"/>
      <sheetName val="도급표지__(2)6"/>
      <sheetName val="부대표지_(2)6"/>
      <sheetName val="토__목6"/>
      <sheetName val="조__경6"/>
      <sheetName val="전_기6"/>
      <sheetName val="건__축6"/>
      <sheetName val="보도내역_(3)6"/>
      <sheetName val="준검_내역서6"/>
      <sheetName val="내역(최종본4_5)6"/>
      <sheetName val="1_수인터널6"/>
      <sheetName val="설_계6"/>
      <sheetName val="입출재고현황_(2)5"/>
      <sheetName val="6PILE__(돌출)6"/>
      <sheetName val="2_대외공문6"/>
      <sheetName val="AS포장복구_6"/>
      <sheetName val="6__안전관리비8"/>
      <sheetName val="HRSG_SMALL072205"/>
      <sheetName val="교각토공__2_5"/>
      <sheetName val="3_공통공사대비5"/>
      <sheetName val="97년_추정5"/>
      <sheetName val="8_현장관리비4"/>
      <sheetName val="7_안전관리비4"/>
      <sheetName val="하도내역_(철콘)4"/>
      <sheetName val="조건표_(2)4"/>
      <sheetName val="목차_4"/>
      <sheetName val="7__현장관리비_4"/>
      <sheetName val="노무비_근거4"/>
      <sheetName val="임율_Data4"/>
      <sheetName val="1_설계기준4"/>
      <sheetName val="BSD_(2)5"/>
      <sheetName val="2차전체변경예정_(2)4"/>
      <sheetName val="단면_(2)4"/>
      <sheetName val="1_취수장5"/>
      <sheetName val="8_PILE__(돌출)4"/>
      <sheetName val="토공유동표(전체_당초)4"/>
      <sheetName val="1__설계조건_2_단면가정_3__하중계산5"/>
      <sheetName val="DATA_입력란5"/>
      <sheetName val="구조______3"/>
      <sheetName val="현장관리비_산출내역5"/>
      <sheetName val="b_balju_(2)4"/>
      <sheetName val="노무비_3"/>
      <sheetName val="화재_탐지_설비3"/>
      <sheetName val="Customer_Databas3"/>
      <sheetName val="실행내역서_5"/>
      <sheetName val="4_LINE3"/>
      <sheetName val="7_th3"/>
      <sheetName val="_갑지3"/>
      <sheetName val="0_0ControlSheet6"/>
      <sheetName val="0_1keyAssumption6"/>
      <sheetName val="4_내진설계5"/>
      <sheetName val="Sheet1_(2)5"/>
      <sheetName val="4_경비_5_영업외수지3"/>
      <sheetName val="_견적서3"/>
      <sheetName val="4_일위대가집계3"/>
      <sheetName val="1_설계조건5"/>
      <sheetName val="내역서_제출3"/>
      <sheetName val="A_LINE3"/>
      <sheetName val="장비당단가_(1)4"/>
      <sheetName val="Sheet2_(2)4"/>
      <sheetName val="96보완계획7_125"/>
      <sheetName val="전차선로_물량표5"/>
      <sheetName val="부대입찰_내역서5"/>
      <sheetName val="3BL공동구_수량5"/>
      <sheetName val="노원열병합__건축공사기성내역서5"/>
      <sheetName val="_총괄표5"/>
      <sheetName val="2_고용보험료산출근거5"/>
      <sheetName val="제잡비_xls5"/>
      <sheetName val="인건비_5"/>
      <sheetName val="콤보박스와_리스트박스의_연결5"/>
      <sheetName val="현장별계약현황('98_10_31)5"/>
      <sheetName val="토공(우물통,기타)_5"/>
      <sheetName val="플랜트_설치5"/>
      <sheetName val="원가계산_(2)5"/>
      <sheetName val="Eq__Mobilization5"/>
      <sheetName val="2000년_공정표3"/>
      <sheetName val="수_량_명_세_서_-_14"/>
      <sheetName val="광통신_견적내역서13"/>
      <sheetName val="할증_3"/>
      <sheetName val="unit_43"/>
      <sheetName val="별표_4"/>
      <sheetName val="2_건축4"/>
      <sheetName val="공정표_4"/>
      <sheetName val="설내역서_4"/>
      <sheetName val="프라임_강변역(4,236)3"/>
      <sheetName val="내___역3"/>
      <sheetName val="집_계_표3"/>
      <sheetName val="5_2코핑3"/>
      <sheetName val="배수공_시멘트_및_골재량_산출3"/>
      <sheetName val="7_PILE__(돌출)3"/>
      <sheetName val="P_M_별3"/>
      <sheetName val="CIP_공사4"/>
      <sheetName val="수량산출서_갑지3"/>
      <sheetName val="DATA_입력부3"/>
      <sheetName val="5__현장관리비(new)_3"/>
      <sheetName val="방배동내역_(총괄)3"/>
      <sheetName val="간_지13"/>
      <sheetName val="5__현장관리비_new__3"/>
      <sheetName val="Temporary_Mooring3"/>
      <sheetName val="중기조종사_단위단가4"/>
      <sheetName val="총_원가계산3"/>
      <sheetName val="일위대가_(PM)2"/>
      <sheetName val="2_교량(신설)3"/>
      <sheetName val="EQUIP_LIST3"/>
      <sheetName val="2_2_오피스텔(12~32F)3"/>
      <sheetName val="일위대가_집계표3"/>
      <sheetName val="중기쥰종사_단위단가2"/>
      <sheetName val="6__안전관리비9"/>
      <sheetName val="자__재3"/>
      <sheetName val="개인별_순위표3"/>
      <sheetName val="CM_13"/>
      <sheetName val="기술부_VENDOR_LIST3"/>
      <sheetName val="단계별내역_(2)3"/>
      <sheetName val="제출내역_(2)3"/>
      <sheetName val="2_2_띠장의_설계3"/>
      <sheetName val="1-1_현장정리2"/>
      <sheetName val="1-2_토공2"/>
      <sheetName val="1-3_WMM,GSB2"/>
      <sheetName val="1-4_BITUMINOUS_COURSE2"/>
      <sheetName val="1-5_BOX_CULVERTS2"/>
      <sheetName val="1-6_BRIDGE2"/>
      <sheetName val="1-7_DRAINAGE2"/>
      <sheetName val="1-8_TRAFFIC2"/>
      <sheetName val="1-9_MISCELLANEOUS2"/>
      <sheetName val="1-10_ELECTRICAL2"/>
      <sheetName val="1-12_도급외항목2"/>
      <sheetName val="9_1지하2층하부보3"/>
      <sheetName val="4_2_1_마루높이_검토2"/>
      <sheetName val="4_일위대가3"/>
      <sheetName val="BOX_본체2"/>
      <sheetName val="PTVT_(MAU)2"/>
      <sheetName val="2000_053"/>
      <sheetName val="원내역서_그대로2"/>
      <sheetName val="1_3_1절점좌표3"/>
      <sheetName val="1_1설계기준3"/>
      <sheetName val="1_본부별3"/>
      <sheetName val="기초입력_DATA3"/>
      <sheetName val="재활용_악취_먼지DUCT산출3"/>
      <sheetName val="남양시작동자105노65기1_3화1_22"/>
      <sheetName val="관음목장(제출용)자105인97_52"/>
      <sheetName val="전체내역_(2)2"/>
      <sheetName val="Hyundai_Unit_cost_xls2"/>
      <sheetName val="TABLE_DB2"/>
      <sheetName val="쌍용_data_base2"/>
      <sheetName val="969910(_R)2"/>
      <sheetName val="1062-X방향_2"/>
      <sheetName val="5_정산서3"/>
      <sheetName val="PROJECT_BRIEF2"/>
      <sheetName val="4_장비손료3"/>
      <sheetName val="①idea_pipeline2"/>
      <sheetName val="IMP_통일양식2"/>
      <sheetName val="LYS_통일양식2"/>
      <sheetName val="Xunit_(단위환산)2"/>
      <sheetName val="유통기한_프로그램2"/>
      <sheetName val="STEEL_BOX_단면설계(SEC_8)2"/>
      <sheetName val="6_이토처리시간2"/>
      <sheetName val="울진항공등화_내역서2"/>
      <sheetName val="영흥TL(UP,DOWN)_2"/>
      <sheetName val="일_위_대_가_표2"/>
      <sheetName val="1차_내역서2"/>
      <sheetName val="경비_(1)2"/>
      <sheetName val="2F_회의실견적(5_14_일대)2"/>
      <sheetName val="단양_00_아파트-세부내역3"/>
      <sheetName val="VENDOR_LIST2"/>
      <sheetName val="단가_2"/>
      <sheetName val="108_수선비2"/>
      <sheetName val="MP_MOB2"/>
      <sheetName val="명일작업계획_(3)2"/>
      <sheetName val="Div26_-_Elect1"/>
      <sheetName val="내역서_(3)3"/>
      <sheetName val="산출양식_(2)3"/>
      <sheetName val="전체산출내역서갑(변경)_3"/>
      <sheetName val="A_터파기공3"/>
      <sheetName val="B_측·집3"/>
      <sheetName val="배(자·집)_(2)3"/>
      <sheetName val="2_01측·터·집3"/>
      <sheetName val="땅깍·수_(1-1)3"/>
      <sheetName val="0-52_3"/>
      <sheetName val="콘·다_(2)3"/>
      <sheetName val="기·집_(2)3"/>
      <sheetName val="콘·다_(3)3"/>
      <sheetName val="병원내역집계표_(2)3"/>
      <sheetName val="실행총괄_3"/>
      <sheetName val="[IL-3_XLSY갑지3"/>
      <sheetName val="4_일위대가목차3"/>
      <sheetName val="내역_ver1_03"/>
      <sheetName val="2000,9월_일위3"/>
      <sheetName val="1_노무비명세서(해동)3"/>
      <sheetName val="1_노무비명세서(토목)3"/>
      <sheetName val="2_노무비명세서(해동)3"/>
      <sheetName val="2_노무비명세서(수직보호망)3"/>
      <sheetName val="2_노무비명세서(난간대)3"/>
      <sheetName val="2_사진대지3"/>
      <sheetName val="3_사진대지3"/>
      <sheetName val="변압기_및_발전기_용량2"/>
      <sheetName val="조도계산서_(도서)2"/>
      <sheetName val="빌딩_안내2"/>
      <sheetName val="CABLE_(2)2"/>
      <sheetName val="G_R300경비2"/>
      <sheetName val="단가대비표_(3)2"/>
      <sheetName val="기성내역서(을)_(2)2"/>
      <sheetName val="1단계_(2)2"/>
      <sheetName val="2_1__노무비_평균단가산출2"/>
      <sheetName val="3_공사비(07년노임단가)2"/>
      <sheetName val="3_공사비(단가조사표)2"/>
      <sheetName val="3_공사비(물량산출표)2"/>
      <sheetName val="3_공사비(일위대가표목록)2"/>
      <sheetName val="3_공사비(일위대가표)2"/>
      <sheetName val="TRE_TABLE2"/>
      <sheetName val="Requirement(Work_Crew)2"/>
      <sheetName val="진입도로B_(2)2"/>
      <sheetName val="수목데이타_2"/>
      <sheetName val="2_냉난방설비공사2"/>
      <sheetName val="7_자동제어공사2"/>
      <sheetName val="중강당_내역2"/>
      <sheetName val="기초자료입력및_K치_확인2"/>
      <sheetName val="실행내역_2"/>
      <sheetName val="자재_단가_비교표(견적)2"/>
      <sheetName val="자재_단가_비교표2"/>
      <sheetName val="Bid_Summary2"/>
      <sheetName val="이동시_예상비용2"/>
      <sheetName val="Seg_1DE비용2"/>
      <sheetName val="Transit_비용_감가상각미포함2"/>
      <sheetName val="세골재__T2_변경_현황2"/>
      <sheetName val="내역서_(2)2"/>
      <sheetName val="전화공사_공량_및_집계표2"/>
      <sheetName val="참조_(2)2"/>
      <sheetName val="6__직접경비2"/>
      <sheetName val="대가_(보완)2"/>
      <sheetName val="3_자재비(총괄)2"/>
      <sheetName val="5호광장_(만점)3"/>
      <sheetName val="인천국제_(만점)_(2)3"/>
      <sheetName val="제조_경영2"/>
      <sheetName val="4_전기2"/>
      <sheetName val="노_무_비2"/>
      <sheetName val="미납품_현황2"/>
      <sheetName val="신설개소별_총집계표(동해-배전)2"/>
      <sheetName val="용선_C_L2"/>
      <sheetName val="전_체2"/>
      <sheetName val="흙막이B_(오산운암)2"/>
      <sheetName val="타이로드_흙막이2"/>
      <sheetName val="타이로드_흙막이(근입장2_5M)2"/>
      <sheetName val="타이로드(근입장2_5M)2"/>
      <sheetName val="pile_항타2"/>
      <sheetName val="pile_항타(디젤)2"/>
      <sheetName val="pile_항타_A2"/>
      <sheetName val="pile_항타_B2"/>
      <sheetName val="pile_항타_C2"/>
      <sheetName val="pile_인발2"/>
      <sheetName val="pile_인발_A2"/>
      <sheetName val="pile_인발_B2"/>
      <sheetName val="pile_인발_C2"/>
      <sheetName val="20TON_TRAILER2"/>
      <sheetName val="토류판_(2)2"/>
      <sheetName val="SHEET_PILE단가2"/>
      <sheetName val="전선_및_전선관2"/>
      <sheetName val="2_1외주2"/>
      <sheetName val="2_3노무2"/>
      <sheetName val="2_4자재2"/>
      <sheetName val="2_2장비2"/>
      <sheetName val="2_5경비2"/>
      <sheetName val="2_6수목대2"/>
      <sheetName val="3련_BOX2"/>
      <sheetName val="Sight_n_M_H2"/>
      <sheetName val="매출요약(월별)_-년간2"/>
      <sheetName val="Piping_Design_Data2"/>
      <sheetName val="4_&amp;_10-inch,_CO2_Combo_&amp;_Sweep2"/>
      <sheetName val="설계기준_및_하중계산2"/>
      <sheetName val="1_䷨수장2"/>
      <sheetName val="4_뀴진설Ⳅ2"/>
      <sheetName val="전䰨선로_물량표2"/>
      <sheetName val="㶀대입찰_내역서2"/>
      <sheetName val="모선자재_집계표1"/>
      <sheetName val="재료의_할증1"/>
      <sheetName val="총괄집계_2"/>
      <sheetName val="kimre_scrubber2"/>
      <sheetName val="strut_type2"/>
      <sheetName val="한성교회_신축공사(050713)_CheckList2"/>
      <sheetName val="FRP_PIPING_일위대가2"/>
      <sheetName val="단가_및_재료비2"/>
      <sheetName val="내역서_1"/>
      <sheetName val="함열량_db1"/>
      <sheetName val="10_경제성분석1"/>
      <sheetName val="기계_도급내역서1"/>
      <sheetName val="-15_01"/>
      <sheetName val="고객사_관리_코드2"/>
      <sheetName val="사__업__비__수__지__예__산__서1"/>
      <sheetName val="표__지1"/>
      <sheetName val="D1_2_COF모듈자재_입출재고_(B급)1"/>
      <sheetName val="cong_thuc_tinh_chi_tiet1"/>
      <sheetName val="공내역_및_견적조건1"/>
      <sheetName val="2_11"/>
      <sheetName val="Bảng_mã_VT1"/>
      <sheetName val="Khoi_luong1"/>
      <sheetName val="DonGia_chetao1"/>
      <sheetName val="DonGia_VatTuLK1"/>
      <sheetName val="SEX"/>
      <sheetName val="入力作成表"/>
      <sheetName val="Level-DATA"/>
      <sheetName val="Fr Revit"/>
      <sheetName val="NSA Summary"/>
      <sheetName val="FitOutConfCentre"/>
      <sheetName val="Fr_Revit"/>
      <sheetName val="NSA_Summary"/>
      <sheetName val="Fr_Revit1"/>
      <sheetName val="NSA_Summary1"/>
      <sheetName val="Gia VLNCMTC"/>
      <sheetName val="1_MV"/>
      <sheetName val="IBASE"/>
      <sheetName val="MTC"/>
      <sheetName val="gVL"/>
      <sheetName val="外構・目次"/>
      <sheetName val="工場棟・目次"/>
      <sheetName val="事務棟・目次"/>
      <sheetName val="견적대비"/>
      <sheetName val="일반전기"/>
      <sheetName val="1.관로"/>
      <sheetName val="입찰품_x0005__x0000_"/>
      <sheetName val="입찰품誀걜"/>
      <sheetName val="입찰품紴"/>
      <sheetName val="Sheet17"/>
      <sheetName val="4.수량산출서"/>
      <sheetName val="외주정비"/>
      <sheetName val="샌딩_에폭시_도장"/>
      <sheetName val="전문품의"/>
      <sheetName val="흥양2교토_x0000_h曘ʹ"/>
      <sheetName val="흥양2교토_x0000__x0000__x0005__x0000_"/>
      <sheetName val="단가(기자재)"/>
      <sheetName val="단가多〒_x0005_"/>
      <sheetName val="안양동교 1안"/>
      <sheetName val="2. 주요공지（主要公告）"/>
      <sheetName val="건축(을)"/>
      <sheetName val="SP-¬_x0000_"/>
      <sheetName val="전기일위목록"/>
      <sheetName val="공사추진현황"/>
      <sheetName val="3BL공동구_x0000__x0000_Ԁ"/>
      <sheetName val="새공통"/>
      <sheetName val="공사명입력"/>
      <sheetName val="GiaVT"/>
      <sheetName val="Q'ty"/>
      <sheetName val="chi tiet"/>
      <sheetName val="PPC Summary"/>
      <sheetName val="Worshop"/>
      <sheetName val="ac"/>
      <sheetName val="LPG"/>
      <sheetName val="3.단가산출서"/>
      <sheetName val="4.단가산출기초"/>
      <sheetName val="Sikje_in"/>
      <sheetName val="청_구"/>
      <sheetName val="7_전산해석결과"/>
      <sheetName val="4_하중"/>
      <sheetName val="chi_tiet"/>
      <sheetName val="PPC_Summary"/>
      <sheetName val="외주대비_ᨀ晙ԯ"/>
      <sheetName val="䣐"/>
      <sheetName val="외주대비 -석축_x0000__x0000__x0000__x"/>
      <sheetName val="_IL-3.XLSY갑지"/>
      <sheetName val="_IL-3_XLSY갑지"/>
      <sheetName val="외주대비_-석축_후다내역_XLS_견적표지_(3"/>
      <sheetName val="_IL-3_XLSY갑지1"/>
      <sheetName val="_IL-3_XLSY갑지2"/>
      <sheetName val="_IL-3_XLSY갑지3"/>
      <sheetName val="인부노임"/>
      <sheetName val="const."/>
      <sheetName val="D_MUC"/>
      <sheetName val="Kiem-Toan"/>
      <sheetName val="Summary VO No.3"/>
      <sheetName val="Breakdown"/>
      <sheetName val="VO No.3.1"/>
      <sheetName val="VO No.3.2"/>
      <sheetName val="VO No.3.3"/>
      <sheetName val="VO No.3.4"/>
      <sheetName val="VO No.3.5"/>
      <sheetName val="VO No.3.6"/>
      <sheetName val="VO No.3.7"/>
      <sheetName val="VO No.3.8"/>
      <sheetName val="99_조정금액"/>
      <sheetName val="_ｹ-ﾌﾞﾙ"/>
      <sheetName val="신평리_권리자명부"/>
      <sheetName val="97_사업추정(WEKI)"/>
      <sheetName val="견적颙⿬"/>
      <sheetName val="견적颙⿶"/>
      <sheetName val="견적"/>
      <sheetName val="견적颙』"/>
      <sheetName val="토__공"/>
      <sheetName val="중기사용료_(2)"/>
      <sheetName val="주공_갑지"/>
      <sheetName val="운동장_(2)"/>
      <sheetName val="5_2_6~7공사요율"/>
      <sheetName val="06_일위대가목록"/>
      <sheetName val="04_12월건강보험(일용직)"/>
      <sheetName val="외주대비_-석É"/>
      <sheetName val="보도내_䪾"/>
      <sheetName val="2_원가집계"/>
      <sheetName val="기존단가_(2)"/>
      <sheetName val="기초데이타"/>
      <sheetName val="양수장내역"/>
      <sheetName val="자재기성 신청서.xlsx"/>
      <sheetName val="만봉용지매수비(총괄)"/>
      <sheetName val="자동제_x0000_"/>
      <sheetName val="4.예산내역서"/>
      <sheetName val="개략"/>
      <sheetName val="2월분"/>
      <sheetName val="CԀ"/>
      <sheetName val="Sikje_in_x0005_"/>
      <sheetName val="표준공사비-조명제외x10%up"/>
      <sheetName val="비품"/>
      <sheetName val="SP-ኬ_x0002_"/>
      <sheetName val="SP-咬⶘"/>
      <sheetName val="인력소운반"/>
      <sheetName val="일위노임"/>
      <sheetName val="변경비⣗鼏휂"/>
      <sheetName val="A 견적"/>
      <sheetName val="보도내역 (_x0010__x0000_"/>
      <sheetName val="세목전체"/>
      <sheetName val="품À_x0000_"/>
      <sheetName val="Sàn T1"/>
      <sheetName val="Lỗ thông gió"/>
      <sheetName val="CodeSheet"/>
      <sheetName val="[후다_x0001_ _x0010__x0000__x0003_ _x0010__x0000__x0001__x0000__x0010__x0000__x0001_ _x0010__x0000__x0003_"/>
      <sheetName val="시작"/>
      <sheetName val="받을어음"/>
      <sheetName val="유가증권"/>
      <sheetName val="대손상각"/>
      <sheetName val="Thống kê"/>
      <sheetName val="BG"/>
      <sheetName val="Tai khoan"/>
      <sheetName val="SCOPE OF WORK"/>
      <sheetName val="foxz"/>
      <sheetName val="Tong hop"/>
      <sheetName val="Phan lap dat"/>
      <sheetName val="Lắp Ráp"/>
      <sheetName val="기계사급자재"/>
      <sheetName val="견적표지_(3"/>
      <sheetName val="KET CAU- MJV2"/>
      <sheetName val="Ví dụ"/>
      <sheetName val="중소기업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KEY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HS"/>
      <sheetName val="3BL공동구"/>
      <sheetName val="대3류 "/>
      <sheetName val="설비비4"/>
      <sheetName val="장비분석"/>
      <sheetName val="BEND LOSS"/>
      <sheetName val="CF_DT"/>
      <sheetName val="01. DATA"/>
      <sheetName val="Index"/>
      <sheetName val="표지_(3)6"/>
      <sheetName val="표지_(2)6"/>
      <sheetName val="교각집계_(2)6"/>
      <sheetName val="교각토공_(2)6"/>
      <sheetName val="교각철근_(2)6"/>
      <sheetName val="외주대비_-석축6"/>
      <sheetName val="외주대비-구조물_(2)6"/>
      <sheetName val="견적표지_(3)6"/>
      <sheetName val="_HIT-&gt;HMC_견적(3900)6"/>
      <sheetName val="일__위__대__가__목__록6"/>
      <sheetName val="1공구_건정토건_토공7"/>
      <sheetName val="1공구_건정토건_철콘7"/>
      <sheetName val="도급표지_7"/>
      <sheetName val="도급표지__(4)7"/>
      <sheetName val="부대표지_(4)7"/>
      <sheetName val="도급표지__(3)7"/>
      <sheetName val="부대표지_(3)7"/>
      <sheetName val="도급표지__(2)7"/>
      <sheetName val="부대표지_(2)7"/>
      <sheetName val="토__목7"/>
      <sheetName val="조__경7"/>
      <sheetName val="전_기7"/>
      <sheetName val="건__축7"/>
      <sheetName val="보도내역_(3)7"/>
      <sheetName val="준검_내역서7"/>
      <sheetName val="내역(최종본4_5)7"/>
      <sheetName val="1_수인터널7"/>
      <sheetName val="설_계7"/>
      <sheetName val="입출재고현황_(2)6"/>
      <sheetName val="6PILE__(돌출)7"/>
      <sheetName val="2_대외공문7"/>
      <sheetName val="AS포장복구_7"/>
      <sheetName val="6__안전관리비10"/>
      <sheetName val="HRSG_SMALL072206"/>
      <sheetName val="교각토공__2_6"/>
      <sheetName val="3_공통공사대비6"/>
      <sheetName val="97년_추정6"/>
      <sheetName val="8_현장관리비5"/>
      <sheetName val="7_안전관리비5"/>
      <sheetName val="하도내역_(철콘)5"/>
      <sheetName val="조건표_(2)5"/>
      <sheetName val="목차_5"/>
      <sheetName val="7__현장관리비_5"/>
      <sheetName val="노무비_근거5"/>
      <sheetName val="임율_Data5"/>
      <sheetName val="1_설계기준5"/>
      <sheetName val="BSD_(2)6"/>
      <sheetName val="2차전체변경예정_(2)5"/>
      <sheetName val="단면_(2)5"/>
      <sheetName val="1_취수장6"/>
      <sheetName val="8_PILE__(돌출)5"/>
      <sheetName val="토공유동표(전체_당초)5"/>
      <sheetName val="1__설계조건_2_단면가정_3__하중계산6"/>
      <sheetName val="DATA_입력란6"/>
      <sheetName val="구조______4"/>
      <sheetName val="현장관리비_산출내역6"/>
      <sheetName val="b_balju_(2)5"/>
      <sheetName val="노무비_4"/>
      <sheetName val="화재_탐지_설비4"/>
      <sheetName val="Customer_Databas4"/>
      <sheetName val="실행내역서_6"/>
      <sheetName val="4_LINE4"/>
      <sheetName val="7_th4"/>
      <sheetName val="_갑지4"/>
      <sheetName val="0_0ControlSheet7"/>
      <sheetName val="0_1keyAssumption7"/>
      <sheetName val="4_내진설계6"/>
      <sheetName val="Sheet1_(2)6"/>
      <sheetName val="4_경비_5_영업외수지4"/>
      <sheetName val="_견적서4"/>
      <sheetName val="4_일위대가집계4"/>
      <sheetName val="1_설계조건6"/>
      <sheetName val="내역서_제출4"/>
      <sheetName val="A_LINE4"/>
      <sheetName val="장비당단가_(1)5"/>
      <sheetName val="Sheet2_(2)5"/>
      <sheetName val="96보완계획7_126"/>
      <sheetName val="전차선로_물량표6"/>
      <sheetName val="부대입찰_내역서6"/>
      <sheetName val="3BL공동구_수량6"/>
      <sheetName val="노원열병합__건축공사기성내역서6"/>
      <sheetName val="_총괄표6"/>
      <sheetName val="2_고용보험료산출근거6"/>
      <sheetName val="제잡비_xls6"/>
      <sheetName val="인건비_6"/>
      <sheetName val="콤보박스와_리스트박스의_연결6"/>
      <sheetName val="현장별계약현황('98_10_31)6"/>
      <sheetName val="토공(우물통,기타)_6"/>
      <sheetName val="플랜트_설치6"/>
      <sheetName val="원가계산_(2)6"/>
      <sheetName val="Eq__Mobilization6"/>
      <sheetName val="2000년_공정표4"/>
      <sheetName val="수_량_명_세_서_-_15"/>
      <sheetName val="광통신_견적내역서14"/>
      <sheetName val="할증_4"/>
      <sheetName val="unit_44"/>
      <sheetName val="별표_5"/>
      <sheetName val="2_건축5"/>
      <sheetName val="공정표_5"/>
      <sheetName val="설내역서_5"/>
      <sheetName val="프라임_강변역(4,236)4"/>
      <sheetName val="내___역4"/>
      <sheetName val="집_계_표4"/>
      <sheetName val="5_2코핑4"/>
      <sheetName val="배수공_시멘트_및_골재량_산출4"/>
      <sheetName val="7_PILE__(돌출)4"/>
      <sheetName val="P_M_별4"/>
      <sheetName val="CIP_공사5"/>
      <sheetName val="수량산출서_갑지4"/>
      <sheetName val="DATA_입력부4"/>
      <sheetName val="5__현장관리비(new)_4"/>
      <sheetName val="방배동내역_(총괄)4"/>
      <sheetName val="간_지14"/>
      <sheetName val="5__현장관리비_new__4"/>
      <sheetName val="Temporary_Mooring4"/>
      <sheetName val="중기조종사_단위단가5"/>
      <sheetName val="총_원가계산4"/>
      <sheetName val="일위대가_(PM)3"/>
      <sheetName val="2_교량(신설)4"/>
      <sheetName val="EQUIP_LIST4"/>
      <sheetName val="2_2_오피스텔(12~32F)4"/>
      <sheetName val="일위대가_집계표4"/>
      <sheetName val="중기쥰종사_단위단가3"/>
      <sheetName val="6__안전관리비11"/>
      <sheetName val="자__재4"/>
      <sheetName val="개인별_순위표4"/>
      <sheetName val="CM_14"/>
      <sheetName val="기술부_VENDOR_LIST4"/>
      <sheetName val="단계별내역_(2)4"/>
      <sheetName val="제출내역_(2)4"/>
      <sheetName val="2_2_띠장의_설계4"/>
      <sheetName val="1-1_현장정리3"/>
      <sheetName val="1-2_토공3"/>
      <sheetName val="1-3_WMM,GSB3"/>
      <sheetName val="1-4_BITUMINOUS_COURSE3"/>
      <sheetName val="1-5_BOX_CULVERTS3"/>
      <sheetName val="1-6_BRIDGE3"/>
      <sheetName val="1-7_DRAINAGE3"/>
      <sheetName val="1-8_TRAFFIC3"/>
      <sheetName val="1-9_MISCELLANEOUS3"/>
      <sheetName val="1-10_ELECTRICAL3"/>
      <sheetName val="1-12_도급외항목3"/>
      <sheetName val="9_1지하2층하부보4"/>
      <sheetName val="4_2_1_마루높이_검토3"/>
      <sheetName val="4_일위대가4"/>
      <sheetName val="BOX_본체3"/>
      <sheetName val="PTVT_(MAU)3"/>
      <sheetName val="STEEL_BOX_단면설계(SEC_8)3"/>
      <sheetName val="6_이토처리시간3"/>
      <sheetName val="울진항공등화_내역서3"/>
      <sheetName val="영흥TL(UP,DOWN)_3"/>
      <sheetName val="일_위_대_가_표3"/>
      <sheetName val="2000_054"/>
      <sheetName val="원내역서_그대로3"/>
      <sheetName val="1_3_1절점좌표4"/>
      <sheetName val="1_1설계기준4"/>
      <sheetName val="1_본부별4"/>
      <sheetName val="기초입력_DATA4"/>
      <sheetName val="재활용_악취_먼지DUCT산출4"/>
      <sheetName val="남양시작동자105노65기1_3화1_23"/>
      <sheetName val="관음목장(제출용)자105인97_53"/>
      <sheetName val="전체내역_(2)3"/>
      <sheetName val="Hyundai_Unit_cost_xls3"/>
      <sheetName val="TABLE_DB3"/>
      <sheetName val="쌍용_data_base3"/>
      <sheetName val="969910(_R)3"/>
      <sheetName val="1062-X방향_3"/>
      <sheetName val="5_정산서4"/>
      <sheetName val="PROJECT_BRIEF3"/>
      <sheetName val="4_장비손료4"/>
      <sheetName val="①idea_pipeline3"/>
      <sheetName val="IMP_통일양식3"/>
      <sheetName val="LYS_통일양식3"/>
      <sheetName val="Xunit_(단위환산)3"/>
      <sheetName val="유통기한_프로그램3"/>
      <sheetName val="1차_내역서3"/>
      <sheetName val="경비_(1)3"/>
      <sheetName val="2F_회의실견적(5_14_일대)3"/>
      <sheetName val="단양_00_아파트-세부내역4"/>
      <sheetName val="VENDOR_LIST3"/>
      <sheetName val="단가_3"/>
      <sheetName val="108_수선비3"/>
      <sheetName val="Div26_-_Elect2"/>
      <sheetName val="MP_MOB3"/>
      <sheetName val="명일작업계획_(3)3"/>
      <sheetName val="내역서_(3)4"/>
      <sheetName val="산출양식_(2)4"/>
      <sheetName val="전체산출내역서갑(변경)_4"/>
      <sheetName val="A_터파기공4"/>
      <sheetName val="B_측·집4"/>
      <sheetName val="배(자·집)_(2)4"/>
      <sheetName val="2_01측·터·집4"/>
      <sheetName val="땅깍·수_(1-1)4"/>
      <sheetName val="0-52_4"/>
      <sheetName val="콘·다_(2)4"/>
      <sheetName val="기·집_(2)4"/>
      <sheetName val="콘·다_(3)4"/>
      <sheetName val="병원내역집계표_(2)4"/>
      <sheetName val="실행총괄_4"/>
      <sheetName val="[IL-3_XLSY갑지4"/>
      <sheetName val="4_일위대가목차4"/>
      <sheetName val="내역_ver1_04"/>
      <sheetName val="2000,9월_일위4"/>
      <sheetName val="1_노무비명세서(해동)4"/>
      <sheetName val="1_노무비명세서(토목)4"/>
      <sheetName val="2_노무비명세서(해동)4"/>
      <sheetName val="2_노무비명세서(수직보호망)4"/>
      <sheetName val="2_노무비명세서(난간대)4"/>
      <sheetName val="2_사진대지4"/>
      <sheetName val="3_사진대지4"/>
      <sheetName val="변압기_및_발전기_용량3"/>
      <sheetName val="조도계산서_(도서)3"/>
      <sheetName val="빌딩_안내3"/>
      <sheetName val="CABLE_(2)3"/>
      <sheetName val="G_R300경비3"/>
      <sheetName val="단가대비표_(3)3"/>
      <sheetName val="기성내역서(을)_(2)3"/>
      <sheetName val="1단계_(2)3"/>
      <sheetName val="2_1__노무비_평균단가산출3"/>
      <sheetName val="3_공사비(07년노임단가)3"/>
      <sheetName val="3_공사비(단가조사표)3"/>
      <sheetName val="3_공사비(물량산출표)3"/>
      <sheetName val="3_공사비(일위대가표목록)3"/>
      <sheetName val="3_공사비(일위대가표)3"/>
      <sheetName val="TRE_TABLE3"/>
      <sheetName val="Requirement(Work_Crew)3"/>
      <sheetName val="진입도로B_(2)3"/>
      <sheetName val="수목데이타_3"/>
      <sheetName val="2_냉난방설비공사3"/>
      <sheetName val="7_자동제어공사3"/>
      <sheetName val="중강당_내역3"/>
      <sheetName val="기초자료입력및_K치_확인3"/>
      <sheetName val="실행내역_3"/>
      <sheetName val="자재_단가_비교표(견적)3"/>
      <sheetName val="자재_단가_비교표3"/>
      <sheetName val="Bid_Summary3"/>
      <sheetName val="이동시_예상비용3"/>
      <sheetName val="Seg_1DE비용3"/>
      <sheetName val="Transit_비용_감가상각미포함3"/>
      <sheetName val="세골재__T2_변경_현황3"/>
      <sheetName val="내역서_(2)3"/>
      <sheetName val="전화공사_공량_및_집계표3"/>
      <sheetName val="참조_(2)3"/>
      <sheetName val="6__직접경비3"/>
      <sheetName val="대가_(보완)3"/>
      <sheetName val="3_자재비(총괄)3"/>
      <sheetName val="5호광장_(만점)4"/>
      <sheetName val="인천국제_(만점)_(2)4"/>
      <sheetName val="제조_경영3"/>
      <sheetName val="4_전기3"/>
      <sheetName val="노_무_비3"/>
      <sheetName val="미납품_현황3"/>
      <sheetName val="신설개소별_총집계표(동해-배전)3"/>
      <sheetName val="용선_C_L3"/>
      <sheetName val="전_체3"/>
      <sheetName val="흙막이B_(오산운암)3"/>
      <sheetName val="타이로드_흙막이3"/>
      <sheetName val="타이로드_흙막이(근입장2_5M)3"/>
      <sheetName val="타이로드(근입장2_5M)3"/>
      <sheetName val="pile_항타3"/>
      <sheetName val="pile_항타(디젤)3"/>
      <sheetName val="pile_항타_A3"/>
      <sheetName val="pile_항타_B3"/>
      <sheetName val="pile_항타_C3"/>
      <sheetName val="pile_인발3"/>
      <sheetName val="pile_인발_A3"/>
      <sheetName val="pile_인발_B3"/>
      <sheetName val="pile_인발_C3"/>
      <sheetName val="20TON_TRAILER3"/>
      <sheetName val="토류판_(2)3"/>
      <sheetName val="SHEET_PILE단가3"/>
      <sheetName val="전선_및_전선관3"/>
      <sheetName val="2_1외주3"/>
      <sheetName val="2_3노무3"/>
      <sheetName val="2_4자재3"/>
      <sheetName val="2_2장비3"/>
      <sheetName val="2_5경비3"/>
      <sheetName val="2_6수목대3"/>
      <sheetName val="3련_BOX3"/>
      <sheetName val="설계기준_및_하중계산3"/>
      <sheetName val="Sight_n_M_H3"/>
      <sheetName val="매출요약(월별)_-년간3"/>
      <sheetName val="Piping_Design_Data3"/>
      <sheetName val="4_&amp;_10-inch,_CO2_Combo_&amp;_Sweep3"/>
      <sheetName val="1_䷨수장3"/>
      <sheetName val="4_뀴진설Ⳅ3"/>
      <sheetName val="전䰨선로_물량표3"/>
      <sheetName val="㶀대입찰_내역서3"/>
      <sheetName val="모선자재_집계표2"/>
      <sheetName val="재료의_할증2"/>
      <sheetName val="총괄집계_3"/>
      <sheetName val="kimre_scrubber3"/>
      <sheetName val="strut_type3"/>
      <sheetName val="한성교회_신축공사(050713)_CheckList3"/>
      <sheetName val="FRP_PIPING_일위대가3"/>
      <sheetName val="단가_및_재료비3"/>
      <sheetName val="함열량_db2"/>
      <sheetName val="10_경제성분석2"/>
      <sheetName val="기계_도급내역서2"/>
      <sheetName val="-15_02"/>
      <sheetName val="고객사_관리_코드3"/>
      <sheetName val="내역서_2"/>
      <sheetName val="사__업__비__수__지__예__산__서2"/>
      <sheetName val="표__지2"/>
      <sheetName val="D1_2_COF모듈자재_입출재고_(B급)2"/>
      <sheetName val="공내역_및_견적조건2"/>
      <sheetName val="2_12"/>
      <sheetName val="Bảng_mã_VT2"/>
      <sheetName val="Khoi_luong2"/>
      <sheetName val="DonGia_chetao2"/>
      <sheetName val="DonGia_VatTuLK2"/>
      <sheetName val="cong_thuc_tinh_chi_tiet2"/>
      <sheetName val="Fr_Revit2"/>
      <sheetName val="NSA_Summary2"/>
      <sheetName val="청_구1"/>
      <sheetName val="7_전산해석결과1"/>
      <sheetName val="4_하중1"/>
      <sheetName val="chi_tiet1"/>
      <sheetName val="PPC_Summary1"/>
      <sheetName val="Gia_VLNCMTC"/>
      <sheetName val="샌딩_에폭시_도장1"/>
      <sheetName val="Summary_VO_No_3"/>
      <sheetName val="VO_No_3_1"/>
      <sheetName val="VO_No_3_2"/>
      <sheetName val="VO_No_3_3"/>
      <sheetName val="VO_No_3_4"/>
      <sheetName val="VO_No_3_5"/>
      <sheetName val="VO_No_3_6"/>
      <sheetName val="VO_No_3_7"/>
      <sheetName val="VO_No_3_8"/>
      <sheetName val="기존단가_(2)1"/>
      <sheetName val="외주대비_-석축_x"/>
      <sheetName val="_IL-3_XLSY갑지4"/>
      <sheetName val="외주대비_ᨀ晙ԯ1"/>
      <sheetName val="[후다___"/>
      <sheetName val="Sàn_T1"/>
      <sheetName val="Lỗ_thông_gió"/>
      <sheetName val="SCOPE_OF_WORK"/>
      <sheetName val="Tong_hop"/>
      <sheetName val="Phan_lap_dat"/>
      <sheetName val="Lắp_Ráp"/>
      <sheetName val="KET_CAU-_MJV2"/>
      <sheetName val="Ví_dụ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NS_Lán_trại"/>
      <sheetName val="Check_cong_no_NC"/>
      <sheetName val="Thống_kê"/>
      <sheetName val="3_단가산출서"/>
      <sheetName val="4_단가산출기초"/>
      <sheetName val="H__MECHANICAL"/>
      <sheetName val="J__FIRE_FIGHTING"/>
      <sheetName val="PIPING"/>
      <sheetName val="electrical"/>
      <sheetName val="[후다_x0001_ _x0010_"/>
      <sheetName val="보도내 "/>
      <sheetName val="I.설계조건"/>
      <sheetName val="주형"/>
      <sheetName val="3.바닥판설계"/>
      <sheetName val="수배전(갑)"/>
      <sheetName val="월별손익(용역)"/>
      <sheetName val="공정관리1"/>
      <sheetName val="전체공정"/>
      <sheetName val="주간일정"/>
      <sheetName val="주간일정(미팅)"/>
      <sheetName val="19년"/>
      <sheetName val="7월"/>
      <sheetName val="8월"/>
      <sheetName val="9월"/>
      <sheetName val="10월"/>
      <sheetName val="프로파일계산"/>
      <sheetName val="7월~9월정리분(임과장)"/>
      <sheetName val="산출(토공‥"/>
      <sheetName val="GRD_x0000__x0000_"/>
      <sheetName val="입찰내역 발주처 양식"/>
      <sheetName val="발주수량표"/>
      <sheetName val="관공일위대가"/>
      <sheetName val="단가_x0000__x0000__x0005_"/>
      <sheetName val="평야부"/>
      <sheetName val="BOQFinishing"/>
      <sheetName val="대창(장성)"/>
      <sheetName val="Basic"/>
      <sheetName val="info"/>
      <sheetName val="금액"/>
      <sheetName val="태화42 "/>
      <sheetName val="인상효1"/>
      <sheetName val="인제내역"/>
      <sheetName val="항목코드"/>
      <sheetName val="EP0618"/>
      <sheetName val="VOC"/>
      <sheetName val="단위중기"/>
      <sheetName val="POOM_MOTO"/>
      <sheetName val="POOM_MOTO2"/>
      <sheetName val="JUCK"/>
      <sheetName val="수량명세서"/>
      <sheetName val="TYPE-1"/>
      <sheetName val="220 (2)"/>
      <sheetName val="조ꟕ"/>
      <sheetName val="수량-가로등"/>
      <sheetName val="내역서-2"/>
      <sheetName val="물량표S"/>
      <sheetName val="수량산근(출력X)"/>
      <sheetName val="표준화수량집계표(출력X)"/>
      <sheetName val="품셈총괄(출력X)"/>
      <sheetName val="중기산출근거기초"/>
      <sheetName val="준설량산정표"/>
      <sheetName val="기초자료입력"/>
      <sheetName val="배수내역(총수량)"/>
      <sheetName val="3.관로전환기"/>
      <sheetName val="EQ"/>
      <sheetName val="1공구_건정토건_철槜〚"/>
      <sheetName val="투찰추정"/>
      <sheetName val="FILE1"/>
      <sheetName val="배수喘_x001a_"/>
      <sheetName val="1И"/>
      <sheetName val="외주현황.wq1"/>
      <sheetName val=" "/>
      <sheetName val="F 월별기성수금현황 "/>
      <sheetName val="할증표"/>
      <sheetName val="인원조직표"/>
      <sheetName val="교량"/>
      <sheetName val="매인"/>
      <sheetName val="단위수량DATA"/>
      <sheetName val="토공 total"/>
      <sheetName val="TRAY 헹거산출"/>
      <sheetName val="급여병적자료"/>
      <sheetName val="단가16(노임)"/>
      <sheetName val="기초부재력검토"/>
      <sheetName val="하도계약반영"/>
      <sheetName val="편입토지조서"/>
      <sheetName val="목표세부명세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임시AFC)"/>
      <sheetName val="수량산출(임시CCTV)"/>
      <sheetName val="수량산출(임시TV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량산출(AFC)"/>
      <sheetName val="수량산출(CCTV)"/>
      <sheetName val="수량_작성"/>
      <sheetName val="合成単価作成表-BLDG"/>
      <sheetName val="건축원가계산서"/>
      <sheetName val="총물량"/>
      <sheetName val="投标材料清单 "/>
      <sheetName val="대3류_"/>
      <sheetName val="BEND_LOSS"/>
      <sheetName val="Tai_khoan"/>
      <sheetName val="ጳ_x0000__x0000_Ⴔጳ_x0000__x0000_Lጴ_x0000__x0000_ ጵ_x0000__x0000_ ጶ_x0000__x0000_ఀጷ_x0000__x0000_ ጸ_x0000_"/>
      <sheetName val="ጷ_x0000__x0000_Ⴔጸ_x0000__x0000_Lጿ_x0000__x0000_Rጿ_x0000__x0000_Sጊ_x0000__x0000_Lጊ_x0000__x0000_2ጱ"/>
      <sheetName val="ጳ_x0000__x0000_Ⴔጳ_x0000__x0000_Lጴ_x0000__x0000__ጵ_x0000__x0000__ጶ_x0000__x0000_ఀጷ_x0000__x0000__ጸ_x0000_"/>
      <sheetName val="ጳ_x0000__x0000_Ⴔጳ_x0000__x0000_Lጴ_x0000__x0000_Rጳ_x0000__x0000_Sጳ_x0000__x0000_Lጴ_x0000__x0000_2ጵ"/>
      <sheetName val="ጳ_x0000__x0000_Ⴔጴ_x0000__x0000_Lጳ_x0000__x0000_0ጳ_x0000__x0000_Șጴ_x0000__x0000_Șጵ_x0000__x0000_"/>
      <sheetName val="ጱ_x0000__x0000_Ⴔጲ_x0000__x0000_Lፍ_x0000__x0000_uጳ_x0000__x0000_mጳ_x0000__x0000_Dጴ_x0000__x0000_bጳ_x0000_"/>
      <sheetName val="ጊ_x0000__x0000_Ⴔጱ_x0000__x0000_Lጲ_x0000__x0000_.ድ_x0000__x0000_nጳ_x0000__x0000_lጳ_x0000__x0000_eጴ"/>
      <sheetName val="ጵ_x0000__x0000_Ⴔጶ_x0000__x0000_Lጷ_x0000__x0000_.ጸ_x0000__x0000_yጿ_x0000__x0000_uጿ_x0000__x0000_iጊ_x0000_"/>
      <sheetName val="ጊ_x0000__x0000_Ⴔጱ_x0000__x0000_Lጲ_x0000__x0000_-ድ_x0000__x0000_Lጳ_x0000__x0000_(ጳ_x0000__x0000_"/>
      <sheetName val="ጿ_x0000__x0000_Ⴔጿ_x0000__x0000_Lጊ_x0000__x0000_ېጱ_x0000__x0000_ ጲ_x0000__x0000_೵ድ_x0000__x0000_Ⴔጳ_x0000_"/>
      <sheetName val="ጊ_x0000__x0000_Ⴔጊ_x0000__x0000_Lጱ_x0000__x0000_᳴ጲ_x0000__x0000_ ድ_x0000__x0000_ᰕጳ_x0000__x0000_װጳ"/>
      <sheetName val="ጸ_x0000__x0000_Ⴔጿ_x0000__x0000_Lጿ_x0000__x0000_qጊ_x0000__x0000_oጊ_x0000__x0000_iጱ_x0000__x0000_iጲ_x0000_"/>
      <sheetName val="ጳ_x0000__x0000_Ⴔጴ_x0000__x0000_Lጳ_x0000__x0000__ጳ_x0000__x0000_nጴ_x0000__x0000_lጵ_x0000__x0000_eጶ"/>
      <sheetName val="ጿ_x0000__x0000_Ⴔጿ_x0000__x0000_Lጊ_x0000__x0000__ጊ_x0000__x0000_yጱ_x0000__x0000_uጲ_x0000__x0000_iድ_x0000_"/>
      <sheetName val="ፍ_x0000__x0000_Ⴔጳ_x0000__x0000_Lጳ_x0000__x0000_Nጴ_x0000__x0000_(ጳ_x0000__x0000_ᖥጳ_x0000__x0000_)"/>
      <sheetName val="ጿ_x0000__x0000_Ⴔጿ_x0000__x0000_Lጊ_x0000__x0000_Cጱ_x0000__x0000_4ጲ_x0000__x0000_Ĥፍ_x0000__x0000_"/>
      <sheetName val="ጳ_x0000__x0000_Ⴔጳ_x0000__x0000_Lጴ_x0000__x0000_෠ጳ_x0000__x0000_ೠጳ_x0000__x0000_2ጴ_x0000__x0000_Pጵ"/>
      <sheetName val="ጶ_x0000__x0000_Ⴔጷ_x0000__x0000_Lጸ_x0000__x0000_ ጿ_x0000__x0000_ ጿ_x0000__x0000_ ጊ_x0000__x0000_"/>
      <sheetName val="ጳ_x0000__x0000_Ⴔጴ_x0000__x0000_Lጳ_x0000__x0000_ބጳ_x0000__x0000_کጴ_x0000__x0000_ឌጵ_x0000__x0000_"/>
      <sheetName val="ጊ_x0000__x0000_Ⴔጊ_x0000__x0000_Lጱ_x0000__x0000_ބጲ_x0000__x0000_کድ_x0000__x0000_ឌጳ_x0000__x0000_"/>
      <sheetName val="ጳ_x0000__x0000_Ⴔጳ_x0000__x0000_Lጴ_x0000__x0000_᝼ጵ_x0000__x0000_᳀ጶ_x0000__x0000_,ጷ_x0000__x0000_)"/>
      <sheetName val="ጿ_x0000__x0000_Ⴔጊ_x0000__x0000_Lጱ_x0000__x0000_Șጲ_x0000__x0000_ᩘድ_x0000__x0000_ ጳ_x0000__x0000_ ጳ_x0000_"/>
      <sheetName val="ድ_x0000__x0000_Ⴔጳ_x0000__x0000_Lጳ_x0000__x0000_.ጴ_x0000__x0000_ഀጳ_x0000__x0000_nጳ_x0000__x0000_ "/>
      <sheetName val="ጴ_x0000__x0000_Ⴔጵ_x0000__x0000_Lጶ_x0000__x0000__ጷ_x0000__x0000_ഀጸ_x0000__x0000_nጿ_x0000__x0000_ "/>
      <sheetName val="ጳ_x0000__x0000_Ⴔጴ_x0000__x0000_Lጵ_x0000__x0000_.ጶ_x0000__x0000_ᔼጷ_x0000__x0000_1ጸ_x0000__x0000_2ጿ_x0000_"/>
      <sheetName val="ጲ_x0000__x0000_Ⴔድ_x0000__x0000_Lጳ_x0000__x0000_Rጳ_x0000__x0000_aጴ_x0000__x0000_lጳ_x0000__x0000_oጳ"/>
      <sheetName val="ጊ_x0000__x0000_Ⴔጱ_x0000__x0000_Lጲ_x0000__x0000_Rድ_x0000__x0000_Dጳ_x0000__x0000_(ጳ_x0000__x0000_๘ጴ"/>
      <sheetName val="ጴ_x0000__x0000_Ⴔጵ_x0000__x0000_Lጶ_x0000__x0000_֑ጷ_x0000__x0000_0ጸ_x0000__x0000_1ጿ_x0000__x0000_0ጿ"/>
      <sheetName val="ጸ_x0000__x0000_Ⴔጿ_x0000__x0000_Lጿ_x0000__x0000_Ƞጊ_x0000__x0000_Eጱ_x0000__x0000_Rጲ_x0000__x0000_Sፍ"/>
      <sheetName val="ጵ_x0000__x0000_Ⴔጶ_x0000__x0000_Lጷ_x0000__x0000_-ጸ_x0000__x0000_Oጿ_x0000__x0000_Uጿ_x0000__x0000_Rጊ_x0000_"/>
      <sheetName val="ጳ_x0000__x0000_Ⴔጴ_x0000__x0000_Lጵ_x0000__x0000_-ጶ_x0000__x0000_Eጷ_x0000__x0000_Tጸ_x0000__x0000_Aጿ"/>
      <sheetName val="ጸ_x0000__x0000_Ⴔጿ_x0000__x0000_Lጿ_x0000__x0000_.ጊ_x0000__x0000_ ጱ_x0000__x0000_ݴጲ_x0000__x0000_"/>
      <sheetName val="ጱ_x0000__x0000_Ⴔጲ_x0000__x0000_Lድ_x0000__x0000_ࣼጳ_x0000__x0000_൬ጳ_x0000__x0000_(ጴ_x0000__x0000_"/>
      <sheetName val="ጴ_x0000__x0000_Ⴔጳ_x0000__x0000_Lጳ_x0000__x0000_Rጴ_x0000__x0000_Sጵ_x0000__x0000_Lጶ_x0000__x0000_2ጷ_x0000_"/>
      <sheetName val="ጿ_x0000__x0000_Ⴔጿ_x0000__x0000_Lጊ_x0000__x0000_uጱ_x0000__x0000_mጲ_x0000__x0000_Dድ_x0000__x0000_bጳ_x0000_"/>
      <sheetName val="ጴ_x0000__x0000_Ⴔጳ_x0000__x0000_Lጳ_x0000__x0000__ጴ_x0000__x0000_nጵ_x0000__x0000_lጶ_x0000__x0000_eጷ_x0000_"/>
      <sheetName val="ጶ_x0000__x0000_Ⴔጷ_x0000__x0000_Lጸ_x0000__x0000_ېጿ_x0000__x0000__ጿ_x0000__x0000_೵ጊ_x0000__x0000_Ⴔጱ_x0000_"/>
      <sheetName val="ጳ_x0000__x0000_Ⴔጳ_x0000__x0000_Lጴ_x0000__x0000__ጳ_x0000__x0000_ഀጳ_x0000__x0000_nጴ_x0000__x0000__"/>
      <sheetName val="ጿ_x0000__x0000_Ⴔጊ_x0000__x0000_Lጊ_x0000__x0000__ጱ_x0000__x0000_ഀጲ_x0000__x0000_nድ_x0000__x0000__"/>
      <sheetName val="ጵ_x0000__x0000_Ⴔጶ_x0000__x0000_Lጷ_x0000__x0000_qጸ_x0000__x0000_oጿ_x0000__x0000_iጿ_x0000__x0000_iጊ_x0000_"/>
      <sheetName val="ጲ_x0000__x0000_Ⴔድ_x0000__x0000_Lጳ_x0000__x0000_᳴ጳ_x0000__x0000__ጴ_x0000__x0000_ᰕጳ_x0000__x0000_װጳ"/>
      <sheetName val="ጶ_x0000__x0000_Ⴔጷ_x0000__x0000_Lጸ_x0000__x0000__ጿ_x0000__x0000__ጿ_x0000__x0000__ጊ_x0000__x0000_"/>
      <sheetName val="ጱ_x0000__x0000_Ⴔጲ_x0000__x0000_Lድ_x0000__x0000_᝼ጳ_x0000__x0000_᳀ጳ_x0000__x0000_,ጴ_x0000__x0000_)"/>
      <sheetName val="ጷ_x0000__x0000_Ⴔጸ_x0000__x0000_Lጿ_x0000__x0000_Șጿ_x0000__x0000_ᩘጊ_x0000__x0000__ጱ_x0000__x0000__ጲ_x0000_"/>
      <sheetName val="ድ_x0000__x0000_Ⴔጳ_x0000__x0000_Lጳ_x0000__x0000_ᰘጴ_x0000__x0000_ࠄጳ_x0000__x0000_ഈጳ_x0000__x0000_Ṅጴ"/>
      <sheetName val="ጲ_x0000__x0000_Ⴔድ_x0000__x0000_Lጳ_x0000__x0000__ጳ_x0000__x0000_nጴ_x0000__x0000_lጳ_x0000__x0000_eጳ_x0000_"/>
      <sheetName val="ጳ_x0000__x0000_Ⴔጳ_x0000__x0000_Lጴ_x0000__x0000_᳴ጵ_x0000__x0000__ጶ_x0000__x0000_ᰕጷ_x0000__x0000_װጸ_x0000_"/>
      <sheetName val="ጊ_x0000__x0000_Ⴔጱ_x0000__x0000_Lጲ_x0000__x0000_ࠑድ_x0000__x0000_°ጳ_x0000__x0000_2ጳ_x0000__x0000_0"/>
      <sheetName val="ጿ_x0000__x0000_Ⴔጊ_x0000__x0000_Lጱ_x0000__x0000_ᙜጲ_x0000__x0000_෨ድ_x0000__x0000_Dጳ_x0000__x0000_°ጳ"/>
      <sheetName val="ጿ_x0000__x0000_Ⴔጊ_x0000__x0000_Lጱ_x0000__x0000_Rጲ_x0000__x0000_Cድ_x0000__x0000_Rጳ_x0000__x0000_"/>
      <sheetName val="ጴ_x0000__x0000_Ⴔጳ_x0000__x0000_Lጳ_x0000__x0000_iጴ_x0000__x0000_ ጵ_x0000__x0000_eጶ_x0000__x0000_e"/>
      <sheetName val="ጵ_x0000__x0000_Ⴔጶ_x0000__x0000_Lጷ_x0000__x0000_ᝥጸ_x0000__x0000_Uጿ_x0000__x0000_Oጿ_x0000__x0000_ "/>
      <sheetName val="ጳ_x0000__x0000_Ⴔጴ_x0000__x0000_Lጵ_x0000__x0000_֑ጶ_x0000__x0000_ ጷ_x0000__x0000_-ጸ_x0000__x0000_׭"/>
      <sheetName val="ጳ_x0000__x0000_Ⴔጳ_x0000__x0000_Lጴ_x0000__x0000_಴ጵ_x0000__x0000_׭ጶ_x0000__x0000_᳀ጷ_x0000__x0000_"/>
      <sheetName val="ጴ_x0000__x0000_Ⴔጵ_x0000__x0000_Lጶ_x0000__x0000_ඕጷ_x0000__x0000_ఐጸ_x0000__x0000_սጿ_x0000__x0000_"/>
      <sheetName val="ጲ_x0000__x0000_Ⴔድ_x0000__x0000_Lጳ_x0000__x0000_.ጳ_x0000__x0000_᪅ጴ_x0000__x0000_Șጳ_x0000__x0000_᧝ጳ"/>
      <sheetName val="ጸ_x0000__x0000_Ⴔጿ_x0000__x0000_Lጿ_x0000__x0000_.ጊ_x0000__x0000_᪅ጊ_x0000__x0000_ႜጱ_x0000__x0000_"/>
      <sheetName val="ጴ_x0000__x0000_Ⴔጵ_x0000__x0000_Lጶ_x0000__x0000_.ጷ_x0000__x0000_ᅸጸ_x0000__x0000_Ꮙጿ_x0000__x0000_°ጿ"/>
      <sheetName val="ጶ_x0000__x0000_Ⴔጷ_x0000__x0000_Lጸ_x0000__x0000_.ጿ_x0000__x0000_(ጿ_x0000__x0000_ᅸጊ_x0000__x0000_)"/>
      <sheetName val="ጳ_x0000__x0000_Ⴔጴ_x0000__x0000_Lጴ_x0000__x0000_.ፊ_x0000__x0000_(ጵ_x0000__x0000_ఀፋ_x0000__x0000_)"/>
      <sheetName val="ጊ_x0000__x0000_Ⴔጱ_x0000__x0000_Lጲ_x0000__x0000_ഈድ_x0000__x0000_ᠥጳ_x0000__x0000_๘ጳ_x0000__x0000_"/>
      <sheetName val="ጊ_x0000__x0000_Ⴔጱ_x0000__x0000_Lጲ_x0000__x0000_Tድ_x0000__x0000_(ጳ_x0000__x0000_Eጳ_x0000__x0000_"/>
      <sheetName val="ጱ_x0000__x0000_Ⴔጲ_x0000__x0000_Lድ_x0000__x0000_ެጳ_x0000__x0000_ ጳ_x0000__x0000_(ጴ_x0000__x0000_"/>
      <sheetName val="ጷ_x0000__x0000_Ⴔጸ_x0000__x0000_Lጿ_x0000__x0000_೨ጿ_x0000__x0000_Tጊ_x0000__x0000_ಽጊ_x0000__x0000_"/>
      <sheetName val="ጿ_x0000__x0000_Ⴔጿ_x0000__x0000_Lጊ_x0000__x0000_ᙔጱ_x0000__x0000_೵ጲ_x0000__x0000_ ድ_x0000__x0000_"/>
      <sheetName val="ጴ_x0000__x0000_Ⴔጳ_x0000__x0000_Lጳ_x0000__x0000_ᆠጴ_x0000__x0000_Aጵ_x0000__x0000_Iጶ_x0000__x0000_"/>
      <sheetName val="ድ_x0000__x0000_Ⴔጳ_x0000__x0000_Lጳ_x0000__x0000_಴ጴ_x0000__x0000_׭ጳ_x0000__x0000_᳀ጳ_x0000__x0000_"/>
      <sheetName val="ጱ_x0000__x0000_Ⴔጲ_x0000__x0000_Lድ_x0000__x0000_ಜጳ_x0000__x0000_(ጳ_x0000__x0000_ ጴ_x0000__x0000_"/>
      <sheetName val="ጷ_x0000__x0000_Ⴔጸ_x0000__x0000_Lጿ_x0000__x0000_ݸጿ_x0000__x0000_ၬጊ_x0000__x0000_2ጊ_x0000__x0000_ರጱ"/>
      <sheetName val="ጵ_x0000__x0000_Ⴔጶ_x0000__x0000_Lጷ_x0000__x0000__ጸ_x0000__x0000_᪅ጿ_x0000__x0000_Șጿ_x0000__x0000_᧝ጊ"/>
      <sheetName val="ጳ_x0000__x0000_Ⴔጴ_x0000__x0000_Lጳ_x0000__x0000__ጳ_x0000__x0000_᪅ጴ_x0000__x0000_ႜጵ_x0000__x0000_"/>
      <sheetName val="ጳ_x0000__x0000_Ⴔጳ_x0000__x0000_Lጴ_x0000__x0000_ࣼጳ_x0000__x0000_൬ጳ_x0000__x0000_(ጴ_x0000__x0000_"/>
      <sheetName val="ጳ_x0000__x0000_Ⴔጴ_x0000__x0000_Lጳ_x0000__x0000_Rጳ_x0000__x0000_Sጴ_x0000__x0000_Lጵ_x0000__x0000_2ጶ_x0000_"/>
      <sheetName val="ጿ_x0000__x0000_Ⴔጿ_x0000__x0000_Lጊ_x0000__x0000_నጊ_x0000__x0000_ಽጱ_x0000__x0000_(ጲ_x0000__x0000_"/>
      <sheetName val="ጿ_x0000__x0000_Ⴔጊ_x0000__x0000_Lጊ_x0000__x0000_೵ጱ_x0000__x0000_(ጲ_x0000__x0000_ዹድ_x0000__x0000_"/>
      <sheetName val="ጳ_x0000__x0000_Ⴔጳ_x0000__x0000_Lጴ_x0000__x0000__ጳ_x0000__x0000_Eጳ_x0000__x0000_Ꮜጴ_x0000__x0000_"/>
      <sheetName val="ጷ_x0000__x0000_Ⴔጸ_x0000__x0000_Lጿ_x0000__x0000__ጿ_x0000__x0000_ᔼጊ_x0000__x0000_1ጱ_x0000__x0000_2ጲ_x0000_"/>
      <sheetName val="ጳ_x0000__x0000_Ⴔጳ_x0000__x0000_Lጴ_x0000__x0000_Ƞጴ_x0000__x0000_Eፊ_x0000__x0000_Rጵ_x0000__x0000_Sፋ"/>
      <sheetName val="ጸ_x0000__x0000_Ⴔጿ_x0000__x0000_Lጿ_x0000__x0000_ݴጊ_x0000__x0000_෼ጱ_x0000__x0000_.ጲ_x0000__x0000_"/>
      <sheetName val="ድ_x0000__x0000_Ⴔጳ_x0000__x0000_Lጳ_x0000__x0000_0ጴ_x0000__x0000_ ጳ_x0000__x0000_Iጳ_x0000__x0000_"/>
      <sheetName val="ጊ_x0000__x0000_Ⴔጱ_x0000__x0000_Lጲ_x0000__x0000_ಜድ_x0000__x0000_(ጳ_x0000__x0000__ጳ_x0000__x0000_"/>
      <sheetName val="ጿ_x0000__x0000_Ⴔጊ_x0000__x0000_Lጱ_x0000__x0000_rጲ_x0000__x0000_(ድ_x0000__x0000_tጳ_x0000__x0000_rጳ"/>
      <sheetName val="ጴ_x0000__x0000_Ⴔጵ_x0000__x0000_Lጶ_x0000__x0000_᚝ጷ_x0000__x0000_Ոጸ_x0000__x0000_)ጿ_x0000__x0000_"/>
      <sheetName val="ጸ_x0000__x0000_Ⴔጿ_x0000__x0000_Lጿ_x0000__x0000_iጊ_x0000__x0000_ ጱ_x0000__x0000_uጲ_x0000__x0000_r"/>
      <sheetName val="ጊ후다내역.XLS]0_0ControlSheet3"/>
      <sheetName val="ጳ_x0000__x0000_Ⴔጴ_x0000__x0000_Lጳ_x0000__x0000_᳴ጳ_x0000__x0000__ጴ_x0000__x0000_ᰕጵ_x0000__x0000_װጶ_x0000_"/>
      <sheetName val="ጴ_x0000__x0000_Ⴔጳ_x0000__x0000_Lጳ_x0000__x0000_֑ጴ_x0000__x0000__ጵ_x0000__x0000_-ጶ_x0000__x0000_׭"/>
      <sheetName val="ጳ_x0000__x0000_Ⴔጳ_x0000__x0000_Lጴ_x0000__x0000_ᙜጵ_x0000__x0000_෨ጶ_x0000__x0000_Dጷ_x0000__x0000_°ጸ"/>
      <sheetName val="ጿ_x0000__x0000_ゴጊ_x0000__x0000_Lዷ_x0000__x0000_R፞_x0000__x0000_I፟_x0000__x0000_G፠_x0000__x0000_ጀ፠"/>
      <sheetName val="ጶ_x0000__x0000_Ⴔጷ_x0000__x0000_Lጸ_x0000__x0000__ጿ_x0000__x0000_ഀጿ_x0000__x0000_nጊ_x0000__x0000__ጱ"/>
      <sheetName val="ጵ_x0000__x0000_Ⴔጶ_x0000__x0000_Lጷ_x0000__x0000__ጸ_x0000__x0000_ഀጿ_x0000__x0000_nጿ_x0000__x0000__ጊ"/>
      <sheetName val="ጳ_x0000__x0000_Ⴔጴ_x0000__x0000_Lጵ_x0000__x0000__ጶ_x0000__x0000_Eጷ_x0000__x0000_Ꮜጸ_x0000__x0000_"/>
      <sheetName val="ጱ_x0000__x0000_Ⴔጲ_x0000__x0000_Lድ_x0000__x0000__ጳ_x0000__x0000__ጳ_x0000__x0000__ጴ_x0000__x0000_1"/>
      <sheetName val="ድ_x0000__x0000_Ⴔጳ_x0000__x0000_Lጳ_x0000__x0000_᝼ጴ_x0000__x0000_᳀ጳ_x0000__x0000_,ጳ_x0000__x0000_)ጴ"/>
      <sheetName val="ጶ_x0000__x0000_Ⴔጷ_x0000__x0000_Lጸ_x0000__x0000_-ጿ_x0000__x0000_Oጿ_x0000__x0000_Uጊ_x0000__x0000_Rፕ_x0000_"/>
      <sheetName val="ጿ_x0000__x0000_Ⴔጿ_x0000__x0000_Lጊ_x0000__x0000_-ጱ_x0000__x0000_Eጲ_x0000__x0000_Tድ_x0000__x0000_Aጳ"/>
      <sheetName val="ጷ_x0000__x0000_Ⴔጸ_x0000__x0000_Lጿ_x0000__x0000__ጿ_x0000__x0000__ጊ_x0000__x0000_ݴጱ_x0000__x0000_"/>
      <sheetName val="ጲ_x0000__x0000_Ⴔድ_x0000__x0000_Lጳ_x0000__x0000_ᝥጳ_x0000__x0000_Uጴ_x0000__x0000_Oጳ_x0000__x0000__"/>
      <sheetName val="ፘ_x0000__x0000_Ⴔፘ_x0000__x0000_Lፙ_x0000__x0000_Rፘ_x0000__x0000_Cፘ_x0000__x0000_Rፙ_x0000__x0000_"/>
      <sheetName val="፝_x0000__x0000_Ⴔጿ_x0000__x0000_Lጿ_x0000__x0000_iጊ_x0000__x0000__ዷ_x0000__x0000_e፞_x0000__x0000_e"/>
      <sheetName val="፡_x0000__x0000_Ⴔ፠_x0000__x0000_L፠_x0000__x0000_ࣼ፡_x0000__x0000_൬።_x0000__x0000_(፣_x0000__x0000_"/>
      <sheetName val="፠_x0000__x0000_Ⴔ፡_x0000__x0000_L።_x0000__x0000_R፣_x0000__x0000_S፤_x0000__x0000_Lጿ_x0000__x0000_2ጿ_x0000_"/>
      <sheetName val="ጊ_x0000__x0000_Ⴔጊ_x0000__x0000_Lጊ_x0000__x0000_నጊ_x0000__x0000_ಽጊ_x0000__x0000_(፥_x0000__x0000_"/>
      <sheetName val="፥_x0000__x0000_Ⴔ፦_x0000__x0000_L፥_x0000__x0000__ጊ_x0000__x0000_Eጊ_x0000__x0000_Ꮜጊ_x0000__x0000_"/>
      <sheetName val="ጲ_x0000__x0000_Ⴔድ_x0000__x0000_Lጳ_x0000__x0000_Iጳ_x0000__x0000__ጴ_x0000__x0000_Yጳ_x0000__x0000_"/>
      <sheetName val="ጳ_x0000__x0000_Ⴔጳ_x0000__x0000_Lጴ_x0000__x0000__ጳ_x0000__x0000_᪅ጳ_x0000__x0000_ᕴጴ_x0000__x0000_"/>
      <sheetName val="흥양2교토㎈ï뇸ર"/>
      <sheetName val="상하수대비내역(공내역)"/>
      <sheetName val="6.RJP이토처리시간"/>
      <sheetName val="7.RJP지층별제원"/>
      <sheetName val="서∼군(2寅"/>
      <sheetName val="간접비 총괄표"/>
      <sheetName val="드럼사이즈 내역"/>
      <sheetName val="원가계산(2)"/>
      <sheetName val="Dầm 1"/>
      <sheetName val="Unit Rate(non print)"/>
      <sheetName val="DI-ESTI"/>
      <sheetName val="Bang gia 2011.10.12"/>
      <sheetName val="Gtvl"/>
      <sheetName val="Thkp"/>
      <sheetName val="Ptvt"/>
      <sheetName val="Gia_THKP"/>
      <sheetName val="GiaTH_PT2"/>
      <sheetName val="Notes"/>
      <sheetName val="Sàn tầng 01 ( old )"/>
      <sheetName val="BTRA"/>
      <sheetName val="5.6 NTKL ĐHKK "/>
      <sheetName val="5.12 NTKL PCCC"/>
      <sheetName val="Gia thanh chuoi su"/>
      <sheetName val="Tiep dia"/>
      <sheetName val="Don gia vung III-Can Tho"/>
      <sheetName val="TH MEP"/>
      <sheetName val="GAEYO"/>
      <sheetName val="_후다_x0001_ _x0010__x0000__x0003"/>
      <sheetName val="0"/>
      <sheetName val="Cọc nhồi"/>
      <sheetName val="MTL(AG)"/>
      <sheetName val="01__DATA"/>
      <sheetName val="토공_total"/>
      <sheetName val="TRAY_헹거산출"/>
      <sheetName val="Elec LG"/>
      <sheetName val="Doi so"/>
      <sheetName val="Gia"/>
      <sheetName val="ጳ"/>
      <sheetName val="ጷ"/>
      <sheetName val="ጱ"/>
      <sheetName val="ጊ"/>
      <sheetName val="ጵ"/>
      <sheetName val="ጿ"/>
      <sheetName val="ጸ"/>
      <sheetName val="ፍ"/>
      <sheetName val="ጶ"/>
      <sheetName val="ድ"/>
      <sheetName val="ጴ"/>
      <sheetName val="ጲ"/>
      <sheetName val="ፘ"/>
      <sheetName val="፝"/>
      <sheetName val="፡"/>
      <sheetName val="፠"/>
      <sheetName val="፥"/>
      <sheetName val="_후다_x0001_ _x0010_"/>
      <sheetName val="ESTI."/>
      <sheetName val="Bang TH"/>
      <sheetName val="Shelves"/>
      <sheetName val="ThongSo"/>
      <sheetName val="5.NKTC"/>
      <sheetName val="4.BBNT-LĐ"/>
      <sheetName val=" DATA"/>
      <sheetName val="0.Bìa"/>
      <sheetName val="1.Mục lục"/>
      <sheetName val="2.Phiếu kiểm tra"/>
      <sheetName val="BM-06a Mẫu chứng chỉ thanh toán"/>
      <sheetName val="3.Bảng TT giá trị thực hiện"/>
      <sheetName val="4.Bảng TT KL thực hiện"/>
      <sheetName val="6.KL DD chi tiết"/>
      <sheetName val="5.công nhật"/>
      <sheetName val="ROW 3a-chi tiết"/>
      <sheetName val="ROW 5- chi tiết"/>
      <sheetName val="ROW 6- chi tiết"/>
      <sheetName val="KL khoán đổ bê tông T7"/>
      <sheetName val="6. Bảng TT giá trị giảm trừ HĐ"/>
      <sheetName val="6. Hồ sơ đính kèm"/>
      <sheetName val="THMAVT"/>
      <sheetName val="견적_x0005_"/>
      <sheetName val="Ref"/>
      <sheetName val="1.Requisition(E)"/>
      <sheetName val="dtct cong"/>
      <sheetName val="単価表"/>
      <sheetName val="SLCONG"/>
      <sheetName val="SLGA"/>
      <sheetName val="新规"/>
      <sheetName val="手动计画"/>
      <sheetName val="DTCT"/>
      <sheetName val="TL rieng"/>
      <sheetName val="표지_(3)7"/>
      <sheetName val="표지_(2)7"/>
      <sheetName val="교각집계_(2)7"/>
      <sheetName val="교각토공_(2)7"/>
      <sheetName val="교각철근_(2)7"/>
      <sheetName val="외주대비_-석축7"/>
      <sheetName val="외주대비-구조물_(2)7"/>
      <sheetName val="견적표지_(3)7"/>
      <sheetName val="_HIT-&gt;HMC_견적(3900)7"/>
      <sheetName val="일__위__대__가__목__록7"/>
      <sheetName val="1공구_건정토건_토공8"/>
      <sheetName val="1공구_건정토건_철콘8"/>
      <sheetName val="도급표지_8"/>
      <sheetName val="도급표지__(4)8"/>
      <sheetName val="부대표지_(4)8"/>
      <sheetName val="도급표지__(3)8"/>
      <sheetName val="부대표지_(3)8"/>
      <sheetName val="도급표지__(2)8"/>
      <sheetName val="부대표지_(2)8"/>
      <sheetName val="토__목8"/>
      <sheetName val="조__경8"/>
      <sheetName val="전_기8"/>
      <sheetName val="건__축8"/>
      <sheetName val="보도내역_(3)8"/>
      <sheetName val="준검_내역서8"/>
      <sheetName val="내역(최종본4_5)8"/>
      <sheetName val="1_수인터널8"/>
      <sheetName val="설_계8"/>
      <sheetName val="입출재고현황_(2)7"/>
      <sheetName val="6PILE__(돌출)8"/>
      <sheetName val="2_대외공문8"/>
      <sheetName val="AS포장복구_8"/>
      <sheetName val="6__안전관리비12"/>
      <sheetName val="HRSG_SMALL072207"/>
      <sheetName val="교각토공__2_7"/>
      <sheetName val="3_공통공사대비7"/>
      <sheetName val="97년_추정7"/>
      <sheetName val="8_현장관리비6"/>
      <sheetName val="7_안전관리비6"/>
      <sheetName val="하도내역_(철콘)6"/>
      <sheetName val="조건표_(2)6"/>
      <sheetName val="목차_6"/>
      <sheetName val="7__현장관리비_6"/>
      <sheetName val="노무비_근거6"/>
      <sheetName val="임율_Data6"/>
      <sheetName val="1_설계기준6"/>
      <sheetName val="BSD_(2)7"/>
      <sheetName val="2차전체변경예정_(2)6"/>
      <sheetName val="단면_(2)6"/>
      <sheetName val="1_취수장7"/>
      <sheetName val="8_PILE__(돌출)6"/>
      <sheetName val="토공유동표(전체_당초)6"/>
      <sheetName val="1__설계조건_2_단면가정_3__하중계산7"/>
      <sheetName val="DATA_입력란7"/>
      <sheetName val="구조______5"/>
      <sheetName val="현장관리비_산출내역7"/>
      <sheetName val="b_balju_(2)6"/>
      <sheetName val="노무비_5"/>
      <sheetName val="화재_탐지_설비5"/>
      <sheetName val="Customer_Databas5"/>
      <sheetName val="실행내역서_7"/>
      <sheetName val="4_LINE5"/>
      <sheetName val="7_th5"/>
      <sheetName val="_갑지5"/>
      <sheetName val="0_0ControlSheet8"/>
      <sheetName val="0_1keyAssumption8"/>
      <sheetName val="4_내진설계7"/>
      <sheetName val="Sheet1_(2)7"/>
      <sheetName val="4_경비_5_영업외수지5"/>
      <sheetName val="_견적서5"/>
      <sheetName val="4_일위대가집계5"/>
      <sheetName val="1_설계조건7"/>
      <sheetName val="내역서_제출5"/>
      <sheetName val="A_LINE5"/>
      <sheetName val="장비당단가_(1)6"/>
      <sheetName val="Sheet2_(2)6"/>
      <sheetName val="96보완계획7_127"/>
      <sheetName val="전차선로_물량표7"/>
      <sheetName val="부대입찰_내역서7"/>
      <sheetName val="3BL공동구_수량7"/>
      <sheetName val="5__현장관리비(new)_5"/>
      <sheetName val="노원열병합__건축공사기성내역서7"/>
      <sheetName val="할증_5"/>
      <sheetName val="방배동내역_(총괄)5"/>
      <sheetName val="간_지15"/>
      <sheetName val="5__현장관리비_new__5"/>
      <sheetName val="Temporary_Mooring5"/>
      <sheetName val="중기조종사_단위단가6"/>
      <sheetName val="7_PILE__(돌출)5"/>
      <sheetName val="설내역서_6"/>
      <sheetName val="총_원가계산5"/>
      <sheetName val="2_2_오피스텔(12~32F)5"/>
      <sheetName val="일위대가_집계표5"/>
      <sheetName val="제잡비_xls7"/>
      <sheetName val="인건비_7"/>
      <sheetName val="_총괄표7"/>
      <sheetName val="2_고용보험료산출근거7"/>
      <sheetName val="토공(우물통,기타)_7"/>
      <sheetName val="현장별계약현황('98_10_31)7"/>
      <sheetName val="Eq__Mobilization7"/>
      <sheetName val="원가계산_(2)7"/>
      <sheetName val="광통신_견적내역서15"/>
      <sheetName val="unit_45"/>
      <sheetName val="플랜트_설치7"/>
      <sheetName val="콤보박스와_리스트박스의_연결7"/>
      <sheetName val="별표_6"/>
      <sheetName val="수_량_명_세_서_-_16"/>
      <sheetName val="2_건축6"/>
      <sheetName val="공정표_6"/>
      <sheetName val="프라임_강변역(4,236)5"/>
      <sheetName val="내___역5"/>
      <sheetName val="집_계_표5"/>
      <sheetName val="2000년_공정표5"/>
      <sheetName val="5_2코핑5"/>
      <sheetName val="배수공_시멘트_및_골재량_산출5"/>
      <sheetName val="P_M_별5"/>
      <sheetName val="CIP_공사6"/>
      <sheetName val="수량산출서_갑지5"/>
      <sheetName val="DATA_입력부5"/>
      <sheetName val="일위대가_(PM)4"/>
      <sheetName val="중기쥰종사_단위단가4"/>
      <sheetName val="6__안전관리비13"/>
      <sheetName val="자__재5"/>
      <sheetName val="개인별_순위표5"/>
      <sheetName val="CM_15"/>
      <sheetName val="기술부_VENDOR_LIST5"/>
      <sheetName val="단계별내역_(2)5"/>
      <sheetName val="제출내역_(2)5"/>
      <sheetName val="2_2_띠장의_설계5"/>
      <sheetName val="1-1_현장정리4"/>
      <sheetName val="1-2_토공4"/>
      <sheetName val="1-3_WMM,GSB4"/>
      <sheetName val="1-4_BITUMINOUS_COURSE4"/>
      <sheetName val="1-5_BOX_CULVERTS4"/>
      <sheetName val="1-6_BRIDGE4"/>
      <sheetName val="1-7_DRAINAGE4"/>
      <sheetName val="1-8_TRAFFIC4"/>
      <sheetName val="1-9_MISCELLANEOUS4"/>
      <sheetName val="1-10_ELECTRICAL4"/>
      <sheetName val="1-12_도급외항목4"/>
      <sheetName val="9_1지하2층하부보5"/>
      <sheetName val="4_2_1_마루높이_검토4"/>
      <sheetName val="4_일위대가5"/>
      <sheetName val="BOX_본체4"/>
      <sheetName val="STEEL_BOX_단면설계(SEC_8)4"/>
      <sheetName val="6_이토처리시간4"/>
      <sheetName val="울진항공등화_내역서4"/>
      <sheetName val="영흥TL(UP,DOWN)_4"/>
      <sheetName val="일_위_대_가_표4"/>
      <sheetName val="2_교량(신설)5"/>
      <sheetName val="EQUIP_LIST5"/>
      <sheetName val="PTVT_(MAU)4"/>
      <sheetName val="1차_내역서4"/>
      <sheetName val="2000_055"/>
      <sheetName val="원내역서_그대로4"/>
      <sheetName val="1_3_1절점좌표5"/>
      <sheetName val="1_1설계기준5"/>
      <sheetName val="1_본부별5"/>
      <sheetName val="기초입력_DATA5"/>
      <sheetName val="재활용_악취_먼지DUCT산출5"/>
      <sheetName val="남양시작동자105노65기1_3화1_24"/>
      <sheetName val="관음목장(제출용)자105인97_54"/>
      <sheetName val="전체내역_(2)4"/>
      <sheetName val="Hyundai_Unit_cost_xls4"/>
      <sheetName val="TABLE_DB4"/>
      <sheetName val="쌍용_data_base4"/>
      <sheetName val="969910(_R)4"/>
      <sheetName val="1062-X방향_4"/>
      <sheetName val="5_정산서5"/>
      <sheetName val="PROJECT_BRIEF4"/>
      <sheetName val="4_장비손료5"/>
      <sheetName val="①idea_pipeline4"/>
      <sheetName val="IMP_통일양식4"/>
      <sheetName val="LYS_통일양식4"/>
      <sheetName val="Xunit_(단위환산)4"/>
      <sheetName val="유통기한_프로그램4"/>
      <sheetName val="경비_(1)4"/>
      <sheetName val="2F_회의실견적(5_14_일대)4"/>
      <sheetName val="단양_00_아파트-세부내역5"/>
      <sheetName val="VENDOR_LIST4"/>
      <sheetName val="단가_4"/>
      <sheetName val="108_수선비4"/>
      <sheetName val="MP_MOB4"/>
      <sheetName val="Div26_-_Elect3"/>
      <sheetName val="명일작업계획_(3)4"/>
      <sheetName val="내역서_(3)5"/>
      <sheetName val="산출양식_(2)5"/>
      <sheetName val="전체산출내역서갑(변경)_5"/>
      <sheetName val="A_터파기공5"/>
      <sheetName val="B_측·집5"/>
      <sheetName val="배(자·집)_(2)5"/>
      <sheetName val="2_01측·터·집5"/>
      <sheetName val="땅깍·수_(1-1)5"/>
      <sheetName val="0-52_5"/>
      <sheetName val="콘·다_(2)5"/>
      <sheetName val="기·집_(2)5"/>
      <sheetName val="콘·다_(3)5"/>
      <sheetName val="병원내역집계표_(2)5"/>
      <sheetName val="실행총괄_5"/>
      <sheetName val="[IL-3_XLSY갑지5"/>
      <sheetName val="4_일위대가목차5"/>
      <sheetName val="내역_ver1_05"/>
      <sheetName val="2000,9월_일위5"/>
      <sheetName val="1_노무비명세서(해동)5"/>
      <sheetName val="1_노무비명세서(토목)5"/>
      <sheetName val="2_노무비명세서(해동)5"/>
      <sheetName val="2_노무비명세서(수직보호망)5"/>
      <sheetName val="2_노무비명세서(난간대)5"/>
      <sheetName val="2_사진대지5"/>
      <sheetName val="3_사진대지5"/>
      <sheetName val="변압기_및_발전기_용량4"/>
      <sheetName val="조도계산서_(도서)4"/>
      <sheetName val="빌딩_안내4"/>
      <sheetName val="CABLE_(2)4"/>
      <sheetName val="G_R300경비4"/>
      <sheetName val="단가대비표_(3)4"/>
      <sheetName val="기성내역서(을)_(2)4"/>
      <sheetName val="1단계_(2)4"/>
      <sheetName val="2_1__노무비_평균단가산출4"/>
      <sheetName val="3_공사비(07년노임단가)4"/>
      <sheetName val="3_공사비(단가조사표)4"/>
      <sheetName val="3_공사비(물량산출표)4"/>
      <sheetName val="3_공사비(일위대가표목록)4"/>
      <sheetName val="3_공사비(일위대가표)4"/>
      <sheetName val="TRE_TABLE4"/>
      <sheetName val="Requirement(Work_Crew)4"/>
      <sheetName val="진입도로B_(2)4"/>
      <sheetName val="수목데이타_4"/>
      <sheetName val="2_냉난방설비공사4"/>
      <sheetName val="7_자동제어공사4"/>
      <sheetName val="중강당_내역4"/>
      <sheetName val="기초자료입력및_K치_확인4"/>
      <sheetName val="실행내역_4"/>
      <sheetName val="자재_단가_비교표(견적)4"/>
      <sheetName val="자재_단가_비교표4"/>
      <sheetName val="Bid_Summary4"/>
      <sheetName val="이동시_예상비용4"/>
      <sheetName val="Seg_1DE비용4"/>
      <sheetName val="Transit_비용_감가상각미포함4"/>
      <sheetName val="세골재__T2_변경_현황4"/>
      <sheetName val="내역서_(2)4"/>
      <sheetName val="전화공사_공량_및_집계표4"/>
      <sheetName val="참조_(2)4"/>
      <sheetName val="6__직접경비4"/>
      <sheetName val="대가_(보완)4"/>
      <sheetName val="3_자재비(총괄)4"/>
      <sheetName val="5호광장_(만점)5"/>
      <sheetName val="인천국제_(만점)_(2)5"/>
      <sheetName val="제조_경영4"/>
      <sheetName val="4_전기4"/>
      <sheetName val="노_무_비4"/>
      <sheetName val="미납품_현황4"/>
      <sheetName val="신설개소별_총집계표(동해-배전)4"/>
      <sheetName val="용선_C_L4"/>
      <sheetName val="전_체4"/>
      <sheetName val="흙막이B_(오산운암)4"/>
      <sheetName val="타이로드_흙막이4"/>
      <sheetName val="타이로드_흙막이(근입장2_5M)4"/>
      <sheetName val="타이로드(근입장2_5M)4"/>
      <sheetName val="pile_항타4"/>
      <sheetName val="pile_항타(디젤)4"/>
      <sheetName val="pile_항타_A4"/>
      <sheetName val="pile_항타_B4"/>
      <sheetName val="pile_항타_C4"/>
      <sheetName val="pile_인발4"/>
      <sheetName val="pile_인발_A4"/>
      <sheetName val="pile_인발_B4"/>
      <sheetName val="pile_인발_C4"/>
      <sheetName val="20TON_TRAILER4"/>
      <sheetName val="토류판_(2)4"/>
      <sheetName val="SHEET_PILE단가4"/>
      <sheetName val="전선_및_전선관4"/>
      <sheetName val="2_1외주4"/>
      <sheetName val="2_3노무4"/>
      <sheetName val="2_4자재4"/>
      <sheetName val="2_2장비4"/>
      <sheetName val="2_5경비4"/>
      <sheetName val="2_6수목대4"/>
      <sheetName val="3련_BOX4"/>
      <sheetName val="단가_및_재료비4"/>
      <sheetName val="Sight_n_M_H4"/>
      <sheetName val="매출요약(월별)_-년간4"/>
      <sheetName val="Piping_Design_Data4"/>
      <sheetName val="4_&amp;_10-inch,_CO2_Combo_&amp;_Sweep4"/>
      <sheetName val="설계기준_및_하중계산4"/>
      <sheetName val="1_䷨수장4"/>
      <sheetName val="4_뀴진설Ⳅ4"/>
      <sheetName val="전䰨선로_물량표4"/>
      <sheetName val="㶀대입찰_내역서4"/>
      <sheetName val="모선자재_집계표3"/>
      <sheetName val="재료의_할증3"/>
      <sheetName val="총괄집계_4"/>
      <sheetName val="내역서_3"/>
      <sheetName val="kimre_scrubber4"/>
      <sheetName val="strut_type4"/>
      <sheetName val="한성교회_신축공사(050713)_CheckList4"/>
      <sheetName val="FRP_PIPING_일위대가4"/>
      <sheetName val="함열량_db3"/>
      <sheetName val="10_경제성분석3"/>
      <sheetName val="기계_도급내역서3"/>
      <sheetName val="-15_03"/>
      <sheetName val="고객사_관리_코드4"/>
      <sheetName val="사__업__비__수__지__예__산__서3"/>
      <sheetName val="표__지3"/>
      <sheetName val="D1_2_COF모듈자재_입출재고_(B급)3"/>
      <sheetName val="cong_thuc_tinh_chi_tiet3"/>
      <sheetName val="공내역_및_견적조건3"/>
      <sheetName val="2_13"/>
      <sheetName val="Bảng_mã_VT3"/>
      <sheetName val="Khoi_luong3"/>
      <sheetName val="DonGia_chetao3"/>
      <sheetName val="DonGia_VatTuLK3"/>
      <sheetName val="Fr_Revit3"/>
      <sheetName val="NSA_Summary3"/>
      <sheetName val="Gia_VLNCMTC1"/>
      <sheetName val="샌딩_에폭시_도장2"/>
      <sheetName val="외주대비_ᨀ晙ԯ2"/>
      <sheetName val="_IL-3_XLSY갑지5"/>
      <sheetName val="청_구2"/>
      <sheetName val="7_전산해석결과2"/>
      <sheetName val="4_하중2"/>
      <sheetName val="chi_tiet2"/>
      <sheetName val="PPC_Summary2"/>
      <sheetName val="Summary_VO_No_31"/>
      <sheetName val="VO_No_3_11"/>
      <sheetName val="VO_No_3_21"/>
      <sheetName val="VO_No_3_31"/>
      <sheetName val="VO_No_3_41"/>
      <sheetName val="VO_No_3_51"/>
      <sheetName val="VO_No_3_61"/>
      <sheetName val="VO_No_3_71"/>
      <sheetName val="VO_No_3_81"/>
      <sheetName val="기존단가_(2)2"/>
      <sheetName val="Thống_kê1"/>
      <sheetName val="3_단가산출서1"/>
      <sheetName val="4_단가산출기초1"/>
      <sheetName val="H__MECHANICAL1"/>
      <sheetName val="J__FIRE_FIGHTING1"/>
      <sheetName val="Sàn_T11"/>
      <sheetName val="Lỗ_thông_gió1"/>
      <sheetName val="SCOPE_OF_WORK1"/>
      <sheetName val="97_사업추정(WEKI)1"/>
      <sheetName val="Tong_hop1"/>
      <sheetName val="Phan_lap_dat1"/>
      <sheetName val="Lắp_Ráp1"/>
      <sheetName val="KET_CAU-_MJV21"/>
      <sheetName val="Ví_dụ1"/>
      <sheetName val="Phieu_trinh_ky_cấu_tháp1"/>
      <sheetName val="Phieu_trinh_ky_VTP1"/>
      <sheetName val="KS-VL_rời1"/>
      <sheetName val="Tai_san1"/>
      <sheetName val="Check_dong_tien1"/>
      <sheetName val="Chi_phí_SDTS1"/>
      <sheetName val="Check_COST1"/>
      <sheetName val="DATA_HD1"/>
      <sheetName val="Tong_hop_1TM1"/>
      <sheetName val="NS_Lán_trại1"/>
      <sheetName val="Check_cong_no_NC1"/>
      <sheetName val="Sikje_in"/>
      <sheetName val="Tai_khoan1"/>
      <sheetName val="대3류_1"/>
      <sheetName val="BEND_LOSS1"/>
      <sheetName val="신평리_권리자명부1"/>
      <sheetName val="_ｹ-ﾌﾞﾙ1"/>
      <sheetName val="01__DATA1"/>
      <sheetName val="중기사용료_(2)1"/>
      <sheetName val="99_조정금액1"/>
      <sheetName val="토공_total1"/>
      <sheetName val="TRAY_헹거산출1"/>
      <sheetName val="投标材料清单_"/>
      <sheetName val="ጳႴጳLጴ_ጵ_ጶఀጷ_ጸ1"/>
      <sheetName val="ጊႴጱLጲ_ድnጳlጳeጴ"/>
      <sheetName val="ጵႴጶLጷ_ጸyጿuጿiጊ"/>
      <sheetName val="ጿႴጿLጊېጱ_ጲ೵ድႴጳ"/>
      <sheetName val="ጊႴጊLጱ᳴ጲ_ድᰕጳװጳ"/>
      <sheetName val="ጶႴጷLጸ_ጿ_ጿ_ጊ1"/>
      <sheetName val="ጿႴጊLጱȘጲᩘድ_ጳ_ጳ"/>
      <sheetName val="ድႴጳLጳ_ጴഀጳnጳ_"/>
      <sheetName val="ጴႴጵLጶ_ጷഀጸnጿ_"/>
      <sheetName val="ጳႴጴLጵ_ጶᔼጷ1ጸ2ጿ"/>
      <sheetName val="ጸႴጿLጿ_ጊ_ጱݴጲ"/>
      <sheetName val="ጴႴጳLጳiጴ_ጵeጶe"/>
      <sheetName val="ጵႴጶLጷᝥጸUጿOጿ_"/>
      <sheetName val="ጳႴጴLጵ֑ጶ_ጷ-ጸ׭"/>
      <sheetName val="ጲႴድLጳ_ጳ᪅ጴȘጳ᧝ጳ"/>
      <sheetName val="ጸႴጿLጿ_ጊ᪅ጊႜጱ"/>
      <sheetName val="ጴႴጵLጶ_ጷᅸጸᏉጿ°ጿ"/>
      <sheetName val="ጶႴጷLጸ_ጿ(ጿᅸጊ)"/>
      <sheetName val="ጳႴጴLጴ_ፊ(ጵఀፋ)"/>
      <sheetName val="ጱႴጲLድެጳ_ጳ(ጴ"/>
      <sheetName val="ጿႴጿLጊᙔጱ೵ጲ_ድ"/>
      <sheetName val="ጱႴጲLድಜጳ(ጳ_ጴ"/>
      <sheetName val="ጸႴጿLጿݴጊ෼ጱ_ጲ"/>
      <sheetName val="ድႴጳLጳ0ጴ_ጳIጳ"/>
      <sheetName val="ጸႴጿLጿiጊ_ጱuጲr"/>
      <sheetName val="ጊ후다내역_XLS]0_0ControlSheet3"/>
      <sheetName val="Dầm_1"/>
      <sheetName val="Unit_Rate(non_print)"/>
      <sheetName val="Bang_gia_2011_10_12"/>
      <sheetName val="Sàn_tầng_01_(_old_)"/>
      <sheetName val="5_6_NTKL_ĐHKK_"/>
      <sheetName val="5_12_NTKL_PCCC"/>
      <sheetName val="Gia_thanh_chuoi_su"/>
      <sheetName val="Tiep_dia"/>
      <sheetName val="Don_gia_vung_III-Can_Tho"/>
      <sheetName val="TH_MEP"/>
      <sheetName val="_후다__x0003"/>
      <sheetName val="Cọc_nhồi"/>
      <sheetName val="[후다_"/>
      <sheetName val="_후다_"/>
      <sheetName val="Bang_TH"/>
      <sheetName val="5_NKTC"/>
      <sheetName val="4_BBNT-LĐ"/>
      <sheetName val="D &amp; W sizes"/>
      <sheetName val="Package1"/>
      <sheetName val="tra_vat_lieu"/>
      <sheetName val="Goc CC"/>
      <sheetName val="Pag_hal"/>
      <sheetName val="외주대비 -석축?????_x0012_[후다내역.XLS]견적표지 (3"/>
      <sheetName val="䣐??갑쥀)"/>
      <sheetName val="48_x0005_?"/>
      <sheetName val="1차설계Ꮗԯ?"/>
      <sheetName val="1차설계逷≙?≙"/>
      <sheetName val="Sikje_inĴ¾?"/>
      <sheetName val="eq_dat?"/>
      <sheetName val="3BL공동구??Ԁ"/>
      <sheetName val="외주대비 -석축???_x"/>
      <sheetName val="Sikje_in_x0005_?"/>
      <sheetName val="CԀ?缀"/>
      <sheetName val="IMF Code"/>
      <sheetName val="_DATA"/>
      <sheetName val="0_Bìa"/>
      <sheetName val="1_Mục_lục"/>
      <sheetName val="2_Phiếu_kiểm_tra"/>
      <sheetName val="BM-06a_Mẫu_chứng_chỉ_thanh_toán"/>
      <sheetName val="3_Bảng_TT_giá_trị_thực_hiện"/>
      <sheetName val="4_Bảng_TT_KL_thực_hiện"/>
      <sheetName val="6_KL_DD_chi_tiết"/>
      <sheetName val="5_công_nhật"/>
      <sheetName val="ROW_3a-chi_tiết"/>
      <sheetName val="ROW_5-_chi_tiết"/>
      <sheetName val="ROW_6-_chi_tiết"/>
      <sheetName val="KL_khoán_đổ_bê_tông_T7"/>
      <sheetName val="6__Bảng_TT_giá_trị_giảm_trừ_HĐ"/>
      <sheetName val="6__Hồ_sơ_đính_kèm"/>
      <sheetName val="D_&amp;_W_sizes"/>
      <sheetName val="Goc_CC"/>
      <sheetName val="외주대비_-석축?????[후다내역_XLS]견적표지_(3"/>
      <sheetName val="48?"/>
      <sheetName val="외주대비_-석축???_x"/>
      <sheetName val="Sikje_in?"/>
      <sheetName val="IMF_Code"/>
      <sheetName val="비목군분류일위"/>
      <sheetName val="부영주택(잡철물)"/>
      <sheetName val="1.1"/>
      <sheetName val="NOM³_x0000_Ԁ"/>
      <sheetName val="NOMֳ_x0000_缀"/>
      <sheetName val="내역서1999.8최종"/>
      <sheetName val="부대표지_x0000__x0000__x0005__x0000_腰"/>
      <sheetName val="VENT"/>
      <sheetName val="준검_내逃ᚹ欃"/>
      <sheetName val="설계내역2"/>
      <sheetName val="보강현황"/>
      <sheetName val="단위중량표"/>
      <sheetName val="흄관기_x0000_"/>
      <sheetName val="흄관기0"/>
      <sheetName val="3.전기산출기초"/>
      <sheetName val="토공정보"/>
      <sheetName val="월별계획"/>
      <sheetName val="발주현황"/>
      <sheetName val="물량표(신)"/>
      <sheetName val="일위대가(산근)"/>
      <sheetName val="0217상가미분양자산"/>
      <sheetName val="1鶈"/>
      <sheetName val="내역(전력)"/>
      <sheetName val="교각토"/>
      <sheetName val="Proposal"/>
      <sheetName val="변경집계표"/>
      <sheetName val="철집"/>
      <sheetName val="YES-T"/>
      <sheetName val="Measure 1306"/>
      <sheetName val="DAF-2"/>
      <sheetName val="DM.ChiPhi"/>
      <sheetName val="3.1"/>
      <sheetName val="3.10"/>
      <sheetName val="3.2"/>
      <sheetName val="3.3"/>
      <sheetName val="3.4"/>
      <sheetName val="3.5"/>
      <sheetName val="3.6"/>
      <sheetName val="3.7"/>
      <sheetName val="3.8"/>
      <sheetName val="3.9"/>
      <sheetName val="금속및금속창호"/>
      <sheetName val="Kihon-Jiko"/>
      <sheetName val="NOM³"/>
      <sheetName val="NOMֳ"/>
      <sheetName val="電気設備表"/>
      <sheetName val="Config"/>
      <sheetName val="DI_ESTI"/>
      <sheetName val="NX01"/>
      <sheetName val="Du thau"/>
      <sheetName val="TAIKHOAN"/>
      <sheetName val="외주대비 -석축_x005f_x0000__x005f_x0000__x005f_x0000__x"/>
      <sheetName val="䣐_x005f_x0000__x005f_x0000_갑쥀)"/>
      <sheetName val="P_x005f_x0005_"/>
      <sheetName val="48_x005f_x0005__x005f_x0000_"/>
      <sheetName val="Sikje_inĴ¾_x005f_x0000_"/>
      <sheetName val="eq_dat_x005f_x0000_"/>
      <sheetName val="1차설계Ꮗԯ_x005f_x0000_"/>
      <sheetName val="1차설계逷≙_x005f_xdc00_≙"/>
      <sheetName val="Sikje_in_x005f_x0005__x005f_x0000_"/>
      <sheetName val="CԀ_x005f_x0000_缀"/>
      <sheetName val="[후다_x0001_ _x0010_?_x0003_ _x0010_?_x0001_?_x0010_?_x0001_ _x0010_?_x0003_"/>
      <sheetName val="ጳ??Ⴔጳ??Lጴ?? ጵ?? ጶ??ఀጷ?? ጸ?"/>
      <sheetName val="ጷ??Ⴔጸ??Lጿ??Rጿ??Sጊ??Lጊ??2ጱ"/>
      <sheetName val="ጳ??Ⴔጳ??Lጴ??_ጵ??_ጶ??ఀጷ??_ጸ?"/>
      <sheetName val="ጳ??Ⴔጳ??Lጴ??Rጳ??Sጳ??Lጴ??2ጵ"/>
      <sheetName val="ጳ??Ⴔጴ??Lጳ??0ጳ??Șጴ??Șጵ??"/>
      <sheetName val="ጱ??Ⴔጲ??Lፍ??uጳ??mጳ??Dጴ??bጳ?"/>
      <sheetName val="ጊ??Ⴔጱ??Lጲ??.ድ??nጳ??lጳ??eጴ"/>
      <sheetName val="ጵ??Ⴔጶ??Lጷ??.ጸ??yጿ??uጿ??iጊ?"/>
      <sheetName val="ጊ??Ⴔጱ??Lጲ??-ድ??Lጳ??(ጳ??"/>
      <sheetName val="ጿ??Ⴔጿ??Lጊ??ېጱ?? ጲ??೵ድ??Ⴔጳ?"/>
      <sheetName val="ጊ??Ⴔጊ??Lጱ??᳴ጲ?? ድ??ᰕጳ??װጳ"/>
      <sheetName val="ጸ??Ⴔጿ??Lጿ??qጊ??oጊ??iጱ??iጲ?"/>
      <sheetName val="ጳ??Ⴔጴ??Lጳ??_ጳ??nጴ??lጵ??eጶ"/>
      <sheetName val="ጿ??Ⴔጿ??Lጊ??_ጊ??yጱ??uጲ??iድ?"/>
      <sheetName val="ፍ??Ⴔጳ??Lጳ??Nጴ??(ጳ??ᖥጳ??)"/>
      <sheetName val="ጿ??Ⴔጿ??Lጊ??Cጱ??4ጲ??Ĥፍ??"/>
      <sheetName val="ጳ??Ⴔጳ??Lጴ??෠ጳ??ೠጳ??2ጴ??Pጵ"/>
      <sheetName val="ጶ??Ⴔጷ??Lጸ?? ጿ?? ጿ?? ጊ??"/>
      <sheetName val="ጳ??Ⴔጴ??Lጳ??ބጳ??کጴ??ឌጵ??"/>
      <sheetName val="ጊ??Ⴔጊ??Lጱ??ބጲ??کድ??ឌጳ??"/>
      <sheetName val="ጳ??Ⴔጳ??Lጴ??᝼ጵ??᳀ጶ??,ጷ??)"/>
      <sheetName val="ጿ??Ⴔጊ??Lጱ??Șጲ??ᩘድ?? ጳ?? ጳ?"/>
      <sheetName val="ድ??Ⴔጳ??Lጳ??.ጴ??ഀጳ??nጳ?? "/>
      <sheetName val="ጴ??Ⴔጵ??Lጶ??_ጷ??ഀጸ??nጿ?? "/>
      <sheetName val="ጳ??Ⴔጴ??Lጵ??.ጶ??ᔼጷ??1ጸ??2ጿ?"/>
      <sheetName val="ጲ??Ⴔድ??Lጳ??Rጳ??aጴ??lጳ??oጳ"/>
      <sheetName val="ጊ??Ⴔጱ??Lጲ??Rድ??Dጳ??(ጳ??๘ጴ"/>
      <sheetName val="ጴ??Ⴔጵ??Lጶ??֑ጷ??0ጸ??1ጿ??0ጿ"/>
      <sheetName val="ጸ??Ⴔጿ??Lጿ??Ƞጊ??Eጱ??Rጲ??Sፍ"/>
      <sheetName val="ጵ??Ⴔጶ??Lጷ??-ጸ??Oጿ??Uጿ??Rጊ?"/>
      <sheetName val="ጳ??Ⴔጴ??Lጵ??-ጶ??Eጷ??Tጸ??Aጿ"/>
      <sheetName val="ጸ??Ⴔጿ??Lጿ??.ጊ?? ጱ??ݴጲ??"/>
      <sheetName val="ጱ??Ⴔጲ??Lድ??ࣼጳ??൬ጳ??(ጴ??"/>
      <sheetName val="ጴ??Ⴔጳ??Lጳ??Rጴ??Sጵ??Lጶ??2ጷ?"/>
      <sheetName val="ጿ??Ⴔጿ??Lጊ??uጱ??mጲ??Dድ??bጳ?"/>
      <sheetName val="ጴ??Ⴔጳ??Lጳ??_ጴ??nጵ??lጶ??eጷ?"/>
      <sheetName val="ጶ??Ⴔጷ??Lጸ??ېጿ??_ጿ??೵ጊ??Ⴔጱ?"/>
      <sheetName val="ጳ??Ⴔጳ??Lጴ??_ጳ??ഀጳ??nጴ??_"/>
      <sheetName val="ጿ??Ⴔጊ??Lጊ??_ጱ??ഀጲ??nድ??_"/>
      <sheetName val="ጵ??Ⴔጶ??Lጷ??qጸ??oጿ??iጿ??iጊ?"/>
      <sheetName val="ጲ??Ⴔድ??Lጳ??᳴ጳ??_ጴ??ᰕጳ??װጳ"/>
      <sheetName val="ጶ??Ⴔጷ??Lጸ??_ጿ??_ጿ??_ጊ??"/>
      <sheetName val="ጱ??Ⴔጲ??Lድ??᝼ጳ??᳀ጳ??,ጴ??)"/>
      <sheetName val="ጷ??Ⴔጸ??Lጿ??Șጿ??ᩘጊ??_ጱ??_ጲ?"/>
      <sheetName val="ድ??Ⴔጳ??Lጳ??ᰘጴ??ࠄጳ??ഈጳ??Ṅጴ"/>
      <sheetName val="ጲ??Ⴔድ??Lጳ??_ጳ??nጴ??lጳ??eጳ?"/>
      <sheetName val="ጳ??Ⴔጳ??Lጴ??᳴ጵ??_ጶ??ᰕጷ??װጸ?"/>
      <sheetName val="ጊ??Ⴔጱ??Lጲ??ࠑድ??°ጳ??2ጳ??0"/>
      <sheetName val="ጿ??Ⴔጊ??Lጱ??ᙜጲ??෨ድ??Dጳ??°ጳ"/>
      <sheetName val="ጿ??Ⴔጊ??Lጱ??Rጲ??Cድ??Rጳ??"/>
      <sheetName val="ጴ??Ⴔጳ??Lጳ??iጴ?? ጵ??eጶ??e"/>
      <sheetName val="ጵ??Ⴔጶ??Lጷ??ᝥጸ??Uጿ??Oጿ?? "/>
      <sheetName val="ጳ??Ⴔጴ??Lጵ??֑ጶ?? ጷ??-ጸ??׭"/>
      <sheetName val="ጳ??Ⴔጳ??Lጴ??಴ጵ??׭ጶ??᳀ጷ??"/>
      <sheetName val="ጴ??Ⴔጵ??Lጶ??ඕጷ??ఐጸ??սጿ??"/>
      <sheetName val="ጲ??Ⴔድ??Lጳ??.ጳ??᪅ጴ??Șጳ??᧝ጳ"/>
      <sheetName val="ጸ??Ⴔጿ??Lጿ??.ጊ??᪅ጊ??ႜጱ??"/>
      <sheetName val="ጴ??Ⴔጵ??Lጶ??.ጷ??ᅸጸ??Ꮙጿ??°ጿ"/>
      <sheetName val="ጶ??Ⴔጷ??Lጸ??.ጿ??(ጿ??ᅸጊ??)"/>
      <sheetName val="ጳ??Ⴔጴ??Lጴ??.ፊ??(ጵ??ఀፋ??)"/>
      <sheetName val="ጊ??Ⴔጱ??Lጲ??ഈድ??ᠥጳ??๘ጳ??"/>
      <sheetName val="ጊ??Ⴔጱ??Lጲ??Tድ??(ጳ??Eጳ??"/>
      <sheetName val="ጱ??Ⴔጲ??Lድ??ެጳ?? ጳ??(ጴ??"/>
      <sheetName val="ጷ??Ⴔጸ??Lጿ??೨ጿ??Tጊ??ಽጊ??"/>
      <sheetName val="ጿ??Ⴔጿ??Lጊ??ᙔጱ??೵ጲ?? ድ??"/>
      <sheetName val="ጴ??Ⴔጳ??Lጳ??ᆠጴ??Aጵ??Iጶ??"/>
      <sheetName val="ድ??Ⴔጳ??Lጳ??಴ጴ??׭ጳ??᳀ጳ??"/>
      <sheetName val="ጱ??Ⴔጲ??Lድ??ಜጳ??(ጳ?? ጴ??"/>
      <sheetName val="ጷ??Ⴔጸ??Lጿ??ݸጿ??ၬጊ??2ጊ??ರጱ"/>
      <sheetName val="ጵ??Ⴔጶ??Lጷ??_ጸ??᪅ጿ??Șጿ??᧝ጊ"/>
      <sheetName val="ጳ??Ⴔጴ??Lጳ??_ጳ??᪅ጴ??ႜጵ??"/>
      <sheetName val="ጳ??Ⴔጳ??Lጴ??ࣼጳ??൬ጳ??(ጴ??"/>
      <sheetName val="ጳ??Ⴔጴ??Lጳ??Rጳ??Sጴ??Lጵ??2ጶ?"/>
      <sheetName val="ጿ??Ⴔጿ??Lጊ??నጊ??ಽጱ??(ጲ??"/>
      <sheetName val="ጿ??Ⴔጊ??Lጊ??೵ጱ??(ጲ??ዹድ??"/>
      <sheetName val="ጳ??Ⴔጳ??Lጴ??_ጳ??Eጳ??Ꮜጴ??"/>
      <sheetName val="ጷ??Ⴔጸ??Lጿ??_ጿ??ᔼጊ??1ጱ??2ጲ?"/>
      <sheetName val="ጳ??Ⴔጳ??Lጴ??Ƞጴ??Eፊ??Rጵ??Sፋ"/>
      <sheetName val="ጸ??Ⴔጿ??Lጿ??ݴጊ??෼ጱ??.ጲ??"/>
      <sheetName val="ድ??Ⴔጳ??Lጳ??0ጴ?? ጳ??Iጳ??"/>
      <sheetName val="ጊ??Ⴔጱ??Lጲ??ಜድ??(ጳ??_ጳ??"/>
      <sheetName val="ጿ??Ⴔጊ??Lጱ??rጲ??(ድ??tጳ??rጳ"/>
      <sheetName val="ጴ??Ⴔጵ??Lጶ??᚝ጷ??Ոጸ??)ጿ??"/>
      <sheetName val="ጸ??Ⴔጿ??Lጿ??iጊ?? ጱ??uጲ??r"/>
      <sheetName val="ጳ??Ⴔጴ??Lጳ??᳴ጳ??_ጴ??ᰕጵ??װጶ?"/>
      <sheetName val="ጴ??Ⴔጳ??Lጳ??֑ጴ??_ጵ??-ጶ??׭"/>
      <sheetName val="ጳ??Ⴔጳ??Lጴ??ᙜጵ??෨ጶ??Dጷ??°ጸ"/>
      <sheetName val="ጿ??ゴጊ??Lዷ??R፞??I፟??G፠??ጀ፠"/>
      <sheetName val="ጶ??Ⴔጷ??Lጸ??_ጿ??ഀጿ??nጊ??_ጱ"/>
      <sheetName val="ጵ??Ⴔጶ??Lጷ??_ጸ??ഀጿ??nጿ??_ጊ"/>
      <sheetName val="ጳ??Ⴔጴ??Lጵ??_ጶ??Eጷ??Ꮜጸ??"/>
      <sheetName val="ጱ??Ⴔጲ??Lድ??_ጳ??_ጳ??_ጴ??1"/>
      <sheetName val="ድ??Ⴔጳ??Lጳ??᝼ጴ??᳀ጳ??,ጳ??)ጴ"/>
      <sheetName val="ጶ??Ⴔጷ??Lጸ??-ጿ??Oጿ??Uጊ??Rፕ?"/>
      <sheetName val="ጿ??Ⴔጿ??Lጊ??-ጱ??Eጲ??Tድ??Aጳ"/>
      <sheetName val="ጷ??Ⴔጸ??Lጿ??_ጿ??_ጊ??ݴጱ??"/>
      <sheetName val="ጲ??Ⴔድ??Lጳ??ᝥጳ??Uጴ??Oጳ??_"/>
      <sheetName val="ፘ??Ⴔፘ??Lፙ??Rፘ??Cፘ??Rፙ??"/>
      <sheetName val="፝??Ⴔጿ??Lጿ??iጊ??_ዷ??e፞??e"/>
      <sheetName val="፡??Ⴔ፠??L፠??ࣼ፡??൬።??(፣??"/>
      <sheetName val="፠??Ⴔ፡??L።??R፣??S፤??Lጿ??2ጿ?"/>
      <sheetName val="ጊ??Ⴔጊ??Lጊ??నጊ??ಽጊ??(፥??"/>
      <sheetName val="፥??Ⴔ፦??L፥??_ጊ??Eጊ??Ꮜጊ??"/>
      <sheetName val="ጲ??Ⴔድ??Lጳ??Iጳ??_ጴ??Yጳ??"/>
      <sheetName val="ጳ??Ⴔጳ??Lጴ??_ጳ??᪅ጳ??ᕴጴ??"/>
      <sheetName val="_후다_x0001_ _x0010_?_x0003"/>
      <sheetName val="C.MECHANICAL"/>
      <sheetName val="흥양2교토"/>
      <sheetName val="도급표지É"/>
      <sheetName val="99년하반기"/>
      <sheetName val="C.배수관공"/>
      <sheetName val="eq_da_x0000__x0000_"/>
      <sheetName val="TREE_䢬"/>
      <sheetName val="가_x0000__x0000_"/>
      <sheetName val=" 갑_x001f_"/>
      <sheetName val="소야공정계_x0000__x0000_"/>
      <sheetName val="소야공정계罈."/>
      <sheetName val="골재산출"/>
      <sheetName val="부_x0000_쎥_x0000_"/>
      <sheetName val="주차구획_x0000__x0000_Ԁ"/>
      <sheetName val="배방교"/>
      <sheetName val="grid_(1)"/>
      <sheetName val="05_유류비자금청구(완)"/>
      <sheetName val="PAD_TR보호대기초"/>
      <sheetName val="경율산정_XLS"/>
      <sheetName val="1_내역(청_하역장전등)"/>
      <sheetName val="19_07월_세_계"/>
      <sheetName val="19_07항목별(시트복사금지100번쓰기)"/>
      <sheetName val="19_05월"/>
      <sheetName val="4_수량산출서"/>
      <sheetName val="1_관로"/>
      <sheetName val="도급표지ÉԀ"/>
      <sheetName val="단가多〒"/>
      <sheetName val="안양동교_1안"/>
      <sheetName val="입찰품"/>
      <sheetName val="06_일위대가목록1"/>
      <sheetName val="운동장_(2)1"/>
      <sheetName val="2_원가집계1"/>
      <sheetName val="외주대비_-석É1"/>
      <sheetName val="5_2_6~7공사요율1"/>
      <sheetName val="05_유류비자금청구(완)1"/>
      <sheetName val="주공_갑지1"/>
      <sheetName val="04_12월건강보험(일용직)1"/>
      <sheetName val="grid_(1)1"/>
      <sheetName val="토__공1"/>
      <sheetName val="1_내역(청_하역장전등)1"/>
      <sheetName val="PAD_TR보호대기초1"/>
      <sheetName val="19_07월_세_계1"/>
      <sheetName val="19_07항목별(시트복사금지100번쓰기)1"/>
      <sheetName val="19_05월1"/>
      <sheetName val="4_수량산출서1"/>
      <sheetName val="경율산정_XLS1"/>
      <sheetName val="1_관로1"/>
      <sheetName val="안양동교_1안1"/>
      <sheetName val="A_견적"/>
      <sheetName val="const_"/>
      <sheetName val="4_예산내역서"/>
      <sheetName val="보도내_"/>
      <sheetName val="입찰내역_발주처_양식"/>
      <sheetName val="자재기성_신청서_xlsx"/>
      <sheetName val="표지_(3)8"/>
      <sheetName val="표지_(2)8"/>
      <sheetName val="교각집계_(2)8"/>
      <sheetName val="교각토공_(2)8"/>
      <sheetName val="교각철근_(2)8"/>
      <sheetName val="외주대비_-석축8"/>
      <sheetName val="외주대비-구조물_(2)8"/>
      <sheetName val="견적표지_(3)8"/>
      <sheetName val="b_balju_(2)7"/>
      <sheetName val="_HIT-&gt;HMC_견적(3900)8"/>
      <sheetName val="일__위__대__가__목__록8"/>
      <sheetName val="조건표_(2)7"/>
      <sheetName val="교각토공__2_8"/>
      <sheetName val="준검_내역서9"/>
      <sheetName val="HRSG_SMALL072208"/>
      <sheetName val="3_공통공사대비8"/>
      <sheetName val="6__안전관리비14"/>
      <sheetName val="하도내역_(철콘)7"/>
      <sheetName val="입출재고현황_(2)8"/>
      <sheetName val="6PILE__(돌출)9"/>
      <sheetName val="노무비_근거7"/>
      <sheetName val="97년_추정8"/>
      <sheetName val="임율_Data7"/>
      <sheetName val="2차전체변경예정_(2)7"/>
      <sheetName val="토공유동표(전체_당초)7"/>
      <sheetName val="목차_7"/>
      <sheetName val="BSD_(2)8"/>
      <sheetName val="1_설계기준7"/>
      <sheetName val="7__현장관리비_7"/>
      <sheetName val="단면_(2)7"/>
      <sheetName val="8_현장관리비7"/>
      <sheetName val="7_안전관리비7"/>
      <sheetName val="내역서_제출6"/>
      <sheetName val="8_PILE__(돌출)7"/>
      <sheetName val="현장관리비_산출내역8"/>
      <sheetName val="1__설계조건_2_단면가정_3__하중계산8"/>
      <sheetName val="DATA_입력란8"/>
      <sheetName val="구조______6"/>
      <sheetName val="노무비_6"/>
      <sheetName val="4_일위대가집계6"/>
      <sheetName val="1_설계조건8"/>
      <sheetName val="중기조종사_단위단가7"/>
      <sheetName val="실행내역서_8"/>
      <sheetName val="Temporary_Mooring6"/>
      <sheetName val="7_PILE__(돌출)6"/>
      <sheetName val="A_LINE6"/>
      <sheetName val="2_대외공문9"/>
      <sheetName val="5__현장관리비(new)_6"/>
      <sheetName val="Customer_Databas6"/>
      <sheetName val="간_지16"/>
      <sheetName val="2_2_오피스텔(12~32F)6"/>
      <sheetName val="설내역서_7"/>
      <sheetName val="화재_탐지_설비6"/>
      <sheetName val="5__현장관리비_new__6"/>
      <sheetName val="방배동내역_(총괄)6"/>
      <sheetName val="설_계9"/>
      <sheetName val="_갑지6"/>
      <sheetName val="4_2_1_마루높이_검토5"/>
      <sheetName val="1_취수장8"/>
      <sheetName val="4_LINE6"/>
      <sheetName val="7_th6"/>
      <sheetName val="총_원가계산6"/>
      <sheetName val="자__재6"/>
      <sheetName val="노원열병합__건축공사기성내역서8"/>
      <sheetName val="할증_6"/>
      <sheetName val="개인별_순위표6"/>
      <sheetName val="CM_16"/>
      <sheetName val="집_계_표6"/>
      <sheetName val="플랜트_설치8"/>
      <sheetName val="일위대가_집계표6"/>
      <sheetName val="1공구_건정토건_토공9"/>
      <sheetName val="1공구_건정토건_철콘9"/>
      <sheetName val="도급표지_9"/>
      <sheetName val="도급표지__(4)9"/>
      <sheetName val="부대표지_(4)9"/>
      <sheetName val="도급표지__(3)9"/>
      <sheetName val="부대표지_(3)9"/>
      <sheetName val="도급표지__(2)9"/>
      <sheetName val="부대표지_(2)9"/>
      <sheetName val="토__목9"/>
      <sheetName val="조__경9"/>
      <sheetName val="전_기9"/>
      <sheetName val="건__축9"/>
      <sheetName val="보도내역_(3)9"/>
      <sheetName val="내역(최종본4_5)9"/>
      <sheetName val="1_수인터널9"/>
      <sheetName val="9_1지하2층하부보6"/>
      <sheetName val="제출내역_(2)6"/>
      <sheetName val="6__안전관리비15"/>
      <sheetName val="AS포장복구_9"/>
      <sheetName val="단계별내역_(2)6"/>
      <sheetName val="Sheet1_(2)8"/>
      <sheetName val="6_이토처리시간5"/>
      <sheetName val="기술부_VENDOR_LIST6"/>
      <sheetName val="2_2_띠장의_설계6"/>
      <sheetName val="명일작업계획_(3)5"/>
      <sheetName val="4_일위대가6"/>
      <sheetName val="BOX_본체5"/>
      <sheetName val="MP_MOB5"/>
      <sheetName val="Xunit_(단위환산)5"/>
      <sheetName val="0_0ControlSheet9"/>
      <sheetName val="0_1keyAssumption9"/>
      <sheetName val="전차선로_물량표8"/>
      <sheetName val="4_내진설계8"/>
      <sheetName val="현장별계약현황('98_10_31)8"/>
      <sheetName val="96보완계획7_128"/>
      <sheetName val="부대입찰_내역서8"/>
      <sheetName val="_총괄표8"/>
      <sheetName val="인건비_8"/>
      <sheetName val="제잡비_xls8"/>
      <sheetName val="Eq__Mobilization8"/>
      <sheetName val="3BL공동구_수량8"/>
      <sheetName val="토공(우물통,기타)_8"/>
      <sheetName val="2_고용보험료산출근거8"/>
      <sheetName val="원가계산_(2)8"/>
      <sheetName val="장비당단가_(1)7"/>
      <sheetName val="Sheet2_(2)7"/>
      <sheetName val="내___역6"/>
      <sheetName val="프라임_강변역(4,236)6"/>
      <sheetName val="콤보박스와_리스트박스의_연결8"/>
      <sheetName val="2000년_공정표6"/>
      <sheetName val="수_량_명_세_서_-_17"/>
      <sheetName val="2_교량(신설)6"/>
      <sheetName val="5_2코핑6"/>
      <sheetName val="2_건축7"/>
      <sheetName val="공정표_7"/>
      <sheetName val="P_M_별6"/>
      <sheetName val="4_경비_5_영업외수지6"/>
      <sheetName val="_견적서6"/>
      <sheetName val="배수공_시멘트_및_골재량_산출6"/>
      <sheetName val="별표_7"/>
      <sheetName val="전체내역_(2)5"/>
      <sheetName val="TABLE_DB5"/>
      <sheetName val="쌍용_data_base5"/>
      <sheetName val="Hyundai_Unit_cost_xls5"/>
      <sheetName val="전_체5"/>
      <sheetName val="2_1외주5"/>
      <sheetName val="2_3노무5"/>
      <sheetName val="2_4자재5"/>
      <sheetName val="2_2장비5"/>
      <sheetName val="2_5경비5"/>
      <sheetName val="2_6수목대5"/>
      <sheetName val="3련_BOX5"/>
      <sheetName val="unit_46"/>
      <sheetName val="내역서_(3)6"/>
      <sheetName val="산출양식_(2)6"/>
      <sheetName val="전체산출내역서갑(변경)_6"/>
      <sheetName val="A_터파기공6"/>
      <sheetName val="B_측·집6"/>
      <sheetName val="배(자·집)_(2)6"/>
      <sheetName val="2_01측·터·집6"/>
      <sheetName val="땅깍·수_(1-1)6"/>
      <sheetName val="0-52_6"/>
      <sheetName val="콘·다_(2)6"/>
      <sheetName val="기·집_(2)6"/>
      <sheetName val="콘·다_(3)6"/>
      <sheetName val="병원내역집계표_(2)6"/>
      <sheetName val="실행총괄_6"/>
      <sheetName val="[IL-3_XLSY갑지6"/>
      <sheetName val="4_일위대가목차6"/>
      <sheetName val="내역_ver1_06"/>
      <sheetName val="2000,9월_일위6"/>
      <sheetName val="1_노무비명세서(해동)6"/>
      <sheetName val="1_노무비명세서(토목)6"/>
      <sheetName val="2_노무비명세서(해동)6"/>
      <sheetName val="2_노무비명세서(수직보호망)6"/>
      <sheetName val="2_노무비명세서(난간대)6"/>
      <sheetName val="2_사진대지6"/>
      <sheetName val="3_사진대지6"/>
      <sheetName val="단가_5"/>
      <sheetName val="변압기_및_발전기_용량5"/>
      <sheetName val="조도계산서_(도서)5"/>
      <sheetName val="빌딩_안내5"/>
      <sheetName val="CABLE_(2)5"/>
      <sheetName val="G_R300경비5"/>
      <sheetName val="단가대비표_(3)5"/>
      <sheetName val="기성내역서(을)_(2)5"/>
      <sheetName val="1단계_(2)5"/>
      <sheetName val="2_1__노무비_평균단가산출5"/>
      <sheetName val="3_공사비(07년노임단가)5"/>
      <sheetName val="3_공사비(단가조사표)5"/>
      <sheetName val="3_공사비(물량산출표)5"/>
      <sheetName val="3_공사비(일위대가표목록)5"/>
      <sheetName val="3_공사비(일위대가표)5"/>
      <sheetName val="TRE_TABLE5"/>
      <sheetName val="Requirement(Work_Crew)5"/>
      <sheetName val="진입도로B_(2)5"/>
      <sheetName val="수목데이타_5"/>
      <sheetName val="2_냉난방설비공사5"/>
      <sheetName val="7_자동제어공사5"/>
      <sheetName val="중강당_내역5"/>
      <sheetName val="기초자료입력및_K치_확인5"/>
      <sheetName val="실행내역_5"/>
      <sheetName val="자재_단가_비교표(견적)5"/>
      <sheetName val="자재_단가_비교표5"/>
      <sheetName val="Bid_Summary5"/>
      <sheetName val="이동시_예상비용5"/>
      <sheetName val="Seg_1DE비용5"/>
      <sheetName val="Transit_비용_감가상각미포함5"/>
      <sheetName val="세골재__T2_변경_현황5"/>
      <sheetName val="내역서_(2)5"/>
      <sheetName val="전화공사_공량_및_집계표5"/>
      <sheetName val="참조_(2)5"/>
      <sheetName val="6__직접경비5"/>
      <sheetName val="대가_(보완)5"/>
      <sheetName val="3_자재비(총괄)5"/>
      <sheetName val="5호광장_(만점)6"/>
      <sheetName val="인천국제_(만점)_(2)6"/>
      <sheetName val="제조_경영5"/>
      <sheetName val="4_전기5"/>
      <sheetName val="노_무_비5"/>
      <sheetName val="미납품_현황5"/>
      <sheetName val="신설개소별_총집계표(동해-배전)5"/>
      <sheetName val="STEEL_BOX_단면설계(SEC_8)5"/>
      <sheetName val="울진항공등화_내역서5"/>
      <sheetName val="일_위_대_가_표5"/>
      <sheetName val="영흥TL(UP,DOWN)_5"/>
      <sheetName val="흙막이B_(오산운암)5"/>
      <sheetName val="타이로드_흙막이5"/>
      <sheetName val="타이로드_흙막이(근입장2_5M)5"/>
      <sheetName val="타이로드(근입장2_5M)5"/>
      <sheetName val="pile_항타5"/>
      <sheetName val="pile_항타(디젤)5"/>
      <sheetName val="pile_항타_A5"/>
      <sheetName val="pile_항타_B5"/>
      <sheetName val="pile_항타_C5"/>
      <sheetName val="pile_인발5"/>
      <sheetName val="pile_인발_A5"/>
      <sheetName val="pile_인발_B5"/>
      <sheetName val="pile_인발_C5"/>
      <sheetName val="20TON_TRAILER5"/>
      <sheetName val="토류판_(2)5"/>
      <sheetName val="SHEET_PILE단가5"/>
      <sheetName val="용선_C_L5"/>
      <sheetName val="모선자재_집계표4"/>
      <sheetName val="재료의_할증4"/>
      <sheetName val="내역서_4"/>
      <sheetName val="단가_및_재료비5"/>
      <sheetName val="광통신_견적내역서16"/>
      <sheetName val="DATA_입력부6"/>
      <sheetName val="CIP_공사7"/>
      <sheetName val="수량산출서_갑지6"/>
      <sheetName val="1_3_1절점좌표6"/>
      <sheetName val="1_1설계기준6"/>
      <sheetName val="2000_056"/>
      <sheetName val="1_본부별6"/>
      <sheetName val="기초입력_DATA6"/>
      <sheetName val="EQUIP_LIST6"/>
      <sheetName val="단양_00_아파트-세부내역6"/>
      <sheetName val="4_장비손료6"/>
      <sheetName val="재활용_악취_먼지DUCT산출6"/>
      <sheetName val="5_정산서6"/>
      <sheetName val="설계기준_및_하중계산5"/>
      <sheetName val="원내역서_그대로5"/>
      <sheetName val="남양시작동자105노65기1_3화1_25"/>
      <sheetName val="관음목장(제출용)자105인97_55"/>
      <sheetName val="1062-X방향_5"/>
      <sheetName val="PROJECT_BRIEF5"/>
      <sheetName val="969910(_R)5"/>
      <sheetName val="전선_및_전선관5"/>
      <sheetName val="VENDOR_LIST5"/>
      <sheetName val="D1_2_COF모듈자재_입출재고_(B급)4"/>
      <sheetName val="일위대가_(PM)5"/>
      <sheetName val="1-1_현장정리5"/>
      <sheetName val="1-2_토공5"/>
      <sheetName val="1-3_WMM,GSB5"/>
      <sheetName val="1-4_BITUMINOUS_COURSE5"/>
      <sheetName val="1-5_BOX_CULVERTS5"/>
      <sheetName val="1-6_BRIDGE5"/>
      <sheetName val="1-7_DRAINAGE5"/>
      <sheetName val="1-8_TRAFFIC5"/>
      <sheetName val="1-9_MISCELLANEOUS5"/>
      <sheetName val="1-10_ELECTRICAL5"/>
      <sheetName val="1-12_도급외항목5"/>
      <sheetName val="99_조정금액2"/>
      <sheetName val="표__지4"/>
      <sheetName val="외주대비_ᨀ晙ԯ3"/>
      <sheetName val="중기쥰종사_단위단가5"/>
      <sheetName val="108_수선비5"/>
      <sheetName val="샌딩_에폭시_도장3"/>
      <sheetName val="06_일위대가목록2"/>
      <sheetName val="운동장_(2)2"/>
      <sheetName val="중기사용료_(2)2"/>
      <sheetName val="2_원가집계2"/>
      <sheetName val="외주대비_-석É2"/>
      <sheetName val="1차_내역서5"/>
      <sheetName val="경비_(1)5"/>
      <sheetName val="2F_회의실견적(5_14_일대)5"/>
      <sheetName val="①idea_pipeline5"/>
      <sheetName val="IMP_통일양식5"/>
      <sheetName val="LYS_통일양식5"/>
      <sheetName val="유통기한_프로그램5"/>
      <sheetName val="Sight_n_M_H5"/>
      <sheetName val="매출요약(월별)_-년간5"/>
      <sheetName val="Piping_Design_Data5"/>
      <sheetName val="4_&amp;_10-inch,_CO2_Combo_&amp;_Sweep5"/>
      <sheetName val="1_䷨수장5"/>
      <sheetName val="4_뀴진설Ⳅ5"/>
      <sheetName val="전䰨선로_물량표5"/>
      <sheetName val="㶀대입찰_내역서5"/>
      <sheetName val="한성교회_신축공사(050713)_CheckList5"/>
      <sheetName val="총괄집계_5"/>
      <sheetName val="strut_type5"/>
      <sheetName val="-15_04"/>
      <sheetName val="사__업__비__수__지__예__산__서4"/>
      <sheetName val="5_2_6~7공사요율2"/>
      <sheetName val="05_유류비자금청구(완)2"/>
      <sheetName val="주공_갑지2"/>
      <sheetName val="04_12월건강보험(일용직)2"/>
      <sheetName val="grid_(1)2"/>
      <sheetName val="기존단가_(2)3"/>
      <sheetName val="10_경제성분석4"/>
      <sheetName val="2_14"/>
      <sheetName val="청_구3"/>
      <sheetName val="공내역_및_견적조건4"/>
      <sheetName val="기계_도급내역서4"/>
      <sheetName val="7_전산해석결과3"/>
      <sheetName val="4_하중3"/>
      <sheetName val="kimre_scrubber5"/>
      <sheetName val="_ｹ-ﾌﾞﾙ2"/>
      <sheetName val="FRP_PIPING_일위대가5"/>
      <sheetName val="신평리_권리자명부2"/>
      <sheetName val="97_사업추정(WEKI)2"/>
      <sheetName val="토__공2"/>
      <sheetName val="1_내역(청_하역장전등)2"/>
      <sheetName val="PAD_TR보호대기초2"/>
      <sheetName val="PTVT_(MAU)5"/>
      <sheetName val="19_07월_세_계2"/>
      <sheetName val="19_07항목별(시트복사금지100번쓰기)2"/>
      <sheetName val="19_05월2"/>
      <sheetName val="Div26_-_Elect4"/>
      <sheetName val="함열량_db4"/>
      <sheetName val="고객사_관리_코드5"/>
      <sheetName val="cong_thuc_tinh_chi_tiet4"/>
      <sheetName val="Bảng_mã_VT4"/>
      <sheetName val="Khoi_luong4"/>
      <sheetName val="DonGia_chetao4"/>
      <sheetName val="DonGia_VatTuLK4"/>
      <sheetName val="Fr_Revit4"/>
      <sheetName val="NSA_Summary4"/>
      <sheetName val="4_수량산출서2"/>
      <sheetName val="경율산정_XLS2"/>
      <sheetName val="H__MECHANICAL2"/>
      <sheetName val="J__FIRE_FIGHTING2"/>
      <sheetName val="Gia_VLNCMTC2"/>
      <sheetName val="1_관로2"/>
      <sheetName val="chi_tiet3"/>
      <sheetName val="PPC_Summary3"/>
      <sheetName val="3_단가산출서2"/>
      <sheetName val="4_단가산출기초2"/>
      <sheetName val="_IL-3_XLSY갑지6"/>
      <sheetName val="안양동교_1안2"/>
      <sheetName val="A_견적1"/>
      <sheetName val="const_1"/>
      <sheetName val="4_예산내역서1"/>
      <sheetName val="Summary_VO_No_32"/>
      <sheetName val="VO_No_3_12"/>
      <sheetName val="VO_No_3_22"/>
      <sheetName val="VO_No_3_32"/>
      <sheetName val="VO_No_3_42"/>
      <sheetName val="VO_No_3_52"/>
      <sheetName val="VO_No_3_62"/>
      <sheetName val="VO_No_3_72"/>
      <sheetName val="VO_No_3_82"/>
      <sheetName val="Sàn_T12"/>
      <sheetName val="Lỗ_thông_gió2"/>
      <sheetName val="Thống_kê2"/>
      <sheetName val="SCOPE_OF_WORK2"/>
      <sheetName val="Tong_hop2"/>
      <sheetName val="Phan_lap_dat2"/>
      <sheetName val="Lắp_Ráp2"/>
      <sheetName val="KET_CAU-_MJV22"/>
      <sheetName val="Ví_dụ2"/>
      <sheetName val="Phieu_trinh_ky_cấu_tháp2"/>
      <sheetName val="Phieu_trinh_ky_VTP2"/>
      <sheetName val="KS-VL_rời2"/>
      <sheetName val="Tai_san2"/>
      <sheetName val="Check_dong_tien2"/>
      <sheetName val="Chi_phí_SDTS2"/>
      <sheetName val="Check_COST2"/>
      <sheetName val="DATA_HD2"/>
      <sheetName val="Tong_hop_1TM2"/>
      <sheetName val="NS_Lán_trại2"/>
      <sheetName val="Check_cong_no_NC2"/>
      <sheetName val="보도내_1"/>
      <sheetName val="입찰내역_발주처_양식1"/>
      <sheetName val="자재기성_신청서_xlsx1"/>
      <sheetName val="도급표지  (3_x0000_"/>
      <sheetName val="Sh_x0000__x0000__x0000_"/>
      <sheetName val="Sh_x0010__x0000_ጾ"/>
      <sheetName val="관급자재산출근거"/>
      <sheetName val="2008년하반기노임"/>
      <sheetName val="패널"/>
      <sheetName val="기계경비시간당손료목록"/>
      <sheetName val="출근부&amp;임금대장"/>
      <sheetName val="Sens&amp;Anal"/>
      <sheetName val="1공구 건_xdc00_䘢䠂檱䠛檳"/>
      <sheetName val="6공구(_xda8b_瀀"/>
      <sheetName val="ChartData"/>
      <sheetName val="흥양2교토_x0000__x0000_Ā_x0000_"/>
      <sheetName val="고유코드_설계"/>
      <sheetName val="1.수_x0000__x0000__x0005_"/>
      <sheetName val="공량산출근거서"/>
      <sheetName val="건축설_x0000_"/>
      <sheetName val="건축설賨"/>
      <sheetName val="도급표지  (怀꿟"/>
      <sheetName val="포장총괄집계표"/>
      <sheetName val="부대내寀"/>
      <sheetName val="부대내_x0005_"/>
      <sheetName val="조선용암면"/>
      <sheetName val="Names"/>
      <sheetName val="Tiepdia"/>
      <sheetName val="인구"/>
      <sheetName val="환경평가"/>
      <sheetName val="변경내역서"/>
      <sheetName val="주안3차A-A"/>
      <sheetName val="단가(동바蔨ũ"/>
      <sheetName val="D.B"/>
      <sheetName val="공량(전기)"/>
      <sheetName val="슬래브수량산출"/>
      <sheetName val="콘크리트"/>
      <sheetName val="토량산출서"/>
      <sheetName val="20관리비율"/>
      <sheetName val="HW일위"/>
      <sheetName val="수지예산"/>
      <sheetName val="제잡비(주공종)"/>
      <sheetName val="외주대비-구_x0005_"/>
      <sheetName val="외주대비-구멫⽄"/>
      <sheetName val="원가계산서(기계+소방)"/>
      <sheetName val="기성집계표(기계+소방)"/>
      <sheetName val="기성내역서(기계+소방)"/>
      <sheetName val="표지(기계)"/>
      <sheetName val="기성갑지(기계)"/>
      <sheetName val="금회 청구사항(기계)"/>
      <sheetName val="원가계산서(기계)"/>
      <sheetName val="기성집계표(기계)"/>
      <sheetName val="기성내역서(기계)"/>
      <sheetName val="표지(소방)"/>
      <sheetName val="기성갑지 (소방)"/>
      <sheetName val="금회 청구사항(소방)"/>
      <sheetName val="원가계산서(소방)"/>
      <sheetName val="기성집계표(소방)"/>
      <sheetName val="기성내역서(소방)"/>
      <sheetName val="인부신상"/>
      <sheetName val="외주대비x"/>
      <sheetName val="식생블럭단위수량"/>
      <sheetName val="8설7발"/>
      <sheetName val="Lumen"/>
      <sheetName val="해외교육"/>
      <sheetName val="K2 site Total 내역서"/>
      <sheetName val="타설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사리부설"/>
      <sheetName val="기계실냉༛彬"/>
      <sheetName val="1.청구서"/>
      <sheetName val="2.내역서"/>
      <sheetName val="기성지급예정"/>
      <sheetName val="실지급내역"/>
      <sheetName val="노무비지급"/>
      <sheetName val="표"/>
      <sheetName val="외주대비x_x0000_Ԁ_x0000_"/>
      <sheetName val="총괄표 "/>
      <sheetName val="HVAC"/>
      <sheetName val="DG"/>
      <sheetName val="NHÀ NHẬP LIỆU"/>
      <sheetName val="MÓNG SILO"/>
      <sheetName val="기초입력ԯ_x0000_缀_x0000__x0000_"/>
      <sheetName val="부도어음"/>
      <sheetName val="전압강하"/>
      <sheetName val="LD"/>
      <sheetName val="외주대비-구ꮸ〇"/>
      <sheetName val="치수표"/>
      <sheetName val="-배수구조총재료"/>
      <sheetName val="부대표지_x0000__x0000__x0005__x0000_䥀"/>
      <sheetName val="행정표준(2惍"/>
      <sheetName val="행정표준(2ネ"/>
      <sheetName val="부대표지_x0000__x0000__x0005__x0000_⽠"/>
      <sheetName val="품의"/>
      <sheetName val="요약표"/>
      <sheetName val="직영"/>
      <sheetName val="외주(보온)"/>
      <sheetName val="외주(NDE)"/>
      <sheetName val="2019년외주공사"/>
      <sheetName val="동강 배관"/>
      <sheetName val="WCR 외주"/>
      <sheetName val="ANLINE"/>
      <sheetName val="ANILINE - OPTION"/>
      <sheetName val="MDI"/>
      <sheetName val="MDI - OPTION"/>
      <sheetName val="CCD"/>
      <sheetName val="수량산출서뺑"/>
      <sheetName val="가정급수관"/>
      <sheetName val="오억미만"/>
      <sheetName val="계약대비내역서 (부경)"/>
      <sheetName val="집행대비내역서 (부경)"/>
      <sheetName val="계약그라우팅.포장"/>
      <sheetName val="계약사무실조경 "/>
      <sheetName val="수벽설치(효자)"/>
      <sheetName val="조ꌀ"/>
      <sheetName val="조Ꝣ"/>
      <sheetName val="총공사Ԁ쭭㠯"/>
      <sheetName val="구조ఀ덀_x0000_"/>
      <sheetName val="구조怀ྋĀ"/>
      <sheetName val="연평잔"/>
      <sheetName val="Efficiency"/>
      <sheetName val="벽체면적˱ጐɈី"/>
      <sheetName val="합천내역"/>
      <sheetName val="외주대비-구_x0000__x0000_"/>
      <sheetName val="자판실행"/>
      <sheetName val="구조물터파기ꗤNˠ"/>
      <sheetName val="위생悱"/>
      <sheetName val="GIAVLIEU"/>
      <sheetName val="3BL공동구_x005f_x0000__x005f_x0000_Ԁ"/>
      <sheetName val="ptdg"/>
      <sheetName val="CODE-LIST"/>
      <sheetName val="Basic Wage"/>
      <sheetName val="Menber List"/>
      <sheetName val="기초입력ԯ"/>
      <sheetName val="PL Vua"/>
      <sheetName val="도시정비"/>
      <sheetName val="개발"/>
      <sheetName val="도시정비 "/>
      <sheetName val="민간"/>
      <sheetName val="관접합및부설"/>
      <sheetName val="3.1.6 전산처리결과"/>
      <sheetName val="인부신상헾⼳"/>
      <sheetName val="호곡중학교"/>
      <sheetName val="횡배수관 토공량 산출"/>
      <sheetName val="평가내역"/>
      <sheetName val="부대공사비"/>
      <sheetName val="공종코드"/>
      <sheetName val="수량산출서_x0010__x0000_"/>
      <sheetName val="본장"/>
      <sheetName val="_x0000__x0010__x0000_내"/>
      <sheetName val="2013년상반기"/>
      <sheetName val="건_′近丂"/>
      <sheetName val="건_ê_x0000_Ԁ"/>
      <sheetName val="⑻동원인원산출서⑧"/>
      <sheetName val="토공계산서(부체도로)"/>
      <sheetName val="수로BOX"/>
      <sheetName val="토목단가"/>
      <sheetName val="경비_원본"/>
      <sheetName val="총공사_x0000__x0000_Ԁ"/>
      <sheetName val="수량산출서_x0000__x0000__x0005_"/>
      <sheetName val="1-׃⼿"/>
      <sheetName val="1-닑⽋"/>
      <sheetName val="1-_x0005__x0000_"/>
      <sheetName val="A-100전제"/>
      <sheetName val="외주현황_wq1"/>
      <sheetName val="태화42_"/>
      <sheetName val="배수喘"/>
      <sheetName val="220_(2)"/>
      <sheetName val="3_관로전환기"/>
      <sheetName val="내역서1999_8최종"/>
      <sheetName val="부대표지腰"/>
      <sheetName val="3_전기산출기초"/>
      <sheetName val="F_월별기성수금현황_"/>
      <sheetName val="1_1"/>
      <sheetName val="_"/>
      <sheetName val="갑지 1회"/>
      <sheetName val="표지1회"/>
      <sheetName val="18.07"/>
      <sheetName val="갑지 2회"/>
      <sheetName val="표지2회"/>
      <sheetName val="18.08"/>
      <sheetName val="갑지 3회"/>
      <sheetName val="표지3회"/>
      <sheetName val="18.09"/>
      <sheetName val="갑지 4회"/>
      <sheetName val="표지4회"/>
      <sheetName val="18.10"/>
      <sheetName val="갑지 5회"/>
      <sheetName val="표지5회"/>
      <sheetName val="18.11"/>
      <sheetName val="갑지 6회"/>
      <sheetName val="표지6회"/>
      <sheetName val="18.12"/>
      <sheetName val="갑지 7회"/>
      <sheetName val="표지7회"/>
      <sheetName val="19.01"/>
      <sheetName val="갑지 8회"/>
      <sheetName val="표지8회"/>
      <sheetName val="19.02"/>
      <sheetName val="갑지 9회"/>
      <sheetName val="표지 9회"/>
      <sheetName val="19.03"/>
      <sheetName val="갑지 10회"/>
      <sheetName val="표지 10회"/>
      <sheetName val="19.04"/>
      <sheetName val="갑지 11회"/>
      <sheetName val="표지 11회"/>
      <sheetName val="19.05"/>
      <sheetName val="갑지 12회"/>
      <sheetName val="표지 12회"/>
      <sheetName val="19.06"/>
      <sheetName val="갑지 13회"/>
      <sheetName val="표지 13회"/>
      <sheetName val="19.07"/>
      <sheetName val="갑지 14회"/>
      <sheetName val="표지 14회"/>
      <sheetName val="19.08"/>
      <sheetName val="부대표지츀 _x0000__x0000_얈"/>
      <sheetName val="부대표지츀 _x0000__x0000_篐"/>
      <sheetName val="동력부하계산"/>
      <sheetName val="템플릿"/>
      <sheetName val="7)각세대내"/>
      <sheetName val="외주대비 -석축_x0000__x0000__x0000__x0000__x0000__x0012_[후다내역.XLS]_____4"/>
      <sheetName val="단가산品Ṹ"/>
      <sheetName val="입찰품跀"/>
      <sheetName val="소야공정_x0000__x0000_Ԁ"/>
      <sheetName val="GRD_x0000_"/>
      <sheetName val="점_x0000__x0000_Ā"/>
      <sheetName val="외주대비 -석축_x0000__x0000__x0000__x2"/>
      <sheetName val="견적표지_(32"/>
      <sheetName val="외주대비 -석축_x0000__x0000__x0000__x3"/>
      <sheetName val="견적표지_(322"/>
      <sheetName val="외주대비 -석축_x0000__x0000__x0000__x4"/>
      <sheetName val="견적표지_(3222"/>
      <sheetName val="외주대비 -석축_x0000__x0000__x0000__x5"/>
      <sheetName val="견적표지_(32222"/>
      <sheetName val="외주대비 -석축_x0000__x0000__x0000__x6"/>
      <sheetName val="견적표지_(322222"/>
      <sheetName val="교각토공_(㡈įᐨ"/>
      <sheetName val="공사비 내역 (가)"/>
      <sheetName val="GRD_x0000_鯦"/>
      <sheetName val="일위대가 집_x0000__x0000_"/>
      <sheetName val="GRD_x0000_黎"/>
      <sheetName val="일위합"/>
      <sheetName val="도급표지렀觖갂垹䠀"/>
      <sheetName val="barchart"/>
      <sheetName val="Matls"/>
      <sheetName val="Labor"/>
      <sheetName val="CTG"/>
      <sheetName val="KTCK"/>
      <sheetName val="Pipe"/>
      <sheetName val="TEMP"/>
      <sheetName val="NS"/>
      <sheetName val="NKC6"/>
      <sheetName val="07_Themal"/>
      <sheetName val="TỔNG HỢP"/>
      <sheetName val="48_x005f_x0005_"/>
      <sheetName val="_후다_x005f_x0001_ _x005f_x0010__x005f_x0000__x0003"/>
      <sheetName val="6MONTHS"/>
      <sheetName val="PTDM"/>
      <sheetName val="dropdown"/>
      <sheetName val="C_MECHANICAL"/>
      <sheetName val="Elec_LG"/>
      <sheetName val="Budget Code"/>
      <sheetName val="Phu cap"/>
      <sheetName val="BREAKDOW_x0000__x0000_Ԁ_x0000_瀀㄂ᗖ"/>
      <sheetName val="BREAKDOW_x0000__x0000_Ԁ_x0000_　柳ᤍ"/>
      <sheetName val="BREAKDOW頀ᵛ瀞囏_x001c__x0000_攀"/>
      <sheetName val="BREAKDOW_x0000__x0000_Ԁ_x0000_ 횱_xd9c1_"/>
      <sheetName val="일위대가Ȓ_x0000_"/>
      <sheetName val="일위대가顔-"/>
      <sheetName val="중사"/>
      <sheetName val="재무가정"/>
      <sheetName val="사전공사"/>
      <sheetName val="출장㺎Ă"/>
      <sheetName val="철근׃"/>
      <sheetName val="Bab泅啢堀㭔*"/>
      <sheetName val="아파트급수지하PIT층평면도(평면도)"/>
      <sheetName val="SIL98"/>
      <sheetName val="현장´_x0000_Ԁ_x0000_"/>
      <sheetName val="Rect. 10"/>
      <sheetName val="제품목록"/>
      <sheetName val="투찰금액"/>
      <sheetName val="계산내역(설비)"/>
      <sheetName val="용산1(해보)"/>
      <sheetName val="매입"/>
      <sheetName val="서울대규장각(가시설흙막이)"/>
      <sheetName val="BD운반거리"/>
      <sheetName val="수정_x0000__x0000_"/>
      <sheetName val="근생APT-신마감"/>
      <sheetName val="복지관_FIART"/>
      <sheetName val="근생APT-FIART"/>
      <sheetName val="근생-FIART"/>
      <sheetName val="공사비대비표(을지)"/>
      <sheetName val="설비원가"/>
      <sheetName val="K2_site_Total_내역서"/>
      <sheetName val="외주현황_wq11"/>
      <sheetName val="1_11"/>
      <sheetName val="태화42_1"/>
      <sheetName val="220_(2)1"/>
      <sheetName val="3_관로전환기1"/>
      <sheetName val="F_월별기성수금현황_1"/>
      <sheetName val="_1"/>
      <sheetName val="내역서1999_8최종1"/>
      <sheetName val="K2_site_Total_내역서1"/>
      <sheetName val="수량산출서"/>
      <sheetName val="3_전기산출기초1"/>
      <sheetName val="동강_배관"/>
      <sheetName val="WCR_외주"/>
      <sheetName val="ANILINE_-_OPTION"/>
      <sheetName val="MDI_-_OPTION"/>
      <sheetName val="D_B"/>
      <sheetName val="부대표지䥀"/>
      <sheetName val="부대표지⽠"/>
      <sheetName val="금회_청구사항(기계)"/>
      <sheetName val="기성갑지_(소방)"/>
      <sheetName val="금회_청구사항(소방)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1_청구서"/>
      <sheetName val="2_내역서"/>
      <sheetName val="총괄표_"/>
      <sheetName val="Rect__10"/>
      <sheetName val="1-"/>
      <sheetName val="계약대비내역서_(부경)"/>
      <sheetName val="집행대비내역서_(부경)"/>
      <sheetName val="계약그라우팅_포장"/>
      <sheetName val="계약사무실조경_"/>
      <sheetName val="횡배수관_토공량_산출"/>
      <sheetName val="내"/>
      <sheetName val="도시정비_"/>
      <sheetName val="부대표지츀_얈"/>
      <sheetName val="부대표지츀_篐"/>
      <sheetName val="3_1_6_전산처리결과"/>
      <sheetName val="위생䲀æ"/>
      <sheetName val="현장´"/>
      <sheetName val="CB"/>
      <sheetName val="Modulၒ_x0000_"/>
      <sheetName val="PTdam"/>
      <sheetName val="Loose"/>
      <sheetName val="Đầu tư"/>
      <sheetName val="RAB AR&amp;STR"/>
      <sheetName val="3. CNT"/>
      <sheetName val="unit price list(M)"/>
      <sheetName val="General2"/>
      <sheetName val="Breakdown (B)"/>
      <sheetName val="thông tin"/>
      <sheetName val="tifico"/>
      <sheetName val="7.공정표"/>
      <sheetName val="escon"/>
      <sheetName val="_후다___"/>
      <sheetName val="ጊ후다내역.XLS_0_0ControlSheet3"/>
      <sheetName val="외주대비 -석축______x0012__후다내역.XLS_견적표지 (3"/>
      <sheetName val="䣐__갑쥀)"/>
      <sheetName val="48_x0005__"/>
      <sheetName val="1차설계Ꮗԯ_"/>
      <sheetName val="1차설계逷≙_≙"/>
      <sheetName val="Sikje_inĴ¾_"/>
      <sheetName val="eq_dat_"/>
      <sheetName val="3BL공동구__Ԁ"/>
      <sheetName val="외주대비 -석축____x"/>
      <sheetName val="Sikje_in_x0005__"/>
      <sheetName val="CԀ_缀"/>
      <sheetName val="ጊ후다내역_XLS_0_0ControlSheet3"/>
      <sheetName val="외주대비_-석축______후다내역_XLS_견적표지_(3"/>
      <sheetName val="48_"/>
      <sheetName val="외주대비_-석축____x"/>
      <sheetName val="Sikje_in_"/>
      <sheetName val="Ton Kho"/>
      <sheetName val="침하계"/>
      <sheetName val="3_공통공사偤°"/>
      <sheetName val="CC16-내역서"/>
      <sheetName val="Tax Ref"/>
      <sheetName val="Parameters"/>
      <sheetName val="BOQ-E"/>
      <sheetName val="Dayworks"/>
      <sheetName val="Land Dev't. Ph-1"/>
      <sheetName val="수량산출서_x0010_"/>
      <sheetName val="개인신상"/>
      <sheetName val="슬래브(PF)(하류)"/>
      <sheetName val="STAND98"/>
      <sheetName val="점_x0000__x0000__x0005_"/>
      <sheetName val="원본자재"/>
      <sheetName val="4 L速뇥ᝠ"/>
      <sheetName val="견적刀_x0010_"/>
      <sheetName val="외주대비 -ʶ_x0000_"/>
      <sheetName val="기별용지"/>
      <sheetName val="입적Æ"/>
      <sheetName val="통신물량"/>
      <sheetName val="교각토공_(배̆팘"/>
      <sheetName val="현장인원명부"/>
      <sheetName val="시공여유_x0000_"/>
      <sheetName val="설계개요"/>
      <sheetName val="PAY2002"/>
      <sheetName val="3.일반사상"/>
      <sheetName val="변수"/>
      <sheetName val="1-7(재가공내역)"/>
      <sheetName val="우성교간선"/>
      <sheetName val="205동"/>
      <sheetName val="주간기성"/>
      <sheetName val="닪면_(2)3"/>
      <sheetName val="지역개발"/>
      <sheetName val="入力用(家賃)"/>
      <sheetName val="入力用(駐車)"/>
      <sheetName val="인건嫨"/>
      <sheetName val="골조타설일정표"/>
      <sheetName val="그림모음"/>
      <sheetName val="입력데이타(비_x0000__x0000_Ԁ_x0000_"/>
      <sheetName val="코드정보"/>
      <sheetName val="도급표지  (ꀀ႑"/>
      <sheetName val="실행_x0002__x0000_駐"/>
      <sheetName val="일반수량총괄집계"/>
      <sheetName val="요약&amp;결과"/>
      <sheetName val="_________x005f_x0000__x005f_x0000__x005f_x0000__2"/>
      <sheetName val="보도내 _x005f_x0000__x005f_x0000_䪾"/>
      <sheetName val="내역(최종본浳き_x005f_x0000__x005f_x0000_"/>
      <sheetName val="내역(최종본浳⿢_x005f_x0000__x005f_x0000_"/>
      <sheetName val="내역(최종본浳ぁ_x005f_x0000__x005f_x0000_"/>
      <sheetName val="계약정보"/>
      <sheetName val="기본내용"/>
      <sheetName val="외주대비_-석축_x005f_x0000__x005f_x0000__x005f_x0000__x"/>
      <sheetName val="용수량(생활용수)"/>
      <sheetName val="프로젝트"/>
      <sheetName val="견적서표지"/>
      <sheetName val="_후다_x0001_ _x0010___x0003_ _x0010___x0001___x0010___x0001_ _x0010___x0003_"/>
      <sheetName val="ጳ__Ⴔጳ__Lጴ__ ጵ__ ጶ__ఀጷ__ ጸ_"/>
      <sheetName val="ጷ__Ⴔጸ__Lጿ__Rጿ__Sጊ__Lጊ__2ጱ"/>
      <sheetName val="ጳ__Ⴔጳ__Lጴ___ጵ___ጶ__ఀጷ___ጸ_"/>
      <sheetName val="ጳ__Ⴔጳ__Lጴ__Rጳ__Sጳ__Lጴ__2ጵ"/>
      <sheetName val="ጳ__Ⴔጴ__Lጳ__0ጳ__Șጴ__Șጵ__"/>
      <sheetName val="ጱ__Ⴔጲ__Lፍ__uጳ__mጳ__Dጴ__bጳ_"/>
      <sheetName val="ጊ__Ⴔጱ__Lጲ__.ድ__nጳ__lጳ__eጴ"/>
      <sheetName val="ጵ__Ⴔጶ__Lጷ__.ጸ__yጿ__uጿ__iጊ_"/>
      <sheetName val="ጊ__Ⴔጱ__Lጲ__-ድ__Lጳ__(ጳ__"/>
      <sheetName val="ጿ__Ⴔጿ__Lጊ__ېጱ__ ጲ__೵ድ__Ⴔጳ_"/>
      <sheetName val="ጊ__Ⴔጊ__Lጱ__᳴ጲ__ ድ__ᰕጳ__װጳ"/>
      <sheetName val="ጸ__Ⴔጿ__Lጿ__qጊ__oጊ__iጱ__iጲ_"/>
      <sheetName val="ጳ__Ⴔጴ__Lጳ___ጳ__nጴ__lጵ__eጶ"/>
      <sheetName val="ጿ__Ⴔጿ__Lጊ___ጊ__yጱ__uጲ__iድ_"/>
      <sheetName val="ፍ__Ⴔጳ__Lጳ__Nጴ__(ጳ__ᖥጳ__)"/>
      <sheetName val="ጿ__Ⴔጿ__Lጊ__Cጱ__4ጲ__Ĥፍ__"/>
      <sheetName val="ጳ__Ⴔጳ__Lጴ__෠ጳ__ೠጳ__2ጴ__Pጵ"/>
      <sheetName val="ጶ__Ⴔጷ__Lጸ__ ጿ__ ጿ__ ጊ__"/>
      <sheetName val="ጳ__Ⴔጴ__Lጳ__ބጳ__کጴ__ឌጵ__"/>
      <sheetName val="ጊ__Ⴔጊ__Lጱ__ބጲ__کድ__ឌጳ__"/>
      <sheetName val="ጳ__Ⴔጳ__Lጴ__᝼ጵ__᳀ጶ__,ጷ__)"/>
      <sheetName val="ጿ__Ⴔጊ__Lጱ__Șጲ__ᩘድ__ ጳ__ ጳ_"/>
      <sheetName val="ድ__Ⴔጳ__Lጳ__.ጴ__ഀጳ__nጳ__ "/>
      <sheetName val="ጴ__Ⴔጵ__Lጶ___ጷ__ഀጸ__nጿ__ "/>
      <sheetName val="ጳ__Ⴔጴ__Lጵ__.ጶ__ᔼጷ__1ጸ__2ጿ_"/>
      <sheetName val="ጲ__Ⴔድ__Lጳ__Rጳ__aጴ__lጳ__oጳ"/>
      <sheetName val="ጊ__Ⴔጱ__Lጲ__Rድ__Dጳ__(ጳ__๘ጴ"/>
      <sheetName val="ጴ__Ⴔጵ__Lጶ__֑ጷ__0ጸ__1ጿ__0ጿ"/>
      <sheetName val="ጸ__Ⴔጿ__Lጿ__Ƞጊ__Eጱ__Rጲ__Sፍ"/>
      <sheetName val="ጵ__Ⴔጶ__Lጷ__-ጸ__Oጿ__Uጿ__Rጊ_"/>
      <sheetName val="ጳ__Ⴔጴ__Lጵ__-ጶ__Eጷ__Tጸ__Aጿ"/>
      <sheetName val="ጸ__Ⴔጿ__Lጿ__.ጊ__ ጱ__ݴጲ__"/>
      <sheetName val="ጱ__Ⴔጲ__Lድ__ࣼጳ__൬ጳ__(ጴ__"/>
      <sheetName val="ጴ__Ⴔጳ__Lጳ__Rጴ__Sጵ__Lጶ__2ጷ_"/>
      <sheetName val="ጿ__Ⴔጿ__Lጊ__uጱ__mጲ__Dድ__bጳ_"/>
      <sheetName val="ጴ__Ⴔጳ__Lጳ___ጴ__nጵ__lጶ__eጷ_"/>
      <sheetName val="ጶ__Ⴔጷ__Lጸ__ېጿ___ጿ__೵ጊ__Ⴔጱ_"/>
      <sheetName val="ጳ__Ⴔጳ__Lጴ___ጳ__ഀጳ__nጴ___"/>
      <sheetName val="ጿ__Ⴔጊ__Lጊ___ጱ__ഀጲ__nድ___"/>
      <sheetName val="ጵ__Ⴔጶ__Lጷ__qጸ__oጿ__iጿ__iጊ_"/>
      <sheetName val="ጲ__Ⴔድ__Lጳ__᳴ጳ___ጴ__ᰕጳ__װጳ"/>
      <sheetName val="ጶ__Ⴔጷ__Lጸ___ጿ___ጿ___ጊ__"/>
      <sheetName val="ጱ__Ⴔጲ__Lድ__᝼ጳ__᳀ጳ__,ጴ__)"/>
      <sheetName val="ጷ__Ⴔጸ__Lጿ__Șጿ__ᩘጊ___ጱ___ጲ_"/>
      <sheetName val="ድ__Ⴔጳ__Lጳ__ᰘጴ__ࠄጳ__ഈጳ__Ṅጴ"/>
      <sheetName val="ጲ__Ⴔድ__Lጳ___ጳ__nጴ__lጳ__eጳ_"/>
      <sheetName val="ጳ__Ⴔጳ__Lጴ__᳴ጵ___ጶ__ᰕጷ__װጸ_"/>
      <sheetName val="ጊ__Ⴔጱ__Lጲ__ࠑድ__°ጳ__2ጳ__0"/>
      <sheetName val="ጿ__Ⴔጊ__Lጱ__ᙜጲ__෨ድ__Dጳ__°ጳ"/>
      <sheetName val="ጿ__Ⴔጊ__Lጱ__Rጲ__Cድ__Rጳ__"/>
      <sheetName val="ጴ__Ⴔጳ__Lጳ__iጴ__ ጵ__eጶ__e"/>
      <sheetName val="ጵ__Ⴔጶ__Lጷ__ᝥጸ__Uጿ__Oጿ__ "/>
      <sheetName val="ጳ__Ⴔጴ__Lጵ__֑ጶ__ ጷ__-ጸ__׭"/>
      <sheetName val="ጳ__Ⴔጳ__Lጴ__಴ጵ__׭ጶ__᳀ጷ__"/>
      <sheetName val="ጴ__Ⴔጵ__Lጶ__ඕጷ__ఐጸ__սጿ__"/>
      <sheetName val="ጲ__Ⴔድ__Lጳ__.ጳ__᪅ጴ__Șጳ__᧝ጳ"/>
      <sheetName val="ጸ__Ⴔጿ__Lጿ__.ጊ__᪅ጊ__ႜጱ__"/>
      <sheetName val="ጴ__Ⴔጵ__Lጶ__.ጷ__ᅸጸ__Ꮙጿ__°ጿ"/>
      <sheetName val="ጶ__Ⴔጷ__Lጸ__.ጿ__(ጿ__ᅸጊ__)"/>
      <sheetName val="ጳ__Ⴔጴ__Lጴ__.ፊ__(ጵ__ఀፋ__)"/>
      <sheetName val="ጊ__Ⴔጱ__Lጲ__ഈድ__ᠥጳ__๘ጳ__"/>
      <sheetName val="ጊ__Ⴔጱ__Lጲ__Tድ__(ጳ__Eጳ__"/>
      <sheetName val="ጱ__Ⴔጲ__Lድ__ެጳ__ ጳ__(ጴ__"/>
      <sheetName val="ጷ__Ⴔጸ__Lጿ__೨ጿ__Tጊ__ಽጊ__"/>
      <sheetName val="ጿ__Ⴔጿ__Lጊ__ᙔጱ__೵ጲ__ ድ__"/>
      <sheetName val="ጴ__Ⴔጳ__Lጳ__ᆠጴ__Aጵ__Iጶ__"/>
      <sheetName val="ድ__Ⴔጳ__Lጳ__಴ጴ__׭ጳ__᳀ጳ__"/>
      <sheetName val="ጱ__Ⴔጲ__Lድ__ಜጳ__(ጳ__ ጴ__"/>
      <sheetName val="ጷ__Ⴔጸ__Lጿ__ݸጿ__ၬጊ__2ጊ__ರጱ"/>
      <sheetName val="ጵ__Ⴔጶ__Lጷ___ጸ__᪅ጿ__Șጿ__᧝ጊ"/>
      <sheetName val="ጳ__Ⴔጴ__Lጳ___ጳ__᪅ጴ__ႜጵ__"/>
      <sheetName val="ጳ__Ⴔጳ__Lጴ__ࣼጳ__൬ጳ__(ጴ__"/>
      <sheetName val="ጳ__Ⴔጴ__Lጳ__Rጳ__Sጴ__Lጵ__2ጶ_"/>
      <sheetName val="ጿ__Ⴔጿ__Lጊ__నጊ__ಽጱ__(ጲ__"/>
      <sheetName val="ጿ__Ⴔጊ__Lጊ__೵ጱ__(ጲ__ዹድ__"/>
      <sheetName val="ጳ__Ⴔጳ__Lጴ___ጳ__Eጳ__Ꮜጴ__"/>
      <sheetName val="ጷ__Ⴔጸ__Lጿ___ጿ__ᔼጊ__1ጱ__2ጲ_"/>
      <sheetName val="ጳ__Ⴔጳ__Lጴ__Ƞጴ__Eፊ__Rጵ__Sፋ"/>
      <sheetName val="ጸ__Ⴔጿ__Lጿ__ݴጊ__෼ጱ__.ጲ__"/>
      <sheetName val="ድ__Ⴔጳ__Lጳ__0ጴ__ ጳ__Iጳ__"/>
      <sheetName val="ጊ__Ⴔጱ__Lጲ__ಜድ__(ጳ___ጳ__"/>
      <sheetName val="ጿ__Ⴔጊ__Lጱ__rጲ__(ድ__tጳ__rጳ"/>
      <sheetName val="ጴ__Ⴔጵ__Lጶ__᚝ጷ__Ոጸ__)ጿ__"/>
      <sheetName val="ጸ__Ⴔጿ__Lጿ__iጊ__ ጱ__uጲ__r"/>
      <sheetName val="ጳ__Ⴔጴ__Lጳ__᳴ጳ___ጴ__ᰕጵ__װጶ_"/>
      <sheetName val="ጴ__Ⴔጳ__Lጳ__֑ጴ___ጵ__-ጶ__׭"/>
      <sheetName val="ጳ__Ⴔጳ__Lጴ__ᙜጵ__෨ጶ__Dጷ__°ጸ"/>
      <sheetName val="ጿ__ゴጊ__Lዷ__R፞__I፟__G፠__ጀ፠"/>
      <sheetName val="ጶ__Ⴔጷ__Lጸ___ጿ__ഀጿ__nጊ___ጱ"/>
      <sheetName val="ጵ__Ⴔጶ__Lጷ___ጸ__ഀጿ__nጿ___ጊ"/>
      <sheetName val="ጳ__Ⴔጴ__Lጵ___ጶ__Eጷ__Ꮜጸ__"/>
      <sheetName val="ጱ__Ⴔጲ__Lድ___ጳ___ጳ___ጴ__1"/>
      <sheetName val="ድ__Ⴔጳ__Lጳ__᝼ጴ__᳀ጳ__,ጳ__)ጴ"/>
      <sheetName val="ጶ__Ⴔጷ__Lጸ__-ጿ__Oጿ__Uጊ__Rፕ_"/>
      <sheetName val="ጿ__Ⴔጿ__Lጊ__-ጱ__Eጲ__Tድ__Aጳ"/>
      <sheetName val="ጷ__Ⴔጸ__Lጿ___ጿ___ጊ__ݴጱ__"/>
      <sheetName val="ጲ__Ⴔድ__Lጳ__ᝥጳ__Uጴ__Oጳ___"/>
      <sheetName val="ፘ__Ⴔፘ__Lፙ__Rፘ__Cፘ__Rፙ__"/>
      <sheetName val="፝__Ⴔጿ__Lጿ__iጊ___ዷ__e፞__e"/>
      <sheetName val="፡__Ⴔ፠__L፠__ࣼ፡__൬።__(፣__"/>
      <sheetName val="፠__Ⴔ፡__L።__R፣__S፤__Lጿ__2ጿ_"/>
      <sheetName val="ጊ__Ⴔጊ__Lጊ__నጊ__ಽጊ__(፥__"/>
      <sheetName val="፥__Ⴔ፦__L፥___ጊ__Eጊ__Ꮜጊ__"/>
      <sheetName val="ጲ__Ⴔድ__Lጳ__Iጳ___ጴ__Yጳ__"/>
      <sheetName val="ጳ__Ⴔጳ__Lጴ___ጳ__᪅ጳ__ᕴጴ__"/>
      <sheetName val="_후다_x0001_ _x0010___x0003"/>
      <sheetName val="B9_MEP"/>
      <sheetName val="Tai_khoan2"/>
      <sheetName val="대3류_2"/>
      <sheetName val="BEND_LOSS2"/>
      <sheetName val="01__DATA2"/>
      <sheetName val="ጊ후다내역_XLS]0_0ControlSheet31"/>
      <sheetName val="投标材料清单_1"/>
      <sheetName val="토공_total2"/>
      <sheetName val="TRAY_헹거산출2"/>
      <sheetName val="Dầm_11"/>
      <sheetName val="Unit_Rate(non_print)1"/>
      <sheetName val="Bang_gia_2011_10_121"/>
      <sheetName val="Sàn_tầng_01_(_old_)1"/>
      <sheetName val="5_6_NTKL_ĐHKK_1"/>
      <sheetName val="5_12_NTKL_PCCC1"/>
      <sheetName val="Gia_thanh_chuoi_su1"/>
      <sheetName val="Tiep_dia1"/>
      <sheetName val="Don_gia_vung_III-Can_Tho1"/>
      <sheetName val="TH_MEP1"/>
      <sheetName val="dtct_cong"/>
      <sheetName val="1_Requisition(E)"/>
      <sheetName val="Cọc_nhồi1"/>
      <sheetName val="Bang_TH1"/>
      <sheetName val="5_NKTC1"/>
      <sheetName val="4_BBNT-LĐ1"/>
      <sheetName val="_DATA1"/>
      <sheetName val="0_Bìa1"/>
      <sheetName val="1_Mục_lục1"/>
      <sheetName val="2_Phiếu_kiểm_tra1"/>
      <sheetName val="BM-06a_Mẫu_chứng_chỉ_thanh_toá1"/>
      <sheetName val="3_Bảng_TT_giá_trị_thực_hiện1"/>
      <sheetName val="4_Bảng_TT_KL_thực_hiện1"/>
      <sheetName val="6_KL_DD_chi_tiết1"/>
      <sheetName val="5_công_nhật1"/>
      <sheetName val="ROW_3a-chi_tiết1"/>
      <sheetName val="ROW_5-_chi_tiết1"/>
      <sheetName val="ROW_6-_chi_tiết1"/>
      <sheetName val="KL_khoán_đổ_bê_tông_T71"/>
      <sheetName val="6__Bảng_TT_giá_trị_giảm_trừ_HĐ1"/>
      <sheetName val="6__Hồ_sơ_đính_kèm1"/>
      <sheetName val="Elec_LG1"/>
      <sheetName val="ESTI_"/>
      <sheetName val="D_&amp;_W_sizes1"/>
      <sheetName val="Goc_CC1"/>
      <sheetName val="외주대비_-석축???_x1"/>
      <sheetName val="IMF_Code1"/>
      <sheetName val="C_MECHANICAL1"/>
      <sheetName val="TL_rieng"/>
      <sheetName val="Doi_so"/>
      <sheetName val="3_1"/>
      <sheetName val="3_10"/>
      <sheetName val="3_2"/>
      <sheetName val="3_3"/>
      <sheetName val="3_4"/>
      <sheetName val="3_5"/>
      <sheetName val="3_6"/>
      <sheetName val="3_7"/>
      <sheetName val="3_8"/>
      <sheetName val="3_9"/>
      <sheetName val="Measure_1306"/>
      <sheetName val="DM_ChiPhi"/>
      <sheetName val="Du_thau"/>
      <sheetName val="표지_(3)9"/>
      <sheetName val="표지_(2)9"/>
      <sheetName val="교각집계_(2)9"/>
      <sheetName val="교각토공_(2)9"/>
      <sheetName val="교각철근_(2)9"/>
      <sheetName val="외주대비_-석축9"/>
      <sheetName val="외주대비-구조물_(2)9"/>
      <sheetName val="견적표지_(3)9"/>
      <sheetName val="_HIT-&gt;HMC_견적(3900)9"/>
      <sheetName val="일__위__대__가__목__록9"/>
      <sheetName val="1공구_건정토건_토공10"/>
      <sheetName val="1공구_건정토건_철콘10"/>
      <sheetName val="도급표지_10"/>
      <sheetName val="도급표지__(4)10"/>
      <sheetName val="부대표지_(4)10"/>
      <sheetName val="도급표지__(3)10"/>
      <sheetName val="부대표지_(3)10"/>
      <sheetName val="도급표지__(2)10"/>
      <sheetName val="부대표지_(2)10"/>
      <sheetName val="토__목10"/>
      <sheetName val="조__경10"/>
      <sheetName val="전_기10"/>
      <sheetName val="건__축10"/>
      <sheetName val="보도내역_(3)10"/>
      <sheetName val="준검_내역서10"/>
      <sheetName val="내역(최종본4_5)10"/>
      <sheetName val="1_수인터널10"/>
      <sheetName val="설_계10"/>
      <sheetName val="입출재고현황_(2)9"/>
      <sheetName val="6PILE__(돌출)10"/>
      <sheetName val="2_대외공문10"/>
      <sheetName val="AS포장복구_10"/>
      <sheetName val="6__안전관리비16"/>
      <sheetName val="HRSG_SMALL072209"/>
      <sheetName val="교각토공__2_9"/>
      <sheetName val="3_공통공사대비9"/>
      <sheetName val="97년_추정9"/>
      <sheetName val="8_현장관리비8"/>
      <sheetName val="7_안전관리비8"/>
      <sheetName val="하도내역_(철콘)8"/>
      <sheetName val="조건표_(2)8"/>
      <sheetName val="목차_8"/>
      <sheetName val="7__현장관리비_8"/>
      <sheetName val="노무비_근거8"/>
      <sheetName val="임율_Data8"/>
      <sheetName val="1_설계기준8"/>
      <sheetName val="BSD_(2)9"/>
      <sheetName val="2차전체변경예정_(2)8"/>
      <sheetName val="단면_(2)8"/>
      <sheetName val="1_취수장9"/>
      <sheetName val="8_PILE__(돌출)8"/>
      <sheetName val="토공유동표(전체_당초)8"/>
      <sheetName val="1__설계조건_2_단면가정_3__하중계산9"/>
      <sheetName val="DATA_입력란9"/>
      <sheetName val="구조______7"/>
      <sheetName val="현장관리비_산출내역9"/>
      <sheetName val="b_balju_(2)8"/>
      <sheetName val="노무비_7"/>
      <sheetName val="화재_탐지_설비7"/>
      <sheetName val="Customer_Databas7"/>
      <sheetName val="실행내역서_9"/>
      <sheetName val="4_LINE7"/>
      <sheetName val="7_th7"/>
      <sheetName val="_갑지7"/>
      <sheetName val="0_0ControlSheet10"/>
      <sheetName val="0_1keyAssumption10"/>
      <sheetName val="4_내진설계9"/>
      <sheetName val="Sheet1_(2)9"/>
      <sheetName val="4_경비_5_영업외수지7"/>
      <sheetName val="_견적서7"/>
      <sheetName val="4_일위대가집계7"/>
      <sheetName val="1_설계조건9"/>
      <sheetName val="내역서_제출7"/>
      <sheetName val="A_LINE7"/>
      <sheetName val="장비당단가_(1)8"/>
      <sheetName val="Sheet2_(2)8"/>
      <sheetName val="96보완계획7_129"/>
      <sheetName val="전차선로_물량표9"/>
      <sheetName val="부대입찰_내역서9"/>
      <sheetName val="3BL공동구_수량9"/>
      <sheetName val="제잡비_xls9"/>
      <sheetName val="인건비_9"/>
      <sheetName val="_총괄표9"/>
      <sheetName val="2_고용보험료산출근거9"/>
      <sheetName val="노원열병합__건축공사기성내역서9"/>
      <sheetName val="할증_7"/>
      <sheetName val="5__현장관리비(new)_7"/>
      <sheetName val="방배동내역_(총괄)7"/>
      <sheetName val="간_지17"/>
      <sheetName val="5__현장관리비_new__7"/>
      <sheetName val="Temporary_Mooring7"/>
      <sheetName val="중기조종사_단위단가8"/>
      <sheetName val="7_PILE__(돌출)7"/>
      <sheetName val="설내역서_8"/>
      <sheetName val="총_원가계산7"/>
      <sheetName val="토공(우물통,기타)_9"/>
      <sheetName val="현장별계약현황('98_10_31)9"/>
      <sheetName val="Eq__Mobilization9"/>
      <sheetName val="원가계산_(2)9"/>
      <sheetName val="광통신_견적내역서17"/>
      <sheetName val="unit_47"/>
      <sheetName val="플랜트_설치9"/>
      <sheetName val="콤보박스와_리스트박스의_연결9"/>
      <sheetName val="별표_8"/>
      <sheetName val="수_량_명_세_서_-_18"/>
      <sheetName val="2_건축8"/>
      <sheetName val="공정표_8"/>
      <sheetName val="프라임_강변역(4,236)7"/>
      <sheetName val="내___역7"/>
      <sheetName val="집_계_표7"/>
      <sheetName val="2000년_공정표7"/>
      <sheetName val="5_2코핑7"/>
      <sheetName val="배수공_시멘트_및_골재량_산출7"/>
      <sheetName val="P_M_별7"/>
      <sheetName val="CIP_공사8"/>
      <sheetName val="수량산출서_갑지7"/>
      <sheetName val="DATA_입력부7"/>
      <sheetName val="일위대가_(PM)6"/>
      <sheetName val="2_2_오피스텔(12~32F)7"/>
      <sheetName val="일위대가_집계표7"/>
      <sheetName val="6__안전관리비17"/>
      <sheetName val="자__재7"/>
      <sheetName val="개인별_순위표7"/>
      <sheetName val="CM_17"/>
      <sheetName val="기술부_VENDOR_LIST7"/>
      <sheetName val="단계별내역_(2)7"/>
      <sheetName val="제출내역_(2)7"/>
      <sheetName val="2_2_띠장의_설계7"/>
      <sheetName val="1-1_현장정리6"/>
      <sheetName val="1-2_토공6"/>
      <sheetName val="1-3_WMM,GSB6"/>
      <sheetName val="1-4_BITUMINOUS_COURSE6"/>
      <sheetName val="1-5_BOX_CULVERTS6"/>
      <sheetName val="1-6_BRIDGE6"/>
      <sheetName val="1-7_DRAINAGE6"/>
      <sheetName val="1-8_TRAFFIC6"/>
      <sheetName val="1-9_MISCELLANEOUS6"/>
      <sheetName val="1-10_ELECTRICAL6"/>
      <sheetName val="1-12_도급외항목6"/>
      <sheetName val="9_1지하2층하부보7"/>
      <sheetName val="4_2_1_마루높이_검토6"/>
      <sheetName val="4_일위대가7"/>
      <sheetName val="BOX_본체6"/>
      <sheetName val="TABLE_DB6"/>
      <sheetName val="쌍용_data_base6"/>
      <sheetName val="2_교량(신설)7"/>
      <sheetName val="MP_MOB6"/>
      <sheetName val="전체내역_(2)6"/>
      <sheetName val="Hyundai_Unit_cost_xls6"/>
      <sheetName val="STEEL_BOX_단면설계(SEC_8)6"/>
      <sheetName val="6_이토처리시간6"/>
      <sheetName val="울진항공등화_내역서6"/>
      <sheetName val="영흥TL(UP,DOWN)_6"/>
      <sheetName val="일_위_대_가_표6"/>
      <sheetName val="EQUIP_LIST7"/>
      <sheetName val="명일작업계획_(3)6"/>
      <sheetName val="중기쥰종사_단위단가6"/>
      <sheetName val="세골재__T2_변경_현황6"/>
      <sheetName val="내역서_(3)7"/>
      <sheetName val="산출양식_(2)7"/>
      <sheetName val="전체산출내역서갑(변경)_7"/>
      <sheetName val="A_터파기공7"/>
      <sheetName val="B_측·집7"/>
      <sheetName val="배(자·집)_(2)7"/>
      <sheetName val="2_01측·터·집7"/>
      <sheetName val="땅깍·수_(1-1)7"/>
      <sheetName val="0-52_7"/>
      <sheetName val="콘·다_(2)7"/>
      <sheetName val="기·집_(2)7"/>
      <sheetName val="콘·다_(3)7"/>
      <sheetName val="병원내역집계표_(2)7"/>
      <sheetName val="실행총괄_7"/>
      <sheetName val="[IL-3_XLSY갑지7"/>
      <sheetName val="4_일위대가목차7"/>
      <sheetName val="내역_ver1_07"/>
      <sheetName val="2000,9월_일위7"/>
      <sheetName val="1_노무비명세서(해동)7"/>
      <sheetName val="1_노무비명세서(토목)7"/>
      <sheetName val="2_노무비명세서(해동)7"/>
      <sheetName val="2_노무비명세서(수직보호망)7"/>
      <sheetName val="2_노무비명세서(난간대)7"/>
      <sheetName val="2_사진대지7"/>
      <sheetName val="3_사진대지7"/>
      <sheetName val="단가_6"/>
      <sheetName val="변압기_및_발전기_용량6"/>
      <sheetName val="조도계산서_(도서)6"/>
      <sheetName val="빌딩_안내6"/>
      <sheetName val="CABLE_(2)6"/>
      <sheetName val="G_R300경비6"/>
      <sheetName val="단가대비표_(3)6"/>
      <sheetName val="기성내역서(을)_(2)6"/>
      <sheetName val="1단계_(2)6"/>
      <sheetName val="2_1__노무비_평균단가산출6"/>
      <sheetName val="3_공사비(07년노임단가)6"/>
      <sheetName val="3_공사비(단가조사표)6"/>
      <sheetName val="3_공사비(물량산출표)6"/>
      <sheetName val="3_공사비(일위대가표목록)6"/>
      <sheetName val="3_공사비(일위대가표)6"/>
      <sheetName val="TRE_TABLE6"/>
      <sheetName val="Requirement(Work_Crew)6"/>
      <sheetName val="진입도로B_(2)6"/>
      <sheetName val="수목데이타_6"/>
      <sheetName val="2_냉난방설비공사6"/>
      <sheetName val="7_자동제어공사6"/>
      <sheetName val="중강당_내역6"/>
      <sheetName val="기초자료입력및_K치_확인6"/>
      <sheetName val="실행내역_6"/>
      <sheetName val="자재_단가_비교표(견적)6"/>
      <sheetName val="자재_단가_비교표6"/>
      <sheetName val="Bid_Summary6"/>
      <sheetName val="이동시_예상비용6"/>
      <sheetName val="Seg_1DE비용6"/>
      <sheetName val="Transit_비용_감가상각미포함6"/>
      <sheetName val="내역서_(2)6"/>
      <sheetName val="전화공사_공량_및_집계표6"/>
      <sheetName val="참조_(2)6"/>
      <sheetName val="6__직접경비6"/>
      <sheetName val="대가_(보완)6"/>
      <sheetName val="3_자재비(총괄)6"/>
      <sheetName val="5호광장_(만점)7"/>
      <sheetName val="인천국제_(만점)_(2)7"/>
      <sheetName val="제조_경영6"/>
      <sheetName val="4_전기6"/>
      <sheetName val="노_무_비6"/>
      <sheetName val="미납품_현황6"/>
      <sheetName val="신설개소별_총집계표(동해-배전)6"/>
      <sheetName val="2_1외주6"/>
      <sheetName val="2_3노무6"/>
      <sheetName val="2_4자재6"/>
      <sheetName val="2_2장비6"/>
      <sheetName val="2_5경비6"/>
      <sheetName val="2_6수목대6"/>
      <sheetName val="3련_BOX6"/>
      <sheetName val="전_체6"/>
      <sheetName val="용선_C_L6"/>
      <sheetName val="흙막이B_(오산운암)6"/>
      <sheetName val="타이로드_흙막이6"/>
      <sheetName val="타이로드_흙막이(근입장2_5M)6"/>
      <sheetName val="타이로드(근입장2_5M)6"/>
      <sheetName val="pile_항타6"/>
      <sheetName val="pile_항타(디젤)6"/>
      <sheetName val="pile_항타_A6"/>
      <sheetName val="pile_항타_B6"/>
      <sheetName val="pile_항타_C6"/>
      <sheetName val="pile_인발6"/>
      <sheetName val="pile_인발_A6"/>
      <sheetName val="pile_인발_B6"/>
      <sheetName val="pile_인발_C6"/>
      <sheetName val="20TON_TRAILER6"/>
      <sheetName val="토류판_(2)6"/>
      <sheetName val="SHEET_PILE단가6"/>
      <sheetName val="1_본부별7"/>
      <sheetName val="2000_057"/>
      <sheetName val="원내역서_그대로6"/>
      <sheetName val="1_3_1절점좌표7"/>
      <sheetName val="1_1설계기준7"/>
      <sheetName val="기초입력_DATA7"/>
      <sheetName val="재활용_악취_먼지DUCT산출7"/>
      <sheetName val="남양시작동자105노65기1_3화1_26"/>
      <sheetName val="관음목장(제출용)자105인97_56"/>
      <sheetName val="969910(_R)6"/>
      <sheetName val="1062-X방향_6"/>
      <sheetName val="5_정산서7"/>
      <sheetName val="PROJECT_BRIEF6"/>
      <sheetName val="4_장비손료7"/>
      <sheetName val="108_수선비6"/>
      <sheetName val="단양_00_아파트-세부내역7"/>
      <sheetName val="전선_및_전선관6"/>
      <sheetName val="VENDOR_LIST6"/>
      <sheetName val="PTVT_(MAU)6"/>
      <sheetName val="Xunit_(단위환산)6"/>
      <sheetName val="2F_회의실견적(5_14_일대)6"/>
      <sheetName val="경비_(1)6"/>
      <sheetName val="Sight_n_M_H6"/>
      <sheetName val="매출요약(월별)_-년간6"/>
      <sheetName val="Piping_Design_Data6"/>
      <sheetName val="4_&amp;_10-inch,_CO2_Combo_&amp;_Sweep6"/>
      <sheetName val="①idea_pipeline6"/>
      <sheetName val="IMP_통일양식6"/>
      <sheetName val="LYS_통일양식6"/>
      <sheetName val="유통기한_프로그램6"/>
      <sheetName val="설계기준_및_하중계산6"/>
      <sheetName val="1_䷨수장6"/>
      <sheetName val="4_뀴진설Ⳅ6"/>
      <sheetName val="전䰨선로_물량표6"/>
      <sheetName val="㶀대입찰_내역서6"/>
      <sheetName val="모선자재_집계표5"/>
      <sheetName val="재료의_할증5"/>
      <sheetName val="총괄집계_6"/>
      <sheetName val="kimre_scrubber6"/>
      <sheetName val="strut_type6"/>
      <sheetName val="한성교회_신축공사(050713)_CheckList6"/>
      <sheetName val="FRP_PIPING_일위대가6"/>
      <sheetName val="단가_및_재료비6"/>
      <sheetName val="고객사_관리_코드6"/>
      <sheetName val="내역서_5"/>
      <sheetName val="표__지5"/>
      <sheetName val="D1_2_COF모듈자재_입출재고_(B급)5"/>
      <sheetName val="1차_내역서6"/>
      <sheetName val="Div26_-_Elect5"/>
      <sheetName val="10_경제성분석5"/>
      <sheetName val="샌딩_에폭시_도장4"/>
      <sheetName val="함열량_db5"/>
      <sheetName val="기계_도급내역서5"/>
      <sheetName val="-15_05"/>
      <sheetName val="공내역_및_견적조건5"/>
      <sheetName val="2_15"/>
      <sheetName val="사__업__비__수__지__예__산__서5"/>
      <sheetName val="외주대비_ᨀ晙ԯ4"/>
      <sheetName val="청_구4"/>
      <sheetName val="7_전산해석결과4"/>
      <sheetName val="4_하중4"/>
      <sheetName val="chi_tiet4"/>
      <sheetName val="PPC_Summary4"/>
      <sheetName val="3_단가산출서3"/>
      <sheetName val="4_단가산출기초3"/>
      <sheetName val="cong_thuc_tinh_chi_tiet5"/>
      <sheetName val="Bảng_mã_VT5"/>
      <sheetName val="Khoi_luong5"/>
      <sheetName val="DonGia_chetao5"/>
      <sheetName val="DonGia_VatTuLK5"/>
      <sheetName val="Fr_Revit5"/>
      <sheetName val="NSA_Summary5"/>
      <sheetName val="Tai_khoan3"/>
      <sheetName val="Gia_VLNCMTC3"/>
      <sheetName val="Summary_VO_No_33"/>
      <sheetName val="VO_No_3_13"/>
      <sheetName val="VO_No_3_23"/>
      <sheetName val="VO_No_3_33"/>
      <sheetName val="VO_No_3_43"/>
      <sheetName val="VO_No_3_53"/>
      <sheetName val="VO_No_3_63"/>
      <sheetName val="VO_No_3_73"/>
      <sheetName val="VO_No_3_83"/>
      <sheetName val="기존단가_(2)4"/>
      <sheetName val="_IL-3_XLSY갑지7"/>
      <sheetName val="Thống_kê3"/>
      <sheetName val="Sàn_T13"/>
      <sheetName val="Lỗ_thông_gió3"/>
      <sheetName val="SCOPE_OF_WORK3"/>
      <sheetName val="97_사업추정(WEKI)3"/>
      <sheetName val="Tong_hop3"/>
      <sheetName val="Phan_lap_dat3"/>
      <sheetName val="Lắp_Ráp3"/>
      <sheetName val="KET_CAU-_MJV23"/>
      <sheetName val="Ví_dụ3"/>
      <sheetName val="Phieu_trinh_ky_cấu_tháp3"/>
      <sheetName val="Phieu_trinh_ky_VTP3"/>
      <sheetName val="KS-VL_rời3"/>
      <sheetName val="Tai_san3"/>
      <sheetName val="Check_dong_tien3"/>
      <sheetName val="Chi_phí_SDTS3"/>
      <sheetName val="Check_COST3"/>
      <sheetName val="DATA_HD3"/>
      <sheetName val="Tong_hop_1TM3"/>
      <sheetName val="NS_Lán_trại3"/>
      <sheetName val="Check_cong_no_NC3"/>
      <sheetName val="H__MECHANICAL3"/>
      <sheetName val="J__FIRE_FIGHTING3"/>
      <sheetName val="중기사용료_(2)3"/>
      <sheetName val="99_조정금액3"/>
      <sheetName val="대3류_3"/>
      <sheetName val="BEND_LOSS3"/>
      <sheetName val="신평리_권리자명부3"/>
      <sheetName val="_ｹ-ﾌﾞﾙ3"/>
      <sheetName val="01__DATA3"/>
      <sheetName val="ጊ후다내역_XLS]0_0ControlSheet32"/>
      <sheetName val="投标材料清单_2"/>
      <sheetName val="토공_total3"/>
      <sheetName val="TRAY_헹거산출3"/>
      <sheetName val="Dầm_12"/>
      <sheetName val="Unit_Rate(non_print)2"/>
      <sheetName val="Bang_gia_2011_10_122"/>
      <sheetName val="Sàn_tầng_01_(_old_)2"/>
      <sheetName val="5_6_NTKL_ĐHKK_2"/>
      <sheetName val="5_12_NTKL_PCCC2"/>
      <sheetName val="Gia_thanh_chuoi_su2"/>
      <sheetName val="Tiep_dia2"/>
      <sheetName val="Don_gia_vung_III-Can_Tho2"/>
      <sheetName val="TH_MEP2"/>
      <sheetName val="dtct_cong1"/>
      <sheetName val="1_Requisition(E)1"/>
      <sheetName val="Cọc_nhồi2"/>
      <sheetName val="Bang_TH2"/>
      <sheetName val="5_NKTC2"/>
      <sheetName val="4_BBNT-LĐ2"/>
      <sheetName val="_DATA2"/>
      <sheetName val="0_Bìa2"/>
      <sheetName val="1_Mục_lục2"/>
      <sheetName val="2_Phiếu_kiểm_tra2"/>
      <sheetName val="BM-06a_Mẫu_chứng_chỉ_thanh_toá2"/>
      <sheetName val="3_Bảng_TT_giá_trị_thực_hiện2"/>
      <sheetName val="4_Bảng_TT_KL_thực_hiện2"/>
      <sheetName val="6_KL_DD_chi_tiết2"/>
      <sheetName val="5_công_nhật2"/>
      <sheetName val="ROW_3a-chi_tiết2"/>
      <sheetName val="ROW_5-_chi_tiết2"/>
      <sheetName val="ROW_6-_chi_tiết2"/>
      <sheetName val="KL_khoán_đổ_bê_tông_T72"/>
      <sheetName val="6__Bảng_TT_giá_trị_giảm_trừ_HĐ2"/>
      <sheetName val="6__Hồ_sơ_đính_kèm2"/>
      <sheetName val="Elec_LG2"/>
      <sheetName val="ESTI_1"/>
      <sheetName val="D_&amp;_W_sizes2"/>
      <sheetName val="Goc_CC2"/>
      <sheetName val="외주대비_-석축???_x2"/>
      <sheetName val="IMF_Code2"/>
      <sheetName val="3_관로전환기2"/>
      <sheetName val="외주현황_wq12"/>
      <sheetName val="태화42_2"/>
      <sheetName val="220_(2)2"/>
      <sheetName val="_2"/>
      <sheetName val="F_월별기성수금현황_2"/>
      <sheetName val="C_MECHANICAL2"/>
      <sheetName val="보도내_2"/>
      <sheetName val="TL_rieng1"/>
      <sheetName val="Doi_so1"/>
      <sheetName val="3_11"/>
      <sheetName val="3_101"/>
      <sheetName val="3_21"/>
      <sheetName val="3_31"/>
      <sheetName val="3_41"/>
      <sheetName val="3_51"/>
      <sheetName val="3_61"/>
      <sheetName val="3_71"/>
      <sheetName val="3_81"/>
      <sheetName val="3_91"/>
      <sheetName val="Measure_13061"/>
      <sheetName val="DM_ChiPhi1"/>
      <sheetName val="외주대비_-석축_x005f_x0000__x005f_x0000__x005f_x0000__1"/>
      <sheetName val="Du_thau1"/>
      <sheetName val="적용환율"/>
      <sheetName val="PRECAST lightconc-II"/>
      <sheetName val="CHITIET VL-NC-TT1p"/>
      <sheetName val="BIDDING-SUM"/>
      <sheetName val="THONG KE CAU KIEN"/>
      <sheetName val="Thoat nuoc"/>
      <sheetName val="기계경비산출기준"/>
      <sheetName val="부"/>
      <sheetName val="주차구획"/>
      <sheetName val="Sh_x0010_"/>
      <sheetName val="소야공정"/>
      <sheetName val="점"/>
      <sheetName val="Sheet22"/>
      <sheetName val="ELEC"/>
      <sheetName val="도급표지  㧈_x0014_冈"/>
      <sheetName val="1.수"/>
      <sheetName val="건_ê"/>
      <sheetName val="총공사"/>
      <sheetName val="부대표지츀 "/>
      <sheetName val="대구은행"/>
      <sheetName val="보도내 ??䪾"/>
      <sheetName val="유니트입출고내역"/>
      <sheetName val="본댐설계"/>
      <sheetName val="집 _x0000__x0000_Ā"/>
      <sheetName val="관람석제출"/>
      <sheetName val="[후다내역.XLS]__H4018_c_ESTI96____2"/>
      <sheetName val="[후다내역.XLS]__H4018_c_ESTI96____4"/>
      <sheetName val="[후다내역.XLS]__H4018_c_ESTI96____3"/>
      <sheetName val="[후다내역.XLS]__H4018_c_ESTI96___18"/>
      <sheetName val="[후다내역.XLS]__H4018_c_ESTI96____5"/>
      <sheetName val="[후다내역.XLS]__H4018_c_ESTI96____6"/>
      <sheetName val="[후다내역.XLS]__H4018_c_ESTI96____7"/>
      <sheetName val="[후다내역.XLS]__H4018_c_ESTI96____8"/>
      <sheetName val="[후다내역.XLS]__H4018_c_ESTI96____9"/>
      <sheetName val="[후다내역.XLS]__H4018_c_ESTI96___10"/>
      <sheetName val="[후다내역.XLS]__H4018_c_ESTI96___11"/>
      <sheetName val="[후다내역.XLS]__H4018_c_ESTI96___12"/>
      <sheetName val="[후다내역.XLS]__H4018_c_ESTI96___13"/>
      <sheetName val="[후다내역.XLS]__H4018_c_ESTI96___14"/>
      <sheetName val="[후다내역.XLS]__H4018_c_ESTI96___15"/>
      <sheetName val="[후다내역.XLS]__H4018_c_ESTI96___17"/>
      <sheetName val="[후다내역.XLS]__H4018_c_ESTI96___16"/>
      <sheetName val="1차상"/>
      <sheetName val="원가계산서구조조정"/>
      <sheetName val="2004일위대가"/>
      <sheetName val="Price Sheet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9"/>
      <sheetName val="50"/>
      <sheetName val="Allowances"/>
      <sheetName val="시점부수량산출서"/>
      <sheetName val="보안등"/>
      <sheetName val="OFFER "/>
      <sheetName val="Book 1 Summary"/>
      <sheetName val="Nhan cong"/>
      <sheetName val="Thiet bi"/>
      <sheetName val="Vat tu"/>
      <sheetName val="May TC"/>
      <sheetName val="Bang KL"/>
      <sheetName val="TH Kinh phi"/>
      <sheetName val="cataloge moi"/>
      <sheetName val="tonghop"/>
      <sheetName val="가설재손료"/>
      <sheetName val="Tinhtoan"/>
      <sheetName val="Cong 6T"/>
      <sheetName val="Cost factor"/>
      <sheetName val="Item list"/>
      <sheetName val="Sheet Template Empty"/>
      <sheetName val="Joinery works"/>
      <sheetName val="Schedule S-Curve Revision#3"/>
      <sheetName val="2__주요공지（主要公告）"/>
      <sheetName val="Budget_Code"/>
      <sheetName val="Phu_cap"/>
      <sheetName val="[후다_?_???_?"/>
      <sheetName val="ጳ??Ⴔጳ??Lጴ??_ጵ??_ጶ??ఀጷ??_ጸ?1"/>
      <sheetName val="ጊ??Ⴔጱ??Lጲ??_ድ??nጳ??lጳ??eጴ"/>
      <sheetName val="ጵ??Ⴔጶ??Lጷ??_ጸ??yጿ??uጿ??iጊ?"/>
      <sheetName val="ጿ??Ⴔጿ??Lጊ??ېጱ??_ጲ??೵ድ??Ⴔጳ?"/>
      <sheetName val="ጊ??Ⴔጊ??Lጱ??᳴ጲ??_ድ??ᰕጳ??װጳ"/>
      <sheetName val="ጶ??Ⴔጷ??Lጸ??_ጿ??_ጿ??_ጊ??1"/>
      <sheetName val="ጿ??Ⴔጊ??Lጱ??Șጲ??ᩘድ??_ጳ??_ጳ?"/>
      <sheetName val="ድ??Ⴔጳ??Lጳ??_ጴ??ഀጳ??nጳ??_"/>
      <sheetName val="ጴ??Ⴔጵ??Lጶ??_ጷ??ഀጸ??nጿ??_"/>
      <sheetName val="ጳ??Ⴔጴ??Lጵ??_ጶ??ᔼጷ??1ጸ??2ጿ?"/>
      <sheetName val="ጸ??Ⴔጿ??Lጿ??_ጊ??_ጱ??ݴጲ??"/>
      <sheetName val="ጴ??Ⴔጳ??Lጳ??iጴ??_ጵ??eጶ??e"/>
      <sheetName val="ጵ??Ⴔጶ??Lጷ??ᝥጸ??Uጿ??Oጿ??_"/>
      <sheetName val="ጳ??Ⴔጴ??Lጵ??֑ጶ??_ጷ??-ጸ??׭"/>
      <sheetName val="ጲ??Ⴔድ??Lጳ??_ጳ??᪅ጴ??Șጳ??᧝ጳ"/>
      <sheetName val="ጸ??Ⴔጿ??Lጿ??_ጊ??᪅ጊ??ႜጱ??"/>
      <sheetName val="ጴ??Ⴔጵ??Lጶ??_ጷ??ᅸጸ??Ꮙጿ??°ጿ"/>
      <sheetName val="ጶ??Ⴔጷ??Lጸ??_ጿ??(ጿ??ᅸጊ??)"/>
      <sheetName val="ጳ??Ⴔጴ??Lጴ??_ፊ??(ጵ??ఀፋ??)"/>
      <sheetName val="ጱ??Ⴔጲ??Lድ??ެጳ??_ጳ??(ጴ??"/>
      <sheetName val="ጿ??Ⴔጿ??Lጊ??ᙔጱ??೵ጲ??_ድ??"/>
      <sheetName val="ጱ??Ⴔጲ??Lድ??ಜጳ??(ጳ??_ጴ??"/>
      <sheetName val="ጸ??Ⴔጿ??Lጿ??ݴጊ??෼ጱ??_ጲ??"/>
      <sheetName val="ድ??Ⴔጳ??Lጳ??0ጴ??_ጳ??Iጳ??"/>
      <sheetName val="ጸ??Ⴔጿ??Lጿ??iጊ??_ጱ??uጲ??r"/>
      <sheetName val="_후다_?_x0003"/>
      <sheetName val="NHÀ_NHẬP_LIỆU"/>
      <sheetName val="MÓNG_SILO"/>
      <sheetName val="Basic_Wage"/>
      <sheetName val="Menber_List"/>
      <sheetName val="TỔNG_HỢP"/>
      <sheetName val="PL_Vua"/>
      <sheetName val="_후다_x005f_x0001___x005f_x0010__x005f_x0000__x0003"/>
      <sheetName val="MAIN GATE HOUSE"/>
      <sheetName val="CPK"/>
      <sheetName val="7_공정표"/>
      <sheetName val="ጊ후다내역_XLS_0_0ControlSheet31"/>
      <sheetName val="외주대비_-석축____x1"/>
      <sheetName val="Đầu_tư"/>
      <sheetName val="RAB_AR&amp;STR"/>
      <sheetName val="3__CNT"/>
      <sheetName val="unit_price_list(M)"/>
      <sheetName val="Breakdown_(B)"/>
      <sheetName val="thông_tin"/>
      <sheetName val="Ton_Kho"/>
      <sheetName val="삼홍테크"/>
      <sheetName val="DFA"/>
      <sheetName val="T.KE CP1"/>
      <sheetName val="proj"/>
      <sheetName val="Buy vs. Lease Car"/>
      <sheetName val="Cash2"/>
      <sheetName val="Z"/>
      <sheetName val="Boiler Block"/>
      <sheetName val="NH3 Block"/>
      <sheetName val="Chiller Block"/>
      <sheetName val="C02 Block"/>
      <sheetName val="Air compressor"/>
      <sheetName val="Wokers canteen"/>
      <sheetName val="Wokers Kitchen"/>
      <sheetName val="Wokers Toilet"/>
      <sheetName val="Maintenance"/>
      <sheetName val="Forklift"/>
      <sheetName val="Spare parts"/>
      <sheetName val="Maintenance office"/>
      <sheetName val="Emty RGB Yard"/>
      <sheetName val="External works"/>
      <sheetName val="Pipe bridge"/>
      <sheetName val="Corridor"/>
      <sheetName val="Cool warehouse"/>
      <sheetName val="Frozen warehouse"/>
      <sheetName val="총괄표_1"/>
      <sheetName val="PRECAST_lightconc-II"/>
      <sheetName val="Danh muc"/>
      <sheetName val="SGC RATE"/>
      <sheetName val="TinhGiaNC"/>
      <sheetName val="THKL"/>
      <sheetName val="가설공사비"/>
      <sheetName val="도로구조공사비"/>
      <sheetName val="도로토공공사비"/>
      <sheetName val="여수토공사비"/>
      <sheetName val="운동장_(2)3"/>
      <sheetName val="04_12월건강보험(일용직)3"/>
      <sheetName val="06_일위대가목록3"/>
      <sheetName val="5_2_6~7공사요율3"/>
      <sheetName val="외주대비_-석É3"/>
      <sheetName val="2_원가집계3"/>
      <sheetName val="주공_갑지3"/>
      <sheetName val="1_내역(청_하역장전등)3"/>
      <sheetName val="05_유류비자금청구(완)3"/>
      <sheetName val="토__공3"/>
      <sheetName val="PAD_TR보호대기초3"/>
      <sheetName val="경율산정_XLS3"/>
      <sheetName val="grid_(1)3"/>
      <sheetName val="19_07월_세_계3"/>
      <sheetName val="19_07항목별(시트복사금지100번쓰기)3"/>
      <sheetName val="19_05월3"/>
      <sheetName val="자재기성_신청서_xlsx2"/>
      <sheetName val="4_수량산출서3"/>
      <sheetName val="안양동교_1안3"/>
      <sheetName val="4_예산내역서2"/>
      <sheetName val="A_견적2"/>
      <sheetName val="SP-ኬ"/>
      <sheetName val="1_관로3"/>
      <sheetName val="입찰내역_발주처_양식2"/>
      <sheetName val="const_2"/>
      <sheetName val="보도내역_("/>
      <sheetName val="C_배수관공"/>
      <sheetName val="I_설계조건"/>
      <sheetName val="3_바닥판설계"/>
      <sheetName val="6_RJP이토처리시간"/>
      <sheetName val="7_RJP지층별제원"/>
      <sheetName val="간접비_총괄표"/>
      <sheetName val="드럼사이즈_내역"/>
      <sheetName val="_갑"/>
      <sheetName val="도급표지__(3"/>
      <sheetName val="Shጾ"/>
      <sheetName val="도급표지__(怀꿟"/>
      <sheetName val="1공구_건䘢䠂檱䠛檳"/>
      <sheetName val="4_L速뇥ᝠ"/>
      <sheetName val="소야공정계罈_"/>
      <sheetName val="외주대비_-석축_x2"/>
      <sheetName val="외주대비_-석축_x3"/>
      <sheetName val="외주대비_-석축_x4"/>
      <sheetName val="외주대비_-석축_x5"/>
      <sheetName val="외주대비_-석축_x6"/>
      <sheetName val="외주대비_-석축[후다내역_XLS]_____4"/>
      <sheetName val="앉음벽 (2)"/>
      <sheetName val="차량별점검"/>
      <sheetName val="교대(A1-A2)"/>
      <sheetName val="별표총괄"/>
      <sheetName val="사용성검토"/>
      <sheetName val="물가변동 총괄서"/>
      <sheetName val="수량조서(신)"/>
      <sheetName val="EUL"/>
      <sheetName val="해평견적"/>
      <sheetName val="공종별"/>
      <sheetName val="취수탑"/>
      <sheetName val="부속동"/>
      <sheetName val="도시가스현황"/>
      <sheetName val="7.1유효폭"/>
      <sheetName val="허용전류-IEC"/>
      <sheetName val="허용전류-IEC DATA"/>
      <sheetName val="방배동내역(한영)"/>
      <sheetName val="노무비계"/>
      <sheetName val="36+45-113-18+19+20I"/>
      <sheetName val="본선 토공 분배표"/>
      <sheetName val="출자한도"/>
      <sheetName val="변경내역대비표(2)"/>
      <sheetName val="을 2"/>
      <sheetName val="을 1"/>
      <sheetName val="토공 갑지"/>
      <sheetName val="구조물견적"/>
      <sheetName val="실적"/>
      <sheetName val="입력(K0)"/>
      <sheetName val="물량"/>
      <sheetName val="장비내역서"/>
      <sheetName val="D01"/>
      <sheetName val="D02"/>
      <sheetName val="CIVIL"/>
      <sheetName val="단가조사표"/>
      <sheetName val="붙임5"/>
      <sheetName val="작업방"/>
      <sheetName val="총괄k"/>
      <sheetName val="MAT"/>
      <sheetName val="각사별공사비분개 "/>
      <sheetName val="1,2,3,4,5단위수량"/>
      <sheetName val="별표"/>
      <sheetName val="자재조사표"/>
      <sheetName val="변수데이타"/>
      <sheetName val="터널전기"/>
      <sheetName val="해외법인"/>
      <sheetName val="물가변동_총괄서"/>
      <sheetName val="허용전류-IEC_DATA"/>
      <sheetName val="7_1유효폭"/>
      <sheetName val="본선_토공_분배표"/>
      <sheetName val="설계흐름도"/>
      <sheetName val="발생토"/>
      <sheetName val="정SW_원_"/>
      <sheetName val="안전건강연금"/>
      <sheetName val="건축실적"/>
      <sheetName val="고용퇴직"/>
      <sheetName val="기계실적"/>
      <sheetName val="물가기준년"/>
      <sheetName val="노임산재"/>
      <sheetName val="장비기준"/>
      <sheetName val="조경수목"/>
      <sheetName val="토목실적"/>
      <sheetName val="계수시트"/>
      <sheetName val="일년TOTAL"/>
      <sheetName val="유기공정"/>
      <sheetName val="공내역서"/>
      <sheetName val="적용률"/>
      <sheetName val="자바라1"/>
      <sheetName val="해외 연수비용 계산-삭제"/>
      <sheetName val="해외 기술훈련비 (합계)"/>
      <sheetName val="D-3109"/>
      <sheetName val="Pier 3"/>
      <sheetName val="기성집계"/>
      <sheetName val="와동25-3(변경)"/>
      <sheetName val="관로토공"/>
      <sheetName val="기초"/>
      <sheetName val="공종별수량집계"/>
      <sheetName val="2006납품"/>
      <sheetName val="신천교(음성)"/>
      <sheetName val="암거날개벽"/>
      <sheetName val="S1"/>
      <sheetName val="옹벽(수량)"/>
      <sheetName val="Tender"/>
      <sheetName val="BOX(1.5X1.5)"/>
      <sheetName val="결재갑지"/>
      <sheetName val="외자배분"/>
      <sheetName val="외자내역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시설일위"/>
      <sheetName val="소요자재"/>
      <sheetName val="노무산출서"/>
      <sheetName val="맨홀토공산출"/>
      <sheetName val="7-3단면_상시"/>
      <sheetName val="12호기내역서(건축분)"/>
      <sheetName val="TYPE A"/>
      <sheetName val="옹벽수량집계"/>
      <sheetName val="1SPAN"/>
      <sheetName val="국공유지및사유지"/>
      <sheetName val="K55수출"/>
      <sheetName val="변경원가서갑"/>
      <sheetName val="기경집계"/>
      <sheetName val="물가변동_총괄서1"/>
      <sheetName val="허용전류-IEC_DATA1"/>
      <sheetName val="7_1유효폭1"/>
      <sheetName val="본선_토공_분배표1"/>
      <sheetName val="을_2"/>
      <sheetName val="을_1"/>
      <sheetName val="토공_갑지"/>
      <sheetName val="Pier_3"/>
      <sheetName val="각사별공사비분개_"/>
      <sheetName val="해외_연수비용_계산-삭제"/>
      <sheetName val="해외_기술훈련비_(합계)"/>
      <sheetName val="구성비"/>
      <sheetName val="포장물량집계"/>
      <sheetName val="WEON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매립"/>
      <sheetName val="1안98Billing"/>
      <sheetName val="장비투입 (2)"/>
      <sheetName val="시설물일위"/>
      <sheetName val="1ST"/>
      <sheetName val="96까지"/>
      <sheetName val="97년"/>
      <sheetName val="98이후"/>
      <sheetName val="#10거푸집유로폼(0~7m)"/>
      <sheetName val="상부하중"/>
      <sheetName val="풍하중1"/>
      <sheetName val="L형옹벽단위수량(35)"/>
      <sheetName val="L형옹벽단위수량(25)"/>
      <sheetName val="영업2"/>
      <sheetName val="C &amp; G RHS"/>
      <sheetName val="건축공사요약표"/>
      <sheetName val="집계내역서(가압장)"/>
      <sheetName val="흐름도"/>
      <sheetName val="5.3 단면가정"/>
      <sheetName val="원가1(기계)"/>
      <sheetName val="단기차입금"/>
      <sheetName val="유용원석량소요시기검토안"/>
      <sheetName val="공사수행방안"/>
      <sheetName val="토공사(단지)"/>
      <sheetName val="EKOG10건축"/>
      <sheetName val="시추주상도"/>
      <sheetName val="지질조사분석"/>
      <sheetName val="ITB COST"/>
      <sheetName val="공내역"/>
      <sheetName val="제품"/>
      <sheetName val="CLAUSE"/>
      <sheetName val="CATCH BASIN"/>
      <sheetName val="SLAB&quot;1&quot;"/>
      <sheetName val="단가산출2"/>
      <sheetName val="기지국"/>
      <sheetName val="jobhist"/>
      <sheetName val="신림자금"/>
      <sheetName val="수질정화시설"/>
      <sheetName val="실시공"/>
      <sheetName val="Man Hole"/>
      <sheetName val="°©Áö"/>
      <sheetName val="선로정수계산"/>
      <sheetName val="CON포장수량"/>
      <sheetName val="ACUNIT"/>
      <sheetName val="CONUNIT"/>
      <sheetName val="L_type"/>
      <sheetName val="40단가산출서"/>
      <sheetName val="40집계"/>
      <sheetName val="증가분"/>
      <sheetName val="증가수정"/>
      <sheetName val="문의사항"/>
      <sheetName val="수수료율표"/>
      <sheetName val="토공산출(주차장)"/>
      <sheetName val="STRA2"/>
      <sheetName val="관로토공집계표"/>
      <sheetName val="WEIGHT LIST"/>
      <sheetName val="POL6차-PIPING"/>
      <sheetName val="산#2-1 (2)"/>
      <sheetName val="산#3-1"/>
      <sheetName val="설산1.나"/>
      <sheetName val="본사S"/>
      <sheetName val="교대시점"/>
      <sheetName val="1.토공"/>
      <sheetName val="부대공사"/>
      <sheetName val="구역화물"/>
      <sheetName val="차도조도계산"/>
      <sheetName val="공통비(전체)"/>
      <sheetName val="2연BOX"/>
      <sheetName val="DC-2303"/>
      <sheetName val="결재판(삭제하지말아주세요)"/>
      <sheetName val="Process Piping"/>
      <sheetName val="산출2-기기동력"/>
      <sheetName val="관급자재집계표"/>
      <sheetName val="배수유공블럭"/>
      <sheetName val="40총괄"/>
      <sheetName val="SCHEDULE"/>
      <sheetName val="C-직노1"/>
      <sheetName val="data2"/>
      <sheetName val="S003031"/>
      <sheetName val="기성내역서"/>
      <sheetName val="하수BOX이설"/>
      <sheetName val="할증"/>
      <sheetName val="방조제+선착장+배수갑문+부대공+1-2방조제"/>
      <sheetName val="계산근거"/>
      <sheetName val="plan&amp;section of foundation"/>
      <sheetName val="design criteria"/>
      <sheetName val="산출3-유도등"/>
      <sheetName val="산출2-동력"/>
      <sheetName val="산출2-피뢰침"/>
      <sheetName val="덤프"/>
      <sheetName val="견적990322"/>
      <sheetName val="원형맨홀수량"/>
      <sheetName val="woo(mac)"/>
      <sheetName val="archi(본사)"/>
      <sheetName val="교통신호등"/>
      <sheetName val="CAL"/>
      <sheetName val="성곽내역서"/>
      <sheetName val="수량산출서-2"/>
      <sheetName val="Koreasea"/>
      <sheetName val="중동공구"/>
      <sheetName val="예가대비"/>
      <sheetName val="집1"/>
      <sheetName val="철근총괄집계표"/>
      <sheetName val="개화1교"/>
      <sheetName val="3차설계"/>
      <sheetName val="106C0300"/>
      <sheetName val="산출내역(K2)"/>
      <sheetName val="투찰"/>
      <sheetName val="전체제잡비"/>
      <sheetName val="공종별집계표"/>
      <sheetName val="자재 집계표"/>
      <sheetName val="Raw Data"/>
      <sheetName val="S9"/>
      <sheetName val="S14"/>
      <sheetName val="물가변동_총괄서2"/>
      <sheetName val="허용전류-IEC_DATA2"/>
      <sheetName val="본선_토공_분배표2"/>
      <sheetName val="7_1유효폭2"/>
      <sheetName val="토공_갑지1"/>
      <sheetName val="각사별공사비분개_1"/>
      <sheetName val="을_21"/>
      <sheetName val="을_11"/>
      <sheetName val="Pier_31"/>
      <sheetName val="해외_연수비용_계산-삭제1"/>
      <sheetName val="해외_기술훈련비_(합계)1"/>
      <sheetName val="TYPE_A"/>
      <sheetName val="BOX(1_5X1_5)"/>
      <sheetName val="장비투입_(2)"/>
      <sheetName val="C_&amp;_G_RHS"/>
      <sheetName val="5_3_단면가정"/>
      <sheetName val="ITB_COST"/>
      <sheetName val="CATCH_BASIN"/>
      <sheetName val="Man_Hole"/>
      <sheetName val="Process_Piping"/>
      <sheetName val="도장수량(하1)"/>
      <sheetName val="PILE"/>
      <sheetName val="배관내역"/>
      <sheetName val="산출서양식01"/>
      <sheetName val="내역서(기성청구)"/>
      <sheetName val="960318-1"/>
      <sheetName val="PHC파일 천공 및 항타"/>
      <sheetName val="COA-17"/>
      <sheetName val="C-18"/>
      <sheetName val="FLA"/>
      <sheetName val="교각怀"/>
      <sheetName val="연령현황"/>
      <sheetName val="금회_청구사항(기계)1"/>
      <sheetName val="기성갑지_(소방)1"/>
      <sheetName val="금회_청구사항(소방)1"/>
      <sheetName val="D_B1"/>
      <sheetName val="1_청구서1"/>
      <sheetName val="2_내역서1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동강_배관1"/>
      <sheetName val="WCR_외주1"/>
      <sheetName val="ANILINE_-_OPTION1"/>
      <sheetName val="MDI_-_OPTION1"/>
      <sheetName val="계약대비내역서_(부경)1"/>
      <sheetName val="집행대비내역서_(부경)1"/>
      <sheetName val="계약그라우팅_포장1"/>
      <sheetName val="계약사무실조경_1"/>
      <sheetName val="횡배수관_토공량_산출1"/>
      <sheetName val="내역서1999_8최종2"/>
      <sheetName val="3_전기산출기초2"/>
      <sheetName val="금회_청구사항(기계)2"/>
      <sheetName val="기성갑지_(소방)2"/>
      <sheetName val="금회_청구사항(소방)2"/>
      <sheetName val="D_B2"/>
      <sheetName val="1_청구서2"/>
      <sheetName val="2_내역서2"/>
      <sheetName val="1_12"/>
      <sheetName val="K2_site_Total_내역서2"/>
      <sheetName val="일위대가56-1_2"/>
      <sheetName val="일위대가71-1_2"/>
      <sheetName val="일위대가74-1_2"/>
      <sheetName val="일위대가76-1_2"/>
      <sheetName val="일위대가77-1_2"/>
      <sheetName val="일위대가78-1_2"/>
      <sheetName val="동강_배관2"/>
      <sheetName val="WCR_외주2"/>
      <sheetName val="ANILINE_-_OPTION2"/>
      <sheetName val="MDI_-_OPTION2"/>
      <sheetName val="총괄표_2"/>
      <sheetName val="계약대비내역서_(부경)2"/>
      <sheetName val="집행대비내역서_(부경)2"/>
      <sheetName val="계약그라우팅_포장2"/>
      <sheetName val="계약사무실조경_2"/>
      <sheetName val="횡배수관_토공량_산출2"/>
      <sheetName val="도시정비_1"/>
      <sheetName val="3_1_6_전산처리결과1"/>
      <sheetName val="1공구_건정토건_토_x0000__x0000_"/>
      <sheetName val="실唉역서"/>
      <sheetName val="㶀하ረ성남)"/>
      <sheetName val="㶀대표지_(鰲)"/>
      <sheetName val="⳵사塄총ⴄ표"/>
      <sheetName val="배ⴀ단가조사䄜"/>
      <sheetName val="공䠅별산출뀴䃭서"/>
      <sheetName val="옹벽ꏨ면치수"/>
      <sheetName val="맨홀메우기"/>
      <sheetName val="1_설계기준倱"/>
      <sheetName val="[회다내역,X켊楳켎攳嶪剃嶮布쵌섌)"/>
      <sheetName val="코드일람표"/>
      <sheetName val="외Å_x0000_怀"/>
      <sheetName val="피벗테이블데이터분석"/>
      <sheetName val="착공-공문"/>
      <sheetName val="착공계"/>
      <sheetName val="예정공정표"/>
      <sheetName val="현장대리인계"/>
      <sheetName val="수첩사본"/>
      <sheetName val="재직증명서"/>
      <sheetName val="위임장"/>
      <sheetName val="계약내역서"/>
      <sheetName val="계약내역서-1"/>
      <sheetName val="인원장비투입"/>
      <sheetName val="안전관리계획서"/>
      <sheetName val="산업안전보건관리비사용계획서"/>
      <sheetName val="환경관리계획서"/>
      <sheetName val="환경보전비사용계획서"/>
      <sheetName val="품질관리"/>
      <sheetName val="착공전사진표지"/>
      <sheetName val="사진대지"/>
      <sheetName val="건_裪选"/>
      <sheetName val="건_䃪氼᠝"/>
      <sheetName val="표지 (3_x0005_"/>
      <sheetName val="_x0000__x0008__x0000__x0005__x0000_"/>
      <sheetName val="_x0000__x0004__x0000__x0004__x0000_"/>
      <sheetName val="_x0000__x0003__x0000__x0004__x0000__x0000__x0000__x0000_"/>
      <sheetName val="원가 (2)"/>
      <sheetName val="일위대가 "/>
      <sheetName val="1공구 건정토건 철¬"/>
      <sheetName val="비주거용"/>
      <sheetName val="PHU LUC2"/>
      <sheetName val="G"/>
      <sheetName val="1.R18 BF"/>
      <sheetName val="F-B"/>
      <sheetName val="sh1"/>
      <sheetName val="공업용수_x0000__x0000_"/>
      <sheetName val="[후다내역.XLS]__H4018_c_ESTI96___57"/>
      <sheetName val="[후다내역.XLS]__H4018_c_ESTI96___19"/>
      <sheetName val="[후다내역.XLS]__H4018_c_ESTI96___20"/>
      <sheetName val="[후다내역.XLS]__H4018_c_ESTI96___21"/>
      <sheetName val="[후다내역.XLS]__H4018_c_ESTI96___22"/>
      <sheetName val="[후다내역.XLS]__H4018_c_ESTI96___23"/>
      <sheetName val="[후다내역.XLS]__H4018_c_ESTI96___24"/>
      <sheetName val="[후다내역.XLS]__H4018_c_ESTI96___25"/>
      <sheetName val="[후다내역.XLS]__H4018_c_ESTI96___26"/>
      <sheetName val="[후다내역.XLS]__H4018_c_ESTI96___27"/>
      <sheetName val="[후다내역.XLS]__H4018_c_ESTI96___28"/>
      <sheetName val="[후다내역.XLS]__H4018_c_ESTI96___29"/>
      <sheetName val="[후다내역.XLS]__H4018_c_ESTI96___30"/>
      <sheetName val="[후다내역.XLS]__H4018_c_ESTI96___31"/>
      <sheetName val="[후다내역.XLS]__H4018_c_ESTI96___32"/>
      <sheetName val="[후다내역.XLS]__H4018_c_ESTI96___33"/>
      <sheetName val="[후다내역.XLS]__H4018_c_ESTI96___34"/>
      <sheetName val="[후다내역.XLS]__H4018_c_ESTI96___35"/>
      <sheetName val="[후다내역.XLS]__H4018_c_ESTI96___36"/>
      <sheetName val="[후다내역.XLS]__H4018_c_ESTI96___37"/>
      <sheetName val="[후다내역.XLS]__H4018_c_ESTI96___38"/>
      <sheetName val="[후다내역.XLS]__H4018_c_ESTI96___39"/>
      <sheetName val="[후다내역.XLS]__H4018_c_ESTI96___40"/>
      <sheetName val="[후다내역.XLS]__H4018_c_ESTI96___41"/>
      <sheetName val="[후다내역.XLS]__H4018_c_ESTI96___42"/>
      <sheetName val="[후다내역.XLS]__H4018_c_ESTI96___43"/>
      <sheetName val="[후다내역.XLS]__H4018_c_ESTI96___44"/>
      <sheetName val="[후다내역.XLS]__H4018_c_ESTI96___45"/>
      <sheetName val="[후다내역.XLS]__H4018_c_ESTI96___46"/>
      <sheetName val="[후다내역.XLS]__H4018_c_ESTI96___47"/>
      <sheetName val="[후다내역.XLS]__H4018_c_ESTI96___48"/>
      <sheetName val="[후다내역.XLS]__H4018_c_ESTI96___49"/>
      <sheetName val="[후다내역.XLS]__H4018_c_ESTI96___50"/>
      <sheetName val="[후다내역.XLS]__H4018_c_ESTI96___51"/>
      <sheetName val="[후다내역.XLS]__H4018_c_ESTI96___52"/>
      <sheetName val="[후다내역.XLS]__H4018_c_ESTI96___53"/>
      <sheetName val="[후다내역.XLS]__H4018_c_ESTI96___54"/>
      <sheetName val="[후다내역.XLS]__H4018_c_ESTI96___55"/>
      <sheetName val="[후다내역.XLS]__H4018_c_ESTI96___56"/>
      <sheetName val="경비TABLE"/>
      <sheetName val="손익차9월2"/>
      <sheetName val="전㾼ǚ뛠"/>
      <sheetName val="총투입계"/>
      <sheetName val="사업수지"/>
      <sheetName val="규격별"/>
      <sheetName val="청구갑지"/>
      <sheetName val="도면"/>
      <sheetName val="M3A"/>
      <sheetName val="W3A"/>
      <sheetName val="M3B"/>
      <sheetName val="T4A"/>
      <sheetName val="T4B"/>
      <sheetName val="M3C"/>
      <sheetName val="T4C2"/>
      <sheetName val="T4D"/>
      <sheetName val="T4E"/>
      <sheetName val="MICE동"/>
      <sheetName val="지하층"/>
      <sheetName val="지하층(카페)"/>
      <sheetName val="품郀傲"/>
      <sheetName val="재"/>
      <sheetName val="흥양2교토공집_x0000__x0000_"/>
      <sheetName val="[후다내역.XLS]__H4018_c_ESTI96__106"/>
      <sheetName val="소방내역서"/>
      <sheetName val="건내역(중)"/>
      <sheetName val="지시서"/>
      <sheetName val="Sh´"/>
      <sheetName val="CAUDIT"/>
      <sheetName val="일위(이설)"/>
      <sheetName val="갑지_1회"/>
      <sheetName val="18_07"/>
      <sheetName val="갑지_2회"/>
      <sheetName val="18_08"/>
      <sheetName val="갑지_3회"/>
      <sheetName val="18_09"/>
      <sheetName val="갑지_4회"/>
      <sheetName val="18_10"/>
      <sheetName val="갑지_5회"/>
      <sheetName val="18_11"/>
      <sheetName val="갑지_6회"/>
      <sheetName val="18_12"/>
      <sheetName val="갑지_7회"/>
      <sheetName val="19_01"/>
      <sheetName val="갑지_8회"/>
      <sheetName val="19_02"/>
      <sheetName val="갑지_9회"/>
      <sheetName val="표지_9회"/>
      <sheetName val="19_03"/>
      <sheetName val="갑지_10회"/>
      <sheetName val="표지_10회"/>
      <sheetName val="19_04"/>
      <sheetName val="갑지_11회"/>
      <sheetName val="표지_11회"/>
      <sheetName val="19_05"/>
      <sheetName val="갑지_12회"/>
      <sheetName val="표지_12회"/>
      <sheetName val="19_06"/>
      <sheetName val="갑지_13회"/>
      <sheetName val="표지_13회"/>
      <sheetName val="19_07"/>
      <sheetName val="갑지_14회"/>
      <sheetName val="표지_14회"/>
      <sheetName val="19_08"/>
      <sheetName val="FD"/>
      <sheetName val="GI"/>
      <sheetName val="EE (3)"/>
      <sheetName val="PAVEMENT"/>
      <sheetName val="TRAFFIC"/>
      <sheetName val="DG3285"/>
      <sheetName val="임율요율"/>
      <sheetName val="[후다내역.XLS]__H4018_c_ESTI96___58"/>
      <sheetName val="[후다내역.XLS]__H4018_c_ESTI96___59"/>
      <sheetName val="[후다내역.XLS]__H4018_c_ESTI96___60"/>
      <sheetName val="T6-6(2)"/>
      <sheetName val="설계설명서"/>
      <sheetName val="제거(위험목굴)"/>
      <sheetName val="작업로개설산정표"/>
      <sheetName val="예방나무주사"/>
      <sheetName val="나무주사 ha당 단가"/>
      <sheetName val="소군락모두베기 등 면적조서"/>
      <sheetName val="조사야장"/>
      <sheetName val="적용요율"/>
      <sheetName val="원가계산서(자원)"/>
      <sheetName val="원가계산서(보호)"/>
      <sheetName val="관급자재내역서"/>
      <sheetName val="교각토공_(_x0000__x0000_Ā"/>
      <sheetName val="[후다내역.XLS]__H4018_c_ESTI96___66"/>
      <sheetName val="[후다내역.XLS]__H4018_c_ESTI96___61"/>
      <sheetName val="[후다내역.XLS]__H4018_c_ESTI96___63"/>
      <sheetName val="[후다내역.XLS]__H4018_c_ESTI96___62"/>
      <sheetName val="[후다내역.XLS]__H4018_c_ESTI96___64"/>
      <sheetName val="도급표지É윀_xdc8d__x0002__x0000_"/>
      <sheetName val="[후다내역.XLS]__H4018_c_ESTI96_강__2"/>
      <sheetName val="시멘혷_xdf67__x0000__x0000_"/>
      <sheetName val="시멘혾_xdf67__x0000__x0000_"/>
      <sheetName val="표지 ¬_x0000__x0000_"/>
      <sheetName val="변경요청내역"/>
      <sheetName val="자재단가표"/>
      <sheetName val="gyun"/>
      <sheetName val="4ⶌ쌈"/>
      <sheetName val="4_x0000__x0000_Ԁ"/>
      <sheetName val="1차3회-개소별명세서-빨간색-인쇄용(2187_x0000__x0000_"/>
      <sheetName val="전_x0000_"/>
      <sheetName val="2.입력sheet"/>
      <sheetName val="측구_x0000_"/>
      <sheetName val="교각¾_x0000_"/>
      <sheetName val="갑漅⿊"/>
      <sheetName val="18.궤도재료"/>
      <sheetName val="내역 "/>
      <sheetName val="급수공사"/>
      <sheetName val="내역서변⢳쨁"/>
      <sheetName val="내역서변⢳쉨쨁"/>
      <sheetName val="내역서변⢳쨁"/>
      <sheetName val="내역서변ꙭ _x0000_"/>
      <sheetName val="[후다내역.XLS]__H1775_c_ESTI96____2"/>
      <sheetName val="장비명"/>
      <sheetName val="신축이음"/>
      <sheetName val="업무량"/>
      <sheetName val="PMT"/>
      <sheetName val="기본데이타입력"/>
      <sheetName val="변경갑지"/>
      <sheetName val="증감(갑지)"/>
      <sheetName val="3BL공동구__x0000__x0000_"/>
      <sheetName val="견적(._x0000__x0000_"/>
      <sheetName val="홈용접표"/>
      <sheetName val="2_대외ɡ_x0000_က"/>
      <sheetName val="2_대외ⱔⰀ"/>
      <sheetName val="수⋜Ɇ녈"/>
      <sheetName val="가시설흙막이"/>
      <sheetName val="수정시산표"/>
      <sheetName val="1차3회-개_x001a__x0003__x0004__x0005__x0005__x0004__x0006__x0002__x0002__x0004__x0003__x0009__x0007__x0005__x000b__x0003__x0006__x0008__x0006__x0005_"/>
      <sheetName val="1차3회-개_x001a__x0003__x0004__x0005__x0005__x0004__x0006__x0002__x0002__x0004__x0003_ _x0007__x0005__x000b__x0003__x0006__x0008__x0006__x0005_"/>
      <sheetName val="1차설계변경瀀_xdf8f_"/>
      <sheetName val="1차설계변경_x0000_瞒"/>
      <sheetName val="1차설계변경瞏"/>
      <sheetName val="1차설계변경 颔"/>
      <sheetName val="1차설계변경飤"/>
      <sheetName val="1차설계변경쏈"/>
      <sheetName val="1차설계변경჈_x0000_"/>
      <sheetName val="1차설계변경퀀얎"/>
      <sheetName val="1차설계변경쀀얌"/>
      <sheetName val="2.교_x0000__x0000__xdd08_̚벝"/>
      <sheetName val="인원계획-미화"/>
      <sheetName val="제작계획"/>
      <sheetName val="토목내역서 (도급단가) (2)"/>
      <sheetName val="A1내역_총괄표"/>
      <sheetName val="1공구_건정토건_철槜〩"/>
      <sheetName val="단가산출서(토공사)"/>
      <sheetName val="외Å_x0000_"/>
      <sheetName val="외Å_x0000_退"/>
      <sheetName val="1공구_건정토건_철㑸4"/>
      <sheetName val="정보매체A동"/>
      <sheetName val="1공구_건정토건_철_x0000__x0000_"/>
      <sheetName val="부대표지__x0000__x0000__x0000__x0001_"/>
      <sheetName val="부대표지__x0000__x0000__x0000__x000"/>
      <sheetName val="부대표지__x0000__x0000__x0000__x0002"/>
      <sheetName val="부대표지__x0000__x0000__x0000__x0003"/>
      <sheetName val="부대표지__x0000__x0000__x0000__x0004"/>
      <sheetName val="부대표지__x0000__x0000__x0000__x0005"/>
      <sheetName val="부대표지__x0000__x0000__x0000__x0006"/>
      <sheetName val="조명율ၒ"/>
      <sheetName val="Assumptions"/>
      <sheetName val="부대공(집계)"/>
      <sheetName val="NOM³_x005f_x0000_Ԁ"/>
      <sheetName val="NOMֳ_x005f_x0000_缀"/>
      <sheetName val="배수喘_x005f_x001a_"/>
      <sheetName val="인부신상_x005f_x0000__x005f_x0000_"/>
      <sheetName val="견적颙⿬_x005f_x0005_"/>
      <sheetName val="견적颙⿶_x005f_x0005_"/>
      <sheetName val="견적_x005f_x0005__x005f_x0000_"/>
      <sheetName val="견적颙』_x005f_x0005_"/>
      <sheetName val="흄관기_x005f_x0000_"/>
      <sheetName val="_____x005f_x0000__x005f_x0000__x005f_x0005__x00_2"/>
      <sheetName val="외주대비x_x005f_x0000_Ԁ_x005f_x0000_"/>
      <sheetName val="구조ఀ덀_x005f_x0000_"/>
      <sheetName val="인부신상ĺ"/>
      <sheetName val="_x0015__x0000_"/>
      <sheetName val="CTEၒ_x0000__x0000__x0000__x0000_"/>
      <sheetName val="1.외주공사"/>
      <sheetName val="2.직영공사"/>
      <sheetName val="점_x0000__x0000_촀"/>
      <sheetName val="[후다내역.XLS]__H4018_c_ESTI96___65"/>
      <sheetName val="도급표지__(ꀀ႑"/>
      <sheetName val="1_수"/>
      <sheetName val="부대내"/>
      <sheetName val="공사비_내역_(가)"/>
      <sheetName val="견적刀"/>
      <sheetName val="외주대비_-ʶ"/>
      <sheetName val="지점비용"/>
      <sheetName val="[후다내역.XLS]__H4018_c_ESTI96___68"/>
      <sheetName val="[후다내역.XLS]__H4018_c_ESTI96___67"/>
      <sheetName val="[후다내역.XLS]__H4018_c_ESTI96__105"/>
      <sheetName val="[후다내역.XLS]__H4018_c_ESTI96__101"/>
      <sheetName val="실행_x0002__x0000_먐"/>
      <sheetName val="실행_x0002__x0000_笀"/>
      <sheetName val="실행_x0002__x0000_廸"/>
      <sheetName val="실행ʜᔖ"/>
      <sheetName val="일위대가_집"/>
      <sheetName val="BREAKDOW頀ᵛ瀞囏攀"/>
      <sheetName val="도급표지É_x005f_x0000__x005f_x0000__x005f_x0001_Ԁ"/>
      <sheetName val="SP-¬_x005f_x0000_"/>
      <sheetName val="단가多〒_x005f_x0005_"/>
      <sheetName val="흥양2교토_x005f_x0000_h曘ʹ"/>
      <sheetName val="__2___x005f_x0000__x005f_x0000__x005f_x0005__x0_2"/>
      <sheetName val="GRD_x005f_x0000__x005f_x0000_"/>
      <sheetName val="Sikje_in_x005f_x0005_"/>
      <sheetName val="입찰품_x005f_x0005__x005f_x0000_"/>
      <sheetName val="____x005f_x0001___x005f_x0010__x005f_x0000__x00_2"/>
      <sheetName val="[후다_x005f_x0001_ _x005f_x0010_"/>
      <sheetName val="_________x005f_x005f_x005f_x0000__x005f_x005f_x_2"/>
      <sheetName val="eq_da_x005f_x0000__x005f_x0000_"/>
      <sheetName val=" 갑_x005f_x001f_"/>
      <sheetName val="단가_x005f_x0000__x005f_x0000__x005f_x0005_"/>
      <sheetName val="자동제_x005f_x0000_"/>
      <sheetName val="품À_x005f_x0000_"/>
      <sheetName val="SP-ኬ_x005f_x0002_"/>
      <sheetName val="______________x005f_x0012_______XLS_2"/>
      <sheetName val="견적_x005f_x0005_"/>
      <sheetName val="흥양2교토_x005f_x0000__x005f_x0000_Ā_x005f_x0000_"/>
      <sheetName val="__x005f_x0000__x005f_x0000____x005f_x0000__x000_2"/>
      <sheetName val="__x005f_x0000__x005f_x0000____x005f_x0000__x000_3"/>
      <sheetName val="__x005f_x0000__x005f_x0000____x005f_x0000__x000_4"/>
      <sheetName val="__x005f_x0000__x005f_x0000____x005f_x0000__x000_5"/>
      <sheetName val="__x005f_x0000__x005f_x0000____x005f_x0000__x000_6"/>
      <sheetName val="__x005f_x0000__x005f_x0000____x005f_x0000__x000_7"/>
      <sheetName val="__x005f_x0000__x005f_x0000____x005f_x0000__x000_8"/>
      <sheetName val="__x005f_x0000__x005f_x0000____x005f_x0000__x000_9"/>
      <sheetName val="__x005f_x0000__x005f_x0000____x005f_x0000__x00_10"/>
      <sheetName val="__x005f_x0000__x005f_x0000____x005f_x0000__x00_11"/>
      <sheetName val="__x005f_x0000__x005f_x0000____x005f_x0000__x00_12"/>
      <sheetName val="__x005f_x0000__x005f_x0000____x005f_x0000__x00_13"/>
      <sheetName val="__x005f_x0000__x005f_x0000____x005f_x0000__x00_14"/>
      <sheetName val="__x005f_x0000__x005f_x0000____x005f_x0000__x00_15"/>
      <sheetName val="__x005f_x0000__x005f_x0000____x005f_x0000__x00_16"/>
      <sheetName val="__x005f_x0000__x005f_x0000____x005f_x0000__x00_17"/>
      <sheetName val="__x005f_x0000__x005f_x0000____x005f_x0000__x00_18"/>
      <sheetName val="__x005f_x0000__x005f_x0000____x005f_x0000__x00_19"/>
      <sheetName val="__x005f_x0000__x005f_x0000____x005f_x0000__x00_20"/>
      <sheetName val="__x005f_x0000__x005f_x0000____x005f_x0000__x00_21"/>
      <sheetName val="__x005f_x0000__x005f_x0000____x005f_x0000__x00_22"/>
      <sheetName val="__x005f_x0000__x005f_x0000____x005f_x0000__x00_23"/>
      <sheetName val="__x005f_x0000__x005f_x0000____x005f_x0000__x00_24"/>
      <sheetName val="__x005f_x0000__x005f_x0000____x005f_x0000__x00_25"/>
      <sheetName val="__x005f_x0000__x005f_x0000____x005f_x0000__x00_26"/>
      <sheetName val="__x005f_x0000__x005f_x0000____x005f_x0000__x00_27"/>
      <sheetName val="__x005f_x0000__x005f_x0000____x005f_x0000__x00_28"/>
      <sheetName val="__x005f_x0000__x005f_x0000____x005f_x0000__x00_29"/>
      <sheetName val="__x005f_x0000__x005f_x0000____x005f_x0000__x00_30"/>
      <sheetName val="__x005f_x0000__x005f_x0000____x005f_x0000__x00_31"/>
      <sheetName val="__x005f_x0000__x005f_x0000____x005f_x0000__x00_32"/>
      <sheetName val="__x005f_x0000__x005f_x0000____x005f_x0000__x00_33"/>
      <sheetName val="__x005f_x0000__x005f_x0000____x005f_x0000__x00_34"/>
      <sheetName val="__x005f_x0000__x005f_x0000____x005f_x0000__x00_35"/>
      <sheetName val="__x005f_x0000__x005f_x0000____x005f_x0000__x00_36"/>
      <sheetName val="__x005f_x0000__x005f_x0000____x005f_x0000__x00_37"/>
      <sheetName val="__x005f_x0000__x005f_x0000____x005f_x0000__x00_38"/>
      <sheetName val="__x005f_x0000__x005f_x0000____x005f_x0000__x00_39"/>
      <sheetName val="__x005f_x0000__x005f_x0000____x005f_x0000__x00_40"/>
      <sheetName val="__x005f_x0000__x005f_x0000____x005f_x0000__x00_41"/>
      <sheetName val="__x005f_x0000__x005f_x0000____x005f_x0000__x00_42"/>
      <sheetName val="__x005f_x0000__x005f_x0000____x005f_x0000__x00_43"/>
      <sheetName val="__x005f_x0000__x005f_x0000____x005f_x0000__x00_44"/>
      <sheetName val="__x005f_x0000__x005f_x0000____x005f_x0000__x00_45"/>
      <sheetName val="__x005f_x0000__x005f_x0000____x005f_x0000__x00_46"/>
      <sheetName val="__x005f_x0000__x005f_x0000____x005f_x0000__x00_47"/>
      <sheetName val="__x005f_x0000__x005f_x0000____x005f_x0000__x00_48"/>
      <sheetName val="__x005f_x0000__x005f_x0000____x005f_x0000__x00_49"/>
      <sheetName val="__x005f_x0000__x005f_x0000____x005f_x0000__x00_50"/>
      <sheetName val="__x005f_x0000__x005f_x0000____x005f_x0000__x00_51"/>
      <sheetName val="__x005f_x0000__x005f_x0000____x005f_x0000__x00_52"/>
      <sheetName val="__x005f_x0000__x005f_x0000____x005f_x0000__x00_53"/>
      <sheetName val="__x005f_x0000__x005f_x0000____x005f_x0000__x00_54"/>
      <sheetName val="__x005f_x0000__x005f_x0000____x005f_x0000__x00_55"/>
      <sheetName val="__x005f_x0000__x005f_x0000____x005f_x0000__x00_56"/>
      <sheetName val="__x005f_x0000__x005f_x0000____x005f_x0000__x00_57"/>
      <sheetName val="__x005f_x0000__x005f_x0000____x005f_x0000__x00_58"/>
      <sheetName val="__x005f_x0000__x005f_x0000____x005f_x0000__x00_59"/>
      <sheetName val="__x005f_x0000__x005f_x0000____x005f_x0000__x00_60"/>
      <sheetName val="__x005f_x0000__x005f_x0000____x005f_x0000__x00_61"/>
      <sheetName val="__x005f_x0000__x005f_x0000____x005f_x0000__x00_62"/>
      <sheetName val="__x005f_x0000__x005f_x0000____x005f_x0000__x00_63"/>
      <sheetName val="__x005f_x0000__x005f_x0000____x005f_x0000__x00_64"/>
      <sheetName val="__x005f_x0000__x005f_x0000____x005f_x0000__x00_65"/>
      <sheetName val="__x005f_x0000__x005f_x0000____x005f_x0000__x00_66"/>
      <sheetName val="__x005f_x0000__x005f_x0000____x005f_x0000__x00_67"/>
      <sheetName val="__x005f_x0000__x005f_x0000____x005f_x0000__x00_68"/>
      <sheetName val="__x005f_x0000__x005f_x0000____x005f_x0000__x00_69"/>
      <sheetName val="__x005f_x0000__x005f_x0000____x005f_x0000__x00_70"/>
      <sheetName val="__x005f_x0000__x005f_x0000____x005f_x0000__x00_71"/>
      <sheetName val="__x005f_x0000__x005f_x0000____x005f_x0000__x00_72"/>
      <sheetName val="__x005f_x0000__x005f_x0000____x005f_x0000__x00_73"/>
      <sheetName val="__x005f_x0000__x005f_x0000____x005f_x0000__x00_74"/>
      <sheetName val="__x005f_x0000__x005f_x0000____x005f_x0000__x00_75"/>
      <sheetName val="__x005f_x0000__x005f_x0000____x005f_x0000__x00_76"/>
      <sheetName val="__x005f_x0000__x005f_x0000____x005f_x0000__x00_77"/>
      <sheetName val="__x005f_x0000__x005f_x0000____x005f_x0000__x00_78"/>
      <sheetName val="__x005f_x0000__x005f_x0000____x005f_x0000__x00_79"/>
      <sheetName val="__x005f_x0000__x005f_x0000____x005f_x0000__x00_80"/>
      <sheetName val="__x005f_x0000__x005f_x0000____x005f_x0000__x00_81"/>
      <sheetName val="__x005f_x0000__x005f_x0000____x005f_x0000__x00_82"/>
      <sheetName val="__x005f_x0000__x005f_x0000____x005f_x0000__x00_83"/>
      <sheetName val="__x005f_x0000__x005f_x0000____x005f_x0000__x00_84"/>
      <sheetName val="__x005f_x0000__x005f_x0000____x005f_x0000__x00_85"/>
      <sheetName val="__x005f_x0000__x005f_x0000____x005f_x0000__x00_86"/>
      <sheetName val="__x005f_x0000__x005f_x0000____x005f_x0000__x00_87"/>
      <sheetName val="__x005f_x0000__x005f_x0000____x005f_x0000__x00_88"/>
      <sheetName val="__x005f_x0000__x005f_x0000____x005f_x0000__x00_89"/>
      <sheetName val="__x005f_x0000__x005f_x0000____x005f_x0000__x00_90"/>
      <sheetName val="__x005f_x0000__x005f_x0000____x005f_x0000__x00_91"/>
      <sheetName val="__x005f_x0000__x005f_x0000____x005f_x0000__x00_92"/>
      <sheetName val="__x005f_x0000__x005f_x0000____x005f_x0000__x00_93"/>
      <sheetName val="__x005f_x0000__x005f_x0000____x005f_x0000__x00_94"/>
      <sheetName val="__x005f_x0000__x005f_x0000____x005f_x0000__x00_95"/>
      <sheetName val="__x005f_x0000__x005f_x0000____x005f_x0000__x00_96"/>
      <sheetName val="__x005f_x0000__x005f_x0000____x005f_x0000__x00_97"/>
      <sheetName val="__x005f_x0000__x005f_x0000____x005f_x0000__x00_98"/>
      <sheetName val="__x005f_x0000__x005f_x0000____x005f_x0000__x00_99"/>
      <sheetName val="__x005f_x0000__x005f_x0000____x005f_x0000__x0_100"/>
      <sheetName val="__x005f_x0000__x005f_x0000____x005f_x0000__x0_101"/>
      <sheetName val="__x005f_x0000__x005f_x0000____x005f_x0000__x0_102"/>
      <sheetName val="__x005f_x0000__x005f_x0000____x005f_x0000__x0_103"/>
      <sheetName val="__x005f_x0000__x005f_x0000____x005f_x0000__x0_104"/>
      <sheetName val="__x005f_x0000__x005f_x0000____x005f_x0000__x0_105"/>
      <sheetName val="__x005f_x0000__x005f_x0000____x005f_x0000__x0_106"/>
      <sheetName val="_후다_x005f_x0001_ _x005f_x0010_"/>
      <sheetName val="48_x005f_x0005_?"/>
      <sheetName val="Sikje_in_x005f_x0005_?"/>
      <sheetName val="䣐_x005f_x005f_x005f_x0000__x005f_x005f_x005f_x0000_갑쥀)"/>
      <sheetName val="P_x005f_x005f_x005f_x0005_"/>
      <sheetName val="48_x005f_x005f_x005f_x0005__x005f_x005f_x005f_x0000_"/>
      <sheetName val="Sikje_inĴ¾_x005f_x005f_x005f_x0000_"/>
      <sheetName val="eq_dat_x005f_x005f_x005f_x0000_"/>
      <sheetName val="1차설계Ꮗԯ_x005f_x005f_x005f_x0000_"/>
      <sheetName val="1차설계逷≙_x005f_x005f_x005f_xdc00_≙"/>
      <sheetName val="Sikje_in_x005f_x005f_x005f_x0005__x005f_x005f_x_2"/>
      <sheetName val="CԀ_x005f_x005f_x005f_x0000_缀"/>
      <sheetName val="점_x005f_x0000__x005f_x0000_Ā"/>
      <sheetName val="_________x005f_x0000__x005f_x0000__x005f_x0000__3"/>
      <sheetName val="_________x005f_x0000__x005f_x0000__x005f_x0000__4"/>
      <sheetName val="_________x005f_x0000__x005f_x0000__x005f_x0000__5"/>
      <sheetName val="_________x005f_x0000__x005f_x0000__x005f_x0000__6"/>
      <sheetName val="_________x005f_x0000__x005f_x0000__x005f_x0000__7"/>
      <sheetName val="주차구획_x005f_x0000__x005f_x0000_Ԁ"/>
      <sheetName val="도급표지  (3_x005f_x0000_"/>
      <sheetName val="Sh_x005f_x0000__x005f_x0000__x005f_x0000_"/>
      <sheetName val="Sh_x005f_x0010__x005f_x0000_ጾ"/>
      <sheetName val="소야공정_x005f_x0000__x005f_x0000_Ԁ"/>
      <sheetName val="소야공정계_x005f_x0000__x005f_x0000_"/>
      <sheetName val="부_x005f_x0000_쎥_x005f_x0000_"/>
      <sheetName val="GRD_x005f_x0000_"/>
      <sheetName val="일위대가 집_x005f_x0000__x005f_x0000_"/>
      <sheetName val="_________x005f_x0000__x005f_x0000__x005f_x0000__8"/>
      <sheetName val="1공구 건_x005f_xdc00_䘢䠂檱䠛檳"/>
      <sheetName val="[후다내역.XLS]__H4018_c_ESTI96___87"/>
      <sheetName val="[후다내역.XLS]__H4018_c_ESTI96___69"/>
      <sheetName val="[후다내역.XLS]__H4018_c_ESTI96___70"/>
      <sheetName val="[후다내역.XLS]__H4018_c_ESTI96___71"/>
      <sheetName val="[후다내역.XLS]__H4018_c_ESTI96___72"/>
      <sheetName val="[후다내역.XLS]__H4018_c_ESTI96___73"/>
      <sheetName val="[후다내역.XLS]__H4018_c_ESTI96___74"/>
      <sheetName val="[후다내역.XLS]__H4018_c_ESTI96___75"/>
      <sheetName val="[후다내역.XLS]__H4018_c_ESTI96___76"/>
      <sheetName val="[후다내역.XLS]__H4018_c_ESTI96___77"/>
      <sheetName val="[후다내역.XLS]__H4018_c_ESTI96___78"/>
      <sheetName val="[후다내역.XLS]__H4018_c_ESTI96___79"/>
      <sheetName val="[후다내역.XLS]__H4018_c_ESTI96___80"/>
      <sheetName val="[후다내역.XLS]__H4018_c_ESTI96___81"/>
      <sheetName val="[후다내역.XLS]__H4018_c_ESTI96___82"/>
      <sheetName val="[후다내역.XLS]__H4018_c_ESTI96___83"/>
      <sheetName val="[후다내역.XLS]__H4018_c_ESTI96___84"/>
      <sheetName val="[후다내역.XLS]__H4018_c_ESTI96___85"/>
      <sheetName val="[후다내역.XLS]__H4018_c_ESTI96___86"/>
      <sheetName val="[후다내역.XLS]__H4018_c_ESTI96___95"/>
      <sheetName val="[후다내역.XLS]__H4018_c_ESTI96___88"/>
      <sheetName val="[후다내역.XLS]__H4018_c_ESTI96___89"/>
      <sheetName val="[후다내역.XLS]__H4018_c_ESTI96___90"/>
      <sheetName val="[후다내역.XLS]__H4018_c_ESTI96___91"/>
      <sheetName val="[후다내역.XLS]__H4018_c_ESTI96___92"/>
      <sheetName val="[후다내역.XLS]__H4018_c_ESTI96___93"/>
      <sheetName val="[후다내역.XLS]__H4018_c_ESTI96___94"/>
      <sheetName val="[후다내역.XLS]__H4018_c_ESTI96___96"/>
      <sheetName val="[후다내역.XLS]__H4018_c_ESTI96___97"/>
      <sheetName val="[후다내역.XLS]__H4018_c_ESTI96___98"/>
      <sheetName val="[후다내역.XLS]__H4018_c_ESTI96__100"/>
      <sheetName val="[후다내역.XLS]__H4018_c_ESTI96___99"/>
      <sheetName val="부재예실1월"/>
      <sheetName val="List"/>
      <sheetName val="GRD䋜¯"/>
      <sheetName val="[후다내역.XLS]__H4018_c_ESTI96__102"/>
      <sheetName val="관리,공감"/>
      <sheetName val="본경"/>
      <sheetName val="HRSG_SMALက_x0000_骨쌁ﴅ/"/>
      <sheetName val="HRSG_SMAL쌄ﴅ/_x0000_瀀þ_x0000_"/>
      <sheetName val="일정"/>
      <sheetName val="도급표지  헾⽊_x0005_"/>
      <sheetName val="도급표지  瓈¼甌"/>
      <sheetName val="도급표지  鞸ď韼"/>
      <sheetName val="BREAKDOW"/>
      <sheetName val="BREAKDOW頀ᵛ瀞囏_x001c_"/>
      <sheetName val="입력데이타(비"/>
      <sheetName val="실행_x0002_"/>
      <sheetName val="외Å"/>
      <sheetName val="자재테이블"/>
      <sheetName val="[후다내역.XLS]__H4018_c_ESTI96__103"/>
      <sheetName val="X17-TOTAL"/>
      <sheetName val="발주서"/>
      <sheetName val="1차설계逷≙"/>
      <sheetName val="6공구("/>
      <sheetName val="1공구 건"/>
      <sheetName val="단가(마감)"/>
      <sheetName val="諸経費"/>
      <sheetName val="清水計算営業税率関連"/>
      <sheetName val="[후다내역.XLS]__H4018_c_ESTI96__104"/>
      <sheetName val="표지_(3)10"/>
      <sheetName val="표지_(2)10"/>
      <sheetName val="교각집계_(2)10"/>
      <sheetName val="교각토공_(2)10"/>
      <sheetName val="교각철근_(2)10"/>
      <sheetName val="외주대비_-석축10"/>
      <sheetName val="외주대비-구조물_(2)10"/>
      <sheetName val="견적표지_(3)10"/>
      <sheetName val="_HIT-&gt;HMC_견적(3900)10"/>
      <sheetName val="일__위__대__가__목__록10"/>
      <sheetName val="6__안전관리비18"/>
      <sheetName val="HRSG_SMALL0722010"/>
      <sheetName val="교각토공__2_10"/>
      <sheetName val="3_공통공사대비10"/>
      <sheetName val="준검_내역서11"/>
      <sheetName val="7__현장관리비_9"/>
      <sheetName val="97년_추정10"/>
      <sheetName val="6PILE__(돌출)11"/>
      <sheetName val="조건표_(2)9"/>
      <sheetName val="목차_9"/>
      <sheetName val="입출재고현황_(2)10"/>
      <sheetName val="하도내역_(철콘)9"/>
      <sheetName val="BSD_(2)10"/>
      <sheetName val="2차전체변경예정_(2)9"/>
      <sheetName val="노무비_근거9"/>
      <sheetName val="임율_Data9"/>
      <sheetName val="b_balju_(2)9"/>
      <sheetName val="1_설계기준9"/>
      <sheetName val="단면_(2)9"/>
      <sheetName val="8_현장관리비9"/>
      <sheetName val="7_안전관리비9"/>
      <sheetName val="토공유동표(전체_당초)9"/>
      <sheetName val="8_PILE__(돌출)9"/>
      <sheetName val="1__설계조건_2_단면가정_3__하중계산10"/>
      <sheetName val="DATA_입력란10"/>
      <sheetName val="구조______8"/>
      <sheetName val="노무비_8"/>
      <sheetName val="현장관리비_산출내역10"/>
      <sheetName val="5__현장관리비(new)_8"/>
      <sheetName val="실행내역서_10"/>
      <sheetName val="Customer_Databas8"/>
      <sheetName val="화재_탐지_설비8"/>
      <sheetName val="4_일위대가집계8"/>
      <sheetName val="5__현장관리비_new__8"/>
      <sheetName val="내역서_제출8"/>
      <sheetName val="간_지18"/>
      <sheetName val="중기조종사_단위단가9"/>
      <sheetName val="1_설계조건10"/>
      <sheetName val="방배동내역_(총괄)8"/>
      <sheetName val="Temporary_Mooring8"/>
      <sheetName val="A_LINE8"/>
      <sheetName val="2_대외공문11"/>
      <sheetName val="설내역서_9"/>
      <sheetName val="7_PILE__(돌출)8"/>
      <sheetName val="1_취수장10"/>
      <sheetName val="1공구_건정토건_토공11"/>
      <sheetName val="1공구_건정토건_철콘11"/>
      <sheetName val="도급표지_11"/>
      <sheetName val="도급표지__(4)11"/>
      <sheetName val="부대표지_(4)11"/>
      <sheetName val="도급표지__(3)11"/>
      <sheetName val="부대표지_(3)11"/>
      <sheetName val="도급표지__(2)11"/>
      <sheetName val="부대표지_(2)11"/>
      <sheetName val="토__목11"/>
      <sheetName val="조__경11"/>
      <sheetName val="전_기11"/>
      <sheetName val="건__축11"/>
      <sheetName val="보도내역_(3)11"/>
      <sheetName val="내역(최종본4_5)11"/>
      <sheetName val="1_수인터널11"/>
      <sheetName val="설_계11"/>
      <sheetName val="AS포장복구_11"/>
      <sheetName val="6__안전관리비19"/>
      <sheetName val="총_원가계산8"/>
      <sheetName val="_갑지8"/>
      <sheetName val="집_계_표8"/>
      <sheetName val="2_2_오피스텔(12~32F)8"/>
      <sheetName val="4_LINE8"/>
      <sheetName val="7_th8"/>
      <sheetName val="일위대가_집계표8"/>
      <sheetName val="9_1지하2층하부보8"/>
      <sheetName val="Sheet1_(2)10"/>
      <sheetName val="기술부_VENDOR_LIST8"/>
      <sheetName val="자__재8"/>
      <sheetName val="노원열병합__건축공사기성내역서10"/>
      <sheetName val="할증_8"/>
      <sheetName val="개인별_순위표8"/>
      <sheetName val="CM_18"/>
      <sheetName val="단계별내역_(2)8"/>
      <sheetName val="제출내역_(2)8"/>
      <sheetName val="2_2_띠장의_설계8"/>
      <sheetName val="BOX_본체7"/>
      <sheetName val="4_일위대가8"/>
      <sheetName val="MP_MOB7"/>
      <sheetName val="플랜트_설치10"/>
      <sheetName val="4_2_1_마루높이_검토7"/>
      <sheetName val="명일작업계획_(3)7"/>
      <sheetName val="TABLE_DB7"/>
      <sheetName val="쌍용_data_base7"/>
      <sheetName val="unit_48"/>
      <sheetName val="내역서_(3)8"/>
      <sheetName val="산출양식_(2)8"/>
      <sheetName val="전체산출내역서갑(변경)_8"/>
      <sheetName val="A_터파기공8"/>
      <sheetName val="B_측·집8"/>
      <sheetName val="배(자·집)_(2)8"/>
      <sheetName val="2_01측·터·집8"/>
      <sheetName val="땅깍·수_(1-1)8"/>
      <sheetName val="0-52_8"/>
      <sheetName val="콘·다_(2)8"/>
      <sheetName val="기·집_(2)8"/>
      <sheetName val="콘·다_(3)8"/>
      <sheetName val="병원내역집계표_(2)8"/>
      <sheetName val="실행총괄_8"/>
      <sheetName val="[IL-3_XLSY갑지8"/>
      <sheetName val="4_일위대가목차8"/>
      <sheetName val="내역_ver1_08"/>
      <sheetName val="2000,9월_일위8"/>
      <sheetName val="1_노무비명세서(해동)8"/>
      <sheetName val="1_노무비명세서(토목)8"/>
      <sheetName val="2_노무비명세서(해동)8"/>
      <sheetName val="2_노무비명세서(수직보호망)8"/>
      <sheetName val="2_노무비명세서(난간대)8"/>
      <sheetName val="2_사진대지8"/>
      <sheetName val="3_사진대지8"/>
      <sheetName val="단가_7"/>
      <sheetName val="변압기_및_발전기_용량7"/>
      <sheetName val="조도계산서_(도서)7"/>
      <sheetName val="빌딩_안내7"/>
      <sheetName val="CABLE_(2)7"/>
      <sheetName val="G_R300경비7"/>
      <sheetName val="단가대비표_(3)7"/>
      <sheetName val="기성내역서(을)_(2)7"/>
      <sheetName val="1단계_(2)7"/>
      <sheetName val="2_1__노무비_평균단가산출7"/>
      <sheetName val="3_공사비(07년노임단가)7"/>
      <sheetName val="3_공사비(단가조사표)7"/>
      <sheetName val="3_공사비(물량산출표)7"/>
      <sheetName val="3_공사비(일위대가표목록)7"/>
      <sheetName val="3_공사비(일위대가표)7"/>
      <sheetName val="TRE_TABLE7"/>
      <sheetName val="Requirement(Work_Crew)7"/>
      <sheetName val="진입도로B_(2)7"/>
      <sheetName val="수목데이타_7"/>
      <sheetName val="2_냉난방설비공사7"/>
      <sheetName val="7_자동제어공사7"/>
      <sheetName val="중강당_내역7"/>
      <sheetName val="기초자료입력및_K치_확인7"/>
      <sheetName val="실행내역_7"/>
      <sheetName val="자재_단가_비교표(견적)7"/>
      <sheetName val="자재_단가_비교표7"/>
      <sheetName val="Bid_Summary7"/>
      <sheetName val="이동시_예상비용7"/>
      <sheetName val="Seg_1DE비용7"/>
      <sheetName val="Transit_비용_감가상각미포함7"/>
      <sheetName val="세골재__T2_변경_현황7"/>
      <sheetName val="내역서_(2)7"/>
      <sheetName val="전화공사_공량_및_집계표7"/>
      <sheetName val="참조_(2)7"/>
      <sheetName val="6__직접경비7"/>
      <sheetName val="대가_(보완)7"/>
      <sheetName val="3_자재비(총괄)7"/>
      <sheetName val="5호광장_(만점)8"/>
      <sheetName val="인천국제_(만점)_(2)8"/>
      <sheetName val="제조_경영7"/>
      <sheetName val="인건비_10"/>
      <sheetName val="4_전기7"/>
      <sheetName val="노_무_비7"/>
      <sheetName val="미납품_현황7"/>
      <sheetName val="신설개소별_총집계표(동해-배전)7"/>
      <sheetName val="6_이토처리시간7"/>
      <sheetName val="전_체7"/>
      <sheetName val="STEEL_BOX_단면설계(SEC_8)7"/>
      <sheetName val="2_1외주7"/>
      <sheetName val="2_3노무7"/>
      <sheetName val="2_4자재7"/>
      <sheetName val="2_2장비7"/>
      <sheetName val="2_5경비7"/>
      <sheetName val="2_6수목대7"/>
      <sheetName val="3련_BOX7"/>
      <sheetName val="용선_C_L7"/>
      <sheetName val="Xunit_(단위환산)7"/>
      <sheetName val="울진항공등화_내역서7"/>
      <sheetName val="SHEET_PILE단가7"/>
      <sheetName val="0_0ControlSheet11"/>
      <sheetName val="0_1keyAssumption11"/>
      <sheetName val="전차선로_물량표10"/>
      <sheetName val="4_내진설계10"/>
      <sheetName val="현장별계약현황('98_10_31)10"/>
      <sheetName val="96보완계획7_1210"/>
      <sheetName val="부대입찰_내역서10"/>
      <sheetName val="_총괄표10"/>
      <sheetName val="제잡비_xls10"/>
      <sheetName val="Eq__Mobilization10"/>
      <sheetName val="3BL공동구_수량10"/>
      <sheetName val="토공(우물통,기타)_10"/>
      <sheetName val="2_고용보험료산출근거10"/>
      <sheetName val="원가계산_(2)10"/>
      <sheetName val="장비당단가_(1)9"/>
      <sheetName val="Sheet2_(2)9"/>
      <sheetName val="내___역8"/>
      <sheetName val="프라임_강변역(4,236)8"/>
      <sheetName val="콤보박스와_리스트박스의_연결10"/>
      <sheetName val="2000년_공정표8"/>
      <sheetName val="수_량_명_세_서_-_19"/>
      <sheetName val="2_교량(신설)8"/>
      <sheetName val="5_2코핑8"/>
      <sheetName val="2_건축9"/>
      <sheetName val="공정표_9"/>
      <sheetName val="P_M_별8"/>
      <sheetName val="4_경비_5_영업외수지8"/>
      <sheetName val="_견적서8"/>
      <sheetName val="배수공_시멘트_및_골재량_산출8"/>
      <sheetName val="별표_9"/>
      <sheetName val="전체내역_(2)7"/>
      <sheetName val="Hyundai_Unit_cost_xls7"/>
      <sheetName val="일_위_대_가_표7"/>
      <sheetName val="영흥TL(UP,DOWN)_7"/>
      <sheetName val="흙막이B_(오산운암)7"/>
      <sheetName val="타이로드_흙막이7"/>
      <sheetName val="타이로드_흙막이(근입장2_5M)7"/>
      <sheetName val="타이로드(근입장2_5M)7"/>
      <sheetName val="pile_항타7"/>
      <sheetName val="pile_항타(디젤)7"/>
      <sheetName val="pile_항타_A7"/>
      <sheetName val="pile_항타_B7"/>
      <sheetName val="pile_항타_C7"/>
      <sheetName val="pile_인발7"/>
      <sheetName val="pile_인발_A7"/>
      <sheetName val="pile_인발_B7"/>
      <sheetName val="pile_인발_C7"/>
      <sheetName val="20TON_TRAILER7"/>
      <sheetName val="토류판_(2)7"/>
      <sheetName val="단가_및_재료비7"/>
      <sheetName val="내역서_6"/>
      <sheetName val="모선자재_집계표6"/>
      <sheetName val="재료의_할증6"/>
      <sheetName val="99_조정금액4"/>
      <sheetName val="광통신_견적내역서18"/>
      <sheetName val="DATA_입력부8"/>
      <sheetName val="CIP_공사9"/>
      <sheetName val="수량산출서_갑지8"/>
      <sheetName val="1_3_1절점좌표8"/>
      <sheetName val="1_1설계기준8"/>
      <sheetName val="2000_058"/>
      <sheetName val="1_본부별8"/>
      <sheetName val="기초입력_DATA8"/>
      <sheetName val="EQUIP_LIST8"/>
      <sheetName val="단양_00_아파트-세부내역8"/>
      <sheetName val="4_장비손료8"/>
      <sheetName val="재활용_악취_먼지DUCT산출8"/>
      <sheetName val="5_정산서8"/>
      <sheetName val="설계기준_및_하중계산7"/>
      <sheetName val="원내역서_그대로7"/>
      <sheetName val="남양시작동자105노65기1_3화1_27"/>
      <sheetName val="관음목장(제출용)자105인97_57"/>
      <sheetName val="1062-X방향_7"/>
      <sheetName val="PROJECT_BRIEF7"/>
      <sheetName val="969910(_R)7"/>
      <sheetName val="전선_및_전선관7"/>
      <sheetName val="VENDOR_LIST7"/>
      <sheetName val="표__지6"/>
      <sheetName val="D1_2_COF모듈자재_입출재고_(B급)6"/>
      <sheetName val="샌딩_에폭시_도장5"/>
      <sheetName val="1-1_현장정리7"/>
      <sheetName val="1-2_토공7"/>
      <sheetName val="1-3_WMM,GSB7"/>
      <sheetName val="1-4_BITUMINOUS_COURSE7"/>
      <sheetName val="1-5_BOX_CULVERTS7"/>
      <sheetName val="1-6_BRIDGE7"/>
      <sheetName val="1-7_DRAINAGE7"/>
      <sheetName val="1-8_TRAFFIC7"/>
      <sheetName val="1-9_MISCELLANEOUS7"/>
      <sheetName val="1-10_ELECTRICAL7"/>
      <sheetName val="1-12_도급외항목7"/>
      <sheetName val="일위대가_(PM)7"/>
      <sheetName val="1차_내역서7"/>
      <sheetName val="외주대비_ᨀ晙ԯ5"/>
      <sheetName val="108_수선비7"/>
      <sheetName val="2F_회의실견적(5_14_일대)7"/>
      <sheetName val="경비_(1)7"/>
      <sheetName val="Sight_n_M_H7"/>
      <sheetName val="매출요약(월별)_-년간7"/>
      <sheetName val="Piping_Design_Data7"/>
      <sheetName val="4_&amp;_10-inch,_CO2_Combo_&amp;_Sweep7"/>
      <sheetName val="①idea_pipeline7"/>
      <sheetName val="IMP_통일양식7"/>
      <sheetName val="LYS_통일양식7"/>
      <sheetName val="유통기한_프로그램7"/>
      <sheetName val="1_䷨수장7"/>
      <sheetName val="4_뀴진설Ⳅ7"/>
      <sheetName val="전䰨선로_물량표7"/>
      <sheetName val="㶀대입찰_내역서7"/>
      <sheetName val="총괄집계_7"/>
      <sheetName val="중기쥰종사_단위단가7"/>
      <sheetName val="한성교회_신축공사(050713)_CheckList7"/>
      <sheetName val="중기사용료_(2)4"/>
      <sheetName val="기존단가_(2)5"/>
      <sheetName val="strut_type7"/>
      <sheetName val="-15_06"/>
      <sheetName val="사__업__비__수__지__예__산__서6"/>
      <sheetName val="FRP_PIPING_일위대가7"/>
      <sheetName val="10_경제성분석6"/>
      <sheetName val="2_16"/>
      <sheetName val="청_구5"/>
      <sheetName val="공내역_및_견적조건6"/>
      <sheetName val="기계_도급내역서6"/>
      <sheetName val="7_전산해석결과5"/>
      <sheetName val="4_하중5"/>
      <sheetName val="kimre_scrubber7"/>
      <sheetName val="_ｹ-ﾌﾞﾙ4"/>
      <sheetName val="신평리_권리자명부4"/>
      <sheetName val="97_사업추정(WEKI)4"/>
      <sheetName val="PTVT_(MAU)7"/>
      <sheetName val="Div26_-_Elect6"/>
      <sheetName val="함열량_db6"/>
      <sheetName val="고객사_관리_코드7"/>
      <sheetName val="cong_thuc_tinh_chi_tiet6"/>
      <sheetName val="Bảng_mã_VT6"/>
      <sheetName val="Khoi_luong6"/>
      <sheetName val="DonGia_chetao6"/>
      <sheetName val="DonGia_VatTuLK6"/>
      <sheetName val="Fr_Revit6"/>
      <sheetName val="NSA_Summary6"/>
      <sheetName val="H__MECHANICAL4"/>
      <sheetName val="J__FIRE_FIGHTING4"/>
      <sheetName val="Gia_VLNCMTC4"/>
      <sheetName val="chi_tiet5"/>
      <sheetName val="PPC_Summary5"/>
      <sheetName val="3_단가산출서4"/>
      <sheetName val="4_단가산출기초4"/>
      <sheetName val="_IL-3_XLSY갑지8"/>
      <sheetName val="Summary_VO_No_34"/>
      <sheetName val="VO_No_3_14"/>
      <sheetName val="VO_No_3_24"/>
      <sheetName val="VO_No_3_34"/>
      <sheetName val="VO_No_3_44"/>
      <sheetName val="VO_No_3_54"/>
      <sheetName val="VO_No_3_64"/>
      <sheetName val="VO_No_3_74"/>
      <sheetName val="VO_No_3_84"/>
      <sheetName val="Sàn_T14"/>
      <sheetName val="Lỗ_thông_gió4"/>
      <sheetName val="Thống_kê4"/>
      <sheetName val="Tai_khoan4"/>
      <sheetName val="SCOPE_OF_WORK4"/>
      <sheetName val="Tong_hop4"/>
      <sheetName val="Phan_lap_dat4"/>
      <sheetName val="Lắp_Ráp4"/>
      <sheetName val="KET_CAU-_MJV24"/>
      <sheetName val="Ví_dụ4"/>
      <sheetName val="Phieu_trinh_ky_cấu_tháp4"/>
      <sheetName val="Phieu_trinh_ky_VTP4"/>
      <sheetName val="KS-VL_rời4"/>
      <sheetName val="Tai_san4"/>
      <sheetName val="Check_dong_tien4"/>
      <sheetName val="Chi_phí_SDTS4"/>
      <sheetName val="Check_COST4"/>
      <sheetName val="DATA_HD4"/>
      <sheetName val="Tong_hop_1TM4"/>
      <sheetName val="NS_Lán_trại4"/>
      <sheetName val="Check_cong_no_NC4"/>
      <sheetName val="대3류_4"/>
      <sheetName val="BEND_LOSS4"/>
      <sheetName val="01__DATA4"/>
      <sheetName val="보도내_3"/>
      <sheetName val="외주대비_-석축_x005f_x0000__x005f_x0000__x005f_x0000__2"/>
      <sheetName val="태화42_3"/>
      <sheetName val="ጊ후다내역_XLS]0_0ControlSheet33"/>
      <sheetName val="投标材料清单_3"/>
      <sheetName val="토공_total4"/>
      <sheetName val="TRAY_헹거산출4"/>
      <sheetName val="Dầm_13"/>
      <sheetName val="Unit_Rate(non_print)3"/>
      <sheetName val="Bang_gia_2011_10_123"/>
      <sheetName val="Sàn_tầng_01_(_old_)3"/>
      <sheetName val="5_6_NTKL_ĐHKK_3"/>
      <sheetName val="5_12_NTKL_PCCC3"/>
      <sheetName val="Gia_thanh_chuoi_su3"/>
      <sheetName val="Tiep_dia3"/>
      <sheetName val="Don_gia_vung_III-Can_Tho3"/>
      <sheetName val="TH_MEP3"/>
      <sheetName val="Cọc_nhồi3"/>
      <sheetName val="Bang_TH3"/>
      <sheetName val="5_NKTC3"/>
      <sheetName val="4_BBNT-LĐ3"/>
      <sheetName val="ESTI_2"/>
      <sheetName val="1_Requisition(E)2"/>
      <sheetName val="dtct_cong2"/>
      <sheetName val="_DATA3"/>
      <sheetName val="0_Bìa3"/>
      <sheetName val="1_Mục_lục3"/>
      <sheetName val="2_Phiếu_kiểm_tra3"/>
      <sheetName val="BM-06a_Mẫu_chứng_chỉ_thanh_toá3"/>
      <sheetName val="3_Bảng_TT_giá_trị_thực_hiện3"/>
      <sheetName val="4_Bảng_TT_KL_thực_hiện3"/>
      <sheetName val="6_KL_DD_chi_tiết3"/>
      <sheetName val="5_công_nhật3"/>
      <sheetName val="ROW_3a-chi_tiết3"/>
      <sheetName val="ROW_5-_chi_tiết3"/>
      <sheetName val="ROW_6-_chi_tiết3"/>
      <sheetName val="KL_khoán_đổ_bê_tông_T73"/>
      <sheetName val="6__Bảng_TT_giá_trị_giảm_trừ_HĐ3"/>
      <sheetName val="6__Hồ_sơ_đính_kèm3"/>
      <sheetName val="D_&amp;_W_sizes3"/>
      <sheetName val="Goc_CC3"/>
      <sheetName val="220_(2)3"/>
      <sheetName val="3_관로전환기3"/>
      <sheetName val="외주현황_wq13"/>
      <sheetName val="_3"/>
      <sheetName val="F_월별기성수금현황_3"/>
      <sheetName val="TL_rieng2"/>
      <sheetName val="Elec_LG3"/>
      <sheetName val="외주대비_-석축???_x3"/>
      <sheetName val="IMF_Code3"/>
      <sheetName val="Doi_so2"/>
      <sheetName val="Du_thau2"/>
      <sheetName val="3_12"/>
      <sheetName val="3_102"/>
      <sheetName val="3_22"/>
      <sheetName val="3_32"/>
      <sheetName val="3_42"/>
      <sheetName val="3_52"/>
      <sheetName val="3_62"/>
      <sheetName val="3_72"/>
      <sheetName val="3_82"/>
      <sheetName val="3_92"/>
      <sheetName val="Measure_13062"/>
      <sheetName val="DM_ChiPhi2"/>
      <sheetName val="C_MECHANICAL3"/>
      <sheetName val="_후다________"/>
      <sheetName val="ጳ__Ⴔጳ__Lጴ___ጵ___ጶ__ఀጷ___ጸ_1"/>
      <sheetName val="ጊ__Ⴔጱ__Lጲ___ድ__nጳ__lጳ__eጴ"/>
      <sheetName val="ጵ__Ⴔጶ__Lጷ___ጸ__yጿ__uጿ__iጊ_"/>
      <sheetName val="ጿ__Ⴔጿ__Lጊ__ېጱ___ጲ__೵ድ__Ⴔጳ_"/>
      <sheetName val="ጊ__Ⴔጊ__Lጱ__᳴ጲ___ድ__ᰕጳ__װጳ"/>
      <sheetName val="ጶ__Ⴔጷ__Lጸ___ጿ___ጿ___ጊ__1"/>
      <sheetName val="ጿ__Ⴔጊ__Lጱ__Șጲ__ᩘድ___ጳ___ጳ_"/>
      <sheetName val="ድ__Ⴔጳ__Lጳ___ጴ__ഀጳ__nጳ___"/>
      <sheetName val="ጴ__Ⴔጵ__Lጶ___ጷ__ഀጸ__nጿ___"/>
      <sheetName val="ጳ__Ⴔጴ__Lጵ___ጶ__ᔼጷ__1ጸ__2ጿ_"/>
      <sheetName val="ጸ__Ⴔጿ__Lጿ___ጊ___ጱ__ݴጲ__"/>
      <sheetName val="ጴ__Ⴔጳ__Lጳ__iጴ___ጵ__eጶ__e"/>
      <sheetName val="ጵ__Ⴔጶ__Lጷ__ᝥጸ__Uጿ__Oጿ___"/>
      <sheetName val="ጳ__Ⴔጴ__Lጵ__֑ጶ___ጷ__-ጸ__׭"/>
      <sheetName val="ጲ__Ⴔድ__Lጳ___ጳ__᪅ጴ__Șጳ__᧝ጳ"/>
      <sheetName val="ጸ__Ⴔጿ__Lጿ___ጊ__᪅ጊ__ႜጱ__"/>
      <sheetName val="ጴ__Ⴔጵ__Lጶ___ጷ__ᅸጸ__Ꮙጿ__°ጿ"/>
      <sheetName val="ጶ__Ⴔጷ__Lጸ___ጿ__(ጿ__ᅸጊ__)"/>
      <sheetName val="ጳ__Ⴔጴ__Lጴ___ፊ__(ጵ__ఀፋ__)"/>
      <sheetName val="ጱ__Ⴔጲ__Lድ__ެጳ___ጳ__(ጴ__"/>
      <sheetName val="ጿ__Ⴔጿ__Lጊ__ᙔጱ__೵ጲ___ድ__"/>
      <sheetName val="ጱ__Ⴔጲ__Lድ__ಜጳ__(ጳ___ጴ__"/>
      <sheetName val="ጸ__Ⴔጿ__Lጿ__ݴጊ__෼ጱ___ጲ__"/>
      <sheetName val="ድ__Ⴔጳ__Lጳ__0ጴ___ጳ__Iጳ__"/>
      <sheetName val="ጸ__Ⴔጿ__Lጿ__iጊ___ጱ__uጲ__r"/>
      <sheetName val="_후다___x0003"/>
      <sheetName val="Sh"/>
      <sheetName val="부대표지츀_"/>
      <sheetName val="Land_Dev't__Ph-1"/>
      <sheetName val="CHITIET_VL-NC-TT1p"/>
      <sheetName val="THONG_KE_CAU_KIEN"/>
      <sheetName val="Thoat_nuoc"/>
      <sheetName val="Tax_Ref"/>
      <sheetName val="3_일반사상"/>
      <sheetName val="실행駐"/>
      <sheetName val="도급표지__㧈冈"/>
      <sheetName val="[후다내역_XLS]__H4018_c_ESTI96____2"/>
      <sheetName val="[후다내역_XLS]__H4018_c_ESTI96____4"/>
      <sheetName val="[후다내역_XLS]__H4018_c_ESTI96____3"/>
      <sheetName val="[후다내역_XLS]__H4018_c_ESTI96____6"/>
      <sheetName val="[후다내역_XLS]__H4018_c_ESTI96____5"/>
      <sheetName val="[후다내역_XLS]__H4018_c_ESTI96___30"/>
      <sheetName val="[후다내역_XLS]__H4018_c_ESTI96____7"/>
      <sheetName val="[후다내역_XLS]__H4018_c_ESTI96____8"/>
      <sheetName val="[후다내역_XLS]__H4018_c_ESTI96____9"/>
      <sheetName val="[후다내역_XLS]__H4018_c_ESTI96___10"/>
      <sheetName val="[후다내역_XLS]__H4018_c_ESTI96___11"/>
      <sheetName val="[후다내역_XLS]__H4018_c_ESTI96___12"/>
      <sheetName val="[후다내역_XLS]__H4018_c_ESTI96___15"/>
      <sheetName val="[후다내역_XLS]__H4018_c_ESTI96___13"/>
      <sheetName val="[후다내역_XLS]__H4018_c_ESTI96___14"/>
      <sheetName val="[후다내역_XLS]__H4018_c_ESTI96___21"/>
      <sheetName val="[후다내역_XLS]__H4018_c_ESTI96___16"/>
      <sheetName val="[후다내역_XLS]__H4018_c_ESTI96___17"/>
      <sheetName val="[후다내역_XLS]__H4018_c_ESTI96___18"/>
      <sheetName val="[후다내역_XLS]__H4018_c_ESTI96___19"/>
      <sheetName val="[후다내역_XLS]__H4018_c_ESTI96___20"/>
      <sheetName val="[후다내역_XLS]__H4018_c_ESTI96___24"/>
      <sheetName val="[후다내역_XLS]__H4018_c_ESTI96___22"/>
      <sheetName val="[후다내역_XLS]__H4018_c_ESTI96___23"/>
      <sheetName val="[후다내역_XLS]__H4018_c_ESTI96___27"/>
      <sheetName val="[후다내역_XLS]__H4018_c_ESTI96___25"/>
      <sheetName val="[후다내역_XLS]__H4018_c_ESTI96___26"/>
      <sheetName val="[후다내역_XLS]__H4018_c_ESTI96___28"/>
      <sheetName val="[후다내역_XLS]__H4018_c_ESTI96___29"/>
      <sheetName val="[후다내역_XLS]__H4018_c_ESTI96___31"/>
      <sheetName val="[후다내역_XLS]__H4018_c_ESTI96___32"/>
      <sheetName val="[후다내역_XLS]__H4018_c_ESTI96___33"/>
      <sheetName val="[후다내역_XLS]__H4018_c_ESTI96___34"/>
      <sheetName val="ExcelObject"/>
      <sheetName val="요기"/>
      <sheetName val="VXXXXXX"/>
      <sheetName val="출력"/>
      <sheetName val="노무비 명세표_일용"/>
      <sheetName val="ITEM_QTY"/>
      <sheetName val="ITEM_W"/>
      <sheetName val="(참고)WBS유형 분류방법"/>
      <sheetName val="J直ᄐ"/>
      <sheetName val="DESIGN_CRETERI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/>
      <sheetData sheetId="789"/>
      <sheetData sheetId="790"/>
      <sheetData sheetId="791" refreshError="1"/>
      <sheetData sheetId="792"/>
      <sheetData sheetId="793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 refreshError="1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 refreshError="1"/>
      <sheetData sheetId="1037"/>
      <sheetData sheetId="1038"/>
      <sheetData sheetId="1039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 refreshError="1"/>
      <sheetData sheetId="1068"/>
      <sheetData sheetId="1069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/>
      <sheetData sheetId="1078"/>
      <sheetData sheetId="1079"/>
      <sheetData sheetId="1080"/>
      <sheetData sheetId="1081"/>
      <sheetData sheetId="1082" refreshError="1"/>
      <sheetData sheetId="1083"/>
      <sheetData sheetId="1084" refreshError="1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/>
      <sheetData sheetId="1305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/>
      <sheetData sheetId="2059" refreshError="1"/>
      <sheetData sheetId="2060" refreshError="1"/>
      <sheetData sheetId="2061" refreshError="1"/>
      <sheetData sheetId="2062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/>
      <sheetData sheetId="2070" refreshError="1"/>
      <sheetData sheetId="2071" refreshError="1"/>
      <sheetData sheetId="2072" refreshError="1"/>
      <sheetData sheetId="2073">
        <row r="1">
          <cell r="A1" t="str">
            <v>PHIẾU XỬ LÝ HỒ SƠ THANH TOÁN VƯỢT THẨM QUYỀN PD</v>
          </cell>
        </row>
      </sheetData>
      <sheetData sheetId="2074" refreshError="1"/>
      <sheetData sheetId="2075" refreshError="1"/>
      <sheetData sheetId="2076" refreshError="1"/>
      <sheetData sheetId="2077" refreshError="1"/>
      <sheetData sheetId="2078"/>
      <sheetData sheetId="2079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/>
      <sheetData sheetId="2115" refreshError="1"/>
      <sheetData sheetId="2116" refreshError="1"/>
      <sheetData sheetId="2117" refreshError="1"/>
      <sheetData sheetId="2118" refreshError="1"/>
      <sheetData sheetId="2119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/>
      <sheetData sheetId="2185"/>
      <sheetData sheetId="2186"/>
      <sheetData sheetId="2187"/>
      <sheetData sheetId="2188"/>
      <sheetData sheetId="2189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/>
      <sheetData sheetId="2329"/>
      <sheetData sheetId="2330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/>
      <sheetData sheetId="2355" refreshError="1"/>
      <sheetData sheetId="2356"/>
      <sheetData sheetId="2357" refreshError="1"/>
      <sheetData sheetId="2358" refreshError="1"/>
      <sheetData sheetId="2359" refreshError="1"/>
      <sheetData sheetId="2360" refreshError="1"/>
      <sheetData sheetId="2361"/>
      <sheetData sheetId="2362"/>
      <sheetData sheetId="2363"/>
      <sheetData sheetId="2364"/>
      <sheetData sheetId="2365"/>
      <sheetData sheetId="2366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>
        <row r="1">
          <cell r="A1" t="str">
            <v>PHIẾU XỬ LÝ HỒ SƠ THANH TOÁN VƯỢT THẨM QUYỀN PD</v>
          </cell>
        </row>
      </sheetData>
      <sheetData sheetId="2385">
        <row r="1">
          <cell r="A1" t="str">
            <v>PHIẾU XỬ LÝ HỒ SƠ THANH TOÁN VƯỢT THẨM QUYỀN PD</v>
          </cell>
        </row>
      </sheetData>
      <sheetData sheetId="2386">
        <row r="1">
          <cell r="A1" t="str">
            <v>PHIẾU XỬ LÝ HỒ SƠ THANH TOÁN VƯỢT THẨM QUYỀN PD</v>
          </cell>
        </row>
      </sheetData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/>
      <sheetData sheetId="2546"/>
      <sheetData sheetId="2547"/>
      <sheetData sheetId="2548"/>
      <sheetData sheetId="2549"/>
      <sheetData sheetId="2550">
        <row r="1">
          <cell r="A1" t="str">
            <v>PHIẾU XỬ LÝ HỒ SƠ THANH TOÁN VƯỢT THẨM QUYỀN PD</v>
          </cell>
        </row>
      </sheetData>
      <sheetData sheetId="2551">
        <row r="1">
          <cell r="A1" t="str">
            <v>PHIẾU XỬ LÝ HỒ SƠ THANH TOÁN VƯỢT THẨM QUYỀN PD</v>
          </cell>
        </row>
      </sheetData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>
        <row r="1">
          <cell r="A1" t="str">
            <v>PHIẾU XỬ LÝ HỒ SƠ THANH TOÁN VƯỢT THẨM QUYỀN PD</v>
          </cell>
        </row>
      </sheetData>
      <sheetData sheetId="2563">
        <row r="1">
          <cell r="A1" t="str">
            <v>PHIẾU XỬ LÝ HỒ SƠ THANH TOÁN VƯỢT THẨM QUYỀN PD</v>
          </cell>
        </row>
      </sheetData>
      <sheetData sheetId="2564">
        <row r="1">
          <cell r="A1" t="str">
            <v>PHIẾU XỬ LÝ HỒ SƠ THANH TOÁN VƯỢT THẨM QUYỀN PD</v>
          </cell>
        </row>
      </sheetData>
      <sheetData sheetId="2565">
        <row r="1">
          <cell r="A1" t="str">
            <v>PHIẾU XỬ LÝ HỒ SƠ THANH TOÁN VƯỢT THẨM QUYỀN PD</v>
          </cell>
        </row>
      </sheetData>
      <sheetData sheetId="2566">
        <row r="1">
          <cell r="A1" t="str">
            <v>PHIẾU XỬ LÝ HỒ SƠ THANH TOÁN VƯỢT THẨM QUYỀN PD</v>
          </cell>
        </row>
      </sheetData>
      <sheetData sheetId="2567">
        <row r="1">
          <cell r="A1" t="str">
            <v>PHIẾU XỬ LÝ HỒ SƠ THANH TOÁN VƯỢT THẨM QUYỀN PD</v>
          </cell>
        </row>
      </sheetData>
      <sheetData sheetId="2568">
        <row r="1">
          <cell r="A1" t="str">
            <v>PHIẾU XỬ LÝ HỒ SƠ THANH TOÁN VƯỢT THẨM QUYỀN PD</v>
          </cell>
        </row>
      </sheetData>
      <sheetData sheetId="2569">
        <row r="1">
          <cell r="A1" t="str">
            <v>PHIẾU XỬ LÝ HỒ SƠ THANH TOÁN VƯỢT THẨM QUYỀN PD</v>
          </cell>
        </row>
      </sheetData>
      <sheetData sheetId="2570">
        <row r="1">
          <cell r="A1" t="str">
            <v>PHIẾU XỬ LÝ HỒ SƠ THANH TOÁN VƯỢT THẨM QUYỀN PD</v>
          </cell>
        </row>
      </sheetData>
      <sheetData sheetId="2571">
        <row r="1">
          <cell r="A1" t="str">
            <v>PHIẾU XỬ LÝ HỒ SƠ THANH TOÁN VƯỢT THẨM QUYỀN PD</v>
          </cell>
        </row>
      </sheetData>
      <sheetData sheetId="2572">
        <row r="1">
          <cell r="A1" t="str">
            <v>PHIẾU XỬ LÝ HỒ SƠ THANH TOÁN VƯỢT THẨM QUYỀN PD</v>
          </cell>
        </row>
      </sheetData>
      <sheetData sheetId="2573">
        <row r="1">
          <cell r="A1" t="str">
            <v>PHIẾU XỬ LÝ HỒ SƠ THANH TOÁN VƯỢT THẨM QUYỀN PD</v>
          </cell>
        </row>
      </sheetData>
      <sheetData sheetId="2574">
        <row r="1">
          <cell r="A1" t="str">
            <v>PHIẾU XỬ LÝ HỒ SƠ THANH TOÁN VƯỢT THẨM QUYỀN PD</v>
          </cell>
        </row>
      </sheetData>
      <sheetData sheetId="2575">
        <row r="1">
          <cell r="A1" t="str">
            <v>PHIẾU XỬ LÝ HỒ SƠ THANH TOÁN VƯỢT THẨM QUYỀN PD</v>
          </cell>
        </row>
      </sheetData>
      <sheetData sheetId="2576">
        <row r="1">
          <cell r="A1" t="str">
            <v>PHIẾU XỬ LÝ HỒ SƠ THANH TOÁN VƯỢT THẨM QUYỀN PD</v>
          </cell>
        </row>
      </sheetData>
      <sheetData sheetId="2577">
        <row r="1">
          <cell r="A1" t="str">
            <v>PHIẾU XỬ LÝ HỒ SƠ THANH TOÁN VƯỢT THẨM QUYỀN PD</v>
          </cell>
        </row>
      </sheetData>
      <sheetData sheetId="2578">
        <row r="1">
          <cell r="A1" t="str">
            <v>PHIẾU XỬ LÝ HỒ SƠ THANH TOÁN VƯỢT THẨM QUYỀN PD</v>
          </cell>
        </row>
      </sheetData>
      <sheetData sheetId="2579">
        <row r="1">
          <cell r="A1" t="str">
            <v>PHIẾU XỬ LÝ HỒ SƠ THANH TOÁN VƯỢT THẨM QUYỀN PD</v>
          </cell>
        </row>
      </sheetData>
      <sheetData sheetId="2580">
        <row r="1">
          <cell r="A1" t="str">
            <v>PHIẾU XỬ LÝ HỒ SƠ THANH TOÁN VƯỢT THẨM QUYỀN PD</v>
          </cell>
        </row>
      </sheetData>
      <sheetData sheetId="2581">
        <row r="1">
          <cell r="A1" t="str">
            <v>PHIẾU XỬ LÝ HỒ SƠ THANH TOÁN VƯỢT THẨM QUYỀN PD</v>
          </cell>
        </row>
      </sheetData>
      <sheetData sheetId="2582">
        <row r="1">
          <cell r="A1" t="str">
            <v>PHIẾU XỬ LÝ HỒ SƠ THANH TOÁN VƯỢT THẨM QUYỀN PD</v>
          </cell>
        </row>
      </sheetData>
      <sheetData sheetId="2583">
        <row r="1">
          <cell r="A1" t="str">
            <v>PHIẾU XỬ LÝ HỒ SƠ THANH TOÁN VƯỢT THẨM QUYỀN PD</v>
          </cell>
        </row>
      </sheetData>
      <sheetData sheetId="2584">
        <row r="1">
          <cell r="A1" t="str">
            <v>PHIẾU XỬ LÝ HỒ SƠ THANH TOÁN VƯỢT THẨM QUYỀN PD</v>
          </cell>
        </row>
      </sheetData>
      <sheetData sheetId="2585">
        <row r="1">
          <cell r="A1" t="str">
            <v>PHIẾU XỬ LÝ HỒ SƠ THANH TOÁN VƯỢT THẨM QUYỀN PD</v>
          </cell>
        </row>
      </sheetData>
      <sheetData sheetId="2586">
        <row r="1">
          <cell r="A1" t="str">
            <v>PHIẾU XỬ LÝ HỒ SƠ THANH TOÁN VƯỢT THẨM QUYỀN PD</v>
          </cell>
        </row>
      </sheetData>
      <sheetData sheetId="2587">
        <row r="1">
          <cell r="A1" t="str">
            <v>PHIẾU XỬ LÝ HỒ SƠ THANH TOÁN VƯỢT THẨM QUYỀN PD</v>
          </cell>
        </row>
      </sheetData>
      <sheetData sheetId="2588">
        <row r="1">
          <cell r="A1" t="str">
            <v>PHIẾU XỬ LÝ HỒ SƠ THANH TOÁN VƯỢT THẨM QUYỀN PD</v>
          </cell>
        </row>
      </sheetData>
      <sheetData sheetId="2589">
        <row r="1">
          <cell r="A1" t="str">
            <v>PHIẾU XỬ LÝ HỒ SƠ THANH TOÁN VƯỢT THẨM QUYỀN PD</v>
          </cell>
        </row>
      </sheetData>
      <sheetData sheetId="2590">
        <row r="1">
          <cell r="A1" t="str">
            <v>PHIẾU XỬ LÝ HỒ SƠ THANH TOÁN VƯỢT THẨM QUYỀN PD</v>
          </cell>
        </row>
      </sheetData>
      <sheetData sheetId="2591">
        <row r="1">
          <cell r="A1" t="str">
            <v>PHIẾU XỬ LÝ HỒ SƠ THANH TOÁN VƯỢT THẨM QUYỀN PD</v>
          </cell>
        </row>
      </sheetData>
      <sheetData sheetId="2592" refreshError="1"/>
      <sheetData sheetId="2593" refreshError="1"/>
      <sheetData sheetId="2594">
        <row r="1">
          <cell r="A1" t="str">
            <v>PHIẾU XỬ LÝ HỒ SƠ THANH TOÁN VƯỢT THẨM QUYỀN PD</v>
          </cell>
        </row>
      </sheetData>
      <sheetData sheetId="2595">
        <row r="1">
          <cell r="A1" t="str">
            <v>PHIẾU XỬ LÝ HỒ SƠ THANH TOÁN VƯỢT THẨM QUYỀN PD</v>
          </cell>
        </row>
      </sheetData>
      <sheetData sheetId="2596" refreshError="1"/>
      <sheetData sheetId="2597" refreshError="1"/>
      <sheetData sheetId="2598" refreshError="1"/>
      <sheetData sheetId="2599" refreshError="1"/>
      <sheetData sheetId="2600">
        <row r="1">
          <cell r="A1" t="str">
            <v>PHIẾU XỬ LÝ HỒ SƠ THANH TOÁN VƯỢT THẨM QUYỀN PD</v>
          </cell>
        </row>
      </sheetData>
      <sheetData sheetId="2601">
        <row r="1">
          <cell r="A1" t="str">
            <v>PHIẾU XỬ LÝ HỒ SƠ THANH TOÁN VƯỢT THẨM QUYỀN PD</v>
          </cell>
        </row>
      </sheetData>
      <sheetData sheetId="2602">
        <row r="1">
          <cell r="A1" t="str">
            <v>PHIẾU XỬ LÝ HỒ SƠ THANH TOÁN VƯỢT THẨM QUYỀN PD</v>
          </cell>
        </row>
      </sheetData>
      <sheetData sheetId="2603">
        <row r="1">
          <cell r="A1" t="str">
            <v>PHIẾU XỬ LÝ HỒ SƠ THANH TOÁN VƯỢT THẨM QUYỀN PD</v>
          </cell>
        </row>
      </sheetData>
      <sheetData sheetId="2604">
        <row r="1">
          <cell r="A1" t="str">
            <v>PHIẾU XỬ LÝ HỒ SƠ THANH TOÁN VƯỢT THẨM QUYỀN PD</v>
          </cell>
        </row>
      </sheetData>
      <sheetData sheetId="2605">
        <row r="1">
          <cell r="A1" t="str">
            <v>PHIẾU XỬ LÝ HỒ SƠ THANH TOÁN VƯỢT THẨM QUYỀN PD</v>
          </cell>
        </row>
      </sheetData>
      <sheetData sheetId="2606">
        <row r="1">
          <cell r="A1" t="str">
            <v>PHIẾU XỬ LÝ HỒ SƠ THANH TOÁN VƯỢT THẨM QUYỀN PD</v>
          </cell>
        </row>
      </sheetData>
      <sheetData sheetId="2607">
        <row r="1">
          <cell r="A1" t="str">
            <v>PHIẾU XỬ LÝ HỒ SƠ THANH TOÁN VƯỢT THẨM QUYỀN PD</v>
          </cell>
        </row>
      </sheetData>
      <sheetData sheetId="2608">
        <row r="1">
          <cell r="A1" t="str">
            <v>PHIẾU XỬ LÝ HỒ SƠ THANH TOÁN VƯỢT THẨM QUYỀN PD</v>
          </cell>
        </row>
      </sheetData>
      <sheetData sheetId="2609">
        <row r="1">
          <cell r="A1" t="str">
            <v>PHIẾU XỬ LÝ HỒ SƠ THANH TOÁN VƯỢT THẨM QUYỀN PD</v>
          </cell>
        </row>
      </sheetData>
      <sheetData sheetId="2610">
        <row r="1">
          <cell r="A1" t="str">
            <v>PHIẾU XỬ LÝ HỒ SƠ THANH TOÁN VƯỢT THẨM QUYỀN PD</v>
          </cell>
        </row>
      </sheetData>
      <sheetData sheetId="2611">
        <row r="1">
          <cell r="A1" t="str">
            <v>PHIẾU XỬ LÝ HỒ SƠ THANH TOÁN VƯỢT THẨM QUYỀN PD</v>
          </cell>
        </row>
      </sheetData>
      <sheetData sheetId="2612">
        <row r="1">
          <cell r="A1" t="str">
            <v>PHIẾU XỬ LÝ HỒ SƠ THANH TOÁN VƯỢT THẨM QUYỀN PD</v>
          </cell>
        </row>
      </sheetData>
      <sheetData sheetId="2613">
        <row r="1">
          <cell r="A1" t="str">
            <v>PHIẾU XỬ LÝ HỒ SƠ THANH TOÁN VƯỢT THẨM QUYỀN PD</v>
          </cell>
        </row>
      </sheetData>
      <sheetData sheetId="2614">
        <row r="1">
          <cell r="A1" t="str">
            <v>PHIẾU XỬ LÝ HỒ SƠ THANH TOÁN VƯỢT THẨM QUYỀN PD</v>
          </cell>
        </row>
      </sheetData>
      <sheetData sheetId="2615">
        <row r="1">
          <cell r="A1" t="str">
            <v>PHIẾU XỬ LÝ HỒ SƠ THANH TOÁN VƯỢT THẨM QUYỀN PD</v>
          </cell>
        </row>
      </sheetData>
      <sheetData sheetId="2616">
        <row r="1">
          <cell r="A1" t="str">
            <v>PHIẾU XỬ LÝ HỒ SƠ THANH TOÁN VƯỢT THẨM QUYỀN PD</v>
          </cell>
        </row>
      </sheetData>
      <sheetData sheetId="2617">
        <row r="1">
          <cell r="A1" t="str">
            <v>PHIẾU XỬ LÝ HỒ SƠ THANH TOÁN VƯỢT THẨM QUYỀN PD</v>
          </cell>
        </row>
      </sheetData>
      <sheetData sheetId="2618">
        <row r="1">
          <cell r="A1" t="str">
            <v>PHIẾU XỬ LÝ HỒ SƠ THANH TOÁN VƯỢT THẨM QUYỀN PD</v>
          </cell>
        </row>
      </sheetData>
      <sheetData sheetId="2619">
        <row r="1">
          <cell r="A1" t="str">
            <v>PHIẾU XỬ LÝ HỒ SƠ THANH TOÁN VƯỢT THẨM QUYỀN PD</v>
          </cell>
        </row>
      </sheetData>
      <sheetData sheetId="2620">
        <row r="1">
          <cell r="A1" t="str">
            <v>PHIẾU XỬ LÝ HỒ SƠ THANH TOÁN VƯỢT THẨM QUYỀN PD</v>
          </cell>
        </row>
      </sheetData>
      <sheetData sheetId="2621">
        <row r="1">
          <cell r="A1" t="str">
            <v>PHIẾU XỬ LÝ HỒ SƠ THANH TOÁN VƯỢT THẨM QUYỀN PD</v>
          </cell>
        </row>
      </sheetData>
      <sheetData sheetId="2622">
        <row r="1">
          <cell r="A1" t="str">
            <v>PHIẾU XỬ LÝ HỒ SƠ THANH TOÁN VƯỢT THẨM QUYỀN PD</v>
          </cell>
        </row>
      </sheetData>
      <sheetData sheetId="2623">
        <row r="1">
          <cell r="A1" t="str">
            <v>PHIẾU XỬ LÝ HỒ SƠ THANH TOÁN VƯỢT THẨM QUYỀN PD</v>
          </cell>
        </row>
      </sheetData>
      <sheetData sheetId="2624">
        <row r="1">
          <cell r="A1" t="str">
            <v>PHIẾU XỬ LÝ HỒ SƠ THANH TOÁN VƯỢT THẨM QUYỀN PD</v>
          </cell>
        </row>
      </sheetData>
      <sheetData sheetId="2625">
        <row r="1">
          <cell r="A1" t="str">
            <v>PHIẾU XỬ LÝ HỒ SƠ THANH TOÁN VƯỢT THẨM QUYỀN PD</v>
          </cell>
        </row>
      </sheetData>
      <sheetData sheetId="2626">
        <row r="1">
          <cell r="A1" t="str">
            <v>PHIẾU XỬ LÝ HỒ SƠ THANH TOÁN VƯỢT THẨM QUYỀN PD</v>
          </cell>
        </row>
      </sheetData>
      <sheetData sheetId="2627">
        <row r="1">
          <cell r="A1" t="str">
            <v>PHIẾU XỬ LÝ HỒ SƠ THANH TOÁN VƯỢT THẨM QUYỀN PD</v>
          </cell>
        </row>
      </sheetData>
      <sheetData sheetId="2628">
        <row r="1">
          <cell r="A1" t="str">
            <v>PHIẾU XỬ LÝ HỒ SƠ THANH TOÁN VƯỢT THẨM QUYỀN PD</v>
          </cell>
        </row>
      </sheetData>
      <sheetData sheetId="2629">
        <row r="1">
          <cell r="A1" t="str">
            <v>PHIẾU XỬ LÝ HỒ SƠ THANH TOÁN VƯỢT THẨM QUYỀN PD</v>
          </cell>
        </row>
      </sheetData>
      <sheetData sheetId="2630">
        <row r="1">
          <cell r="A1" t="str">
            <v>PHIẾU XỬ LÝ HỒ SƠ THANH TOÁN VƯỢT THẨM QUYỀN PD</v>
          </cell>
        </row>
      </sheetData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>
        <row r="1">
          <cell r="A1" t="str">
            <v>PHIẾU XỬ LÝ HỒ SƠ THANH TOÁN VƯỢT THẨM QUYỀN PD</v>
          </cell>
        </row>
      </sheetData>
      <sheetData sheetId="2651">
        <row r="1">
          <cell r="A1" t="str">
            <v>PHIẾU XỬ LÝ HỒ SƠ THANH TOÁN VƯỢT THẨM QUYỀN PD</v>
          </cell>
        </row>
      </sheetData>
      <sheetData sheetId="2652">
        <row r="1">
          <cell r="A1" t="str">
            <v>PHIẾU XỬ LÝ HỒ SƠ THANH TOÁN VƯỢT THẨM QUYỀN PD</v>
          </cell>
        </row>
      </sheetData>
      <sheetData sheetId="2653">
        <row r="1">
          <cell r="A1" t="str">
            <v>PHIẾU XỬ LÝ HỒ SƠ THANH TOÁN VƯỢT THẨM QUYỀN PD</v>
          </cell>
        </row>
      </sheetData>
      <sheetData sheetId="2654">
        <row r="1">
          <cell r="A1" t="str">
            <v>PHIẾU XỬ LÝ HỒ SƠ THANH TOÁN VƯỢT THẨM QUYỀN PD</v>
          </cell>
        </row>
      </sheetData>
      <sheetData sheetId="2655">
        <row r="1">
          <cell r="A1" t="str">
            <v>PHIẾU XỬ LÝ HỒ SƠ THANH TOÁN VƯỢT THẨM QUYỀN PD</v>
          </cell>
        </row>
      </sheetData>
      <sheetData sheetId="2656">
        <row r="1">
          <cell r="A1" t="str">
            <v>PHIẾU XỬ LÝ HỒ SƠ THANH TOÁN VƯỢT THẨM QUYỀN PD</v>
          </cell>
        </row>
      </sheetData>
      <sheetData sheetId="2657">
        <row r="1">
          <cell r="A1" t="str">
            <v>PHIẾU XỬ LÝ HỒ SƠ THANH TOÁN VƯỢT THẨM QUYỀN PD</v>
          </cell>
        </row>
      </sheetData>
      <sheetData sheetId="2658">
        <row r="1">
          <cell r="A1" t="str">
            <v>PHIẾU XỬ LÝ HỒ SƠ THANH TOÁN VƯỢT THẨM QUYỀN PD</v>
          </cell>
        </row>
      </sheetData>
      <sheetData sheetId="2659">
        <row r="1">
          <cell r="A1" t="str">
            <v>PHIẾU XỬ LÝ HỒ SƠ THANH TOÁN VƯỢT THẨM QUYỀN PD</v>
          </cell>
        </row>
      </sheetData>
      <sheetData sheetId="2660">
        <row r="1">
          <cell r="A1" t="str">
            <v>PHIẾU XỬ LÝ HỒ SƠ THANH TOÁN VƯỢT THẨM QUYỀN PD</v>
          </cell>
        </row>
      </sheetData>
      <sheetData sheetId="2661">
        <row r="1">
          <cell r="A1" t="str">
            <v>PHIẾU XỬ LÝ HỒ SƠ THANH TOÁN VƯỢT THẨM QUYỀN PD</v>
          </cell>
        </row>
      </sheetData>
      <sheetData sheetId="2662">
        <row r="1">
          <cell r="A1" t="str">
            <v>PHIẾU XỬ LÝ HỒ SƠ THANH TOÁN VƯỢT THẨM QUYỀN PD</v>
          </cell>
        </row>
      </sheetData>
      <sheetData sheetId="2663">
        <row r="1">
          <cell r="A1" t="str">
            <v>PHIẾU XỬ LÝ HỒ SƠ THANH TOÁN VƯỢT THẨM QUYỀN PD</v>
          </cell>
        </row>
      </sheetData>
      <sheetData sheetId="2664">
        <row r="1">
          <cell r="A1" t="str">
            <v>PHIẾU XỬ LÝ HỒ SƠ THANH TOÁN VƯỢT THẨM QUYỀN PD</v>
          </cell>
        </row>
      </sheetData>
      <sheetData sheetId="2665">
        <row r="1">
          <cell r="A1" t="str">
            <v>PHIẾU XỬ LÝ HỒ SƠ THANH TOÁN VƯỢT THẨM QUYỀN PD</v>
          </cell>
        </row>
      </sheetData>
      <sheetData sheetId="2666">
        <row r="1">
          <cell r="A1" t="str">
            <v>PHIẾU XỬ LÝ HỒ SƠ THANH TOÁN VƯỢT THẨM QUYỀN PD</v>
          </cell>
        </row>
      </sheetData>
      <sheetData sheetId="2667">
        <row r="1">
          <cell r="A1" t="str">
            <v>PHIẾU XỬ LÝ HỒ SƠ THANH TOÁN VƯỢT THẨM QUYỀN PD</v>
          </cell>
        </row>
      </sheetData>
      <sheetData sheetId="2668">
        <row r="1">
          <cell r="A1" t="str">
            <v>PHIẾU XỬ LÝ HỒ SƠ THANH TOÁN VƯỢT THẨM QUYỀN PD</v>
          </cell>
        </row>
      </sheetData>
      <sheetData sheetId="2669">
        <row r="1">
          <cell r="A1" t="str">
            <v>PHIẾU XỬ LÝ HỒ SƠ THANH TOÁN VƯỢT THẨM QUYỀN PD</v>
          </cell>
        </row>
      </sheetData>
      <sheetData sheetId="2670">
        <row r="1">
          <cell r="A1" t="str">
            <v>PHIẾU XỬ LÝ HỒ SƠ THANH TOÁN VƯỢT THẨM QUYỀN PD</v>
          </cell>
        </row>
      </sheetData>
      <sheetData sheetId="2671">
        <row r="1">
          <cell r="A1" t="str">
            <v>PHIẾU XỬ LÝ HỒ SƠ THANH TOÁN VƯỢT THẨM QUYỀN PD</v>
          </cell>
        </row>
      </sheetData>
      <sheetData sheetId="2672">
        <row r="1">
          <cell r="A1" t="str">
            <v>PHIẾU XỬ LÝ HỒ SƠ THANH TOÁN VƯỢT THẨM QUYỀN PD</v>
          </cell>
        </row>
      </sheetData>
      <sheetData sheetId="2673">
        <row r="1">
          <cell r="A1" t="str">
            <v>PHIẾU XỬ LÝ HỒ SƠ THANH TOÁN VƯỢT THẨM QUYỀN PD</v>
          </cell>
        </row>
      </sheetData>
      <sheetData sheetId="2674">
        <row r="1">
          <cell r="A1" t="str">
            <v>PHIẾU XỬ LÝ HỒ SƠ THANH TOÁN VƯỢT THẨM QUYỀN PD</v>
          </cell>
        </row>
      </sheetData>
      <sheetData sheetId="2675">
        <row r="1">
          <cell r="A1" t="str">
            <v>PHIẾU XỬ LÝ HỒ SƠ THANH TOÁN VƯỢT THẨM QUYỀN PD</v>
          </cell>
        </row>
      </sheetData>
      <sheetData sheetId="2676">
        <row r="1">
          <cell r="A1" t="str">
            <v>PHIẾU XỬ LÝ HỒ SƠ THANH TOÁN VƯỢT THẨM QUYỀN PD</v>
          </cell>
        </row>
      </sheetData>
      <sheetData sheetId="2677">
        <row r="1">
          <cell r="A1" t="str">
            <v>PHIẾU XỬ LÝ HỒ SƠ THANH TOÁN VƯỢT THẨM QUYỀN PD</v>
          </cell>
        </row>
      </sheetData>
      <sheetData sheetId="2678">
        <row r="1">
          <cell r="A1" t="str">
            <v>PHIẾU XỬ LÝ HỒ SƠ THANH TOÁN VƯỢT THẨM QUYỀN PD</v>
          </cell>
        </row>
      </sheetData>
      <sheetData sheetId="2679">
        <row r="1">
          <cell r="A1" t="str">
            <v>PHIẾU XỬ LÝ HỒ SƠ THANH TOÁN VƯỢT THẨM QUYỀN PD</v>
          </cell>
        </row>
      </sheetData>
      <sheetData sheetId="2680">
        <row r="1">
          <cell r="A1" t="str">
            <v>PHIẾU XỬ LÝ HỒ SƠ THANH TOÁN VƯỢT THẨM QUYỀN PD</v>
          </cell>
        </row>
      </sheetData>
      <sheetData sheetId="2681">
        <row r="1">
          <cell r="A1" t="str">
            <v>PHIẾU XỬ LÝ HỒ SƠ THANH TOÁN VƯỢT THẨM QUYỀN PD</v>
          </cell>
        </row>
      </sheetData>
      <sheetData sheetId="2682">
        <row r="1">
          <cell r="A1" t="str">
            <v>PHIẾU XỬ LÝ HỒ SƠ THANH TOÁN VƯỢT THẨM QUYỀN PD</v>
          </cell>
        </row>
      </sheetData>
      <sheetData sheetId="2683">
        <row r="1">
          <cell r="A1" t="str">
            <v>PHIẾU XỬ LÝ HỒ SƠ THANH TOÁN VƯỢT THẨM QUYỀN PD</v>
          </cell>
        </row>
      </sheetData>
      <sheetData sheetId="2684">
        <row r="1">
          <cell r="A1" t="str">
            <v>PHIẾU XỬ LÝ HỒ SƠ THANH TOÁN VƯỢT THẨM QUYỀN PD</v>
          </cell>
        </row>
      </sheetData>
      <sheetData sheetId="2685">
        <row r="1">
          <cell r="A1" t="str">
            <v>PHIẾU XỬ LÝ HỒ SƠ THANH TOÁN VƯỢT THẨM QUYỀN PD</v>
          </cell>
        </row>
      </sheetData>
      <sheetData sheetId="2686">
        <row r="1">
          <cell r="A1" t="str">
            <v>PHIẾU XỬ LÝ HỒ SƠ THANH TOÁN VƯỢT THẨM QUYỀN PD</v>
          </cell>
        </row>
      </sheetData>
      <sheetData sheetId="2687">
        <row r="1">
          <cell r="A1" t="str">
            <v>PHIẾU XỬ LÝ HỒ SƠ THANH TOÁN VƯỢT THẨM QUYỀN PD</v>
          </cell>
        </row>
      </sheetData>
      <sheetData sheetId="2688">
        <row r="1">
          <cell r="A1" t="str">
            <v>PHIẾU XỬ LÝ HỒ SƠ THANH TOÁN VƯỢT THẨM QUYỀN PD</v>
          </cell>
        </row>
      </sheetData>
      <sheetData sheetId="2689">
        <row r="1">
          <cell r="A1" t="str">
            <v>PHIẾU XỬ LÝ HỒ SƠ THANH TOÁN VƯỢT THẨM QUYỀN PD</v>
          </cell>
        </row>
      </sheetData>
      <sheetData sheetId="2690">
        <row r="1">
          <cell r="A1" t="str">
            <v>PHIẾU XỬ LÝ HỒ SƠ THANH TOÁN VƯỢT THẨM QUYỀN PD</v>
          </cell>
        </row>
      </sheetData>
      <sheetData sheetId="2691">
        <row r="1">
          <cell r="A1" t="str">
            <v>PHIẾU XỬ LÝ HỒ SƠ THANH TOÁN VƯỢT THẨM QUYỀN PD</v>
          </cell>
        </row>
      </sheetData>
      <sheetData sheetId="2692">
        <row r="1">
          <cell r="A1" t="str">
            <v>PHIẾU XỬ LÝ HỒ SƠ THANH TOÁN VƯỢT THẨM QUYỀN PD</v>
          </cell>
        </row>
      </sheetData>
      <sheetData sheetId="2693">
        <row r="1">
          <cell r="A1" t="str">
            <v>PHIẾU XỬ LÝ HỒ SƠ THANH TOÁN VƯỢT THẨM QUYỀN PD</v>
          </cell>
        </row>
      </sheetData>
      <sheetData sheetId="2694">
        <row r="1">
          <cell r="A1" t="str">
            <v>PHIẾU XỬ LÝ HỒ SƠ THANH TOÁN VƯỢT THẨM QUYỀN PD</v>
          </cell>
        </row>
      </sheetData>
      <sheetData sheetId="2695">
        <row r="1">
          <cell r="A1" t="str">
            <v>PHIẾU XỬ LÝ HỒ SƠ THANH TOÁN VƯỢT THẨM QUYỀN PD</v>
          </cell>
        </row>
      </sheetData>
      <sheetData sheetId="2696">
        <row r="1">
          <cell r="A1" t="str">
            <v>PHIẾU XỬ LÝ HỒ SƠ THANH TOÁN VƯỢT THẨM QUYỀN PD</v>
          </cell>
        </row>
      </sheetData>
      <sheetData sheetId="2697">
        <row r="1">
          <cell r="A1" t="str">
            <v>PHIẾU XỬ LÝ HỒ SƠ THANH TOÁN VƯỢT THẨM QUYỀN PD</v>
          </cell>
        </row>
      </sheetData>
      <sheetData sheetId="2698">
        <row r="1">
          <cell r="A1" t="str">
            <v>PHIẾU XỬ LÝ HỒ SƠ THANH TOÁN VƯỢT THẨM QUYỀN PD</v>
          </cell>
        </row>
      </sheetData>
      <sheetData sheetId="2699">
        <row r="1">
          <cell r="A1" t="str">
            <v>PHIẾU XỬ LÝ HỒ SƠ THANH TOÁN VƯỢT THẨM QUYỀN PD</v>
          </cell>
        </row>
      </sheetData>
      <sheetData sheetId="2700">
        <row r="1">
          <cell r="A1" t="str">
            <v>PHIẾU XỬ LÝ HỒ SƠ THANH TOÁN VƯỢT THẨM QUYỀN PD</v>
          </cell>
        </row>
      </sheetData>
      <sheetData sheetId="2701">
        <row r="1">
          <cell r="A1" t="str">
            <v>PHIẾU XỬ LÝ HỒ SƠ THANH TOÁN VƯỢT THẨM QUYỀN PD</v>
          </cell>
        </row>
      </sheetData>
      <sheetData sheetId="2702">
        <row r="1">
          <cell r="A1" t="str">
            <v>PHIẾU XỬ LÝ HỒ SƠ THANH TOÁN VƯỢT THẨM QUYỀN PD</v>
          </cell>
        </row>
      </sheetData>
      <sheetData sheetId="2703">
        <row r="1">
          <cell r="A1" t="str">
            <v>PHIẾU XỬ LÝ HỒ SƠ THANH TOÁN VƯỢT THẨM QUYỀN PD</v>
          </cell>
        </row>
      </sheetData>
      <sheetData sheetId="2704">
        <row r="1">
          <cell r="A1" t="str">
            <v>PHIẾU XỬ LÝ HỒ SƠ THANH TOÁN VƯỢT THẨM QUYỀN PD</v>
          </cell>
        </row>
      </sheetData>
      <sheetData sheetId="2705">
        <row r="1">
          <cell r="A1" t="str">
            <v>PHIẾU XỬ LÝ HỒ SƠ THANH TOÁN VƯỢT THẨM QUYỀN PD</v>
          </cell>
        </row>
      </sheetData>
      <sheetData sheetId="2706">
        <row r="1">
          <cell r="A1" t="str">
            <v>PHIẾU XỬ LÝ HỒ SƠ THANH TOÁN VƯỢT THẨM QUYỀN PD</v>
          </cell>
        </row>
      </sheetData>
      <sheetData sheetId="2707">
        <row r="1">
          <cell r="A1" t="str">
            <v>PHIẾU XỬ LÝ HỒ SƠ THANH TOÁN VƯỢT THẨM QUYỀN PD</v>
          </cell>
        </row>
      </sheetData>
      <sheetData sheetId="2708">
        <row r="1">
          <cell r="A1" t="str">
            <v>PHIẾU XỬ LÝ HỒ SƠ THANH TOÁN VƯỢT THẨM QUYỀN PD</v>
          </cell>
        </row>
      </sheetData>
      <sheetData sheetId="2709">
        <row r="1">
          <cell r="A1" t="str">
            <v>PHIẾU XỬ LÝ HỒ SƠ THANH TOÁN VƯỢT THẨM QUYỀN PD</v>
          </cell>
        </row>
      </sheetData>
      <sheetData sheetId="2710">
        <row r="1">
          <cell r="A1" t="str">
            <v>PHIẾU XỬ LÝ HỒ SƠ THANH TOÁN VƯỢT THẨM QUYỀN PD</v>
          </cell>
        </row>
      </sheetData>
      <sheetData sheetId="2711">
        <row r="1">
          <cell r="A1" t="str">
            <v>PHIẾU XỬ LÝ HỒ SƠ THANH TOÁN VƯỢT THẨM QUYỀN PD</v>
          </cell>
        </row>
      </sheetData>
      <sheetData sheetId="2712">
        <row r="1">
          <cell r="A1" t="str">
            <v>PHIẾU XỬ LÝ HỒ SƠ THANH TOÁN VƯỢT THẨM QUYỀN PD</v>
          </cell>
        </row>
      </sheetData>
      <sheetData sheetId="2713">
        <row r="1">
          <cell r="A1" t="str">
            <v>PHIẾU XỬ LÝ HỒ SƠ THANH TOÁN VƯỢT THẨM QUYỀN PD</v>
          </cell>
        </row>
      </sheetData>
      <sheetData sheetId="2714">
        <row r="1">
          <cell r="A1" t="str">
            <v>PHIẾU XỬ LÝ HỒ SƠ THANH TOÁN VƯỢT THẨM QUYỀN PD</v>
          </cell>
        </row>
      </sheetData>
      <sheetData sheetId="2715">
        <row r="1">
          <cell r="A1" t="str">
            <v>PHIẾU XỬ LÝ HỒ SƠ THANH TOÁN VƯỢT THẨM QUYỀN PD</v>
          </cell>
        </row>
      </sheetData>
      <sheetData sheetId="2716">
        <row r="1">
          <cell r="A1" t="str">
            <v>PHIẾU XỬ LÝ HỒ SƠ THANH TOÁN VƯỢT THẨM QUYỀN PD</v>
          </cell>
        </row>
      </sheetData>
      <sheetData sheetId="2717">
        <row r="1">
          <cell r="A1" t="str">
            <v>PHIẾU XỬ LÝ HỒ SƠ THANH TOÁN VƯỢT THẨM QUYỀN PD</v>
          </cell>
        </row>
      </sheetData>
      <sheetData sheetId="2718">
        <row r="1">
          <cell r="A1" t="str">
            <v>PHIẾU XỬ LÝ HỒ SƠ THANH TOÁN VƯỢT THẨM QUYỀN PD</v>
          </cell>
        </row>
      </sheetData>
      <sheetData sheetId="2719">
        <row r="1">
          <cell r="A1" t="str">
            <v>PHIẾU XỬ LÝ HỒ SƠ THANH TOÁN VƯỢT THẨM QUYỀN PD</v>
          </cell>
        </row>
      </sheetData>
      <sheetData sheetId="2720">
        <row r="1">
          <cell r="A1" t="str">
            <v>PHIẾU XỬ LÝ HỒ SƠ THANH TOÁN VƯỢT THẨM QUYỀN PD</v>
          </cell>
        </row>
      </sheetData>
      <sheetData sheetId="2721">
        <row r="1">
          <cell r="A1" t="str">
            <v>PHIẾU XỬ LÝ HỒ SƠ THANH TOÁN VƯỢT THẨM QUYỀN PD</v>
          </cell>
        </row>
      </sheetData>
      <sheetData sheetId="2722">
        <row r="1">
          <cell r="A1" t="str">
            <v>PHIẾU XỬ LÝ HỒ SƠ THANH TOÁN VƯỢT THẨM QUYỀN PD</v>
          </cell>
        </row>
      </sheetData>
      <sheetData sheetId="2723">
        <row r="1">
          <cell r="A1" t="str">
            <v>PHIẾU XỬ LÝ HỒ SƠ THANH TOÁN VƯỢT THẨM QUYỀN PD</v>
          </cell>
        </row>
      </sheetData>
      <sheetData sheetId="2724">
        <row r="1">
          <cell r="A1" t="str">
            <v>PHIẾU XỬ LÝ HỒ SƠ THANH TOÁN VƯỢT THẨM QUYỀN PD</v>
          </cell>
        </row>
      </sheetData>
      <sheetData sheetId="2725">
        <row r="1">
          <cell r="A1" t="str">
            <v>PHIẾU XỬ LÝ HỒ SƠ THANH TOÁN VƯỢT THẨM QUYỀN PD</v>
          </cell>
        </row>
      </sheetData>
      <sheetData sheetId="2726">
        <row r="1">
          <cell r="A1" t="str">
            <v>PHIẾU XỬ LÝ HỒ SƠ THANH TOÁN VƯỢT THẨM QUYỀN PD</v>
          </cell>
        </row>
      </sheetData>
      <sheetData sheetId="2727">
        <row r="1">
          <cell r="A1" t="str">
            <v>PHIẾU XỬ LÝ HỒ SƠ THANH TOÁN VƯỢT THẨM QUYỀN PD</v>
          </cell>
        </row>
      </sheetData>
      <sheetData sheetId="2728">
        <row r="1">
          <cell r="A1" t="str">
            <v>PHIẾU XỬ LÝ HỒ SƠ THANH TOÁN VƯỢT THẨM QUYỀN PD</v>
          </cell>
        </row>
      </sheetData>
      <sheetData sheetId="2729">
        <row r="1">
          <cell r="A1" t="str">
            <v>PHIẾU XỬ LÝ HỒ SƠ THANH TOÁN VƯỢT THẨM QUYỀN PD</v>
          </cell>
        </row>
      </sheetData>
      <sheetData sheetId="2730">
        <row r="1">
          <cell r="A1" t="str">
            <v>PHIẾU XỬ LÝ HỒ SƠ THANH TOÁN VƯỢT THẨM QUYỀN PD</v>
          </cell>
        </row>
      </sheetData>
      <sheetData sheetId="2731">
        <row r="1">
          <cell r="A1" t="str">
            <v>PHIẾU XỬ LÝ HỒ SƠ THANH TOÁN VƯỢT THẨM QUYỀN PD</v>
          </cell>
        </row>
      </sheetData>
      <sheetData sheetId="2732">
        <row r="1">
          <cell r="A1" t="str">
            <v>PHIẾU XỬ LÝ HỒ SƠ THANH TOÁN VƯỢT THẨM QUYỀN PD</v>
          </cell>
        </row>
      </sheetData>
      <sheetData sheetId="2733">
        <row r="1">
          <cell r="A1" t="str">
            <v>PHIẾU XỬ LÝ HỒ SƠ THANH TOÁN VƯỢT THẨM QUYỀN PD</v>
          </cell>
        </row>
      </sheetData>
      <sheetData sheetId="2734">
        <row r="1">
          <cell r="A1" t="str">
            <v>PHIẾU XỬ LÝ HỒ SƠ THANH TOÁN VƯỢT THẨM QUYỀN PD</v>
          </cell>
        </row>
      </sheetData>
      <sheetData sheetId="2735">
        <row r="1">
          <cell r="A1" t="str">
            <v>PHIẾU XỬ LÝ HỒ SƠ THANH TOÁN VƯỢT THẨM QUYỀN PD</v>
          </cell>
        </row>
      </sheetData>
      <sheetData sheetId="2736">
        <row r="1">
          <cell r="A1" t="str">
            <v>PHIẾU XỬ LÝ HỒ SƠ THANH TOÁN VƯỢT THẨM QUYỀN PD</v>
          </cell>
        </row>
      </sheetData>
      <sheetData sheetId="2737">
        <row r="1">
          <cell r="A1" t="str">
            <v>PHIẾU XỬ LÝ HỒ SƠ THANH TOÁN VƯỢT THẨM QUYỀN PD</v>
          </cell>
        </row>
      </sheetData>
      <sheetData sheetId="2738">
        <row r="1">
          <cell r="A1" t="str">
            <v>PHIẾU XỬ LÝ HỒ SƠ THANH TOÁN VƯỢT THẨM QUYỀN PD</v>
          </cell>
        </row>
      </sheetData>
      <sheetData sheetId="2739">
        <row r="1">
          <cell r="A1" t="str">
            <v>PHIẾU XỬ LÝ HỒ SƠ THANH TOÁN VƯỢT THẨM QUYỀN PD</v>
          </cell>
        </row>
      </sheetData>
      <sheetData sheetId="2740">
        <row r="1">
          <cell r="A1" t="str">
            <v>PHIẾU XỬ LÝ HỒ SƠ THANH TOÁN VƯỢT THẨM QUYỀN PD</v>
          </cell>
        </row>
      </sheetData>
      <sheetData sheetId="2741">
        <row r="1">
          <cell r="A1" t="str">
            <v>PHIẾU XỬ LÝ HỒ SƠ THANH TOÁN VƯỢT THẨM QUYỀN PD</v>
          </cell>
        </row>
      </sheetData>
      <sheetData sheetId="2742">
        <row r="1">
          <cell r="A1" t="str">
            <v>PHIẾU XỬ LÝ HỒ SƠ THANH TOÁN VƯỢT THẨM QUYỀN PD</v>
          </cell>
        </row>
      </sheetData>
      <sheetData sheetId="2743">
        <row r="1">
          <cell r="A1" t="str">
            <v>PHIẾU XỬ LÝ HỒ SƠ THANH TOÁN VƯỢT THẨM QUYỀN PD</v>
          </cell>
        </row>
      </sheetData>
      <sheetData sheetId="2744">
        <row r="1">
          <cell r="A1" t="str">
            <v>PHIẾU XỬ LÝ HỒ SƠ THANH TOÁN VƯỢT THẨM QUYỀN PD</v>
          </cell>
        </row>
      </sheetData>
      <sheetData sheetId="2745">
        <row r="1">
          <cell r="A1" t="str">
            <v>PHIẾU XỬ LÝ HỒ SƠ THANH TOÁN VƯỢT THẨM QUYỀN PD</v>
          </cell>
        </row>
      </sheetData>
      <sheetData sheetId="2746">
        <row r="1">
          <cell r="A1" t="str">
            <v>PHIẾU XỬ LÝ HỒ SƠ THANH TOÁN VƯỢT THẨM QUYỀN PD</v>
          </cell>
        </row>
      </sheetData>
      <sheetData sheetId="2747">
        <row r="1">
          <cell r="A1" t="str">
            <v>PHIẾU XỬ LÝ HỒ SƠ THANH TOÁN VƯỢT THẨM QUYỀN PD</v>
          </cell>
        </row>
      </sheetData>
      <sheetData sheetId="2748">
        <row r="1">
          <cell r="A1" t="str">
            <v>PHIẾU XỬ LÝ HỒ SƠ THANH TOÁN VƯỢT THẨM QUYỀN PD</v>
          </cell>
        </row>
      </sheetData>
      <sheetData sheetId="2749">
        <row r="1">
          <cell r="A1" t="str">
            <v>PHIẾU XỬ LÝ HỒ SƠ THANH TOÁN VƯỢT THẨM QUYỀN PD</v>
          </cell>
        </row>
      </sheetData>
      <sheetData sheetId="2750">
        <row r="1">
          <cell r="A1" t="str">
            <v>PHIẾU XỬ LÝ HỒ SƠ THANH TOÁN VƯỢT THẨM QUYỀN PD</v>
          </cell>
        </row>
      </sheetData>
      <sheetData sheetId="2751">
        <row r="1">
          <cell r="A1" t="str">
            <v>PHIẾU XỬ LÝ HỒ SƠ THANH TOÁN VƯỢT THẨM QUYỀN PD</v>
          </cell>
        </row>
      </sheetData>
      <sheetData sheetId="2752">
        <row r="1">
          <cell r="A1" t="str">
            <v>PHIẾU XỬ LÝ HỒ SƠ THANH TOÁN VƯỢT THẨM QUYỀN PD</v>
          </cell>
        </row>
      </sheetData>
      <sheetData sheetId="2753">
        <row r="1">
          <cell r="A1" t="str">
            <v>PHIẾU XỬ LÝ HỒ SƠ THANH TOÁN VƯỢT THẨM QUYỀN PD</v>
          </cell>
        </row>
      </sheetData>
      <sheetData sheetId="2754">
        <row r="1">
          <cell r="A1" t="str">
            <v>PHIẾU XỬ LÝ HỒ SƠ THANH TOÁN VƯỢT THẨM QUYỀN PD</v>
          </cell>
        </row>
      </sheetData>
      <sheetData sheetId="2755">
        <row r="1">
          <cell r="A1" t="str">
            <v>PHIẾU XỬ LÝ HỒ SƠ THANH TOÁN VƯỢT THẨM QUYỀN PD</v>
          </cell>
        </row>
      </sheetData>
      <sheetData sheetId="2756">
        <row r="1">
          <cell r="A1" t="str">
            <v>PHIẾU XỬ LÝ HỒ SƠ THANH TOÁN VƯỢT THẨM QUYỀN PD</v>
          </cell>
        </row>
      </sheetData>
      <sheetData sheetId="2757">
        <row r="1">
          <cell r="A1" t="str">
            <v>PHIẾU XỬ LÝ HỒ SƠ THANH TOÁN VƯỢT THẨM QUYỀN PD</v>
          </cell>
        </row>
      </sheetData>
      <sheetData sheetId="2758">
        <row r="1">
          <cell r="A1" t="str">
            <v>PHIẾU XỬ LÝ HỒ SƠ THANH TOÁN VƯỢT THẨM QUYỀN PD</v>
          </cell>
        </row>
      </sheetData>
      <sheetData sheetId="2759">
        <row r="1">
          <cell r="A1" t="str">
            <v>PHIẾU XỬ LÝ HỒ SƠ THANH TOÁN VƯỢT THẨM QUYỀN PD</v>
          </cell>
        </row>
      </sheetData>
      <sheetData sheetId="2760">
        <row r="1">
          <cell r="A1" t="str">
            <v>PHIẾU XỬ LÝ HỒ SƠ THANH TOÁN VƯỢT THẨM QUYỀN PD</v>
          </cell>
        </row>
      </sheetData>
      <sheetData sheetId="2761">
        <row r="1">
          <cell r="A1" t="str">
            <v>PHIẾU XỬ LÝ HỒ SƠ THANH TOÁN VƯỢT THẨM QUYỀN PD</v>
          </cell>
        </row>
      </sheetData>
      <sheetData sheetId="2762">
        <row r="1">
          <cell r="A1" t="str">
            <v>PHIẾU XỬ LÝ HỒ SƠ THANH TOÁN VƯỢT THẨM QUYỀN PD</v>
          </cell>
        </row>
      </sheetData>
      <sheetData sheetId="2763">
        <row r="1">
          <cell r="A1" t="str">
            <v>PHIẾU XỬ LÝ HỒ SƠ THANH TOÁN VƯỢT THẨM QUYỀN PD</v>
          </cell>
        </row>
      </sheetData>
      <sheetData sheetId="2764">
        <row r="1">
          <cell r="A1" t="str">
            <v>PHIẾU XỬ LÝ HỒ SƠ THANH TOÁN VƯỢT THẨM QUYỀN PD</v>
          </cell>
        </row>
      </sheetData>
      <sheetData sheetId="2765">
        <row r="1">
          <cell r="A1" t="str">
            <v>PHIẾU XỬ LÝ HỒ SƠ THANH TOÁN VƯỢT THẨM QUYỀN PD</v>
          </cell>
        </row>
      </sheetData>
      <sheetData sheetId="2766">
        <row r="1">
          <cell r="A1" t="str">
            <v>PHIẾU XỬ LÝ HỒ SƠ THANH TOÁN VƯỢT THẨM QUYỀN PD</v>
          </cell>
        </row>
      </sheetData>
      <sheetData sheetId="2767">
        <row r="1">
          <cell r="A1" t="str">
            <v>PHIẾU XỬ LÝ HỒ SƠ THANH TOÁN VƯỢT THẨM QUYỀN PD</v>
          </cell>
        </row>
      </sheetData>
      <sheetData sheetId="2768">
        <row r="1">
          <cell r="A1" t="str">
            <v>PHIẾU XỬ LÝ HỒ SƠ THANH TOÁN VƯỢT THẨM QUYỀN PD</v>
          </cell>
        </row>
      </sheetData>
      <sheetData sheetId="2769">
        <row r="1">
          <cell r="A1" t="str">
            <v>PHIẾU XỬ LÝ HỒ SƠ THANH TOÁN VƯỢT THẨM QUYỀN PD</v>
          </cell>
        </row>
      </sheetData>
      <sheetData sheetId="2770">
        <row r="1">
          <cell r="A1" t="str">
            <v>PHIẾU XỬ LÝ HỒ SƠ THANH TOÁN VƯỢT THẨM QUYỀN PD</v>
          </cell>
        </row>
      </sheetData>
      <sheetData sheetId="2771">
        <row r="1">
          <cell r="A1" t="str">
            <v>PHIẾU XỬ LÝ HỒ SƠ THANH TOÁN VƯỢT THẨM QUYỀN PD</v>
          </cell>
        </row>
      </sheetData>
      <sheetData sheetId="2772">
        <row r="1">
          <cell r="A1" t="str">
            <v>PHIẾU XỬ LÝ HỒ SƠ THANH TOÁN VƯỢT THẨM QUYỀN PD</v>
          </cell>
        </row>
      </sheetData>
      <sheetData sheetId="2773">
        <row r="1">
          <cell r="A1" t="str">
            <v>PHIẾU XỬ LÝ HỒ SƠ THANH TOÁN VƯỢT THẨM QUYỀN PD</v>
          </cell>
        </row>
      </sheetData>
      <sheetData sheetId="2774">
        <row r="1">
          <cell r="A1" t="str">
            <v>PHIẾU XỬ LÝ HỒ SƠ THANH TOÁN VƯỢT THẨM QUYỀN PD</v>
          </cell>
        </row>
      </sheetData>
      <sheetData sheetId="2775">
        <row r="1">
          <cell r="A1" t="str">
            <v>PHIẾU XỬ LÝ HỒ SƠ THANH TOÁN VƯỢT THẨM QUYỀN PD</v>
          </cell>
        </row>
      </sheetData>
      <sheetData sheetId="2776">
        <row r="1">
          <cell r="A1" t="str">
            <v>PHIẾU XỬ LÝ HỒ SƠ THANH TOÁN VƯỢT THẨM QUYỀN PD</v>
          </cell>
        </row>
      </sheetData>
      <sheetData sheetId="2777">
        <row r="1">
          <cell r="A1" t="str">
            <v>PHIẾU XỬ LÝ HỒ SƠ THANH TOÁN VƯỢT THẨM QUYỀN PD</v>
          </cell>
        </row>
      </sheetData>
      <sheetData sheetId="2778">
        <row r="1">
          <cell r="A1" t="str">
            <v>PHIẾU XỬ LÝ HỒ SƠ THANH TOÁN VƯỢT THẨM QUYỀN PD</v>
          </cell>
        </row>
      </sheetData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>
        <row r="1">
          <cell r="A1" t="str">
            <v>PHIẾU XỬ LÝ HỒ SƠ THANH TOÁN VƯỢT THẨM QUYỀN PD</v>
          </cell>
        </row>
      </sheetData>
      <sheetData sheetId="2787" refreshError="1"/>
      <sheetData sheetId="2788" refreshError="1"/>
      <sheetData sheetId="2789" refreshError="1"/>
      <sheetData sheetId="2790" refreshError="1"/>
      <sheetData sheetId="2791">
        <row r="1">
          <cell r="A1" t="str">
            <v>PHIẾU XỬ LÝ HỒ SƠ THANH TOÁN VƯỢT THẨM QUYỀN PD</v>
          </cell>
        </row>
      </sheetData>
      <sheetData sheetId="2792">
        <row r="1">
          <cell r="A1" t="str">
            <v>PHIẾU XỬ LÝ HỒ SƠ THANH TOÁN VƯỢT THẨM QUYỀN PD</v>
          </cell>
        </row>
      </sheetData>
      <sheetData sheetId="2793">
        <row r="1">
          <cell r="A1" t="str">
            <v>PHIẾU XỬ LÝ HỒ SƠ THANH TOÁN VƯỢT THẨM QUYỀN PD</v>
          </cell>
        </row>
      </sheetData>
      <sheetData sheetId="2794">
        <row r="1">
          <cell r="A1" t="str">
            <v>PHIẾU XỬ LÝ HỒ SƠ THANH TOÁN VƯỢT THẨM QUYỀN PD</v>
          </cell>
        </row>
      </sheetData>
      <sheetData sheetId="2795">
        <row r="1">
          <cell r="A1" t="str">
            <v>PHIẾU XỬ LÝ HỒ SƠ THANH TOÁN VƯỢT THẨM QUYỀN PD</v>
          </cell>
        </row>
      </sheetData>
      <sheetData sheetId="2796">
        <row r="1">
          <cell r="A1" t="str">
            <v>PHIẾU XỬ LÝ HỒ SƠ THANH TOÁN VƯỢT THẨM QUYỀN PD</v>
          </cell>
        </row>
      </sheetData>
      <sheetData sheetId="2797">
        <row r="1">
          <cell r="A1" t="str">
            <v>PHIẾU XỬ LÝ HỒ SƠ THANH TOÁN VƯỢT THẨM QUYỀN PD</v>
          </cell>
        </row>
      </sheetData>
      <sheetData sheetId="2798">
        <row r="1">
          <cell r="A1" t="str">
            <v>PHIẾU XỬ LÝ HỒ SƠ THANH TOÁN VƯỢT THẨM QUYỀN PD</v>
          </cell>
        </row>
      </sheetData>
      <sheetData sheetId="2799">
        <row r="1">
          <cell r="A1" t="str">
            <v>PHIẾU XỬ LÝ HỒ SƠ THANH TOÁN VƯỢT THẨM QUYỀN PD</v>
          </cell>
        </row>
      </sheetData>
      <sheetData sheetId="2800">
        <row r="1">
          <cell r="A1" t="str">
            <v>PHIẾU XỬ LÝ HỒ SƠ THANH TOÁN VƯỢT THẨM QUYỀN PD</v>
          </cell>
        </row>
      </sheetData>
      <sheetData sheetId="2801">
        <row r="1">
          <cell r="A1" t="str">
            <v>PHIẾU XỬ LÝ HỒ SƠ THANH TOÁN VƯỢT THẨM QUYỀN PD</v>
          </cell>
        </row>
      </sheetData>
      <sheetData sheetId="2802">
        <row r="1">
          <cell r="A1" t="str">
            <v>PHIẾU XỬ LÝ HỒ SƠ THANH TOÁN VƯỢT THẨM QUYỀN PD</v>
          </cell>
        </row>
      </sheetData>
      <sheetData sheetId="2803">
        <row r="1">
          <cell r="A1" t="str">
            <v>PHIẾU XỬ LÝ HỒ SƠ THANH TOÁN VƯỢT THẨM QUYỀN PD</v>
          </cell>
        </row>
      </sheetData>
      <sheetData sheetId="2804">
        <row r="1">
          <cell r="A1" t="str">
            <v>PHIẾU XỬ LÝ HỒ SƠ THANH TOÁN VƯỢT THẨM QUYỀN PD</v>
          </cell>
        </row>
      </sheetData>
      <sheetData sheetId="2805">
        <row r="1">
          <cell r="A1" t="str">
            <v>PHIẾU XỬ LÝ HỒ SƠ THANH TOÁN VƯỢT THẨM QUYỀN PD</v>
          </cell>
        </row>
      </sheetData>
      <sheetData sheetId="2806">
        <row r="1">
          <cell r="A1" t="str">
            <v>PHIẾU XỬ LÝ HỒ SƠ THANH TOÁN VƯỢT THẨM QUYỀN PD</v>
          </cell>
        </row>
      </sheetData>
      <sheetData sheetId="2807">
        <row r="1">
          <cell r="A1" t="str">
            <v>PHIẾU XỬ LÝ HỒ SƠ THANH TOÁN VƯỢT THẨM QUYỀN PD</v>
          </cell>
        </row>
      </sheetData>
      <sheetData sheetId="2808">
        <row r="1">
          <cell r="A1" t="str">
            <v>PHIẾU XỬ LÝ HỒ SƠ THANH TOÁN VƯỢT THẨM QUYỀN PD</v>
          </cell>
        </row>
      </sheetData>
      <sheetData sheetId="2809">
        <row r="1">
          <cell r="A1" t="str">
            <v>PHIẾU XỬ LÝ HỒ SƠ THANH TOÁN VƯỢT THẨM QUYỀN PD</v>
          </cell>
        </row>
      </sheetData>
      <sheetData sheetId="2810">
        <row r="1">
          <cell r="A1" t="str">
            <v>PHIẾU XỬ LÝ HỒ SƠ THANH TOÁN VƯỢT THẨM QUYỀN PD</v>
          </cell>
        </row>
      </sheetData>
      <sheetData sheetId="2811">
        <row r="1">
          <cell r="A1" t="str">
            <v>PHIẾU XỬ LÝ HỒ SƠ THANH TOÁN VƯỢT THẨM QUYỀN PD</v>
          </cell>
        </row>
      </sheetData>
      <sheetData sheetId="2812">
        <row r="1">
          <cell r="A1" t="str">
            <v>PHIẾU XỬ LÝ HỒ SƠ THANH TOÁN VƯỢT THẨM QUYỀN PD</v>
          </cell>
        </row>
      </sheetData>
      <sheetData sheetId="2813">
        <row r="1">
          <cell r="A1" t="str">
            <v>PHIẾU XỬ LÝ HỒ SƠ THANH TOÁN VƯỢT THẨM QUYỀN PD</v>
          </cell>
        </row>
      </sheetData>
      <sheetData sheetId="2814">
        <row r="1">
          <cell r="A1" t="str">
            <v>PHIẾU XỬ LÝ HỒ SƠ THANH TOÁN VƯỢT THẨM QUYỀN PD</v>
          </cell>
        </row>
      </sheetData>
      <sheetData sheetId="2815">
        <row r="1">
          <cell r="A1" t="str">
            <v>PHIẾU XỬ LÝ HỒ SƠ THANH TOÁN VƯỢT THẨM QUYỀN PD</v>
          </cell>
        </row>
      </sheetData>
      <sheetData sheetId="2816">
        <row r="1">
          <cell r="A1" t="str">
            <v>PHIẾU XỬ LÝ HỒ SƠ THANH TOÁN VƯỢT THẨM QUYỀN PD</v>
          </cell>
        </row>
      </sheetData>
      <sheetData sheetId="2817">
        <row r="1">
          <cell r="A1" t="str">
            <v>PHIẾU XỬ LÝ HỒ SƠ THANH TOÁN VƯỢT THẨM QUYỀN PD</v>
          </cell>
        </row>
      </sheetData>
      <sheetData sheetId="2818">
        <row r="1">
          <cell r="A1" t="str">
            <v>PHIẾU XỬ LÝ HỒ SƠ THANH TOÁN VƯỢT THẨM QUYỀN PD</v>
          </cell>
        </row>
      </sheetData>
      <sheetData sheetId="2819">
        <row r="1">
          <cell r="A1" t="str">
            <v>PHIẾU XỬ LÝ HỒ SƠ THANH TOÁN VƯỢT THẨM QUYỀN PD</v>
          </cell>
        </row>
      </sheetData>
      <sheetData sheetId="2820">
        <row r="1">
          <cell r="A1" t="str">
            <v>PHIẾU XỬ LÝ HỒ SƠ THANH TOÁN VƯỢT THẨM QUYỀN PD</v>
          </cell>
        </row>
      </sheetData>
      <sheetData sheetId="2821">
        <row r="1">
          <cell r="A1" t="str">
            <v>PHIẾU XỬ LÝ HỒ SƠ THANH TOÁN VƯỢT THẨM QUYỀN PD</v>
          </cell>
        </row>
      </sheetData>
      <sheetData sheetId="2822">
        <row r="1">
          <cell r="A1" t="str">
            <v>PHIẾU XỬ LÝ HỒ SƠ THANH TOÁN VƯỢT THẨM QUYỀN PD</v>
          </cell>
        </row>
      </sheetData>
      <sheetData sheetId="2823">
        <row r="1">
          <cell r="A1" t="str">
            <v>PHIẾU XỬ LÝ HỒ SƠ THANH TOÁN VƯỢT THẨM QUYỀN PD</v>
          </cell>
        </row>
      </sheetData>
      <sheetData sheetId="2824">
        <row r="1">
          <cell r="A1" t="str">
            <v>PHIẾU XỬ LÝ HỒ SƠ THANH TOÁN VƯỢT THẨM QUYỀN PD</v>
          </cell>
        </row>
      </sheetData>
      <sheetData sheetId="2825">
        <row r="1">
          <cell r="A1" t="str">
            <v>PHIẾU XỬ LÝ HỒ SƠ THANH TOÁN VƯỢT THẨM QUYỀN PD</v>
          </cell>
        </row>
      </sheetData>
      <sheetData sheetId="2826">
        <row r="1">
          <cell r="A1" t="str">
            <v>PHIẾU XỬ LÝ HỒ SƠ THANH TOÁN VƯỢT THẨM QUYỀN PD</v>
          </cell>
        </row>
      </sheetData>
      <sheetData sheetId="2827">
        <row r="1">
          <cell r="A1" t="str">
            <v>PHIẾU XỬ LÝ HỒ SƠ THANH TOÁN VƯỢT THẨM QUYỀN PD</v>
          </cell>
        </row>
      </sheetData>
      <sheetData sheetId="2828">
        <row r="1">
          <cell r="A1" t="str">
            <v>PHIẾU XỬ LÝ HỒ SƠ THANH TOÁN VƯỢT THẨM QUYỀN PD</v>
          </cell>
        </row>
      </sheetData>
      <sheetData sheetId="2829">
        <row r="1">
          <cell r="A1" t="str">
            <v>PHIẾU XỬ LÝ HỒ SƠ THANH TOÁN VƯỢT THẨM QUYỀN PD</v>
          </cell>
        </row>
      </sheetData>
      <sheetData sheetId="2830">
        <row r="1">
          <cell r="A1" t="str">
            <v>PHIẾU XỬ LÝ HỒ SƠ THANH TOÁN VƯỢT THẨM QUYỀN PD</v>
          </cell>
        </row>
      </sheetData>
      <sheetData sheetId="2831">
        <row r="1">
          <cell r="A1" t="str">
            <v>PHIẾU XỬ LÝ HỒ SƠ THANH TOÁN VƯỢT THẨM QUYỀN PD</v>
          </cell>
        </row>
      </sheetData>
      <sheetData sheetId="2832">
        <row r="1">
          <cell r="A1" t="str">
            <v>PHIẾU XỬ LÝ HỒ SƠ THANH TOÁN VƯỢT THẨM QUYỀN PD</v>
          </cell>
        </row>
      </sheetData>
      <sheetData sheetId="2833">
        <row r="1">
          <cell r="A1" t="str">
            <v>PHIẾU XỬ LÝ HỒ SƠ THANH TOÁN VƯỢT THẨM QUYỀN PD</v>
          </cell>
        </row>
      </sheetData>
      <sheetData sheetId="2834">
        <row r="1">
          <cell r="A1" t="str">
            <v>PHIẾU XỬ LÝ HỒ SƠ THANH TOÁN VƯỢT THẨM QUYỀN PD</v>
          </cell>
        </row>
      </sheetData>
      <sheetData sheetId="2835">
        <row r="1">
          <cell r="A1" t="str">
            <v>PHIẾU XỬ LÝ HỒ SƠ THANH TOÁN VƯỢT THẨM QUYỀN PD</v>
          </cell>
        </row>
      </sheetData>
      <sheetData sheetId="2836">
        <row r="1">
          <cell r="A1" t="str">
            <v>PHIẾU XỬ LÝ HỒ SƠ THANH TOÁN VƯỢT THẨM QUYỀN PD</v>
          </cell>
        </row>
      </sheetData>
      <sheetData sheetId="2837">
        <row r="1">
          <cell r="A1" t="str">
            <v>PHIẾU XỬ LÝ HỒ SƠ THANH TOÁN VƯỢT THẨM QUYỀN PD</v>
          </cell>
        </row>
      </sheetData>
      <sheetData sheetId="2838">
        <row r="1">
          <cell r="A1" t="str">
            <v>PHIẾU XỬ LÝ HỒ SƠ THANH TOÁN VƯỢT THẨM QUYỀN PD</v>
          </cell>
        </row>
      </sheetData>
      <sheetData sheetId="2839">
        <row r="1">
          <cell r="A1" t="str">
            <v>PHIẾU XỬ LÝ HỒ SƠ THANH TOÁN VƯỢT THẨM QUYỀN PD</v>
          </cell>
        </row>
      </sheetData>
      <sheetData sheetId="2840">
        <row r="1">
          <cell r="A1" t="str">
            <v>PHIẾU XỬ LÝ HỒ SƠ THANH TOÁN VƯỢT THẨM QUYỀN PD</v>
          </cell>
        </row>
      </sheetData>
      <sheetData sheetId="2841">
        <row r="1">
          <cell r="A1" t="str">
            <v>PHIẾU XỬ LÝ HỒ SƠ THANH TOÁN VƯỢT THẨM QUYỀN PD</v>
          </cell>
        </row>
      </sheetData>
      <sheetData sheetId="2842">
        <row r="1">
          <cell r="A1" t="str">
            <v>PHIẾU XỬ LÝ HỒ SƠ THANH TOÁN VƯỢT THẨM QUYỀN PD</v>
          </cell>
        </row>
      </sheetData>
      <sheetData sheetId="2843">
        <row r="1">
          <cell r="A1" t="str">
            <v>PHIẾU XỬ LÝ HỒ SƠ THANH TOÁN VƯỢT THẨM QUYỀN PD</v>
          </cell>
        </row>
      </sheetData>
      <sheetData sheetId="2844">
        <row r="1">
          <cell r="A1" t="str">
            <v>PHIẾU XỬ LÝ HỒ SƠ THANH TOÁN VƯỢT THẨM QUYỀN PD</v>
          </cell>
        </row>
      </sheetData>
      <sheetData sheetId="2845">
        <row r="1">
          <cell r="A1" t="str">
            <v>PHIẾU XỬ LÝ HỒ SƠ THANH TOÁN VƯỢT THẨM QUYỀN PD</v>
          </cell>
        </row>
      </sheetData>
      <sheetData sheetId="2846">
        <row r="1">
          <cell r="A1" t="str">
            <v>PHIẾU XỬ LÝ HỒ SƠ THANH TOÁN VƯỢT THẨM QUYỀN PD</v>
          </cell>
        </row>
      </sheetData>
      <sheetData sheetId="2847">
        <row r="1">
          <cell r="A1" t="str">
            <v>PHIẾU XỬ LÝ HỒ SƠ THANH TOÁN VƯỢT THẨM QUYỀN PD</v>
          </cell>
        </row>
      </sheetData>
      <sheetData sheetId="2848">
        <row r="1">
          <cell r="A1" t="str">
            <v>PHIẾU XỬ LÝ HỒ SƠ THANH TOÁN VƯỢT THẨM QUYỀN PD</v>
          </cell>
        </row>
      </sheetData>
      <sheetData sheetId="2849">
        <row r="1">
          <cell r="A1" t="str">
            <v>PHIẾU XỬ LÝ HỒ SƠ THANH TOÁN VƯỢT THẨM QUYỀN PD</v>
          </cell>
        </row>
      </sheetData>
      <sheetData sheetId="2850">
        <row r="1">
          <cell r="A1" t="str">
            <v>PHIẾU XỬ LÝ HỒ SƠ THANH TOÁN VƯỢT THẨM QUYỀN PD</v>
          </cell>
        </row>
      </sheetData>
      <sheetData sheetId="2851">
        <row r="1">
          <cell r="A1" t="str">
            <v>PHIẾU XỬ LÝ HỒ SƠ THANH TOÁN VƯỢT THẨM QUYỀN PD</v>
          </cell>
        </row>
      </sheetData>
      <sheetData sheetId="2852">
        <row r="1">
          <cell r="A1" t="str">
            <v>PHIẾU XỬ LÝ HỒ SƠ THANH TOÁN VƯỢT THẨM QUYỀN PD</v>
          </cell>
        </row>
      </sheetData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>
        <row r="1">
          <cell r="A1" t="str">
            <v>PHIẾU XỬ LÝ HỒ SƠ THANH TOÁN VƯỢT THẨM QUYỀN PD</v>
          </cell>
        </row>
      </sheetData>
      <sheetData sheetId="2872">
        <row r="1">
          <cell r="A1" t="str">
            <v>PHIẾU XỬ LÝ HỒ SƠ THANH TOÁN VƯỢT THẨM QUYỀN PD</v>
          </cell>
        </row>
      </sheetData>
      <sheetData sheetId="2873">
        <row r="1">
          <cell r="A1" t="str">
            <v>PHIẾU XỬ LÝ HỒ SƠ THANH TOÁN VƯỢT THẨM QUYỀN PD</v>
          </cell>
        </row>
      </sheetData>
      <sheetData sheetId="2874">
        <row r="1">
          <cell r="A1" t="str">
            <v>PHIẾU XỬ LÝ HỒ SƠ THANH TOÁN VƯỢT THẨM QUYỀN PD</v>
          </cell>
        </row>
      </sheetData>
      <sheetData sheetId="2875">
        <row r="1">
          <cell r="A1" t="str">
            <v>PHIẾU XỬ LÝ HỒ SƠ THANH TOÁN VƯỢT THẨM QUYỀN PD</v>
          </cell>
        </row>
      </sheetData>
      <sheetData sheetId="2876">
        <row r="1">
          <cell r="A1" t="str">
            <v>PHIẾU XỬ LÝ HỒ SƠ THANH TOÁN VƯỢT THẨM QUYỀN PD</v>
          </cell>
        </row>
      </sheetData>
      <sheetData sheetId="2877">
        <row r="1">
          <cell r="A1" t="str">
            <v>PHIẾU XỬ LÝ HỒ SƠ THANH TOÁN VƯỢT THẨM QUYỀN PD</v>
          </cell>
        </row>
      </sheetData>
      <sheetData sheetId="2878">
        <row r="1">
          <cell r="A1" t="str">
            <v>PHIẾU XỬ LÝ HỒ SƠ THANH TOÁN VƯỢT THẨM QUYỀN PD</v>
          </cell>
        </row>
      </sheetData>
      <sheetData sheetId="2879">
        <row r="1">
          <cell r="A1" t="str">
            <v>PHIẾU XỬ LÝ HỒ SƠ THANH TOÁN VƯỢT THẨM QUYỀN PD</v>
          </cell>
        </row>
      </sheetData>
      <sheetData sheetId="2880">
        <row r="1">
          <cell r="A1" t="str">
            <v>PHIẾU XỬ LÝ HỒ SƠ THANH TOÁN VƯỢT THẨM QUYỀN PD</v>
          </cell>
        </row>
      </sheetData>
      <sheetData sheetId="2881">
        <row r="1">
          <cell r="A1" t="str">
            <v>PHIẾU XỬ LÝ HỒ SƠ THANH TOÁN VƯỢT THẨM QUYỀN PD</v>
          </cell>
        </row>
      </sheetData>
      <sheetData sheetId="2882">
        <row r="1">
          <cell r="A1" t="str">
            <v>PHIẾU XỬ LÝ HỒ SƠ THANH TOÁN VƯỢT THẨM QUYỀN PD</v>
          </cell>
        </row>
      </sheetData>
      <sheetData sheetId="2883">
        <row r="1">
          <cell r="A1" t="str">
            <v>PHIẾU XỬ LÝ HỒ SƠ THANH TOÁN VƯỢT THẨM QUYỀN PD</v>
          </cell>
        </row>
      </sheetData>
      <sheetData sheetId="2884">
        <row r="1">
          <cell r="A1" t="str">
            <v>PHIẾU XỬ LÝ HỒ SƠ THANH TOÁN VƯỢT THẨM QUYỀN PD</v>
          </cell>
        </row>
      </sheetData>
      <sheetData sheetId="2885">
        <row r="1">
          <cell r="A1" t="str">
            <v>PHIẾU XỬ LÝ HỒ SƠ THANH TOÁN VƯỢT THẨM QUYỀN PD</v>
          </cell>
        </row>
      </sheetData>
      <sheetData sheetId="2886">
        <row r="1">
          <cell r="A1" t="str">
            <v>PHIẾU XỬ LÝ HỒ SƠ THANH TOÁN VƯỢT THẨM QUYỀN PD</v>
          </cell>
        </row>
      </sheetData>
      <sheetData sheetId="2887">
        <row r="1">
          <cell r="A1" t="str">
            <v>PHIẾU XỬ LÝ HỒ SƠ THANH TOÁN VƯỢT THẨM QUYỀN PD</v>
          </cell>
        </row>
      </sheetData>
      <sheetData sheetId="2888">
        <row r="1">
          <cell r="A1" t="str">
            <v>PHIẾU XỬ LÝ HỒ SƠ THANH TOÁN VƯỢT THẨM QUYỀN PD</v>
          </cell>
        </row>
      </sheetData>
      <sheetData sheetId="2889">
        <row r="1">
          <cell r="A1" t="str">
            <v>PHIẾU XỬ LÝ HỒ SƠ THANH TOÁN VƯỢT THẨM QUYỀN PD</v>
          </cell>
        </row>
      </sheetData>
      <sheetData sheetId="2890">
        <row r="1">
          <cell r="A1" t="str">
            <v>PHIẾU XỬ LÝ HỒ SƠ THANH TOÁN VƯỢT THẨM QUYỀN PD</v>
          </cell>
        </row>
      </sheetData>
      <sheetData sheetId="2891">
        <row r="1">
          <cell r="A1" t="str">
            <v>PHIẾU XỬ LÝ HỒ SƠ THANH TOÁN VƯỢT THẨM QUYỀN PD</v>
          </cell>
        </row>
      </sheetData>
      <sheetData sheetId="2892">
        <row r="1">
          <cell r="A1" t="str">
            <v>PHIẾU XỬ LÝ HỒ SƠ THANH TOÁN VƯỢT THẨM QUYỀN PD</v>
          </cell>
        </row>
      </sheetData>
      <sheetData sheetId="2893">
        <row r="1">
          <cell r="A1" t="str">
            <v>PHIẾU XỬ LÝ HỒ SƠ THANH TOÁN VƯỢT THẨM QUYỀN PD</v>
          </cell>
        </row>
      </sheetData>
      <sheetData sheetId="2894">
        <row r="1">
          <cell r="A1" t="str">
            <v>PHIẾU XỬ LÝ HỒ SƠ THANH TOÁN VƯỢT THẨM QUYỀN PD</v>
          </cell>
        </row>
      </sheetData>
      <sheetData sheetId="2895">
        <row r="1">
          <cell r="A1" t="str">
            <v>PHIẾU XỬ LÝ HỒ SƠ THANH TOÁN VƯỢT THẨM QUYỀN PD</v>
          </cell>
        </row>
      </sheetData>
      <sheetData sheetId="2896">
        <row r="1">
          <cell r="A1" t="str">
            <v>PHIẾU XỬ LÝ HỒ SƠ THANH TOÁN VƯỢT THẨM QUYỀN PD</v>
          </cell>
        </row>
      </sheetData>
      <sheetData sheetId="2897">
        <row r="1">
          <cell r="A1" t="str">
            <v>PHIẾU XỬ LÝ HỒ SƠ THANH TOÁN VƯỢT THẨM QUYỀN PD</v>
          </cell>
        </row>
      </sheetData>
      <sheetData sheetId="2898">
        <row r="1">
          <cell r="A1" t="str">
            <v>PHIẾU XỬ LÝ HỒ SƠ THANH TOÁN VƯỢT THẨM QUYỀN PD</v>
          </cell>
        </row>
      </sheetData>
      <sheetData sheetId="2899">
        <row r="1">
          <cell r="A1" t="str">
            <v>PHIẾU XỬ LÝ HỒ SƠ THANH TOÁN VƯỢT THẨM QUYỀN PD</v>
          </cell>
        </row>
      </sheetData>
      <sheetData sheetId="2900">
        <row r="1">
          <cell r="A1" t="str">
            <v>PHIẾU XỬ LÝ HỒ SƠ THANH TOÁN VƯỢT THẨM QUYỀN PD</v>
          </cell>
        </row>
      </sheetData>
      <sheetData sheetId="2901">
        <row r="1">
          <cell r="A1" t="str">
            <v>PHIẾU XỬ LÝ HỒ SƠ THANH TOÁN VƯỢT THẨM QUYỀN PD</v>
          </cell>
        </row>
      </sheetData>
      <sheetData sheetId="2902">
        <row r="1">
          <cell r="A1" t="str">
            <v>PHIẾU XỬ LÝ HỒ SƠ THANH TOÁN VƯỢT THẨM QUYỀN PD</v>
          </cell>
        </row>
      </sheetData>
      <sheetData sheetId="2903">
        <row r="1">
          <cell r="A1" t="str">
            <v>PHIẾU XỬ LÝ HỒ SƠ THANH TOÁN VƯỢT THẨM QUYỀN PD</v>
          </cell>
        </row>
      </sheetData>
      <sheetData sheetId="2904">
        <row r="1">
          <cell r="A1" t="str">
            <v>PHIẾU XỬ LÝ HỒ SƠ THANH TOÁN VƯỢT THẨM QUYỀN PD</v>
          </cell>
        </row>
      </sheetData>
      <sheetData sheetId="2905">
        <row r="1">
          <cell r="A1" t="str">
            <v>PHIẾU XỬ LÝ HỒ SƠ THANH TOÁN VƯỢT THẨM QUYỀN PD</v>
          </cell>
        </row>
      </sheetData>
      <sheetData sheetId="2906">
        <row r="1">
          <cell r="A1" t="str">
            <v>PHIẾU XỬ LÝ HỒ SƠ THANH TOÁN VƯỢT THẨM QUYỀN PD</v>
          </cell>
        </row>
      </sheetData>
      <sheetData sheetId="2907">
        <row r="1">
          <cell r="A1" t="str">
            <v>PHIẾU XỬ LÝ HỒ SƠ THANH TOÁN VƯỢT THẨM QUYỀN PD</v>
          </cell>
        </row>
      </sheetData>
      <sheetData sheetId="2908">
        <row r="1">
          <cell r="A1" t="str">
            <v>PHIẾU XỬ LÝ HỒ SƠ THANH TOÁN VƯỢT THẨM QUYỀN PD</v>
          </cell>
        </row>
      </sheetData>
      <sheetData sheetId="2909">
        <row r="1">
          <cell r="A1" t="str">
            <v>PHIẾU XỬ LÝ HỒ SƠ THANH TOÁN VƯỢT THẨM QUYỀN PD</v>
          </cell>
        </row>
      </sheetData>
      <sheetData sheetId="2910">
        <row r="1">
          <cell r="A1" t="str">
            <v>PHIẾU XỬ LÝ HỒ SƠ THANH TOÁN VƯỢT THẨM QUYỀN PD</v>
          </cell>
        </row>
      </sheetData>
      <sheetData sheetId="2911">
        <row r="1">
          <cell r="A1" t="str">
            <v>PHIẾU XỬ LÝ HỒ SƠ THANH TOÁN VƯỢT THẨM QUYỀN PD</v>
          </cell>
        </row>
      </sheetData>
      <sheetData sheetId="2912">
        <row r="1">
          <cell r="A1" t="str">
            <v>PHIẾU XỬ LÝ HỒ SƠ THANH TOÁN VƯỢT THẨM QUYỀN PD</v>
          </cell>
        </row>
      </sheetData>
      <sheetData sheetId="2913">
        <row r="1">
          <cell r="A1" t="str">
            <v>PHIẾU XỬ LÝ HỒ SƠ THANH TOÁN VƯỢT THẨM QUYỀN PD</v>
          </cell>
        </row>
      </sheetData>
      <sheetData sheetId="2914">
        <row r="1">
          <cell r="A1" t="str">
            <v>PHIẾU XỬ LÝ HỒ SƠ THANH TOÁN VƯỢT THẨM QUYỀN PD</v>
          </cell>
        </row>
      </sheetData>
      <sheetData sheetId="2915">
        <row r="1">
          <cell r="A1" t="str">
            <v>PHIẾU XỬ LÝ HỒ SƠ THANH TOÁN VƯỢT THẨM QUYỀN PD</v>
          </cell>
        </row>
      </sheetData>
      <sheetData sheetId="2916">
        <row r="1">
          <cell r="A1" t="str">
            <v>PHIẾU XỬ LÝ HỒ SƠ THANH TOÁN VƯỢT THẨM QUYỀN PD</v>
          </cell>
        </row>
      </sheetData>
      <sheetData sheetId="2917">
        <row r="1">
          <cell r="A1" t="str">
            <v>PHIẾU XỬ LÝ HỒ SƠ THANH TOÁN VƯỢT THẨM QUYỀN PD</v>
          </cell>
        </row>
      </sheetData>
      <sheetData sheetId="2918">
        <row r="1">
          <cell r="A1" t="str">
            <v>PHIẾU XỬ LÝ HỒ SƠ THANH TOÁN VƯỢT THẨM QUYỀN PD</v>
          </cell>
        </row>
      </sheetData>
      <sheetData sheetId="2919">
        <row r="1">
          <cell r="A1" t="str">
            <v>PHIẾU XỬ LÝ HỒ SƠ THANH TOÁN VƯỢT THẨM QUYỀN PD</v>
          </cell>
        </row>
      </sheetData>
      <sheetData sheetId="2920">
        <row r="1">
          <cell r="A1" t="str">
            <v>PHIẾU XỬ LÝ HỒ SƠ THANH TOÁN VƯỢT THẨM QUYỀN PD</v>
          </cell>
        </row>
      </sheetData>
      <sheetData sheetId="2921">
        <row r="1">
          <cell r="A1" t="str">
            <v>PHIẾU XỬ LÝ HỒ SƠ THANH TOÁN VƯỢT THẨM QUYỀN PD</v>
          </cell>
        </row>
      </sheetData>
      <sheetData sheetId="2922">
        <row r="1">
          <cell r="A1" t="str">
            <v>PHIẾU XỬ LÝ HỒ SƠ THANH TOÁN VƯỢT THẨM QUYỀN PD</v>
          </cell>
        </row>
      </sheetData>
      <sheetData sheetId="2923">
        <row r="1">
          <cell r="A1" t="str">
            <v>PHIẾU XỬ LÝ HỒ SƠ THANH TOÁN VƯỢT THẨM QUYỀN PD</v>
          </cell>
        </row>
      </sheetData>
      <sheetData sheetId="2924">
        <row r="1">
          <cell r="A1" t="str">
            <v>PHIẾU XỬ LÝ HỒ SƠ THANH TOÁN VƯỢT THẨM QUYỀN PD</v>
          </cell>
        </row>
      </sheetData>
      <sheetData sheetId="2925">
        <row r="1">
          <cell r="A1" t="str">
            <v>PHIẾU XỬ LÝ HỒ SƠ THANH TOÁN VƯỢT THẨM QUYỀN PD</v>
          </cell>
        </row>
      </sheetData>
      <sheetData sheetId="2926">
        <row r="1">
          <cell r="A1" t="str">
            <v>PHIẾU XỬ LÝ HỒ SƠ THANH TOÁN VƯỢT THẨM QUYỀN PD</v>
          </cell>
        </row>
      </sheetData>
      <sheetData sheetId="2927">
        <row r="1">
          <cell r="A1" t="str">
            <v>PHIẾU XỬ LÝ HỒ SƠ THANH TOÁN VƯỢT THẨM QUYỀN PD</v>
          </cell>
        </row>
      </sheetData>
      <sheetData sheetId="2928">
        <row r="1">
          <cell r="A1" t="str">
            <v>PHIẾU XỬ LÝ HỒ SƠ THANH TOÁN VƯỢT THẨM QUYỀN PD</v>
          </cell>
        </row>
      </sheetData>
      <sheetData sheetId="2929">
        <row r="1">
          <cell r="A1" t="str">
            <v>PHIẾU XỬ LÝ HỒ SƠ THANH TOÁN VƯỢT THẨM QUYỀN PD</v>
          </cell>
        </row>
      </sheetData>
      <sheetData sheetId="2930">
        <row r="1">
          <cell r="A1" t="str">
            <v>PHIẾU XỬ LÝ HỒ SƠ THANH TOÁN VƯỢT THẨM QUYỀN PD</v>
          </cell>
        </row>
      </sheetData>
      <sheetData sheetId="2931">
        <row r="1">
          <cell r="A1" t="str">
            <v>PHIẾU XỬ LÝ HỒ SƠ THANH TOÁN VƯỢT THẨM QUYỀN PD</v>
          </cell>
        </row>
      </sheetData>
      <sheetData sheetId="2932">
        <row r="1">
          <cell r="A1" t="str">
            <v>PHIẾU XỬ LÝ HỒ SƠ THANH TOÁN VƯỢT THẨM QUYỀN PD</v>
          </cell>
        </row>
      </sheetData>
      <sheetData sheetId="2933">
        <row r="1">
          <cell r="A1" t="str">
            <v>PHIẾU XỬ LÝ HỒ SƠ THANH TOÁN VƯỢT THẨM QUYỀN PD</v>
          </cell>
        </row>
      </sheetData>
      <sheetData sheetId="2934">
        <row r="1">
          <cell r="A1" t="str">
            <v>PHIẾU XỬ LÝ HỒ SƠ THANH TOÁN VƯỢT THẨM QUYỀN PD</v>
          </cell>
        </row>
      </sheetData>
      <sheetData sheetId="2935">
        <row r="1">
          <cell r="A1" t="str">
            <v>PHIẾU XỬ LÝ HỒ SƠ THANH TOÁN VƯỢT THẨM QUYỀN PD</v>
          </cell>
        </row>
      </sheetData>
      <sheetData sheetId="2936">
        <row r="1">
          <cell r="A1" t="str">
            <v>PHIẾU XỬ LÝ HỒ SƠ THANH TOÁN VƯỢT THẨM QUYỀN PD</v>
          </cell>
        </row>
      </sheetData>
      <sheetData sheetId="2937">
        <row r="1">
          <cell r="A1" t="str">
            <v>PHIẾU XỬ LÝ HỒ SƠ THANH TOÁN VƯỢT THẨM QUYỀN PD</v>
          </cell>
        </row>
      </sheetData>
      <sheetData sheetId="2938">
        <row r="1">
          <cell r="A1" t="str">
            <v>PHIẾU XỬ LÝ HỒ SƠ THANH TOÁN VƯỢT THẨM QUYỀN PD</v>
          </cell>
        </row>
      </sheetData>
      <sheetData sheetId="2939">
        <row r="1">
          <cell r="A1" t="str">
            <v>PHIẾU XỬ LÝ HỒ SƠ THANH TOÁN VƯỢT THẨM QUYỀN PD</v>
          </cell>
        </row>
      </sheetData>
      <sheetData sheetId="2940">
        <row r="1">
          <cell r="A1" t="str">
            <v>PHIẾU XỬ LÝ HỒ SƠ THANH TOÁN VƯỢT THẨM QUYỀN PD</v>
          </cell>
        </row>
      </sheetData>
      <sheetData sheetId="2941">
        <row r="1">
          <cell r="A1" t="str">
            <v>PHIẾU XỬ LÝ HỒ SƠ THANH TOÁN VƯỢT THẨM QUYỀN PD</v>
          </cell>
        </row>
      </sheetData>
      <sheetData sheetId="2942">
        <row r="1">
          <cell r="A1" t="str">
            <v>PHIẾU XỬ LÝ HỒ SƠ THANH TOÁN VƯỢT THẨM QUYỀN PD</v>
          </cell>
        </row>
      </sheetData>
      <sheetData sheetId="2943">
        <row r="1">
          <cell r="A1" t="str">
            <v>PHIẾU XỬ LÝ HỒ SƠ THANH TOÁN VƯỢT THẨM QUYỀN PD</v>
          </cell>
        </row>
      </sheetData>
      <sheetData sheetId="2944">
        <row r="1">
          <cell r="A1" t="str">
            <v>PHIẾU XỬ LÝ HỒ SƠ THANH TOÁN VƯỢT THẨM QUYỀN PD</v>
          </cell>
        </row>
      </sheetData>
      <sheetData sheetId="2945">
        <row r="1">
          <cell r="A1" t="str">
            <v>PHIẾU XỬ LÝ HỒ SƠ THANH TOÁN VƯỢT THẨM QUYỀN PD</v>
          </cell>
        </row>
      </sheetData>
      <sheetData sheetId="2946">
        <row r="1">
          <cell r="A1" t="str">
            <v>PHIẾU XỬ LÝ HỒ SƠ THANH TOÁN VƯỢT THẨM QUYỀN PD</v>
          </cell>
        </row>
      </sheetData>
      <sheetData sheetId="2947">
        <row r="1">
          <cell r="A1" t="str">
            <v>PHIẾU XỬ LÝ HỒ SƠ THANH TOÁN VƯỢT THẨM QUYỀN PD</v>
          </cell>
        </row>
      </sheetData>
      <sheetData sheetId="2948">
        <row r="1">
          <cell r="A1" t="str">
            <v>PHIẾU XỬ LÝ HỒ SƠ THANH TOÁN VƯỢT THẨM QUYỀN PD</v>
          </cell>
        </row>
      </sheetData>
      <sheetData sheetId="2949">
        <row r="1">
          <cell r="A1" t="str">
            <v>PHIẾU XỬ LÝ HỒ SƠ THANH TOÁN VƯỢT THẨM QUYỀN PD</v>
          </cell>
        </row>
      </sheetData>
      <sheetData sheetId="2950">
        <row r="1">
          <cell r="A1" t="str">
            <v>PHIẾU XỬ LÝ HỒ SƠ THANH TOÁN VƯỢT THẨM QUYỀN PD</v>
          </cell>
        </row>
      </sheetData>
      <sheetData sheetId="2951">
        <row r="1">
          <cell r="A1" t="str">
            <v>PHIẾU XỬ LÝ HỒ SƠ THANH TOÁN VƯỢT THẨM QUYỀN PD</v>
          </cell>
        </row>
      </sheetData>
      <sheetData sheetId="2952">
        <row r="1">
          <cell r="A1" t="str">
            <v>PHIẾU XỬ LÝ HỒ SƠ THANH TOÁN VƯỢT THẨM QUYỀN PD</v>
          </cell>
        </row>
      </sheetData>
      <sheetData sheetId="2953">
        <row r="1">
          <cell r="A1" t="str">
            <v>PHIẾU XỬ LÝ HỒ SƠ THANH TOÁN VƯỢT THẨM QUYỀN PD</v>
          </cell>
        </row>
      </sheetData>
      <sheetData sheetId="2954">
        <row r="1">
          <cell r="A1" t="str">
            <v>PHIẾU XỬ LÝ HỒ SƠ THANH TOÁN VƯỢT THẨM QUYỀN PD</v>
          </cell>
        </row>
      </sheetData>
      <sheetData sheetId="2955">
        <row r="1">
          <cell r="A1" t="str">
            <v>PHIẾU XỬ LÝ HỒ SƠ THANH TOÁN VƯỢT THẨM QUYỀN PD</v>
          </cell>
        </row>
      </sheetData>
      <sheetData sheetId="2956">
        <row r="1">
          <cell r="A1" t="str">
            <v>PHIẾU XỬ LÝ HỒ SƠ THANH TOÁN VƯỢT THẨM QUYỀN PD</v>
          </cell>
        </row>
      </sheetData>
      <sheetData sheetId="2957">
        <row r="1">
          <cell r="A1" t="str">
            <v>PHIẾU XỬ LÝ HỒ SƠ THANH TOÁN VƯỢT THẨM QUYỀN PD</v>
          </cell>
        </row>
      </sheetData>
      <sheetData sheetId="2958">
        <row r="1">
          <cell r="A1" t="str">
            <v>PHIẾU XỬ LÝ HỒ SƠ THANH TOÁN VƯỢT THẨM QUYỀN PD</v>
          </cell>
        </row>
      </sheetData>
      <sheetData sheetId="2959">
        <row r="1">
          <cell r="A1" t="str">
            <v>PHIẾU XỬ LÝ HỒ SƠ THANH TOÁN VƯỢT THẨM QUYỀN PD</v>
          </cell>
        </row>
      </sheetData>
      <sheetData sheetId="2960">
        <row r="1">
          <cell r="A1" t="str">
            <v>PHIẾU XỬ LÝ HỒ SƠ THANH TOÁN VƯỢT THẨM QUYỀN PD</v>
          </cell>
        </row>
      </sheetData>
      <sheetData sheetId="2961">
        <row r="1">
          <cell r="A1" t="str">
            <v>PHIẾU XỬ LÝ HỒ SƠ THANH TOÁN VƯỢT THẨM QUYỀN PD</v>
          </cell>
        </row>
      </sheetData>
      <sheetData sheetId="2962">
        <row r="1">
          <cell r="A1" t="str">
            <v>PHIẾU XỬ LÝ HỒ SƠ THANH TOÁN VƯỢT THẨM QUYỀN PD</v>
          </cell>
        </row>
      </sheetData>
      <sheetData sheetId="2963">
        <row r="1">
          <cell r="A1" t="str">
            <v>PHIẾU XỬ LÝ HỒ SƠ THANH TOÁN VƯỢT THẨM QUYỀN PD</v>
          </cell>
        </row>
      </sheetData>
      <sheetData sheetId="2964">
        <row r="1">
          <cell r="A1" t="str">
            <v>PHIẾU XỬ LÝ HỒ SƠ THANH TOÁN VƯỢT THẨM QUYỀN PD</v>
          </cell>
        </row>
      </sheetData>
      <sheetData sheetId="2965">
        <row r="1">
          <cell r="A1" t="str">
            <v>PHIẾU XỬ LÝ HỒ SƠ THANH TOÁN VƯỢT THẨM QUYỀN PD</v>
          </cell>
        </row>
      </sheetData>
      <sheetData sheetId="2966">
        <row r="1">
          <cell r="A1" t="str">
            <v>PHIẾU XỬ LÝ HỒ SƠ THANH TOÁN VƯỢT THẨM QUYỀN PD</v>
          </cell>
        </row>
      </sheetData>
      <sheetData sheetId="2967">
        <row r="1">
          <cell r="A1" t="str">
            <v>PHIẾU XỬ LÝ HỒ SƠ THANH TOÁN VƯỢT THẨM QUYỀN PD</v>
          </cell>
        </row>
      </sheetData>
      <sheetData sheetId="2968">
        <row r="1">
          <cell r="A1" t="str">
            <v>PHIẾU XỬ LÝ HỒ SƠ THANH TOÁN VƯỢT THẨM QUYỀN PD</v>
          </cell>
        </row>
      </sheetData>
      <sheetData sheetId="2969">
        <row r="1">
          <cell r="A1" t="str">
            <v>PHIẾU XỬ LÝ HỒ SƠ THANH TOÁN VƯỢT THẨM QUYỀN PD</v>
          </cell>
        </row>
      </sheetData>
      <sheetData sheetId="2970">
        <row r="1">
          <cell r="A1" t="str">
            <v>PHIẾU XỬ LÝ HỒ SƠ THANH TOÁN VƯỢT THẨM QUYỀN PD</v>
          </cell>
        </row>
      </sheetData>
      <sheetData sheetId="2971">
        <row r="1">
          <cell r="A1" t="str">
            <v>PHIẾU XỬ LÝ HỒ SƠ THANH TOÁN VƯỢT THẨM QUYỀN PD</v>
          </cell>
        </row>
      </sheetData>
      <sheetData sheetId="2972">
        <row r="1">
          <cell r="A1" t="str">
            <v>PHIẾU XỬ LÝ HỒ SƠ THANH TOÁN VƯỢT THẨM QUYỀN PD</v>
          </cell>
        </row>
      </sheetData>
      <sheetData sheetId="2973">
        <row r="1">
          <cell r="A1" t="str">
            <v>PHIẾU XỬ LÝ HỒ SƠ THANH TOÁN VƯỢT THẨM QUYỀN PD</v>
          </cell>
        </row>
      </sheetData>
      <sheetData sheetId="2974">
        <row r="1">
          <cell r="A1" t="str">
            <v>PHIẾU XỬ LÝ HỒ SƠ THANH TOÁN VƯỢT THẨM QUYỀN PD</v>
          </cell>
        </row>
      </sheetData>
      <sheetData sheetId="2975">
        <row r="1">
          <cell r="A1" t="str">
            <v>PHIẾU XỬ LÝ HỒ SƠ THANH TOÁN VƯỢT THẨM QUYỀN PD</v>
          </cell>
        </row>
      </sheetData>
      <sheetData sheetId="2976">
        <row r="1">
          <cell r="A1" t="str">
            <v>PHIẾU XỬ LÝ HỒ SƠ THANH TOÁN VƯỢT THẨM QUYỀN PD</v>
          </cell>
        </row>
      </sheetData>
      <sheetData sheetId="2977">
        <row r="1">
          <cell r="A1" t="str">
            <v>PHIẾU XỬ LÝ HỒ SƠ THANH TOÁN VƯỢT THẨM QUYỀN PD</v>
          </cell>
        </row>
      </sheetData>
      <sheetData sheetId="2978">
        <row r="1">
          <cell r="A1" t="str">
            <v>PHIẾU XỬ LÝ HỒ SƠ THANH TOÁN VƯỢT THẨM QUYỀN PD</v>
          </cell>
        </row>
      </sheetData>
      <sheetData sheetId="2979">
        <row r="1">
          <cell r="A1" t="str">
            <v>PHIẾU XỬ LÝ HỒ SƠ THANH TOÁN VƯỢT THẨM QUYỀN PD</v>
          </cell>
        </row>
      </sheetData>
      <sheetData sheetId="2980">
        <row r="1">
          <cell r="A1" t="str">
            <v>PHIẾU XỬ LÝ HỒ SƠ THANH TOÁN VƯỢT THẨM QUYỀN PD</v>
          </cell>
        </row>
      </sheetData>
      <sheetData sheetId="2981">
        <row r="1">
          <cell r="A1" t="str">
            <v>PHIẾU XỬ LÝ HỒ SƠ THANH TOÁN VƯỢT THẨM QUYỀN PD</v>
          </cell>
        </row>
      </sheetData>
      <sheetData sheetId="2982">
        <row r="1">
          <cell r="A1" t="str">
            <v>PHIẾU XỬ LÝ HỒ SƠ THANH TOÁN VƯỢT THẨM QUYỀN PD</v>
          </cell>
        </row>
      </sheetData>
      <sheetData sheetId="2983">
        <row r="1">
          <cell r="A1" t="str">
            <v>PHIẾU XỬ LÝ HỒ SƠ THANH TOÁN VƯỢT THẨM QUYỀN PD</v>
          </cell>
        </row>
      </sheetData>
      <sheetData sheetId="2984">
        <row r="1">
          <cell r="A1" t="str">
            <v>PHIẾU XỬ LÝ HỒ SƠ THANH TOÁN VƯỢT THẨM QUYỀN PD</v>
          </cell>
        </row>
      </sheetData>
      <sheetData sheetId="2985">
        <row r="1">
          <cell r="A1" t="str">
            <v>PHIẾU XỬ LÝ HỒ SƠ THANH TOÁN VƯỢT THẨM QUYỀN PD</v>
          </cell>
        </row>
      </sheetData>
      <sheetData sheetId="2986">
        <row r="1">
          <cell r="A1" t="str">
            <v>PHIẾU XỬ LÝ HỒ SƠ THANH TOÁN VƯỢT THẨM QUYỀN PD</v>
          </cell>
        </row>
      </sheetData>
      <sheetData sheetId="2987">
        <row r="1">
          <cell r="A1" t="str">
            <v>PHIẾU XỬ LÝ HỒ SƠ THANH TOÁN VƯỢT THẨM QUYỀN PD</v>
          </cell>
        </row>
      </sheetData>
      <sheetData sheetId="2988">
        <row r="1">
          <cell r="A1" t="str">
            <v>PHIẾU XỬ LÝ HỒ SƠ THANH TOÁN VƯỢT THẨM QUYỀN PD</v>
          </cell>
        </row>
      </sheetData>
      <sheetData sheetId="2989">
        <row r="1">
          <cell r="A1" t="str">
            <v>PHIẾU XỬ LÝ HỒ SƠ THANH TOÁN VƯỢT THẨM QUYỀN PD</v>
          </cell>
        </row>
      </sheetData>
      <sheetData sheetId="2990">
        <row r="1">
          <cell r="A1" t="str">
            <v>PHIẾU XỬ LÝ HỒ SƠ THANH TOÁN VƯỢT THẨM QUYỀN PD</v>
          </cell>
        </row>
      </sheetData>
      <sheetData sheetId="2991">
        <row r="1">
          <cell r="A1" t="str">
            <v>PHIẾU XỬ LÝ HỒ SƠ THANH TOÁN VƯỢT THẨM QUYỀN PD</v>
          </cell>
        </row>
      </sheetData>
      <sheetData sheetId="2992">
        <row r="1">
          <cell r="A1" t="str">
            <v>PHIẾU XỬ LÝ HỒ SƠ THANH TOÁN VƯỢT THẨM QUYỀN PD</v>
          </cell>
        </row>
      </sheetData>
      <sheetData sheetId="2993">
        <row r="1">
          <cell r="A1" t="str">
            <v>PHIẾU XỬ LÝ HỒ SƠ THANH TOÁN VƯỢT THẨM QUYỀN PD</v>
          </cell>
        </row>
      </sheetData>
      <sheetData sheetId="2994">
        <row r="1">
          <cell r="A1" t="str">
            <v>PHIẾU XỬ LÝ HỒ SƠ THANH TOÁN VƯỢT THẨM QUYỀN PD</v>
          </cell>
        </row>
      </sheetData>
      <sheetData sheetId="2995">
        <row r="1">
          <cell r="A1" t="str">
            <v>PHIẾU XỬ LÝ HỒ SƠ THANH TOÁN VƯỢT THẨM QUYỀN PD</v>
          </cell>
        </row>
      </sheetData>
      <sheetData sheetId="2996">
        <row r="1">
          <cell r="A1" t="str">
            <v>PHIẾU XỬ LÝ HỒ SƠ THANH TOÁN VƯỢT THẨM QUYỀN PD</v>
          </cell>
        </row>
      </sheetData>
      <sheetData sheetId="2997">
        <row r="1">
          <cell r="A1" t="str">
            <v>PHIẾU XỬ LÝ HỒ SƠ THANH TOÁN VƯỢT THẨM QUYỀN PD</v>
          </cell>
        </row>
      </sheetData>
      <sheetData sheetId="2998">
        <row r="1">
          <cell r="A1" t="str">
            <v>PHIẾU XỬ LÝ HỒ SƠ THANH TOÁN VƯỢT THẨM QUYỀN PD</v>
          </cell>
        </row>
      </sheetData>
      <sheetData sheetId="2999">
        <row r="1">
          <cell r="A1" t="str">
            <v>PHIẾU XỬ LÝ HỒ SƠ THANH TOÁN VƯỢT THẨM QUYỀN PD</v>
          </cell>
        </row>
      </sheetData>
      <sheetData sheetId="3000">
        <row r="1">
          <cell r="A1" t="str">
            <v>PHIẾU XỬ LÝ HỒ SƠ THANH TOÁN VƯỢT THẨM QUYỀN PD</v>
          </cell>
        </row>
      </sheetData>
      <sheetData sheetId="3001">
        <row r="1">
          <cell r="A1" t="str">
            <v>PHIẾU XỬ LÝ HỒ SƠ THANH TOÁN VƯỢT THẨM QUYỀN PD</v>
          </cell>
        </row>
      </sheetData>
      <sheetData sheetId="3002">
        <row r="1">
          <cell r="A1" t="str">
            <v>PHIẾU XỬ LÝ HỒ SƠ THANH TOÁN VƯỢT THẨM QUYỀN PD</v>
          </cell>
        </row>
      </sheetData>
      <sheetData sheetId="3003">
        <row r="1">
          <cell r="A1" t="str">
            <v>PHIẾU XỬ LÝ HỒ SƠ THANH TOÁN VƯỢT THẨM QUYỀN PD</v>
          </cell>
        </row>
      </sheetData>
      <sheetData sheetId="3004">
        <row r="1">
          <cell r="A1" t="str">
            <v>PHIẾU XỬ LÝ HỒ SƠ THANH TOÁN VƯỢT THẨM QUYỀN PD</v>
          </cell>
        </row>
      </sheetData>
      <sheetData sheetId="3005">
        <row r="1">
          <cell r="A1" t="str">
            <v>PHIẾU XỬ LÝ HỒ SƠ THANH TOÁN VƯỢT THẨM QUYỀN PD</v>
          </cell>
        </row>
      </sheetData>
      <sheetData sheetId="3006">
        <row r="1">
          <cell r="A1" t="str">
            <v>PHIẾU XỬ LÝ HỒ SƠ THANH TOÁN VƯỢT THẨM QUYỀN PD</v>
          </cell>
        </row>
      </sheetData>
      <sheetData sheetId="3007">
        <row r="1">
          <cell r="A1" t="str">
            <v>PHIẾU XỬ LÝ HỒ SƠ THANH TOÁN VƯỢT THẨM QUYỀN PD</v>
          </cell>
        </row>
      </sheetData>
      <sheetData sheetId="3008">
        <row r="1">
          <cell r="A1" t="str">
            <v>PHIẾU XỬ LÝ HỒ SƠ THANH TOÁN VƯỢT THẨM QUYỀN PD</v>
          </cell>
        </row>
      </sheetData>
      <sheetData sheetId="3009">
        <row r="1">
          <cell r="A1" t="str">
            <v>PHIẾU XỬ LÝ HỒ SƠ THANH TOÁN VƯỢT THẨM QUYỀN PD</v>
          </cell>
        </row>
      </sheetData>
      <sheetData sheetId="3010">
        <row r="1">
          <cell r="A1" t="str">
            <v>PHIẾU XỬ LÝ HỒ SƠ THANH TOÁN VƯỢT THẨM QUYỀN PD</v>
          </cell>
        </row>
      </sheetData>
      <sheetData sheetId="3011">
        <row r="1">
          <cell r="A1" t="str">
            <v>PHIẾU XỬ LÝ HỒ SƠ THANH TOÁN VƯỢT THẨM QUYỀN PD</v>
          </cell>
        </row>
      </sheetData>
      <sheetData sheetId="3012">
        <row r="1">
          <cell r="A1" t="str">
            <v>PHIẾU XỬ LÝ HỒ SƠ THANH TOÁN VƯỢT THẨM QUYỀN PD</v>
          </cell>
        </row>
      </sheetData>
      <sheetData sheetId="3013">
        <row r="1">
          <cell r="A1" t="str">
            <v>PHIẾU XỬ LÝ HỒ SƠ THANH TOÁN VƯỢT THẨM QUYỀN PD</v>
          </cell>
        </row>
      </sheetData>
      <sheetData sheetId="3014">
        <row r="1">
          <cell r="A1" t="str">
            <v>PHIẾU XỬ LÝ HỒ SƠ THANH TOÁN VƯỢT THẨM QUYỀN PD</v>
          </cell>
        </row>
      </sheetData>
      <sheetData sheetId="3015">
        <row r="1">
          <cell r="A1" t="str">
            <v>PHIẾU XỬ LÝ HỒ SƠ THANH TOÁN VƯỢT THẨM QUYỀN PD</v>
          </cell>
        </row>
      </sheetData>
      <sheetData sheetId="3016">
        <row r="1">
          <cell r="A1" t="str">
            <v>PHIẾU XỬ LÝ HỒ SƠ THANH TOÁN VƯỢT THẨM QUYỀN PD</v>
          </cell>
        </row>
      </sheetData>
      <sheetData sheetId="3017">
        <row r="1">
          <cell r="A1" t="str">
            <v>PHIẾU XỬ LÝ HỒ SƠ THANH TOÁN VƯỢT THẨM QUYỀN PD</v>
          </cell>
        </row>
      </sheetData>
      <sheetData sheetId="3018">
        <row r="1">
          <cell r="A1" t="str">
            <v>PHIẾU XỬ LÝ HỒ SƠ THANH TOÁN VƯỢT THẨM QUYỀN PD</v>
          </cell>
        </row>
      </sheetData>
      <sheetData sheetId="3019">
        <row r="1">
          <cell r="A1" t="str">
            <v>PHIẾU XỬ LÝ HỒ SƠ THANH TOÁN VƯỢT THẨM QUYỀN PD</v>
          </cell>
        </row>
      </sheetData>
      <sheetData sheetId="3020">
        <row r="1">
          <cell r="A1" t="str">
            <v>PHIẾU XỬ LÝ HỒ SƠ THANH TOÁN VƯỢT THẨM QUYỀN PD</v>
          </cell>
        </row>
      </sheetData>
      <sheetData sheetId="3021">
        <row r="1">
          <cell r="A1" t="str">
            <v>PHIẾU XỬ LÝ HỒ SƠ THANH TOÁN VƯỢT THẨM QUYỀN PD</v>
          </cell>
        </row>
      </sheetData>
      <sheetData sheetId="3022">
        <row r="1">
          <cell r="A1" t="str">
            <v>PHIẾU XỬ LÝ HỒ SƠ THANH TOÁN VƯỢT THẨM QUYỀN PD</v>
          </cell>
        </row>
      </sheetData>
      <sheetData sheetId="3023">
        <row r="1">
          <cell r="A1" t="str">
            <v>PHIẾU XỬ LÝ HỒ SƠ THANH TOÁN VƯỢT THẨM QUYỀN PD</v>
          </cell>
        </row>
      </sheetData>
      <sheetData sheetId="3024">
        <row r="1">
          <cell r="A1" t="str">
            <v>PHIẾU XỬ LÝ HỒ SƠ THANH TOÁN VƯỢT THẨM QUYỀN PD</v>
          </cell>
        </row>
      </sheetData>
      <sheetData sheetId="3025">
        <row r="1">
          <cell r="A1" t="str">
            <v>PHIẾU XỬ LÝ HỒ SƠ THANH TOÁN VƯỢT THẨM QUYỀN PD</v>
          </cell>
        </row>
      </sheetData>
      <sheetData sheetId="3026">
        <row r="1">
          <cell r="A1" t="str">
            <v>PHIẾU XỬ LÝ HỒ SƠ THANH TOÁN VƯỢT THẨM QUYỀN PD</v>
          </cell>
        </row>
      </sheetData>
      <sheetData sheetId="3027">
        <row r="1">
          <cell r="A1" t="str">
            <v>PHIẾU XỬ LÝ HỒ SƠ THANH TOÁN VƯỢT THẨM QUYỀN PD</v>
          </cell>
        </row>
      </sheetData>
      <sheetData sheetId="3028">
        <row r="1">
          <cell r="A1" t="str">
            <v>PHIẾU XỬ LÝ HỒ SƠ THANH TOÁN VƯỢT THẨM QUYỀN PD</v>
          </cell>
        </row>
      </sheetData>
      <sheetData sheetId="3029">
        <row r="1">
          <cell r="A1" t="str">
            <v>PHIẾU XỬ LÝ HỒ SƠ THANH TOÁN VƯỢT THẨM QUYỀN PD</v>
          </cell>
        </row>
      </sheetData>
      <sheetData sheetId="3030">
        <row r="1">
          <cell r="A1" t="str">
            <v>PHIẾU XỬ LÝ HỒ SƠ THANH TOÁN VƯỢT THẨM QUYỀN PD</v>
          </cell>
        </row>
      </sheetData>
      <sheetData sheetId="3031">
        <row r="1">
          <cell r="A1" t="str">
            <v>PHIẾU XỬ LÝ HỒ SƠ THANH TOÁN VƯỢT THẨM QUYỀN PD</v>
          </cell>
        </row>
      </sheetData>
      <sheetData sheetId="3032">
        <row r="1">
          <cell r="A1" t="str">
            <v>PHIẾU XỬ LÝ HỒ SƠ THANH TOÁN VƯỢT THẨM QUYỀN PD</v>
          </cell>
        </row>
      </sheetData>
      <sheetData sheetId="3033">
        <row r="1">
          <cell r="A1" t="str">
            <v>PHIẾU XỬ LÝ HỒ SƠ THANH TOÁN VƯỢT THẨM QUYỀN PD</v>
          </cell>
        </row>
      </sheetData>
      <sheetData sheetId="3034">
        <row r="1">
          <cell r="A1" t="str">
            <v>PHIẾU XỬ LÝ HỒ SƠ THANH TOÁN VƯỢT THẨM QUYỀN PD</v>
          </cell>
        </row>
      </sheetData>
      <sheetData sheetId="3035">
        <row r="1">
          <cell r="A1" t="str">
            <v>PHIẾU XỬ LÝ HỒ SƠ THANH TOÁN VƯỢT THẨM QUYỀN PD</v>
          </cell>
        </row>
      </sheetData>
      <sheetData sheetId="3036">
        <row r="1">
          <cell r="A1" t="str">
            <v>PHIẾU XỬ LÝ HỒ SƠ THANH TOÁN VƯỢT THẨM QUYỀN PD</v>
          </cell>
        </row>
      </sheetData>
      <sheetData sheetId="3037">
        <row r="1">
          <cell r="A1" t="str">
            <v>PHIẾU XỬ LÝ HỒ SƠ THANH TOÁN VƯỢT THẨM QUYỀN PD</v>
          </cell>
        </row>
      </sheetData>
      <sheetData sheetId="3038">
        <row r="1">
          <cell r="A1" t="str">
            <v>PHIẾU XỬ LÝ HỒ SƠ THANH TOÁN VƯỢT THẨM QUYỀN PD</v>
          </cell>
        </row>
      </sheetData>
      <sheetData sheetId="3039">
        <row r="1">
          <cell r="A1" t="str">
            <v>PHIẾU XỬ LÝ HỒ SƠ THANH TOÁN VƯỢT THẨM QUYỀN PD</v>
          </cell>
        </row>
      </sheetData>
      <sheetData sheetId="3040">
        <row r="1">
          <cell r="A1" t="str">
            <v>PHIẾU XỬ LÝ HỒ SƠ THANH TOÁN VƯỢT THẨM QUYỀN PD</v>
          </cell>
        </row>
      </sheetData>
      <sheetData sheetId="3041">
        <row r="1">
          <cell r="A1" t="str">
            <v>PHIẾU XỬ LÝ HỒ SƠ THANH TOÁN VƯỢT THẨM QUYỀN PD</v>
          </cell>
        </row>
      </sheetData>
      <sheetData sheetId="3042">
        <row r="1">
          <cell r="A1" t="str">
            <v>PHIẾU XỬ LÝ HỒ SƠ THANH TOÁN VƯỢT THẨM QUYỀN PD</v>
          </cell>
        </row>
      </sheetData>
      <sheetData sheetId="3043">
        <row r="1">
          <cell r="A1" t="str">
            <v>PHIẾU XỬ LÝ HỒ SƠ THANH TOÁN VƯỢT THẨM QUYỀN PD</v>
          </cell>
        </row>
      </sheetData>
      <sheetData sheetId="3044">
        <row r="1">
          <cell r="A1" t="str">
            <v>PHIẾU XỬ LÝ HỒ SƠ THANH TOÁN VƯỢT THẨM QUYỀN PD</v>
          </cell>
        </row>
      </sheetData>
      <sheetData sheetId="3045">
        <row r="1">
          <cell r="A1" t="str">
            <v>PHIẾU XỬ LÝ HỒ SƠ THANH TOÁN VƯỢT THẨM QUYỀN PD</v>
          </cell>
        </row>
      </sheetData>
      <sheetData sheetId="3046">
        <row r="1">
          <cell r="A1" t="str">
            <v>PHIẾU XỬ LÝ HỒ SƠ THANH TOÁN VƯỢT THẨM QUYỀN PD</v>
          </cell>
        </row>
      </sheetData>
      <sheetData sheetId="3047">
        <row r="1">
          <cell r="A1" t="str">
            <v>PHIẾU XỬ LÝ HỒ SƠ THANH TOÁN VƯỢT THẨM QUYỀN PD</v>
          </cell>
        </row>
      </sheetData>
      <sheetData sheetId="3048">
        <row r="1">
          <cell r="A1" t="str">
            <v>PHIẾU XỬ LÝ HỒ SƠ THANH TOÁN VƯỢT THẨM QUYỀN PD</v>
          </cell>
        </row>
      </sheetData>
      <sheetData sheetId="3049">
        <row r="1">
          <cell r="A1" t="str">
            <v>PHIẾU XỬ LÝ HỒ SƠ THANH TOÁN VƯỢT THẨM QUYỀN PD</v>
          </cell>
        </row>
      </sheetData>
      <sheetData sheetId="3050">
        <row r="1">
          <cell r="A1" t="str">
            <v>PHIẾU XỬ LÝ HỒ SƠ THANH TOÁN VƯỢT THẨM QUYỀN PD</v>
          </cell>
        </row>
      </sheetData>
      <sheetData sheetId="3051">
        <row r="1">
          <cell r="A1" t="str">
            <v>PHIẾU XỬ LÝ HỒ SƠ THANH TOÁN VƯỢT THẨM QUYỀN PD</v>
          </cell>
        </row>
      </sheetData>
      <sheetData sheetId="3052">
        <row r="1">
          <cell r="A1" t="str">
            <v>PHIẾU XỬ LÝ HỒ SƠ THANH TOÁN VƯỢT THẨM QUYỀN PD</v>
          </cell>
        </row>
      </sheetData>
      <sheetData sheetId="3053">
        <row r="1">
          <cell r="A1" t="str">
            <v>PHIẾU XỬ LÝ HỒ SƠ THANH TOÁN VƯỢT THẨM QUYỀN PD</v>
          </cell>
        </row>
      </sheetData>
      <sheetData sheetId="3054">
        <row r="1">
          <cell r="A1" t="str">
            <v>PHIẾU XỬ LÝ HỒ SƠ THANH TOÁN VƯỢT THẨM QUYỀN PD</v>
          </cell>
        </row>
      </sheetData>
      <sheetData sheetId="3055">
        <row r="1">
          <cell r="A1" t="str">
            <v>PHIẾU XỬ LÝ HỒ SƠ THANH TOÁN VƯỢT THẨM QUYỀN PD</v>
          </cell>
        </row>
      </sheetData>
      <sheetData sheetId="3056">
        <row r="1">
          <cell r="A1" t="str">
            <v>PHIẾU XỬ LÝ HỒ SƠ THANH TOÁN VƯỢT THẨM QUYỀN PD</v>
          </cell>
        </row>
      </sheetData>
      <sheetData sheetId="3057">
        <row r="1">
          <cell r="A1" t="str">
            <v>PHIẾU XỬ LÝ HỒ SƠ THANH TOÁN VƯỢT THẨM QUYỀN PD</v>
          </cell>
        </row>
      </sheetData>
      <sheetData sheetId="3058">
        <row r="1">
          <cell r="A1" t="str">
            <v>PHIẾU XỬ LÝ HỒ SƠ THANH TOÁN VƯỢT THẨM QUYỀN PD</v>
          </cell>
        </row>
      </sheetData>
      <sheetData sheetId="3059">
        <row r="1">
          <cell r="A1" t="str">
            <v>PHIẾU XỬ LÝ HỒ SƠ THANH TOÁN VƯỢT THẨM QUYỀN PD</v>
          </cell>
        </row>
      </sheetData>
      <sheetData sheetId="3060">
        <row r="1">
          <cell r="A1" t="str">
            <v>PHIẾU XỬ LÝ HỒ SƠ THANH TOÁN VƯỢT THẨM QUYỀN PD</v>
          </cell>
        </row>
      </sheetData>
      <sheetData sheetId="3061">
        <row r="1">
          <cell r="A1" t="str">
            <v>PHIẾU XỬ LÝ HỒ SƠ THANH TOÁN VƯỢT THẨM QUYỀN PD</v>
          </cell>
        </row>
      </sheetData>
      <sheetData sheetId="3062">
        <row r="1">
          <cell r="A1" t="str">
            <v>PHIẾU XỬ LÝ HỒ SƠ THANH TOÁN VƯỢT THẨM QUYỀN PD</v>
          </cell>
        </row>
      </sheetData>
      <sheetData sheetId="3063">
        <row r="1">
          <cell r="A1" t="str">
            <v>PHIẾU XỬ LÝ HỒ SƠ THANH TOÁN VƯỢT THẨM QUYỀN PD</v>
          </cell>
        </row>
      </sheetData>
      <sheetData sheetId="3064">
        <row r="1">
          <cell r="A1" t="str">
            <v>PHIẾU XỬ LÝ HỒ SƠ THANH TOÁN VƯỢT THẨM QUYỀN PD</v>
          </cell>
        </row>
      </sheetData>
      <sheetData sheetId="3065">
        <row r="1">
          <cell r="A1" t="str">
            <v>PHIẾU XỬ LÝ HỒ SƠ THANH TOÁN VƯỢT THẨM QUYỀN PD</v>
          </cell>
        </row>
      </sheetData>
      <sheetData sheetId="3066">
        <row r="1">
          <cell r="A1" t="str">
            <v>PHIẾU XỬ LÝ HỒ SƠ THANH TOÁN VƯỢT THẨM QUYỀN PD</v>
          </cell>
        </row>
      </sheetData>
      <sheetData sheetId="3067">
        <row r="1">
          <cell r="A1" t="str">
            <v>PHIẾU XỬ LÝ HỒ SƠ THANH TOÁN VƯỢT THẨM QUYỀN PD</v>
          </cell>
        </row>
      </sheetData>
      <sheetData sheetId="3068">
        <row r="1">
          <cell r="A1" t="str">
            <v>PHIẾU XỬ LÝ HỒ SƠ THANH TOÁN VƯỢT THẨM QUYỀN PD</v>
          </cell>
        </row>
      </sheetData>
      <sheetData sheetId="3069">
        <row r="1">
          <cell r="A1" t="str">
            <v>PHIẾU XỬ LÝ HỒ SƠ THANH TOÁN VƯỢT THẨM QUYỀN PD</v>
          </cell>
        </row>
      </sheetData>
      <sheetData sheetId="3070">
        <row r="1">
          <cell r="A1" t="str">
            <v>PHIẾU XỬ LÝ HỒ SƠ THANH TOÁN VƯỢT THẨM QUYỀN PD</v>
          </cell>
        </row>
      </sheetData>
      <sheetData sheetId="3071">
        <row r="1">
          <cell r="A1" t="str">
            <v>PHIẾU XỬ LÝ HỒ SƠ THANH TOÁN VƯỢT THẨM QUYỀN PD</v>
          </cell>
        </row>
      </sheetData>
      <sheetData sheetId="3072">
        <row r="1">
          <cell r="A1" t="str">
            <v>PHIẾU XỬ LÝ HỒ SƠ THANH TOÁN VƯỢT THẨM QUYỀN PD</v>
          </cell>
        </row>
      </sheetData>
      <sheetData sheetId="3073">
        <row r="1">
          <cell r="A1" t="str">
            <v>PHIẾU XỬ LÝ HỒ SƠ THANH TOÁN VƯỢT THẨM QUYỀN PD</v>
          </cell>
        </row>
      </sheetData>
      <sheetData sheetId="3074">
        <row r="1">
          <cell r="A1" t="str">
            <v>PHIẾU XỬ LÝ HỒ SƠ THANH TOÁN VƯỢT THẨM QUYỀN PD</v>
          </cell>
        </row>
      </sheetData>
      <sheetData sheetId="3075">
        <row r="1">
          <cell r="A1" t="str">
            <v>PHIẾU XỬ LÝ HỒ SƠ THANH TOÁN VƯỢT THẨM QUYỀN PD</v>
          </cell>
        </row>
      </sheetData>
      <sheetData sheetId="3076">
        <row r="1">
          <cell r="A1" t="str">
            <v>PHIẾU XỬ LÝ HỒ SƠ THANH TOÁN VƯỢT THẨM QUYỀN PD</v>
          </cell>
        </row>
      </sheetData>
      <sheetData sheetId="3077">
        <row r="1">
          <cell r="A1" t="str">
            <v>PHIẾU XỬ LÝ HỒ SƠ THANH TOÁN VƯỢT THẨM QUYỀN PD</v>
          </cell>
        </row>
      </sheetData>
      <sheetData sheetId="3078">
        <row r="1">
          <cell r="A1" t="str">
            <v>PHIẾU XỬ LÝ HỒ SƠ THANH TOÁN VƯỢT THẨM QUYỀN PD</v>
          </cell>
        </row>
      </sheetData>
      <sheetData sheetId="3079">
        <row r="1">
          <cell r="A1" t="str">
            <v>PHIẾU XỬ LÝ HỒ SƠ THANH TOÁN VƯỢT THẨM QUYỀN PD</v>
          </cell>
        </row>
      </sheetData>
      <sheetData sheetId="3080">
        <row r="1">
          <cell r="A1" t="str">
            <v>PHIẾU XỬ LÝ HỒ SƠ THANH TOÁN VƯỢT THẨM QUYỀN PD</v>
          </cell>
        </row>
      </sheetData>
      <sheetData sheetId="3081">
        <row r="1">
          <cell r="A1" t="str">
            <v>PHIẾU XỬ LÝ HỒ SƠ THANH TOÁN VƯỢT THẨM QUYỀN PD</v>
          </cell>
        </row>
      </sheetData>
      <sheetData sheetId="3082">
        <row r="1">
          <cell r="A1" t="str">
            <v>PHIẾU XỬ LÝ HỒ SƠ THANH TOÁN VƯỢT THẨM QUYỀN PD</v>
          </cell>
        </row>
      </sheetData>
      <sheetData sheetId="3083">
        <row r="1">
          <cell r="A1" t="str">
            <v>PHIẾU XỬ LÝ HỒ SƠ THANH TOÁN VƯỢT THẨM QUYỀN PD</v>
          </cell>
        </row>
      </sheetData>
      <sheetData sheetId="3084">
        <row r="1">
          <cell r="A1" t="str">
            <v>PHIẾU XỬ LÝ HỒ SƠ THANH TOÁN VƯỢT THẨM QUYỀN PD</v>
          </cell>
        </row>
      </sheetData>
      <sheetData sheetId="3085">
        <row r="1">
          <cell r="A1" t="str">
            <v>PHIẾU XỬ LÝ HỒ SƠ THANH TOÁN VƯỢT THẨM QUYỀN PD</v>
          </cell>
        </row>
      </sheetData>
      <sheetData sheetId="3086">
        <row r="1">
          <cell r="A1" t="str">
            <v>PHIẾU XỬ LÝ HỒ SƠ THANH TOÁN VƯỢT THẨM QUYỀN PD</v>
          </cell>
        </row>
      </sheetData>
      <sheetData sheetId="3087">
        <row r="1">
          <cell r="A1" t="str">
            <v>PHIẾU XỬ LÝ HỒ SƠ THANH TOÁN VƯỢT THẨM QUYỀN PD</v>
          </cell>
        </row>
      </sheetData>
      <sheetData sheetId="3088">
        <row r="1">
          <cell r="A1" t="str">
            <v>PHIẾU XỬ LÝ HỒ SƠ THANH TOÁN VƯỢT THẨM QUYỀN PD</v>
          </cell>
        </row>
      </sheetData>
      <sheetData sheetId="3089">
        <row r="1">
          <cell r="A1" t="str">
            <v>PHIẾU XỬ LÝ HỒ SƠ THANH TOÁN VƯỢT THẨM QUYỀN PD</v>
          </cell>
        </row>
      </sheetData>
      <sheetData sheetId="3090">
        <row r="1">
          <cell r="A1" t="str">
            <v>PHIẾU XỬ LÝ HỒ SƠ THANH TOÁN VƯỢT THẨM QUYỀN PD</v>
          </cell>
        </row>
      </sheetData>
      <sheetData sheetId="3091">
        <row r="1">
          <cell r="A1" t="str">
            <v>PHIẾU XỬ LÝ HỒ SƠ THANH TOÁN VƯỢT THẨM QUYỀN PD</v>
          </cell>
        </row>
      </sheetData>
      <sheetData sheetId="3092">
        <row r="1">
          <cell r="A1" t="str">
            <v>PHIẾU XỬ LÝ HỒ SƠ THANH TOÁN VƯỢT THẨM QUYỀN PD</v>
          </cell>
        </row>
      </sheetData>
      <sheetData sheetId="3093">
        <row r="1">
          <cell r="A1" t="str">
            <v>PHIẾU XỬ LÝ HỒ SƠ THANH TOÁN VƯỢT THẨM QUYỀN PD</v>
          </cell>
        </row>
      </sheetData>
      <sheetData sheetId="3094">
        <row r="1">
          <cell r="A1" t="str">
            <v>PHIẾU XỬ LÝ HỒ SƠ THANH TOÁN VƯỢT THẨM QUYỀN PD</v>
          </cell>
        </row>
      </sheetData>
      <sheetData sheetId="3095">
        <row r="1">
          <cell r="A1" t="str">
            <v>PHIẾU XỬ LÝ HỒ SƠ THANH TOÁN VƯỢT THẨM QUYỀN PD</v>
          </cell>
        </row>
      </sheetData>
      <sheetData sheetId="3096">
        <row r="1">
          <cell r="A1" t="str">
            <v>PHIẾU XỬ LÝ HỒ SƠ THANH TOÁN VƯỢT THẨM QUYỀN PD</v>
          </cell>
        </row>
      </sheetData>
      <sheetData sheetId="3097">
        <row r="1">
          <cell r="A1" t="str">
            <v>PHIẾU XỬ LÝ HỒ SƠ THANH TOÁN VƯỢT THẨM QUYỀN PD</v>
          </cell>
        </row>
      </sheetData>
      <sheetData sheetId="3098">
        <row r="1">
          <cell r="A1" t="str">
            <v>PHIẾU XỬ LÝ HỒ SƠ THANH TOÁN VƯỢT THẨM QUYỀN PD</v>
          </cell>
        </row>
      </sheetData>
      <sheetData sheetId="3099">
        <row r="1">
          <cell r="A1" t="str">
            <v>PHIẾU XỬ LÝ HỒ SƠ THANH TOÁN VƯỢT THẨM QUYỀN PD</v>
          </cell>
        </row>
      </sheetData>
      <sheetData sheetId="3100">
        <row r="1">
          <cell r="A1" t="str">
            <v>PHIẾU XỬ LÝ HỒ SƠ THANH TOÁN VƯỢT THẨM QUYỀN PD</v>
          </cell>
        </row>
      </sheetData>
      <sheetData sheetId="3101">
        <row r="1">
          <cell r="A1" t="str">
            <v>PHIẾU XỬ LÝ HỒ SƠ THANH TOÁN VƯỢT THẨM QUYỀN PD</v>
          </cell>
        </row>
      </sheetData>
      <sheetData sheetId="3102">
        <row r="1">
          <cell r="A1" t="str">
            <v>PHIẾU XỬ LÝ HỒ SƠ THANH TOÁN VƯỢT THẨM QUYỀN PD</v>
          </cell>
        </row>
      </sheetData>
      <sheetData sheetId="3103">
        <row r="1">
          <cell r="A1" t="str">
            <v>PHIẾU XỬ LÝ HỒ SƠ THANH TOÁN VƯỢT THẨM QUYỀN PD</v>
          </cell>
        </row>
      </sheetData>
      <sheetData sheetId="3104">
        <row r="1">
          <cell r="A1" t="str">
            <v>PHIẾU XỬ LÝ HỒ SƠ THANH TOÁN VƯỢT THẨM QUYỀN PD</v>
          </cell>
        </row>
      </sheetData>
      <sheetData sheetId="3105">
        <row r="1">
          <cell r="A1" t="str">
            <v>PHIẾU XỬ LÝ HỒ SƠ THANH TOÁN VƯỢT THẨM QUYỀN PD</v>
          </cell>
        </row>
      </sheetData>
      <sheetData sheetId="3106">
        <row r="1">
          <cell r="A1" t="str">
            <v>PHIẾU XỬ LÝ HỒ SƠ THANH TOÁN VƯỢT THẨM QUYỀN PD</v>
          </cell>
        </row>
      </sheetData>
      <sheetData sheetId="3107">
        <row r="1">
          <cell r="A1" t="str">
            <v>PHIẾU XỬ LÝ HỒ SƠ THANH TOÁN VƯỢT THẨM QUYỀN PD</v>
          </cell>
        </row>
      </sheetData>
      <sheetData sheetId="3108">
        <row r="1">
          <cell r="A1" t="str">
            <v>PHIẾU XỬ LÝ HỒ SƠ THANH TOÁN VƯỢT THẨM QUYỀN PD</v>
          </cell>
        </row>
      </sheetData>
      <sheetData sheetId="3109">
        <row r="1">
          <cell r="A1" t="str">
            <v>PHIẾU XỬ LÝ HỒ SƠ THANH TOÁN VƯỢT THẨM QUYỀN PD</v>
          </cell>
        </row>
      </sheetData>
      <sheetData sheetId="3110">
        <row r="1">
          <cell r="A1" t="str">
            <v>PHIẾU XỬ LÝ HỒ SƠ THANH TOÁN VƯỢT THẨM QUYỀN PD</v>
          </cell>
        </row>
      </sheetData>
      <sheetData sheetId="3111">
        <row r="1">
          <cell r="A1" t="str">
            <v>PHIẾU XỬ LÝ HỒ SƠ THANH TOÁN VƯỢT THẨM QUYỀN PD</v>
          </cell>
        </row>
      </sheetData>
      <sheetData sheetId="3112">
        <row r="1">
          <cell r="A1" t="str">
            <v>PHIẾU XỬ LÝ HỒ SƠ THANH TOÁN VƯỢT THẨM QUYỀN PD</v>
          </cell>
        </row>
      </sheetData>
      <sheetData sheetId="3113">
        <row r="1">
          <cell r="A1" t="str">
            <v>PHIẾU XỬ LÝ HỒ SƠ THANH TOÁN VƯỢT THẨM QUYỀN PD</v>
          </cell>
        </row>
      </sheetData>
      <sheetData sheetId="3114">
        <row r="1">
          <cell r="A1" t="str">
            <v>PHIẾU XỬ LÝ HỒ SƠ THANH TOÁN VƯỢT THẨM QUYỀN PD</v>
          </cell>
        </row>
      </sheetData>
      <sheetData sheetId="3115">
        <row r="1">
          <cell r="A1" t="str">
            <v>PHIẾU XỬ LÝ HỒ SƠ THANH TOÁN VƯỢT THẨM QUYỀN PD</v>
          </cell>
        </row>
      </sheetData>
      <sheetData sheetId="3116">
        <row r="1">
          <cell r="A1" t="str">
            <v>PHIẾU XỬ LÝ HỒ SƠ THANH TOÁN VƯỢT THẨM QUYỀN PD</v>
          </cell>
        </row>
      </sheetData>
      <sheetData sheetId="3117">
        <row r="1">
          <cell r="A1" t="str">
            <v>PHIẾU XỬ LÝ HỒ SƠ THANH TOÁN VƯỢT THẨM QUYỀN PD</v>
          </cell>
        </row>
      </sheetData>
      <sheetData sheetId="3118">
        <row r="1">
          <cell r="A1" t="str">
            <v>PHIẾU XỬ LÝ HỒ SƠ THANH TOÁN VƯỢT THẨM QUYỀN PD</v>
          </cell>
        </row>
      </sheetData>
      <sheetData sheetId="3119">
        <row r="1">
          <cell r="A1" t="str">
            <v>PHIẾU XỬ LÝ HỒ SƠ THANH TOÁN VƯỢT THẨM QUYỀN PD</v>
          </cell>
        </row>
      </sheetData>
      <sheetData sheetId="3120">
        <row r="1">
          <cell r="A1" t="str">
            <v>PHIẾU XỬ LÝ HỒ SƠ THANH TOÁN VƯỢT THẨM QUYỀN PD</v>
          </cell>
        </row>
      </sheetData>
      <sheetData sheetId="3121">
        <row r="1">
          <cell r="A1" t="str">
            <v>PHIẾU XỬ LÝ HỒ SƠ THANH TOÁN VƯỢT THẨM QUYỀN PD</v>
          </cell>
        </row>
      </sheetData>
      <sheetData sheetId="3122">
        <row r="1">
          <cell r="A1" t="str">
            <v>PHIẾU XỬ LÝ HỒ SƠ THANH TOÁN VƯỢT THẨM QUYỀN PD</v>
          </cell>
        </row>
      </sheetData>
      <sheetData sheetId="3123">
        <row r="1">
          <cell r="A1" t="str">
            <v>PHIẾU XỬ LÝ HỒ SƠ THANH TOÁN VƯỢT THẨM QUYỀN PD</v>
          </cell>
        </row>
      </sheetData>
      <sheetData sheetId="3124">
        <row r="1">
          <cell r="A1" t="str">
            <v>PHIẾU XỬ LÝ HỒ SƠ THANH TOÁN VƯỢT THẨM QUYỀN PD</v>
          </cell>
        </row>
      </sheetData>
      <sheetData sheetId="3125">
        <row r="1">
          <cell r="A1" t="str">
            <v>PHIẾU XỬ LÝ HỒ SƠ THANH TOÁN VƯỢT THẨM QUYỀN PD</v>
          </cell>
        </row>
      </sheetData>
      <sheetData sheetId="3126">
        <row r="1">
          <cell r="A1" t="str">
            <v>PHIẾU XỬ LÝ HỒ SƠ THANH TOÁN VƯỢT THẨM QUYỀN PD</v>
          </cell>
        </row>
      </sheetData>
      <sheetData sheetId="3127">
        <row r="1">
          <cell r="A1" t="str">
            <v>PHIẾU XỬ LÝ HỒ SƠ THANH TOÁN VƯỢT THẨM QUYỀN PD</v>
          </cell>
        </row>
      </sheetData>
      <sheetData sheetId="3128">
        <row r="1">
          <cell r="A1" t="str">
            <v>PHIẾU XỬ LÝ HỒ SƠ THANH TOÁN VƯỢT THẨM QUYỀN PD</v>
          </cell>
        </row>
      </sheetData>
      <sheetData sheetId="3129">
        <row r="1">
          <cell r="A1" t="str">
            <v>PHIẾU XỬ LÝ HỒ SƠ THANH TOÁN VƯỢT THẨM QUYỀN PD</v>
          </cell>
        </row>
      </sheetData>
      <sheetData sheetId="3130">
        <row r="1">
          <cell r="A1" t="str">
            <v>PHIẾU XỬ LÝ HỒ SƠ THANH TOÁN VƯỢT THẨM QUYỀN PD</v>
          </cell>
        </row>
      </sheetData>
      <sheetData sheetId="3131">
        <row r="1">
          <cell r="A1" t="str">
            <v>PHIẾU XỬ LÝ HỒ SƠ THANH TOÁN VƯỢT THẨM QUYỀN PD</v>
          </cell>
        </row>
      </sheetData>
      <sheetData sheetId="3132">
        <row r="1">
          <cell r="A1" t="str">
            <v>PHIẾU XỬ LÝ HỒ SƠ THANH TOÁN VƯỢT THẨM QUYỀN PD</v>
          </cell>
        </row>
      </sheetData>
      <sheetData sheetId="3133">
        <row r="1">
          <cell r="A1" t="str">
            <v>PHIẾU XỬ LÝ HỒ SƠ THANH TOÁN VƯỢT THẨM QUYỀN PD</v>
          </cell>
        </row>
      </sheetData>
      <sheetData sheetId="3134">
        <row r="1">
          <cell r="A1" t="str">
            <v>PHIẾU XỬ LÝ HỒ SƠ THANH TOÁN VƯỢT THẨM QUYỀN PD</v>
          </cell>
        </row>
      </sheetData>
      <sheetData sheetId="3135">
        <row r="1">
          <cell r="A1" t="str">
            <v>PHIẾU XỬ LÝ HỒ SƠ THANH TOÁN VƯỢT THẨM QUYỀN PD</v>
          </cell>
        </row>
      </sheetData>
      <sheetData sheetId="3136">
        <row r="1">
          <cell r="A1" t="str">
            <v>PHIẾU XỬ LÝ HỒ SƠ THANH TOÁN VƯỢT THẨM QUYỀN PD</v>
          </cell>
        </row>
      </sheetData>
      <sheetData sheetId="3137">
        <row r="1">
          <cell r="A1" t="str">
            <v>PHIẾU XỬ LÝ HỒ SƠ THANH TOÁN VƯỢT THẨM QUYỀN PD</v>
          </cell>
        </row>
      </sheetData>
      <sheetData sheetId="3138">
        <row r="1">
          <cell r="A1" t="str">
            <v>PHIẾU XỬ LÝ HỒ SƠ THANH TOÁN VƯỢT THẨM QUYỀN PD</v>
          </cell>
        </row>
      </sheetData>
      <sheetData sheetId="3139">
        <row r="1">
          <cell r="A1" t="str">
            <v>PHIẾU XỬ LÝ HỒ SƠ THANH TOÁN VƯỢT THẨM QUYỀN PD</v>
          </cell>
        </row>
      </sheetData>
      <sheetData sheetId="3140">
        <row r="1">
          <cell r="A1" t="str">
            <v>PHIẾU XỬ LÝ HỒ SƠ THANH TOÁN VƯỢT THẨM QUYỀN PD</v>
          </cell>
        </row>
      </sheetData>
      <sheetData sheetId="3141">
        <row r="1">
          <cell r="A1" t="str">
            <v>PHIẾU XỬ LÝ HỒ SƠ THANH TOÁN VƯỢT THẨM QUYỀN PD</v>
          </cell>
        </row>
      </sheetData>
      <sheetData sheetId="3142">
        <row r="1">
          <cell r="A1" t="str">
            <v>PHIẾU XỬ LÝ HỒ SƠ THANH TOÁN VƯỢT THẨM QUYỀN PD</v>
          </cell>
        </row>
      </sheetData>
      <sheetData sheetId="3143">
        <row r="1">
          <cell r="A1" t="str">
            <v>PHIẾU XỬ LÝ HỒ SƠ THANH TOÁN VƯỢT THẨM QUYỀN PD</v>
          </cell>
        </row>
      </sheetData>
      <sheetData sheetId="3144">
        <row r="1">
          <cell r="A1" t="str">
            <v>PHIẾU XỬ LÝ HỒ SƠ THANH TOÁN VƯỢT THẨM QUYỀN PD</v>
          </cell>
        </row>
      </sheetData>
      <sheetData sheetId="3145">
        <row r="1">
          <cell r="A1" t="str">
            <v>PHIẾU XỬ LÝ HỒ SƠ THANH TOÁN VƯỢT THẨM QUYỀN PD</v>
          </cell>
        </row>
      </sheetData>
      <sheetData sheetId="3146">
        <row r="1">
          <cell r="A1" t="str">
            <v>PHIẾU XỬ LÝ HỒ SƠ THANH TOÁN VƯỢT THẨM QUYỀN PD</v>
          </cell>
        </row>
      </sheetData>
      <sheetData sheetId="3147">
        <row r="1">
          <cell r="A1" t="str">
            <v>PHIẾU XỬ LÝ HỒ SƠ THANH TOÁN VƯỢT THẨM QUYỀN PD</v>
          </cell>
        </row>
      </sheetData>
      <sheetData sheetId="3148">
        <row r="1">
          <cell r="A1" t="str">
            <v>PHIẾU XỬ LÝ HỒ SƠ THANH TOÁN VƯỢT THẨM QUYỀN PD</v>
          </cell>
        </row>
      </sheetData>
      <sheetData sheetId="3149">
        <row r="1">
          <cell r="A1" t="str">
            <v>PHIẾU XỬ LÝ HỒ SƠ THANH TOÁN VƯỢT THẨM QUYỀN PD</v>
          </cell>
        </row>
      </sheetData>
      <sheetData sheetId="3150">
        <row r="1">
          <cell r="A1" t="str">
            <v>PHIẾU XỬ LÝ HỒ SƠ THANH TOÁN VƯỢT THẨM QUYỀN PD</v>
          </cell>
        </row>
      </sheetData>
      <sheetData sheetId="3151">
        <row r="1">
          <cell r="A1" t="str">
            <v>PHIẾU XỬ LÝ HỒ SƠ THANH TOÁN VƯỢT THẨM QUYỀN PD</v>
          </cell>
        </row>
      </sheetData>
      <sheetData sheetId="3152">
        <row r="1">
          <cell r="A1" t="str">
            <v>PHIẾU XỬ LÝ HỒ SƠ THANH TOÁN VƯỢT THẨM QUYỀN PD</v>
          </cell>
        </row>
      </sheetData>
      <sheetData sheetId="3153">
        <row r="1">
          <cell r="A1" t="str">
            <v>PHIẾU XỬ LÝ HỒ SƠ THANH TOÁN VƯỢT THẨM QUYỀN PD</v>
          </cell>
        </row>
      </sheetData>
      <sheetData sheetId="3154">
        <row r="1">
          <cell r="A1" t="str">
            <v>PHIẾU XỬ LÝ HỒ SƠ THANH TOÁN VƯỢT THẨM QUYỀN PD</v>
          </cell>
        </row>
      </sheetData>
      <sheetData sheetId="3155">
        <row r="1">
          <cell r="A1" t="str">
            <v>PHIẾU XỬ LÝ HỒ SƠ THANH TOÁN VƯỢT THẨM QUYỀN PD</v>
          </cell>
        </row>
      </sheetData>
      <sheetData sheetId="3156">
        <row r="1">
          <cell r="A1" t="str">
            <v>PHIẾU XỬ LÝ HỒ SƠ THANH TOÁN VƯỢT THẨM QUYỀN PD</v>
          </cell>
        </row>
      </sheetData>
      <sheetData sheetId="3157">
        <row r="1">
          <cell r="A1" t="str">
            <v>PHIẾU XỬ LÝ HỒ SƠ THANH TOÁN VƯỢT THẨM QUYỀN PD</v>
          </cell>
        </row>
      </sheetData>
      <sheetData sheetId="3158">
        <row r="1">
          <cell r="A1" t="str">
            <v>PHIẾU XỬ LÝ HỒ SƠ THANH TOÁN VƯỢT THẨM QUYỀN PD</v>
          </cell>
        </row>
      </sheetData>
      <sheetData sheetId="3159">
        <row r="1">
          <cell r="A1" t="str">
            <v>PHIẾU XỬ LÝ HỒ SƠ THANH TOÁN VƯỢT THẨM QUYỀN PD</v>
          </cell>
        </row>
      </sheetData>
      <sheetData sheetId="3160">
        <row r="1">
          <cell r="A1" t="str">
            <v>PHIẾU XỬ LÝ HỒ SƠ THANH TOÁN VƯỢT THẨM QUYỀN PD</v>
          </cell>
        </row>
      </sheetData>
      <sheetData sheetId="3161">
        <row r="1">
          <cell r="A1" t="str">
            <v>PHIẾU XỬ LÝ HỒ SƠ THANH TOÁN VƯỢT THẨM QUYỀN PD</v>
          </cell>
        </row>
      </sheetData>
      <sheetData sheetId="3162">
        <row r="1">
          <cell r="A1" t="str">
            <v>PHIẾU XỬ LÝ HỒ SƠ THANH TOÁN VƯỢT THẨM QUYỀN PD</v>
          </cell>
        </row>
      </sheetData>
      <sheetData sheetId="3163">
        <row r="1">
          <cell r="A1" t="str">
            <v>PHIẾU XỬ LÝ HỒ SƠ THANH TOÁN VƯỢT THẨM QUYỀN PD</v>
          </cell>
        </row>
      </sheetData>
      <sheetData sheetId="3164">
        <row r="1">
          <cell r="A1" t="str">
            <v>PHIẾU XỬ LÝ HỒ SƠ THANH TOÁN VƯỢT THẨM QUYỀN PD</v>
          </cell>
        </row>
      </sheetData>
      <sheetData sheetId="3165">
        <row r="1">
          <cell r="A1" t="str">
            <v>PHIẾU XỬ LÝ HỒ SƠ THANH TOÁN VƯỢT THẨM QUYỀN PD</v>
          </cell>
        </row>
      </sheetData>
      <sheetData sheetId="3166">
        <row r="1">
          <cell r="A1" t="str">
            <v>PHIẾU XỬ LÝ HỒ SƠ THANH TOÁN VƯỢT THẨM QUYỀN PD</v>
          </cell>
        </row>
      </sheetData>
      <sheetData sheetId="3167">
        <row r="1">
          <cell r="A1" t="str">
            <v>PHIẾU XỬ LÝ HỒ SƠ THANH TOÁN VƯỢT THẨM QUYỀN PD</v>
          </cell>
        </row>
      </sheetData>
      <sheetData sheetId="3168">
        <row r="1">
          <cell r="A1" t="str">
            <v>PHIẾU XỬ LÝ HỒ SƠ THANH TOÁN VƯỢT THẨM QUYỀN PD</v>
          </cell>
        </row>
      </sheetData>
      <sheetData sheetId="3169">
        <row r="1">
          <cell r="A1" t="str">
            <v>PHIẾU XỬ LÝ HỒ SƠ THANH TOÁN VƯỢT THẨM QUYỀN PD</v>
          </cell>
        </row>
      </sheetData>
      <sheetData sheetId="3170">
        <row r="1">
          <cell r="A1" t="str">
            <v>PHIẾU XỬ LÝ HỒ SƠ THANH TOÁN VƯỢT THẨM QUYỀN PD</v>
          </cell>
        </row>
      </sheetData>
      <sheetData sheetId="3171">
        <row r="1">
          <cell r="A1" t="str">
            <v>PHIẾU XỬ LÝ HỒ SƠ THANH TOÁN VƯỢT THẨM QUYỀN PD</v>
          </cell>
        </row>
      </sheetData>
      <sheetData sheetId="3172">
        <row r="1">
          <cell r="A1" t="str">
            <v>PHIẾU XỬ LÝ HỒ SƠ THANH TOÁN VƯỢT THẨM QUYỀN PD</v>
          </cell>
        </row>
      </sheetData>
      <sheetData sheetId="3173">
        <row r="1">
          <cell r="A1" t="str">
            <v>PHIẾU XỬ LÝ HỒ SƠ THANH TOÁN VƯỢT THẨM QUYỀN PD</v>
          </cell>
        </row>
      </sheetData>
      <sheetData sheetId="3174">
        <row r="1">
          <cell r="A1" t="str">
            <v>PHIẾU XỬ LÝ HỒ SƠ THANH TOÁN VƯỢT THẨM QUYỀN PD</v>
          </cell>
        </row>
      </sheetData>
      <sheetData sheetId="3175">
        <row r="1">
          <cell r="A1" t="str">
            <v>PHIẾU XỬ LÝ HỒ SƠ THANH TOÁN VƯỢT THẨM QUYỀN PD</v>
          </cell>
        </row>
      </sheetData>
      <sheetData sheetId="3176">
        <row r="1">
          <cell r="A1" t="str">
            <v>PHIẾU XỬ LÝ HỒ SƠ THANH TOÁN VƯỢT THẨM QUYỀN PD</v>
          </cell>
        </row>
      </sheetData>
      <sheetData sheetId="3177">
        <row r="1">
          <cell r="A1" t="str">
            <v>PHIẾU XỬ LÝ HỒ SƠ THANH TOÁN VƯỢT THẨM QUYỀN PD</v>
          </cell>
        </row>
      </sheetData>
      <sheetData sheetId="3178">
        <row r="1">
          <cell r="A1" t="str">
            <v>PHIẾU XỬ LÝ HỒ SƠ THANH TOÁN VƯỢT THẨM QUYỀN PD</v>
          </cell>
        </row>
      </sheetData>
      <sheetData sheetId="3179">
        <row r="1">
          <cell r="A1" t="str">
            <v>PHIẾU XỬ LÝ HỒ SƠ THANH TOÁN VƯỢT THẨM QUYỀN PD</v>
          </cell>
        </row>
      </sheetData>
      <sheetData sheetId="3180">
        <row r="1">
          <cell r="A1" t="str">
            <v>PHIẾU XỬ LÝ HỒ SƠ THANH TOÁN VƯỢT THẨM QUYỀN PD</v>
          </cell>
        </row>
      </sheetData>
      <sheetData sheetId="3181">
        <row r="1">
          <cell r="A1" t="str">
            <v>PHIẾU XỬ LÝ HỒ SƠ THANH TOÁN VƯỢT THẨM QUYỀN PD</v>
          </cell>
        </row>
      </sheetData>
      <sheetData sheetId="3182">
        <row r="1">
          <cell r="A1" t="str">
            <v>PHIẾU XỬ LÝ HỒ SƠ THANH TOÁN VƯỢT THẨM QUYỀN PD</v>
          </cell>
        </row>
      </sheetData>
      <sheetData sheetId="3183">
        <row r="1">
          <cell r="A1" t="str">
            <v>PHIẾU XỬ LÝ HỒ SƠ THANH TOÁN VƯỢT THẨM QUYỀN PD</v>
          </cell>
        </row>
      </sheetData>
      <sheetData sheetId="3184">
        <row r="1">
          <cell r="A1" t="str">
            <v>PHIẾU XỬ LÝ HỒ SƠ THANH TOÁN VƯỢT THẨM QUYỀN PD</v>
          </cell>
        </row>
      </sheetData>
      <sheetData sheetId="3185">
        <row r="1">
          <cell r="A1" t="str">
            <v>PHIẾU XỬ LÝ HỒ SƠ THANH TOÁN VƯỢT THẨM QUYỀN PD</v>
          </cell>
        </row>
      </sheetData>
      <sheetData sheetId="3186">
        <row r="1">
          <cell r="A1" t="str">
            <v>PHIẾU XỬ LÝ HỒ SƠ THANH TOÁN VƯỢT THẨM QUYỀN PD</v>
          </cell>
        </row>
      </sheetData>
      <sheetData sheetId="3187">
        <row r="1">
          <cell r="A1" t="str">
            <v>PHIẾU XỬ LÝ HỒ SƠ THANH TOÁN VƯỢT THẨM QUYỀN PD</v>
          </cell>
        </row>
      </sheetData>
      <sheetData sheetId="3188">
        <row r="1">
          <cell r="A1" t="str">
            <v>PHIẾU XỬ LÝ HỒ SƠ THANH TOÁN VƯỢT THẨM QUYỀN PD</v>
          </cell>
        </row>
      </sheetData>
      <sheetData sheetId="3189">
        <row r="1">
          <cell r="A1" t="str">
            <v>PHIẾU XỬ LÝ HỒ SƠ THANH TOÁN VƯỢT THẨM QUYỀN PD</v>
          </cell>
        </row>
      </sheetData>
      <sheetData sheetId="3190">
        <row r="1">
          <cell r="A1" t="str">
            <v>PHIẾU XỬ LÝ HỒ SƠ THANH TOÁN VƯỢT THẨM QUYỀN PD</v>
          </cell>
        </row>
      </sheetData>
      <sheetData sheetId="3191">
        <row r="1">
          <cell r="A1" t="str">
            <v>PHIẾU XỬ LÝ HỒ SƠ THANH TOÁN VƯỢT THẨM QUYỀN PD</v>
          </cell>
        </row>
      </sheetData>
      <sheetData sheetId="3192">
        <row r="1">
          <cell r="A1" t="str">
            <v>PHIẾU XỬ LÝ HỒ SƠ THANH TOÁN VƯỢT THẨM QUYỀN PD</v>
          </cell>
        </row>
      </sheetData>
      <sheetData sheetId="3193">
        <row r="1">
          <cell r="A1" t="str">
            <v>PHIẾU XỬ LÝ HỒ SƠ THANH TOÁN VƯỢT THẨM QUYỀN PD</v>
          </cell>
        </row>
      </sheetData>
      <sheetData sheetId="3194">
        <row r="1">
          <cell r="A1" t="str">
            <v>PHIẾU XỬ LÝ HỒ SƠ THANH TOÁN VƯỢT THẨM QUYỀN PD</v>
          </cell>
        </row>
      </sheetData>
      <sheetData sheetId="3195">
        <row r="1">
          <cell r="A1" t="str">
            <v>PHIẾU XỬ LÝ HỒ SƠ THANH TOÁN VƯỢT THẨM QUYỀN PD</v>
          </cell>
        </row>
      </sheetData>
      <sheetData sheetId="3196">
        <row r="1">
          <cell r="A1" t="str">
            <v>PHIẾU XỬ LÝ HỒ SƠ THANH TOÁN VƯỢT THẨM QUYỀN PD</v>
          </cell>
        </row>
      </sheetData>
      <sheetData sheetId="3197">
        <row r="1">
          <cell r="A1" t="str">
            <v>PHIẾU XỬ LÝ HỒ SƠ THANH TOÁN VƯỢT THẨM QUYỀN PD</v>
          </cell>
        </row>
      </sheetData>
      <sheetData sheetId="3198">
        <row r="1">
          <cell r="A1" t="str">
            <v>PHIẾU XỬ LÝ HỒ SƠ THANH TOÁN VƯỢT THẨM QUYỀN PD</v>
          </cell>
        </row>
      </sheetData>
      <sheetData sheetId="3199">
        <row r="1">
          <cell r="A1" t="str">
            <v>PHIẾU XỬ LÝ HỒ SƠ THANH TOÁN VƯỢT THẨM QUYỀN PD</v>
          </cell>
        </row>
      </sheetData>
      <sheetData sheetId="3200">
        <row r="1">
          <cell r="A1" t="str">
            <v>PHIẾU XỬ LÝ HỒ SƠ THANH TOÁN VƯỢT THẨM QUYỀN PD</v>
          </cell>
        </row>
      </sheetData>
      <sheetData sheetId="3201">
        <row r="1">
          <cell r="A1" t="str">
            <v>PHIẾU XỬ LÝ HỒ SƠ THANH TOÁN VƯỢT THẨM QUYỀN PD</v>
          </cell>
        </row>
      </sheetData>
      <sheetData sheetId="3202">
        <row r="1">
          <cell r="A1" t="str">
            <v>PHIẾU XỬ LÝ HỒ SƠ THANH TOÁN VƯỢT THẨM QUYỀN PD</v>
          </cell>
        </row>
      </sheetData>
      <sheetData sheetId="3203">
        <row r="1">
          <cell r="A1" t="str">
            <v>PHIẾU XỬ LÝ HỒ SƠ THANH TOÁN VƯỢT THẨM QUYỀN PD</v>
          </cell>
        </row>
      </sheetData>
      <sheetData sheetId="3204">
        <row r="1">
          <cell r="A1" t="str">
            <v>PHIẾU XỬ LÝ HỒ SƠ THANH TOÁN VƯỢT THẨM QUYỀN PD</v>
          </cell>
        </row>
      </sheetData>
      <sheetData sheetId="3205">
        <row r="1">
          <cell r="A1" t="str">
            <v>PHIẾU XỬ LÝ HỒ SƠ THANH TOÁN VƯỢT THẨM QUYỀN PD</v>
          </cell>
        </row>
      </sheetData>
      <sheetData sheetId="3206">
        <row r="1">
          <cell r="A1" t="str">
            <v>PHIẾU XỬ LÝ HỒ SƠ THANH TOÁN VƯỢT THẨM QUYỀN PD</v>
          </cell>
        </row>
      </sheetData>
      <sheetData sheetId="3207">
        <row r="1">
          <cell r="A1" t="str">
            <v>PHIẾU XỬ LÝ HỒ SƠ THANH TOÁN VƯỢT THẨM QUYỀN PD</v>
          </cell>
        </row>
      </sheetData>
      <sheetData sheetId="3208">
        <row r="1">
          <cell r="A1" t="str">
            <v>PHIẾU XỬ LÝ HỒ SƠ THANH TOÁN VƯỢT THẨM QUYỀN PD</v>
          </cell>
        </row>
      </sheetData>
      <sheetData sheetId="3209">
        <row r="1">
          <cell r="A1" t="str">
            <v>PHIẾU XỬ LÝ HỒ SƠ THANH TOÁN VƯỢT THẨM QUYỀN PD</v>
          </cell>
        </row>
      </sheetData>
      <sheetData sheetId="3210">
        <row r="1">
          <cell r="A1" t="str">
            <v>PHIẾU XỬ LÝ HỒ SƠ THANH TOÁN VƯỢT THẨM QUYỀN PD</v>
          </cell>
        </row>
      </sheetData>
      <sheetData sheetId="3211">
        <row r="1">
          <cell r="A1" t="str">
            <v>PHIẾU XỬ LÝ HỒ SƠ THANH TOÁN VƯỢT THẨM QUYỀN PD</v>
          </cell>
        </row>
      </sheetData>
      <sheetData sheetId="3212">
        <row r="1">
          <cell r="A1" t="str">
            <v>PHIẾU XỬ LÝ HỒ SƠ THANH TOÁN VƯỢT THẨM QUYỀN PD</v>
          </cell>
        </row>
      </sheetData>
      <sheetData sheetId="3213">
        <row r="1">
          <cell r="A1" t="str">
            <v>PHIẾU XỬ LÝ HỒ SƠ THANH TOÁN VƯỢT THẨM QUYỀN PD</v>
          </cell>
        </row>
      </sheetData>
      <sheetData sheetId="3214">
        <row r="1">
          <cell r="A1" t="str">
            <v>PHIẾU XỬ LÝ HỒ SƠ THANH TOÁN VƯỢT THẨM QUYỀN PD</v>
          </cell>
        </row>
      </sheetData>
      <sheetData sheetId="3215">
        <row r="1">
          <cell r="A1" t="str">
            <v>PHIẾU XỬ LÝ HỒ SƠ THANH TOÁN VƯỢT THẨM QUYỀN PD</v>
          </cell>
        </row>
      </sheetData>
      <sheetData sheetId="3216">
        <row r="1">
          <cell r="A1" t="str">
            <v>PHIẾU XỬ LÝ HỒ SƠ THANH TOÁN VƯỢT THẨM QUYỀN PD</v>
          </cell>
        </row>
      </sheetData>
      <sheetData sheetId="3217">
        <row r="1">
          <cell r="A1" t="str">
            <v>PHIẾU XỬ LÝ HỒ SƠ THANH TOÁN VƯỢT THẨM QUYỀN PD</v>
          </cell>
        </row>
      </sheetData>
      <sheetData sheetId="3218">
        <row r="1">
          <cell r="A1" t="str">
            <v>PHIẾU XỬ LÝ HỒ SƠ THANH TOÁN VƯỢT THẨM QUYỀN PD</v>
          </cell>
        </row>
      </sheetData>
      <sheetData sheetId="3219">
        <row r="1">
          <cell r="A1" t="str">
            <v>PHIẾU XỬ LÝ HỒ SƠ THANH TOÁN VƯỢT THẨM QUYỀN PD</v>
          </cell>
        </row>
      </sheetData>
      <sheetData sheetId="3220">
        <row r="1">
          <cell r="A1" t="str">
            <v>PHIẾU XỬ LÝ HỒ SƠ THANH TOÁN VƯỢT THẨM QUYỀN PD</v>
          </cell>
        </row>
      </sheetData>
      <sheetData sheetId="3221">
        <row r="1">
          <cell r="A1" t="str">
            <v>PHIẾU XỬ LÝ HỒ SƠ THANH TOÁN VƯỢT THẨM QUYỀN PD</v>
          </cell>
        </row>
      </sheetData>
      <sheetData sheetId="3222">
        <row r="1">
          <cell r="A1" t="str">
            <v>PHIẾU XỬ LÝ HỒ SƠ THANH TOÁN VƯỢT THẨM QUYỀN PD</v>
          </cell>
        </row>
      </sheetData>
      <sheetData sheetId="3223">
        <row r="1">
          <cell r="A1" t="str">
            <v>PHIẾU XỬ LÝ HỒ SƠ THANH TOÁN VƯỢT THẨM QUYỀN PD</v>
          </cell>
        </row>
      </sheetData>
      <sheetData sheetId="3224">
        <row r="1">
          <cell r="A1" t="str">
            <v>PHIẾU XỬ LÝ HỒ SƠ THANH TOÁN VƯỢT THẨM QUYỀN PD</v>
          </cell>
        </row>
      </sheetData>
      <sheetData sheetId="3225">
        <row r="1">
          <cell r="A1" t="str">
            <v>PHIẾU XỬ LÝ HỒ SƠ THANH TOÁN VƯỢT THẨM QUYỀN PD</v>
          </cell>
        </row>
      </sheetData>
      <sheetData sheetId="3226">
        <row r="1">
          <cell r="A1" t="str">
            <v>PHIẾU XỬ LÝ HỒ SƠ THANH TOÁN VƯỢT THẨM QUYỀN PD</v>
          </cell>
        </row>
      </sheetData>
      <sheetData sheetId="3227">
        <row r="1">
          <cell r="A1" t="str">
            <v>PHIẾU XỬ LÝ HỒ SƠ THANH TOÁN VƯỢT THẨM QUYỀN PD</v>
          </cell>
        </row>
      </sheetData>
      <sheetData sheetId="3228">
        <row r="1">
          <cell r="A1" t="str">
            <v>PHIẾU XỬ LÝ HỒ SƠ THANH TOÁN VƯỢT THẨM QUYỀN PD</v>
          </cell>
        </row>
      </sheetData>
      <sheetData sheetId="3229">
        <row r="1">
          <cell r="A1" t="str">
            <v>PHIẾU XỬ LÝ HỒ SƠ THANH TOÁN VƯỢT THẨM QUYỀN PD</v>
          </cell>
        </row>
      </sheetData>
      <sheetData sheetId="3230">
        <row r="1">
          <cell r="A1" t="str">
            <v>PHIẾU XỬ LÝ HỒ SƠ THANH TOÁN VƯỢT THẨM QUYỀN PD</v>
          </cell>
        </row>
      </sheetData>
      <sheetData sheetId="3231">
        <row r="1">
          <cell r="A1" t="str">
            <v>PHIẾU XỬ LÝ HỒ SƠ THANH TOÁN VƯỢT THẨM QUYỀN PD</v>
          </cell>
        </row>
      </sheetData>
      <sheetData sheetId="3232">
        <row r="1">
          <cell r="A1" t="str">
            <v>PHIẾU XỬ LÝ HỒ SƠ THANH TOÁN VƯỢT THẨM QUYỀN PD</v>
          </cell>
        </row>
      </sheetData>
      <sheetData sheetId="3233">
        <row r="1">
          <cell r="A1" t="str">
            <v>PHIẾU XỬ LÝ HỒ SƠ THANH TOÁN VƯỢT THẨM QUYỀN PD</v>
          </cell>
        </row>
      </sheetData>
      <sheetData sheetId="3234">
        <row r="1">
          <cell r="A1" t="str">
            <v>PHIẾU XỬ LÝ HỒ SƠ THANH TOÁN VƯỢT THẨM QUYỀN PD</v>
          </cell>
        </row>
      </sheetData>
      <sheetData sheetId="3235">
        <row r="1">
          <cell r="A1" t="str">
            <v>PHIẾU XỬ LÝ HỒ SƠ THANH TOÁN VƯỢT THẨM QUYỀN PD</v>
          </cell>
        </row>
      </sheetData>
      <sheetData sheetId="3236">
        <row r="1">
          <cell r="A1" t="str">
            <v>PHIẾU XỬ LÝ HỒ SƠ THANH TOÁN VƯỢT THẨM QUYỀN PD</v>
          </cell>
        </row>
      </sheetData>
      <sheetData sheetId="3237">
        <row r="1">
          <cell r="A1" t="str">
            <v>PHIẾU XỬ LÝ HỒ SƠ THANH TOÁN VƯỢT THẨM QUYỀN PD</v>
          </cell>
        </row>
      </sheetData>
      <sheetData sheetId="3238">
        <row r="1">
          <cell r="A1" t="str">
            <v>PHIẾU XỬ LÝ HỒ SƠ THANH TOÁN VƯỢT THẨM QUYỀN PD</v>
          </cell>
        </row>
      </sheetData>
      <sheetData sheetId="3239">
        <row r="1">
          <cell r="A1" t="str">
            <v>PHIẾU XỬ LÝ HỒ SƠ THANH TOÁN VƯỢT THẨM QUYỀN PD</v>
          </cell>
        </row>
      </sheetData>
      <sheetData sheetId="3240">
        <row r="1">
          <cell r="A1" t="str">
            <v>PHIẾU XỬ LÝ HỒ SƠ THANH TOÁN VƯỢT THẨM QUYỀN PD</v>
          </cell>
        </row>
      </sheetData>
      <sheetData sheetId="3241">
        <row r="1">
          <cell r="A1" t="str">
            <v>PHIẾU XỬ LÝ HỒ SƠ THANH TOÁN VƯỢT THẨM QUYỀN PD</v>
          </cell>
        </row>
      </sheetData>
      <sheetData sheetId="3242">
        <row r="1">
          <cell r="A1" t="str">
            <v>PHIẾU XỬ LÝ HỒ SƠ THANH TOÁN VƯỢT THẨM QUYỀN PD</v>
          </cell>
        </row>
      </sheetData>
      <sheetData sheetId="3243">
        <row r="1">
          <cell r="A1" t="str">
            <v>PHIẾU XỬ LÝ HỒ SƠ THANH TOÁN VƯỢT THẨM QUYỀN PD</v>
          </cell>
        </row>
      </sheetData>
      <sheetData sheetId="3244">
        <row r="1">
          <cell r="A1" t="str">
            <v>PHIẾU XỬ LÝ HỒ SƠ THANH TOÁN VƯỢT THẨM QUYỀN PD</v>
          </cell>
        </row>
      </sheetData>
      <sheetData sheetId="3245">
        <row r="1">
          <cell r="A1" t="str">
            <v>PHIẾU XỬ LÝ HỒ SƠ THANH TOÁN VƯỢT THẨM QUYỀN PD</v>
          </cell>
        </row>
      </sheetData>
      <sheetData sheetId="3246">
        <row r="1">
          <cell r="A1" t="str">
            <v>PHIẾU XỬ LÝ HỒ SƠ THANH TOÁN VƯỢT THẨM QUYỀN PD</v>
          </cell>
        </row>
      </sheetData>
      <sheetData sheetId="3247">
        <row r="1">
          <cell r="A1" t="str">
            <v>PHIẾU XỬ LÝ HỒ SƠ THANH TOÁN VƯỢT THẨM QUYỀN PD</v>
          </cell>
        </row>
      </sheetData>
      <sheetData sheetId="3248">
        <row r="1">
          <cell r="A1" t="str">
            <v>PHIẾU XỬ LÝ HỒ SƠ THANH TOÁN VƯỢT THẨM QUYỀN PD</v>
          </cell>
        </row>
      </sheetData>
      <sheetData sheetId="3249">
        <row r="1">
          <cell r="A1" t="str">
            <v>PHIẾU XỬ LÝ HỒ SƠ THANH TOÁN VƯỢT THẨM QUYỀN PD</v>
          </cell>
        </row>
      </sheetData>
      <sheetData sheetId="3250">
        <row r="1">
          <cell r="A1" t="str">
            <v>PHIẾU XỬ LÝ HỒ SƠ THANH TOÁN VƯỢT THẨM QUYỀN PD</v>
          </cell>
        </row>
      </sheetData>
      <sheetData sheetId="3251">
        <row r="1">
          <cell r="A1" t="str">
            <v>PHIẾU XỬ LÝ HỒ SƠ THANH TOÁN VƯỢT THẨM QUYỀN PD</v>
          </cell>
        </row>
      </sheetData>
      <sheetData sheetId="3252">
        <row r="1">
          <cell r="A1" t="str">
            <v>PHIẾU XỬ LÝ HỒ SƠ THANH TOÁN VƯỢT THẨM QUYỀN PD</v>
          </cell>
        </row>
      </sheetData>
      <sheetData sheetId="3253">
        <row r="1">
          <cell r="A1" t="str">
            <v>PHIẾU XỬ LÝ HỒ SƠ THANH TOÁN VƯỢT THẨM QUYỀN PD</v>
          </cell>
        </row>
      </sheetData>
      <sheetData sheetId="3254">
        <row r="1">
          <cell r="A1" t="str">
            <v>PHIẾU XỬ LÝ HỒ SƠ THANH TOÁN VƯỢT THẨM QUYỀN PD</v>
          </cell>
        </row>
      </sheetData>
      <sheetData sheetId="3255">
        <row r="1">
          <cell r="A1" t="str">
            <v>PHIẾU XỬ LÝ HỒ SƠ THANH TOÁN VƯỢT THẨM QUYỀN PD</v>
          </cell>
        </row>
      </sheetData>
      <sheetData sheetId="3256">
        <row r="1">
          <cell r="A1" t="str">
            <v>PHIẾU XỬ LÝ HỒ SƠ THANH TOÁN VƯỢT THẨM QUYỀN PD</v>
          </cell>
        </row>
      </sheetData>
      <sheetData sheetId="3257">
        <row r="1">
          <cell r="A1" t="str">
            <v>PHIẾU XỬ LÝ HỒ SƠ THANH TOÁN VƯỢT THẨM QUYỀN PD</v>
          </cell>
        </row>
      </sheetData>
      <sheetData sheetId="3258">
        <row r="1">
          <cell r="A1" t="str">
            <v>PHIẾU XỬ LÝ HỒ SƠ THANH TOÁN VƯỢT THẨM QUYỀN PD</v>
          </cell>
        </row>
      </sheetData>
      <sheetData sheetId="3259">
        <row r="1">
          <cell r="A1" t="str">
            <v>PHIẾU XỬ LÝ HỒ SƠ THANH TOÁN VƯỢT THẨM QUYỀN PD</v>
          </cell>
        </row>
      </sheetData>
      <sheetData sheetId="3260">
        <row r="1">
          <cell r="A1" t="str">
            <v>PHIẾU XỬ LÝ HỒ SƠ THANH TOÁN VƯỢT THẨM QUYỀN PD</v>
          </cell>
        </row>
      </sheetData>
      <sheetData sheetId="3261">
        <row r="1">
          <cell r="A1" t="str">
            <v>PHIẾU XỬ LÝ HỒ SƠ THANH TOÁN VƯỢT THẨM QUYỀN PD</v>
          </cell>
        </row>
      </sheetData>
      <sheetData sheetId="3262">
        <row r="1">
          <cell r="A1" t="str">
            <v>PHIẾU XỬ LÝ HỒ SƠ THANH TOÁN VƯỢT THẨM QUYỀN PD</v>
          </cell>
        </row>
      </sheetData>
      <sheetData sheetId="3263">
        <row r="1">
          <cell r="A1" t="str">
            <v>PHIẾU XỬ LÝ HỒ SƠ THANH TOÁN VƯỢT THẨM QUYỀN PD</v>
          </cell>
        </row>
      </sheetData>
      <sheetData sheetId="3264">
        <row r="1">
          <cell r="A1" t="str">
            <v>PHIẾU XỬ LÝ HỒ SƠ THANH TOÁN VƯỢT THẨM QUYỀN PD</v>
          </cell>
        </row>
      </sheetData>
      <sheetData sheetId="3265">
        <row r="1">
          <cell r="A1" t="str">
            <v>PHIẾU XỬ LÝ HỒ SƠ THANH TOÁN VƯỢT THẨM QUYỀN PD</v>
          </cell>
        </row>
      </sheetData>
      <sheetData sheetId="3266">
        <row r="1">
          <cell r="A1" t="str">
            <v>PHIẾU XỬ LÝ HỒ SƠ THANH TOÁN VƯỢT THẨM QUYỀN PD</v>
          </cell>
        </row>
      </sheetData>
      <sheetData sheetId="3267">
        <row r="1">
          <cell r="A1" t="str">
            <v>PHIẾU XỬ LÝ HỒ SƠ THANH TOÁN VƯỢT THẨM QUYỀN PD</v>
          </cell>
        </row>
      </sheetData>
      <sheetData sheetId="3268">
        <row r="1">
          <cell r="A1" t="str">
            <v>PHIẾU XỬ LÝ HỒ SƠ THANH TOÁN VƯỢT THẨM QUYỀN PD</v>
          </cell>
        </row>
      </sheetData>
      <sheetData sheetId="3269">
        <row r="1">
          <cell r="A1" t="str">
            <v>PHIẾU XỬ LÝ HỒ SƠ THANH TOÁN VƯỢT THẨM QUYỀN PD</v>
          </cell>
        </row>
      </sheetData>
      <sheetData sheetId="3270">
        <row r="1">
          <cell r="A1" t="str">
            <v>PHIẾU XỬ LÝ HỒ SƠ THANH TOÁN VƯỢT THẨM QUYỀN PD</v>
          </cell>
        </row>
      </sheetData>
      <sheetData sheetId="3271">
        <row r="1">
          <cell r="A1" t="str">
            <v>PHIẾU XỬ LÝ HỒ SƠ THANH TOÁN VƯỢT THẨM QUYỀN PD</v>
          </cell>
        </row>
      </sheetData>
      <sheetData sheetId="3272">
        <row r="1">
          <cell r="A1" t="str">
            <v>PHIẾU XỬ LÝ HỒ SƠ THANH TOÁN VƯỢT THẨM QUYỀN PD</v>
          </cell>
        </row>
      </sheetData>
      <sheetData sheetId="3273">
        <row r="1">
          <cell r="A1" t="str">
            <v>PHIẾU XỬ LÝ HỒ SƠ THANH TOÁN VƯỢT THẨM QUYỀN PD</v>
          </cell>
        </row>
      </sheetData>
      <sheetData sheetId="3274">
        <row r="1">
          <cell r="A1" t="str">
            <v>PHIẾU XỬ LÝ HỒ SƠ THANH TOÁN VƯỢT THẨM QUYỀN PD</v>
          </cell>
        </row>
      </sheetData>
      <sheetData sheetId="3275">
        <row r="1">
          <cell r="A1" t="str">
            <v>PHIẾU XỬ LÝ HỒ SƠ THANH TOÁN VƯỢT THẨM QUYỀN PD</v>
          </cell>
        </row>
      </sheetData>
      <sheetData sheetId="3276">
        <row r="1">
          <cell r="A1" t="str">
            <v>PHIẾU XỬ LÝ HỒ SƠ THANH TOÁN VƯỢT THẨM QUYỀN PD</v>
          </cell>
        </row>
      </sheetData>
      <sheetData sheetId="3277">
        <row r="1">
          <cell r="A1" t="str">
            <v>PHIẾU XỬ LÝ HỒ SƠ THANH TOÁN VƯỢT THẨM QUYỀN PD</v>
          </cell>
        </row>
      </sheetData>
      <sheetData sheetId="3278">
        <row r="1">
          <cell r="A1" t="str">
            <v>PHIẾU XỬ LÝ HỒ SƠ THANH TOÁN VƯỢT THẨM QUYỀN PD</v>
          </cell>
        </row>
      </sheetData>
      <sheetData sheetId="3279">
        <row r="1">
          <cell r="A1" t="str">
            <v>PHIẾU XỬ LÝ HỒ SƠ THANH TOÁN VƯỢT THẨM QUYỀN PD</v>
          </cell>
        </row>
      </sheetData>
      <sheetData sheetId="3280">
        <row r="1">
          <cell r="A1" t="str">
            <v>PHIẾU XỬ LÝ HỒ SƠ THANH TOÁN VƯỢT THẨM QUYỀN PD</v>
          </cell>
        </row>
      </sheetData>
      <sheetData sheetId="3281">
        <row r="1">
          <cell r="A1" t="str">
            <v>PHIẾU XỬ LÝ HỒ SƠ THANH TOÁN VƯỢT THẨM QUYỀN PD</v>
          </cell>
        </row>
      </sheetData>
      <sheetData sheetId="3282">
        <row r="1">
          <cell r="A1" t="str">
            <v>PHIẾU XỬ LÝ HỒ SƠ THANH TOÁN VƯỢT THẨM QUYỀN PD</v>
          </cell>
        </row>
      </sheetData>
      <sheetData sheetId="3283">
        <row r="1">
          <cell r="A1" t="str">
            <v>PHIẾU XỬ LÝ HỒ SƠ THANH TOÁN VƯỢT THẨM QUYỀN PD</v>
          </cell>
        </row>
      </sheetData>
      <sheetData sheetId="3284">
        <row r="1">
          <cell r="A1" t="str">
            <v>PHIẾU XỬ LÝ HỒ SƠ THANH TOÁN VƯỢT THẨM QUYỀN PD</v>
          </cell>
        </row>
      </sheetData>
      <sheetData sheetId="3285">
        <row r="1">
          <cell r="A1" t="str">
            <v>PHIẾU XỬ LÝ HỒ SƠ THANH TOÁN VƯỢT THẨM QUYỀN PD</v>
          </cell>
        </row>
      </sheetData>
      <sheetData sheetId="3286">
        <row r="1">
          <cell r="A1" t="str">
            <v>PHIẾU XỬ LÝ HỒ SƠ THANH TOÁN VƯỢT THẨM QUYỀN PD</v>
          </cell>
        </row>
      </sheetData>
      <sheetData sheetId="3287">
        <row r="1">
          <cell r="A1" t="str">
            <v>PHIẾU XỬ LÝ HỒ SƠ THANH TOÁN VƯỢT THẨM QUYỀN PD</v>
          </cell>
        </row>
      </sheetData>
      <sheetData sheetId="3288">
        <row r="1">
          <cell r="A1" t="str">
            <v>PHIẾU XỬ LÝ HỒ SƠ THANH TOÁN VƯỢT THẨM QUYỀN PD</v>
          </cell>
        </row>
      </sheetData>
      <sheetData sheetId="3289">
        <row r="1">
          <cell r="A1" t="str">
            <v>PHIẾU XỬ LÝ HỒ SƠ THANH TOÁN VƯỢT THẨM QUYỀN PD</v>
          </cell>
        </row>
      </sheetData>
      <sheetData sheetId="3290">
        <row r="1">
          <cell r="A1" t="str">
            <v>PHIẾU XỬ LÝ HỒ SƠ THANH TOÁN VƯỢT THẨM QUYỀN PD</v>
          </cell>
        </row>
      </sheetData>
      <sheetData sheetId="3291">
        <row r="1">
          <cell r="A1" t="str">
            <v>PHIẾU XỬ LÝ HỒ SƠ THANH TOÁN VƯỢT THẨM QUYỀN PD</v>
          </cell>
        </row>
      </sheetData>
      <sheetData sheetId="3292">
        <row r="1">
          <cell r="A1" t="str">
            <v>PHIẾU XỬ LÝ HỒ SƠ THANH TOÁN VƯỢT THẨM QUYỀN PD</v>
          </cell>
        </row>
      </sheetData>
      <sheetData sheetId="3293">
        <row r="1">
          <cell r="A1" t="str">
            <v>PHIẾU XỬ LÝ HỒ SƠ THANH TOÁN VƯỢT THẨM QUYỀN PD</v>
          </cell>
        </row>
      </sheetData>
      <sheetData sheetId="3294">
        <row r="1">
          <cell r="A1" t="str">
            <v>PHIẾU XỬ LÝ HỒ SƠ THANH TOÁN VƯỢT THẨM QUYỀN PD</v>
          </cell>
        </row>
      </sheetData>
      <sheetData sheetId="3295">
        <row r="1">
          <cell r="A1" t="str">
            <v>PHIẾU XỬ LÝ HỒ SƠ THANH TOÁN VƯỢT THẨM QUYỀN PD</v>
          </cell>
        </row>
      </sheetData>
      <sheetData sheetId="3296">
        <row r="1">
          <cell r="A1" t="str">
            <v>PHIẾU XỬ LÝ HỒ SƠ THANH TOÁN VƯỢT THẨM QUYỀN PD</v>
          </cell>
        </row>
      </sheetData>
      <sheetData sheetId="3297">
        <row r="1">
          <cell r="A1" t="str">
            <v>PHIẾU XỬ LÝ HỒ SƠ THANH TOÁN VƯỢT THẨM QUYỀN PD</v>
          </cell>
        </row>
      </sheetData>
      <sheetData sheetId="3298">
        <row r="1">
          <cell r="A1" t="str">
            <v>PHIẾU XỬ LÝ HỒ SƠ THANH TOÁN VƯỢT THẨM QUYỀN PD</v>
          </cell>
        </row>
      </sheetData>
      <sheetData sheetId="3299">
        <row r="1">
          <cell r="A1" t="str">
            <v>PHIẾU XỬ LÝ HỒ SƠ THANH TOÁN VƯỢT THẨM QUYỀN PD</v>
          </cell>
        </row>
      </sheetData>
      <sheetData sheetId="3300">
        <row r="1">
          <cell r="A1" t="str">
            <v>PHIẾU XỬ LÝ HỒ SƠ THANH TOÁN VƯỢT THẨM QUYỀN PD</v>
          </cell>
        </row>
      </sheetData>
      <sheetData sheetId="3301">
        <row r="1">
          <cell r="A1" t="str">
            <v>PHIẾU XỬ LÝ HỒ SƠ THANH TOÁN VƯỢT THẨM QUYỀN PD</v>
          </cell>
        </row>
      </sheetData>
      <sheetData sheetId="3302">
        <row r="1">
          <cell r="A1" t="str">
            <v>PHIẾU XỬ LÝ HỒ SƠ THANH TOÁN VƯỢT THẨM QUYỀN PD</v>
          </cell>
        </row>
      </sheetData>
      <sheetData sheetId="3303">
        <row r="1">
          <cell r="A1" t="str">
            <v>PHIẾU XỬ LÝ HỒ SƠ THANH TOÁN VƯỢT THẨM QUYỀN PD</v>
          </cell>
        </row>
      </sheetData>
      <sheetData sheetId="3304">
        <row r="1">
          <cell r="A1" t="str">
            <v>PHIẾU XỬ LÝ HỒ SƠ THANH TOÁN VƯỢT THẨM QUYỀN PD</v>
          </cell>
        </row>
      </sheetData>
      <sheetData sheetId="3305">
        <row r="1">
          <cell r="A1" t="str">
            <v>PHIẾU XỬ LÝ HỒ SƠ THANH TOÁN VƯỢT THẨM QUYỀN PD</v>
          </cell>
        </row>
      </sheetData>
      <sheetData sheetId="3306">
        <row r="1">
          <cell r="A1" t="str">
            <v>PHIẾU XỬ LÝ HỒ SƠ THANH TOÁN VƯỢT THẨM QUYỀN PD</v>
          </cell>
        </row>
      </sheetData>
      <sheetData sheetId="3307">
        <row r="1">
          <cell r="A1" t="str">
            <v>PHIẾU XỬ LÝ HỒ SƠ THANH TOÁN VƯỢT THẨM QUYỀN PD</v>
          </cell>
        </row>
      </sheetData>
      <sheetData sheetId="3308">
        <row r="1">
          <cell r="A1" t="str">
            <v>PHIẾU XỬ LÝ HỒ SƠ THANH TOÁN VƯỢT THẨM QUYỀN PD</v>
          </cell>
        </row>
      </sheetData>
      <sheetData sheetId="3309">
        <row r="1">
          <cell r="A1" t="str">
            <v>PHIẾU XỬ LÝ HỒ SƠ THANH TOÁN VƯỢT THẨM QUYỀN PD</v>
          </cell>
        </row>
      </sheetData>
      <sheetData sheetId="3310">
        <row r="1">
          <cell r="A1" t="str">
            <v>PHIẾU XỬ LÝ HỒ SƠ THANH TOÁN VƯỢT THẨM QUYỀN PD</v>
          </cell>
        </row>
      </sheetData>
      <sheetData sheetId="3311">
        <row r="1">
          <cell r="A1" t="str">
            <v>PHIẾU XỬ LÝ HỒ SƠ THANH TOÁN VƯỢT THẨM QUYỀN PD</v>
          </cell>
        </row>
      </sheetData>
      <sheetData sheetId="3312">
        <row r="1">
          <cell r="A1" t="str">
            <v>PHIẾU XỬ LÝ HỒ SƠ THANH TOÁN VƯỢT THẨM QUYỀN PD</v>
          </cell>
        </row>
      </sheetData>
      <sheetData sheetId="3313">
        <row r="1">
          <cell r="A1" t="str">
            <v>PHIẾU XỬ LÝ HỒ SƠ THANH TOÁN VƯỢT THẨM QUYỀN PD</v>
          </cell>
        </row>
      </sheetData>
      <sheetData sheetId="3314">
        <row r="1">
          <cell r="A1" t="str">
            <v>PHIẾU XỬ LÝ HỒ SƠ THANH TOÁN VƯỢT THẨM QUYỀN PD</v>
          </cell>
        </row>
      </sheetData>
      <sheetData sheetId="3315">
        <row r="1">
          <cell r="A1" t="str">
            <v>PHIẾU XỬ LÝ HỒ SƠ THANH TOÁN VƯỢT THẨM QUYỀN PD</v>
          </cell>
        </row>
      </sheetData>
      <sheetData sheetId="3316">
        <row r="1">
          <cell r="A1" t="str">
            <v>PHIẾU XỬ LÝ HỒ SƠ THANH TOÁN VƯỢT THẨM QUYỀN PD</v>
          </cell>
        </row>
      </sheetData>
      <sheetData sheetId="3317">
        <row r="1">
          <cell r="A1" t="str">
            <v>PHIẾU XỬ LÝ HỒ SƠ THANH TOÁN VƯỢT THẨM QUYỀN PD</v>
          </cell>
        </row>
      </sheetData>
      <sheetData sheetId="3318">
        <row r="1">
          <cell r="A1" t="str">
            <v>PHIẾU XỬ LÝ HỒ SƠ THANH TOÁN VƯỢT THẨM QUYỀN PD</v>
          </cell>
        </row>
      </sheetData>
      <sheetData sheetId="3319">
        <row r="1">
          <cell r="A1" t="str">
            <v>PHIẾU XỬ LÝ HỒ SƠ THANH TOÁN VƯỢT THẨM QUYỀN PD</v>
          </cell>
        </row>
      </sheetData>
      <sheetData sheetId="3320">
        <row r="1">
          <cell r="A1" t="str">
            <v>PHIẾU XỬ LÝ HỒ SƠ THANH TOÁN VƯỢT THẨM QUYỀN PD</v>
          </cell>
        </row>
      </sheetData>
      <sheetData sheetId="3321">
        <row r="1">
          <cell r="A1" t="str">
            <v>PHIẾU XỬ LÝ HỒ SƠ THANH TOÁN VƯỢT THẨM QUYỀN PD</v>
          </cell>
        </row>
      </sheetData>
      <sheetData sheetId="3322">
        <row r="1">
          <cell r="A1" t="str">
            <v>PHIẾU XỬ LÝ HỒ SƠ THANH TOÁN VƯỢT THẨM QUYỀN PD</v>
          </cell>
        </row>
      </sheetData>
      <sheetData sheetId="3323">
        <row r="1">
          <cell r="A1" t="str">
            <v>PHIẾU XỬ LÝ HỒ SƠ THANH TOÁN VƯỢT THẨM QUYỀN PD</v>
          </cell>
        </row>
      </sheetData>
      <sheetData sheetId="3324">
        <row r="1">
          <cell r="A1" t="str">
            <v>PHIẾU XỬ LÝ HỒ SƠ THANH TOÁN VƯỢT THẨM QUYỀN PD</v>
          </cell>
        </row>
      </sheetData>
      <sheetData sheetId="3325">
        <row r="1">
          <cell r="A1" t="str">
            <v>PHIẾU XỬ LÝ HỒ SƠ THANH TOÁN VƯỢT THẨM QUYỀN PD</v>
          </cell>
        </row>
      </sheetData>
      <sheetData sheetId="3326">
        <row r="1">
          <cell r="A1" t="str">
            <v>PHIẾU XỬ LÝ HỒ SƠ THANH TOÁN VƯỢT THẨM QUYỀN PD</v>
          </cell>
        </row>
      </sheetData>
      <sheetData sheetId="3327">
        <row r="1">
          <cell r="A1" t="str">
            <v>PHIẾU XỬ LÝ HỒ SƠ THANH TOÁN VƯỢT THẨM QUYỀN PD</v>
          </cell>
        </row>
      </sheetData>
      <sheetData sheetId="3328">
        <row r="1">
          <cell r="A1" t="str">
            <v>PHIẾU XỬ LÝ HỒ SƠ THANH TOÁN VƯỢT THẨM QUYỀN PD</v>
          </cell>
        </row>
      </sheetData>
      <sheetData sheetId="3329">
        <row r="1">
          <cell r="A1" t="str">
            <v>PHIẾU XỬ LÝ HỒ SƠ THANH TOÁN VƯỢT THẨM QUYỀN PD</v>
          </cell>
        </row>
      </sheetData>
      <sheetData sheetId="3330">
        <row r="1">
          <cell r="A1" t="str">
            <v>PHIẾU XỬ LÝ HỒ SƠ THANH TOÁN VƯỢT THẨM QUYỀN PD</v>
          </cell>
        </row>
      </sheetData>
      <sheetData sheetId="3331">
        <row r="1">
          <cell r="A1" t="str">
            <v>PHIẾU XỬ LÝ HỒ SƠ THANH TOÁN VƯỢT THẨM QUYỀN PD</v>
          </cell>
        </row>
      </sheetData>
      <sheetData sheetId="3332">
        <row r="1">
          <cell r="A1" t="str">
            <v>PHIẾU XỬ LÝ HỒ SƠ THANH TOÁN VƯỢT THẨM QUYỀN PD</v>
          </cell>
        </row>
      </sheetData>
      <sheetData sheetId="3333">
        <row r="1">
          <cell r="A1" t="str">
            <v>PHIẾU XỬ LÝ HỒ SƠ THANH TOÁN VƯỢT THẨM QUYỀN PD</v>
          </cell>
        </row>
      </sheetData>
      <sheetData sheetId="3334">
        <row r="1">
          <cell r="A1" t="str">
            <v>PHIẾU XỬ LÝ HỒ SƠ THANH TOÁN VƯỢT THẨM QUYỀN PD</v>
          </cell>
        </row>
      </sheetData>
      <sheetData sheetId="3335">
        <row r="1">
          <cell r="A1" t="str">
            <v>PHIẾU XỬ LÝ HỒ SƠ THANH TOÁN VƯỢT THẨM QUYỀN PD</v>
          </cell>
        </row>
      </sheetData>
      <sheetData sheetId="3336">
        <row r="1">
          <cell r="A1" t="str">
            <v>PHIẾU XỬ LÝ HỒ SƠ THANH TOÁN VƯỢT THẨM QUYỀN PD</v>
          </cell>
        </row>
      </sheetData>
      <sheetData sheetId="3337">
        <row r="1">
          <cell r="A1" t="str">
            <v>PHIẾU XỬ LÝ HỒ SƠ THANH TOÁN VƯỢT THẨM QUYỀN PD</v>
          </cell>
        </row>
      </sheetData>
      <sheetData sheetId="3338">
        <row r="1">
          <cell r="A1" t="str">
            <v>PHIẾU XỬ LÝ HỒ SƠ THANH TOÁN VƯỢT THẨM QUYỀN PD</v>
          </cell>
        </row>
      </sheetData>
      <sheetData sheetId="3339">
        <row r="1">
          <cell r="A1" t="str">
            <v>PHIẾU XỬ LÝ HỒ SƠ THANH TOÁN VƯỢT THẨM QUYỀN PD</v>
          </cell>
        </row>
      </sheetData>
      <sheetData sheetId="3340">
        <row r="1">
          <cell r="A1" t="str">
            <v>PHIẾU XỬ LÝ HỒ SƠ THANH TOÁN VƯỢT THẨM QUYỀN PD</v>
          </cell>
        </row>
      </sheetData>
      <sheetData sheetId="3341">
        <row r="1">
          <cell r="A1" t="str">
            <v>PHIẾU XỬ LÝ HỒ SƠ THANH TOÁN VƯỢT THẨM QUYỀN PD</v>
          </cell>
        </row>
      </sheetData>
      <sheetData sheetId="3342">
        <row r="1">
          <cell r="A1" t="str">
            <v>PHIẾU XỬ LÝ HỒ SƠ THANH TOÁN VƯỢT THẨM QUYỀN PD</v>
          </cell>
        </row>
      </sheetData>
      <sheetData sheetId="3343">
        <row r="1">
          <cell r="A1" t="str">
            <v>PHIẾU XỬ LÝ HỒ SƠ THANH TOÁN VƯỢT THẨM QUYỀN PD</v>
          </cell>
        </row>
      </sheetData>
      <sheetData sheetId="3344">
        <row r="1">
          <cell r="A1" t="str">
            <v>PHIẾU XỬ LÝ HỒ SƠ THANH TOÁN VƯỢT THẨM QUYỀN PD</v>
          </cell>
        </row>
      </sheetData>
      <sheetData sheetId="3345">
        <row r="1">
          <cell r="A1" t="str">
            <v>PHIẾU XỬ LÝ HỒ SƠ THANH TOÁN VƯỢT THẨM QUYỀN PD</v>
          </cell>
        </row>
      </sheetData>
      <sheetData sheetId="3346">
        <row r="1">
          <cell r="A1" t="str">
            <v>PHIẾU XỬ LÝ HỒ SƠ THANH TOÁN VƯỢT THẨM QUYỀN PD</v>
          </cell>
        </row>
      </sheetData>
      <sheetData sheetId="3347">
        <row r="1">
          <cell r="A1" t="str">
            <v>PHIẾU XỬ LÝ HỒ SƠ THANH TOÁN VƯỢT THẨM QUYỀN PD</v>
          </cell>
        </row>
      </sheetData>
      <sheetData sheetId="3348">
        <row r="1">
          <cell r="A1" t="str">
            <v>PHIẾU XỬ LÝ HỒ SƠ THANH TOÁN VƯỢT THẨM QUYỀN PD</v>
          </cell>
        </row>
      </sheetData>
      <sheetData sheetId="3349">
        <row r="1">
          <cell r="A1" t="str">
            <v>PHIẾU XỬ LÝ HỒ SƠ THANH TOÁN VƯỢT THẨM QUYỀN PD</v>
          </cell>
        </row>
      </sheetData>
      <sheetData sheetId="3350">
        <row r="1">
          <cell r="A1" t="str">
            <v>PHIẾU XỬ LÝ HỒ SƠ THANH TOÁN VƯỢT THẨM QUYỀN PD</v>
          </cell>
        </row>
      </sheetData>
      <sheetData sheetId="3351">
        <row r="1">
          <cell r="A1" t="str">
            <v>PHIẾU XỬ LÝ HỒ SƠ THANH TOÁN VƯỢT THẨM QUYỀN PD</v>
          </cell>
        </row>
      </sheetData>
      <sheetData sheetId="3352">
        <row r="1">
          <cell r="A1" t="str">
            <v>PHIẾU XỬ LÝ HỒ SƠ THANH TOÁN VƯỢT THẨM QUYỀN PD</v>
          </cell>
        </row>
      </sheetData>
      <sheetData sheetId="3353">
        <row r="1">
          <cell r="A1" t="str">
            <v>PHIẾU XỬ LÝ HỒ SƠ THANH TOÁN VƯỢT THẨM QUYỀN PD</v>
          </cell>
        </row>
      </sheetData>
      <sheetData sheetId="3354">
        <row r="1">
          <cell r="A1" t="str">
            <v>PHIẾU XỬ LÝ HỒ SƠ THANH TOÁN VƯỢT THẨM QUYỀN PD</v>
          </cell>
        </row>
      </sheetData>
      <sheetData sheetId="3355">
        <row r="1">
          <cell r="A1" t="str">
            <v>PHIẾU XỬ LÝ HỒ SƠ THANH TOÁN VƯỢT THẨM QUYỀN PD</v>
          </cell>
        </row>
      </sheetData>
      <sheetData sheetId="3356">
        <row r="1">
          <cell r="A1" t="str">
            <v>PHIẾU XỬ LÝ HỒ SƠ THANH TOÁN VƯỢT THẨM QUYỀN PD</v>
          </cell>
        </row>
      </sheetData>
      <sheetData sheetId="3357">
        <row r="1">
          <cell r="A1" t="str">
            <v>PHIẾU XỬ LÝ HỒ SƠ THANH TOÁN VƯỢT THẨM QUYỀN PD</v>
          </cell>
        </row>
      </sheetData>
      <sheetData sheetId="3358">
        <row r="1">
          <cell r="A1" t="str">
            <v>PHIẾU XỬ LÝ HỒ SƠ THANH TOÁN VƯỢT THẨM QUYỀN PD</v>
          </cell>
        </row>
      </sheetData>
      <sheetData sheetId="3359">
        <row r="1">
          <cell r="A1" t="str">
            <v>PHIẾU XỬ LÝ HỒ SƠ THANH TOÁN VƯỢT THẨM QUYỀN PD</v>
          </cell>
        </row>
      </sheetData>
      <sheetData sheetId="3360">
        <row r="1">
          <cell r="A1" t="str">
            <v>PHIẾU XỬ LÝ HỒ SƠ THANH TOÁN VƯỢT THẨM QUYỀN PD</v>
          </cell>
        </row>
      </sheetData>
      <sheetData sheetId="3361">
        <row r="1">
          <cell r="A1" t="str">
            <v>PHIẾU XỬ LÝ HỒ SƠ THANH TOÁN VƯỢT THẨM QUYỀN PD</v>
          </cell>
        </row>
      </sheetData>
      <sheetData sheetId="3362">
        <row r="1">
          <cell r="A1" t="str">
            <v>PHIẾU XỬ LÝ HỒ SƠ THANH TOÁN VƯỢT THẨM QUYỀN PD</v>
          </cell>
        </row>
      </sheetData>
      <sheetData sheetId="3363">
        <row r="1">
          <cell r="A1" t="str">
            <v>PHIẾU XỬ LÝ HỒ SƠ THANH TOÁN VƯỢT THẨM QUYỀN PD</v>
          </cell>
        </row>
      </sheetData>
      <sheetData sheetId="3364">
        <row r="1">
          <cell r="A1" t="str">
            <v>PHIẾU XỬ LÝ HỒ SƠ THANH TOÁN VƯỢT THẨM QUYỀN PD</v>
          </cell>
        </row>
      </sheetData>
      <sheetData sheetId="3365">
        <row r="1">
          <cell r="A1" t="str">
            <v>PHIẾU XỬ LÝ HỒ SƠ THANH TOÁN VƯỢT THẨM QUYỀN PD</v>
          </cell>
        </row>
      </sheetData>
      <sheetData sheetId="3366">
        <row r="1">
          <cell r="A1" t="str">
            <v>PHIẾU XỬ LÝ HỒ SƠ THANH TOÁN VƯỢT THẨM QUYỀN PD</v>
          </cell>
        </row>
      </sheetData>
      <sheetData sheetId="3367">
        <row r="1">
          <cell r="A1" t="str">
            <v>PHIẾU XỬ LÝ HỒ SƠ THANH TOÁN VƯỢT THẨM QUYỀN PD</v>
          </cell>
        </row>
      </sheetData>
      <sheetData sheetId="3368">
        <row r="1">
          <cell r="A1" t="str">
            <v>PHIẾU XỬ LÝ HỒ SƠ THANH TOÁN VƯỢT THẨM QUYỀN PD</v>
          </cell>
        </row>
      </sheetData>
      <sheetData sheetId="3369">
        <row r="1">
          <cell r="A1" t="str">
            <v>PHIẾU XỬ LÝ HỒ SƠ THANH TOÁN VƯỢT THẨM QUYỀN PD</v>
          </cell>
        </row>
      </sheetData>
      <sheetData sheetId="3370">
        <row r="1">
          <cell r="A1" t="str">
            <v>PHIẾU XỬ LÝ HỒ SƠ THANH TOÁN VƯỢT THẨM QUYỀN PD</v>
          </cell>
        </row>
      </sheetData>
      <sheetData sheetId="3371">
        <row r="1">
          <cell r="A1" t="str">
            <v>PHIẾU XỬ LÝ HỒ SƠ THANH TOÁN VƯỢT THẨM QUYỀN PD</v>
          </cell>
        </row>
      </sheetData>
      <sheetData sheetId="3372">
        <row r="1">
          <cell r="A1" t="str">
            <v>PHIẾU XỬ LÝ HỒ SƠ THANH TOÁN VƯỢT THẨM QUYỀN PD</v>
          </cell>
        </row>
      </sheetData>
      <sheetData sheetId="3373">
        <row r="1">
          <cell r="A1" t="str">
            <v>PHIẾU XỬ LÝ HỒ SƠ THANH TOÁN VƯỢT THẨM QUYỀN PD</v>
          </cell>
        </row>
      </sheetData>
      <sheetData sheetId="3374">
        <row r="1">
          <cell r="A1" t="str">
            <v>PHIẾU XỬ LÝ HỒ SƠ THANH TOÁN VƯỢT THẨM QUYỀN PD</v>
          </cell>
        </row>
      </sheetData>
      <sheetData sheetId="3375">
        <row r="1">
          <cell r="A1" t="str">
            <v>PHIẾU XỬ LÝ HỒ SƠ THANH TOÁN VƯỢT THẨM QUYỀN PD</v>
          </cell>
        </row>
      </sheetData>
      <sheetData sheetId="3376">
        <row r="1">
          <cell r="A1" t="str">
            <v>PHIẾU XỬ LÝ HỒ SƠ THANH TOÁN VƯỢT THẨM QUYỀN PD</v>
          </cell>
        </row>
      </sheetData>
      <sheetData sheetId="3377">
        <row r="1">
          <cell r="A1" t="str">
            <v>PHIẾU XỬ LÝ HỒ SƠ THANH TOÁN VƯỢT THẨM QUYỀN PD</v>
          </cell>
        </row>
      </sheetData>
      <sheetData sheetId="3378">
        <row r="1">
          <cell r="A1" t="str">
            <v>PHIẾU XỬ LÝ HỒ SƠ THANH TOÁN VƯỢT THẨM QUYỀN PD</v>
          </cell>
        </row>
      </sheetData>
      <sheetData sheetId="3379">
        <row r="1">
          <cell r="A1" t="str">
            <v>PHIẾU XỬ LÝ HỒ SƠ THANH TOÁN VƯỢT THẨM QUYỀN PD</v>
          </cell>
        </row>
      </sheetData>
      <sheetData sheetId="3380">
        <row r="1">
          <cell r="A1" t="str">
            <v>PHIẾU XỬ LÝ HỒ SƠ THANH TOÁN VƯỢT THẨM QUYỀN PD</v>
          </cell>
        </row>
      </sheetData>
      <sheetData sheetId="3381">
        <row r="1">
          <cell r="A1" t="str">
            <v>PHIẾU XỬ LÝ HỒ SƠ THANH TOÁN VƯỢT THẨM QUYỀN PD</v>
          </cell>
        </row>
      </sheetData>
      <sheetData sheetId="3382">
        <row r="1">
          <cell r="A1" t="str">
            <v>PHIẾU XỬ LÝ HỒ SƠ THANH TOÁN VƯỢT THẨM QUYỀN PD</v>
          </cell>
        </row>
      </sheetData>
      <sheetData sheetId="3383">
        <row r="1">
          <cell r="A1" t="str">
            <v>PHIẾU XỬ LÝ HỒ SƠ THANH TOÁN VƯỢT THẨM QUYỀN PD</v>
          </cell>
        </row>
      </sheetData>
      <sheetData sheetId="3384">
        <row r="1">
          <cell r="A1" t="str">
            <v>PHIẾU XỬ LÝ HỒ SƠ THANH TOÁN VƯỢT THẨM QUYỀN PD</v>
          </cell>
        </row>
      </sheetData>
      <sheetData sheetId="3385">
        <row r="1">
          <cell r="A1" t="str">
            <v>PHIẾU XỬ LÝ HỒ SƠ THANH TOÁN VƯỢT THẨM QUYỀN PD</v>
          </cell>
        </row>
      </sheetData>
      <sheetData sheetId="3386">
        <row r="1">
          <cell r="A1" t="str">
            <v>PHIẾU XỬ LÝ HỒ SƠ THANH TOÁN VƯỢT THẨM QUYỀN PD</v>
          </cell>
        </row>
      </sheetData>
      <sheetData sheetId="3387">
        <row r="1">
          <cell r="A1" t="str">
            <v>PHIẾU XỬ LÝ HỒ SƠ THANH TOÁN VƯỢT THẨM QUYỀN PD</v>
          </cell>
        </row>
      </sheetData>
      <sheetData sheetId="3388">
        <row r="1">
          <cell r="A1" t="str">
            <v>PHIẾU XỬ LÝ HỒ SƠ THANH TOÁN VƯỢT THẨM QUYỀN PD</v>
          </cell>
        </row>
      </sheetData>
      <sheetData sheetId="3389">
        <row r="1">
          <cell r="A1" t="str">
            <v>PHIẾU XỬ LÝ HỒ SƠ THANH TOÁN VƯỢT THẨM QUYỀN PD</v>
          </cell>
        </row>
      </sheetData>
      <sheetData sheetId="3390">
        <row r="1">
          <cell r="A1" t="str">
            <v>PHIẾU XỬ LÝ HỒ SƠ THANH TOÁN VƯỢT THẨM QUYỀN PD</v>
          </cell>
        </row>
      </sheetData>
      <sheetData sheetId="3391">
        <row r="1">
          <cell r="A1" t="str">
            <v>PHIẾU XỬ LÝ HỒ SƠ THANH TOÁN VƯỢT THẨM QUYỀN PD</v>
          </cell>
        </row>
      </sheetData>
      <sheetData sheetId="3392">
        <row r="1">
          <cell r="A1" t="str">
            <v>PHIẾU XỬ LÝ HỒ SƠ THANH TOÁN VƯỢT THẨM QUYỀN PD</v>
          </cell>
        </row>
      </sheetData>
      <sheetData sheetId="3393">
        <row r="1">
          <cell r="A1" t="str">
            <v>PHIẾU XỬ LÝ HỒ SƠ THANH TOÁN VƯỢT THẨM QUYỀN PD</v>
          </cell>
        </row>
      </sheetData>
      <sheetData sheetId="3394">
        <row r="1">
          <cell r="A1" t="str">
            <v>PHIẾU XỬ LÝ HỒ SƠ THANH TOÁN VƯỢT THẨM QUYỀN PD</v>
          </cell>
        </row>
      </sheetData>
      <sheetData sheetId="3395">
        <row r="1">
          <cell r="A1" t="str">
            <v>PHIẾU XỬ LÝ HỒ SƠ THANH TOÁN VƯỢT THẨM QUYỀN PD</v>
          </cell>
        </row>
      </sheetData>
      <sheetData sheetId="3396">
        <row r="1">
          <cell r="A1" t="str">
            <v>PHIẾU XỬ LÝ HỒ SƠ THANH TOÁN VƯỢT THẨM QUYỀN PD</v>
          </cell>
        </row>
      </sheetData>
      <sheetData sheetId="3397">
        <row r="1">
          <cell r="A1" t="str">
            <v>PHIẾU XỬ LÝ HỒ SƠ THANH TOÁN VƯỢT THẨM QUYỀN PD</v>
          </cell>
        </row>
      </sheetData>
      <sheetData sheetId="3398">
        <row r="1">
          <cell r="A1" t="str">
            <v>PHIẾU XỬ LÝ HỒ SƠ THANH TOÁN VƯỢT THẨM QUYỀN PD</v>
          </cell>
        </row>
      </sheetData>
      <sheetData sheetId="3399">
        <row r="1">
          <cell r="A1" t="str">
            <v>PHIẾU XỬ LÝ HỒ SƠ THANH TOÁN VƯỢT THẨM QUYỀN PD</v>
          </cell>
        </row>
      </sheetData>
      <sheetData sheetId="3400">
        <row r="1">
          <cell r="A1" t="str">
            <v>PHIẾU XỬ LÝ HỒ SƠ THANH TOÁN VƯỢT THẨM QUYỀN PD</v>
          </cell>
        </row>
      </sheetData>
      <sheetData sheetId="3401">
        <row r="1">
          <cell r="A1" t="str">
            <v>PHIẾU XỬ LÝ HỒ SƠ THANH TOÁN VƯỢT THẨM QUYỀN PD</v>
          </cell>
        </row>
      </sheetData>
      <sheetData sheetId="3402">
        <row r="1">
          <cell r="A1" t="str">
            <v>PHIẾU XỬ LÝ HỒ SƠ THANH TOÁN VƯỢT THẨM QUYỀN PD</v>
          </cell>
        </row>
      </sheetData>
      <sheetData sheetId="3403">
        <row r="1">
          <cell r="A1" t="str">
            <v>PHIẾU XỬ LÝ HỒ SƠ THANH TOÁN VƯỢT THẨM QUYỀN PD</v>
          </cell>
        </row>
      </sheetData>
      <sheetData sheetId="3404">
        <row r="1">
          <cell r="A1" t="str">
            <v>PHIẾU XỬ LÝ HỒ SƠ THANH TOÁN VƯỢT THẨM QUYỀN PD</v>
          </cell>
        </row>
      </sheetData>
      <sheetData sheetId="3405">
        <row r="1">
          <cell r="A1" t="str">
            <v>PHIẾU XỬ LÝ HỒ SƠ THANH TOÁN VƯỢT THẨM QUYỀN PD</v>
          </cell>
        </row>
      </sheetData>
      <sheetData sheetId="3406">
        <row r="1">
          <cell r="A1" t="str">
            <v>PHIẾU XỬ LÝ HỒ SƠ THANH TOÁN VƯỢT THẨM QUYỀN PD</v>
          </cell>
        </row>
      </sheetData>
      <sheetData sheetId="3407">
        <row r="1">
          <cell r="A1" t="str">
            <v>PHIẾU XỬ LÝ HỒ SƠ THANH TOÁN VƯỢT THẨM QUYỀN PD</v>
          </cell>
        </row>
      </sheetData>
      <sheetData sheetId="3408">
        <row r="1">
          <cell r="A1" t="str">
            <v>PHIẾU XỬ LÝ HỒ SƠ THANH TOÁN VƯỢT THẨM QUYỀN PD</v>
          </cell>
        </row>
      </sheetData>
      <sheetData sheetId="3409">
        <row r="1">
          <cell r="A1" t="str">
            <v>PHIẾU XỬ LÝ HỒ SƠ THANH TOÁN VƯỢT THẨM QUYỀN PD</v>
          </cell>
        </row>
      </sheetData>
      <sheetData sheetId="3410">
        <row r="1">
          <cell r="A1" t="str">
            <v>PHIẾU XỬ LÝ HỒ SƠ THANH TOÁN VƯỢT THẨM QUYỀN PD</v>
          </cell>
        </row>
      </sheetData>
      <sheetData sheetId="3411">
        <row r="1">
          <cell r="A1" t="str">
            <v>PHIẾU XỬ LÝ HỒ SƠ THANH TOÁN VƯỢT THẨM QUYỀN PD</v>
          </cell>
        </row>
      </sheetData>
      <sheetData sheetId="3412">
        <row r="1">
          <cell r="A1" t="str">
            <v>PHIẾU XỬ LÝ HỒ SƠ THANH TOÁN VƯỢT THẨM QUYỀN PD</v>
          </cell>
        </row>
      </sheetData>
      <sheetData sheetId="3413">
        <row r="1">
          <cell r="A1" t="str">
            <v>PHIẾU XỬ LÝ HỒ SƠ THANH TOÁN VƯỢT THẨM QUYỀN PD</v>
          </cell>
        </row>
      </sheetData>
      <sheetData sheetId="3414">
        <row r="1">
          <cell r="A1" t="str">
            <v>PHIẾU XỬ LÝ HỒ SƠ THANH TOÁN VƯỢT THẨM QUYỀN PD</v>
          </cell>
        </row>
      </sheetData>
      <sheetData sheetId="3415">
        <row r="1">
          <cell r="A1" t="str">
            <v>PHIẾU XỬ LÝ HỒ SƠ THANH TOÁN VƯỢT THẨM QUYỀN PD</v>
          </cell>
        </row>
      </sheetData>
      <sheetData sheetId="3416">
        <row r="1">
          <cell r="A1" t="str">
            <v>PHIẾU XỬ LÝ HỒ SƠ THANH TOÁN VƯỢT THẨM QUYỀN PD</v>
          </cell>
        </row>
      </sheetData>
      <sheetData sheetId="3417">
        <row r="1">
          <cell r="A1" t="str">
            <v>PHIẾU XỬ LÝ HỒ SƠ THANH TOÁN VƯỢT THẨM QUYỀN PD</v>
          </cell>
        </row>
      </sheetData>
      <sheetData sheetId="3418">
        <row r="1">
          <cell r="A1" t="str">
            <v>PHIẾU XỬ LÝ HỒ SƠ THANH TOÁN VƯỢT THẨM QUYỀN PD</v>
          </cell>
        </row>
      </sheetData>
      <sheetData sheetId="3419">
        <row r="1">
          <cell r="A1" t="str">
            <v>PHIẾU XỬ LÝ HỒ SƠ THANH TOÁN VƯỢT THẨM QUYỀN PD</v>
          </cell>
        </row>
      </sheetData>
      <sheetData sheetId="3420">
        <row r="1">
          <cell r="A1" t="str">
            <v>PHIẾU XỬ LÝ HỒ SƠ THANH TOÁN VƯỢT THẨM QUYỀN PD</v>
          </cell>
        </row>
      </sheetData>
      <sheetData sheetId="3421">
        <row r="1">
          <cell r="A1" t="str">
            <v>PHIẾU XỬ LÝ HỒ SƠ THANH TOÁN VƯỢT THẨM QUYỀN PD</v>
          </cell>
        </row>
      </sheetData>
      <sheetData sheetId="3422">
        <row r="1">
          <cell r="A1" t="str">
            <v>PHIẾU XỬ LÝ HỒ SƠ THANH TOÁN VƯỢT THẨM QUYỀN PD</v>
          </cell>
        </row>
      </sheetData>
      <sheetData sheetId="3423">
        <row r="1">
          <cell r="A1" t="str">
            <v>PHIẾU XỬ LÝ HỒ SƠ THANH TOÁN VƯỢT THẨM QUYỀN PD</v>
          </cell>
        </row>
      </sheetData>
      <sheetData sheetId="3424">
        <row r="1">
          <cell r="A1" t="str">
            <v>PHIẾU XỬ LÝ HỒ SƠ THANH TOÁN VƯỢT THẨM QUYỀN PD</v>
          </cell>
        </row>
      </sheetData>
      <sheetData sheetId="3425">
        <row r="1">
          <cell r="A1" t="str">
            <v>PHIẾU XỬ LÝ HỒ SƠ THANH TOÁN VƯỢT THẨM QUYỀN PD</v>
          </cell>
        </row>
      </sheetData>
      <sheetData sheetId="3426">
        <row r="1">
          <cell r="A1" t="str">
            <v>PHIẾU XỬ LÝ HỒ SƠ THANH TOÁN VƯỢT THẨM QUYỀN PD</v>
          </cell>
        </row>
      </sheetData>
      <sheetData sheetId="3427">
        <row r="1">
          <cell r="A1" t="str">
            <v>PHIẾU XỬ LÝ HỒ SƠ THANH TOÁN VƯỢT THẨM QUYỀN PD</v>
          </cell>
        </row>
      </sheetData>
      <sheetData sheetId="3428">
        <row r="1">
          <cell r="A1" t="str">
            <v>PHIẾU XỬ LÝ HỒ SƠ THANH TOÁN VƯỢT THẨM QUYỀN PD</v>
          </cell>
        </row>
      </sheetData>
      <sheetData sheetId="3429">
        <row r="1">
          <cell r="A1" t="str">
            <v>PHIẾU XỬ LÝ HỒ SƠ THANH TOÁN VƯỢT THẨM QUYỀN PD</v>
          </cell>
        </row>
      </sheetData>
      <sheetData sheetId="3430">
        <row r="1">
          <cell r="A1" t="str">
            <v>PHIẾU XỬ LÝ HỒ SƠ THANH TOÁN VƯỢT THẨM QUYỀN PD</v>
          </cell>
        </row>
      </sheetData>
      <sheetData sheetId="3431">
        <row r="1">
          <cell r="A1" t="str">
            <v>PHIẾU XỬ LÝ HỒ SƠ THANH TOÁN VƯỢT THẨM QUYỀN PD</v>
          </cell>
        </row>
      </sheetData>
      <sheetData sheetId="3432">
        <row r="1">
          <cell r="A1" t="str">
            <v>PHIẾU XỬ LÝ HỒ SƠ THANH TOÁN VƯỢT THẨM QUYỀN PD</v>
          </cell>
        </row>
      </sheetData>
      <sheetData sheetId="3433">
        <row r="1">
          <cell r="A1" t="str">
            <v>PHIẾU XỬ LÝ HỒ SƠ THANH TOÁN VƯỢT THẨM QUYỀN PD</v>
          </cell>
        </row>
      </sheetData>
      <sheetData sheetId="3434">
        <row r="1">
          <cell r="A1" t="str">
            <v>PHIẾU XỬ LÝ HỒ SƠ THANH TOÁN VƯỢT THẨM QUYỀN PD</v>
          </cell>
        </row>
      </sheetData>
      <sheetData sheetId="3435">
        <row r="1">
          <cell r="A1" t="str">
            <v>PHIẾU XỬ LÝ HỒ SƠ THANH TOÁN VƯỢT THẨM QUYỀN PD</v>
          </cell>
        </row>
      </sheetData>
      <sheetData sheetId="3436">
        <row r="1">
          <cell r="A1" t="str">
            <v>PHIẾU XỬ LÝ HỒ SƠ THANH TOÁN VƯỢT THẨM QUYỀN PD</v>
          </cell>
        </row>
      </sheetData>
      <sheetData sheetId="3437">
        <row r="1">
          <cell r="A1" t="str">
            <v>PHIẾU XỬ LÝ HỒ SƠ THANH TOÁN VƯỢT THẨM QUYỀN PD</v>
          </cell>
        </row>
      </sheetData>
      <sheetData sheetId="3438">
        <row r="1">
          <cell r="A1" t="str">
            <v>PHIẾU XỬ LÝ HỒ SƠ THANH TOÁN VƯỢT THẨM QUYỀN PD</v>
          </cell>
        </row>
      </sheetData>
      <sheetData sheetId="3439">
        <row r="1">
          <cell r="A1" t="str">
            <v>PHIẾU XỬ LÝ HỒ SƠ THANH TOÁN VƯỢT THẨM QUYỀN PD</v>
          </cell>
        </row>
      </sheetData>
      <sheetData sheetId="3440">
        <row r="1">
          <cell r="A1" t="str">
            <v>PHIẾU XỬ LÝ HỒ SƠ THANH TOÁN VƯỢT THẨM QUYỀN PD</v>
          </cell>
        </row>
      </sheetData>
      <sheetData sheetId="3441">
        <row r="1">
          <cell r="A1" t="str">
            <v>PHIẾU XỬ LÝ HỒ SƠ THANH TOÁN VƯỢT THẨM QUYỀN PD</v>
          </cell>
        </row>
      </sheetData>
      <sheetData sheetId="3442">
        <row r="1">
          <cell r="A1" t="str">
            <v>PHIẾU XỬ LÝ HỒ SƠ THANH TOÁN VƯỢT THẨM QUYỀN PD</v>
          </cell>
        </row>
      </sheetData>
      <sheetData sheetId="3443">
        <row r="1">
          <cell r="A1" t="str">
            <v>PHIẾU XỬ LÝ HỒ SƠ THANH TOÁN VƯỢT THẨM QUYỀN PD</v>
          </cell>
        </row>
      </sheetData>
      <sheetData sheetId="3444">
        <row r="1">
          <cell r="A1" t="str">
            <v>PHIẾU XỬ LÝ HỒ SƠ THANH TOÁN VƯỢT THẨM QUYỀN PD</v>
          </cell>
        </row>
      </sheetData>
      <sheetData sheetId="3445">
        <row r="1">
          <cell r="A1" t="str">
            <v>PHIẾU XỬ LÝ HỒ SƠ THANH TOÁN VƯỢT THẨM QUYỀN PD</v>
          </cell>
        </row>
      </sheetData>
      <sheetData sheetId="3446">
        <row r="1">
          <cell r="A1" t="str">
            <v>PHIẾU XỬ LÝ HỒ SƠ THANH TOÁN VƯỢT THẨM QUYỀN PD</v>
          </cell>
        </row>
      </sheetData>
      <sheetData sheetId="3447">
        <row r="1">
          <cell r="A1" t="str">
            <v>PHIẾU XỬ LÝ HỒ SƠ THANH TOÁN VƯỢT THẨM QUYỀN PD</v>
          </cell>
        </row>
      </sheetData>
      <sheetData sheetId="3448">
        <row r="1">
          <cell r="A1" t="str">
            <v>PHIẾU XỬ LÝ HỒ SƠ THANH TOÁN VƯỢT THẨM QUYỀN PD</v>
          </cell>
        </row>
      </sheetData>
      <sheetData sheetId="3449">
        <row r="1">
          <cell r="A1" t="str">
            <v>PHIẾU XỬ LÝ HỒ SƠ THANH TOÁN VƯỢT THẨM QUYỀN PD</v>
          </cell>
        </row>
      </sheetData>
      <sheetData sheetId="3450">
        <row r="1">
          <cell r="A1" t="str">
            <v>PHIẾU XỬ LÝ HỒ SƠ THANH TOÁN VƯỢT THẨM QUYỀN PD</v>
          </cell>
        </row>
      </sheetData>
      <sheetData sheetId="3451">
        <row r="1">
          <cell r="A1" t="str">
            <v>PHIẾU XỬ LÝ HỒ SƠ THANH TOÁN VƯỢT THẨM QUYỀN PD</v>
          </cell>
        </row>
      </sheetData>
      <sheetData sheetId="3452">
        <row r="1">
          <cell r="A1" t="str">
            <v>PHIẾU XỬ LÝ HỒ SƠ THANH TOÁN VƯỢT THẨM QUYỀN PD</v>
          </cell>
        </row>
      </sheetData>
      <sheetData sheetId="3453">
        <row r="1">
          <cell r="A1" t="str">
            <v>PHIẾU XỬ LÝ HỒ SƠ THANH TOÁN VƯỢT THẨM QUYỀN PD</v>
          </cell>
        </row>
      </sheetData>
      <sheetData sheetId="3454">
        <row r="1">
          <cell r="A1" t="str">
            <v>PHIẾU XỬ LÝ HỒ SƠ THANH TOÁN VƯỢT THẨM QUYỀN PD</v>
          </cell>
        </row>
      </sheetData>
      <sheetData sheetId="3455">
        <row r="1">
          <cell r="A1" t="str">
            <v>PHIẾU XỬ LÝ HỒ SƠ THANH TOÁN VƯỢT THẨM QUYỀN PD</v>
          </cell>
        </row>
      </sheetData>
      <sheetData sheetId="3456">
        <row r="1">
          <cell r="A1" t="str">
            <v>PHIẾU XỬ LÝ HỒ SƠ THANH TOÁN VƯỢT THẨM QUYỀN PD</v>
          </cell>
        </row>
      </sheetData>
      <sheetData sheetId="3457">
        <row r="1">
          <cell r="A1" t="str">
            <v>PHIẾU XỬ LÝ HỒ SƠ THANH TOÁN VƯỢT THẨM QUYỀN PD</v>
          </cell>
        </row>
      </sheetData>
      <sheetData sheetId="3458">
        <row r="1">
          <cell r="A1" t="str">
            <v>PHIẾU XỬ LÝ HỒ SƠ THANH TOÁN VƯỢT THẨM QUYỀN PD</v>
          </cell>
        </row>
      </sheetData>
      <sheetData sheetId="3459">
        <row r="1">
          <cell r="A1" t="str">
            <v>PHIẾU XỬ LÝ HỒ SƠ THANH TOÁN VƯỢT THẨM QUYỀN PD</v>
          </cell>
        </row>
      </sheetData>
      <sheetData sheetId="3460">
        <row r="1">
          <cell r="A1" t="str">
            <v>PHIẾU XỬ LÝ HỒ SƠ THANH TOÁN VƯỢT THẨM QUYỀN PD</v>
          </cell>
        </row>
      </sheetData>
      <sheetData sheetId="3461">
        <row r="1">
          <cell r="A1" t="str">
            <v>PHIẾU XỬ LÝ HỒ SƠ THANH TOÁN VƯỢT THẨM QUYỀN PD</v>
          </cell>
        </row>
      </sheetData>
      <sheetData sheetId="3462">
        <row r="1">
          <cell r="A1" t="str">
            <v>PHIẾU XỬ LÝ HỒ SƠ THANH TOÁN VƯỢT THẨM QUYỀN PD</v>
          </cell>
        </row>
      </sheetData>
      <sheetData sheetId="3463">
        <row r="1">
          <cell r="A1" t="str">
            <v>PHIẾU XỬ LÝ HỒ SƠ THANH TOÁN VƯỢT THẨM QUYỀN PD</v>
          </cell>
        </row>
      </sheetData>
      <sheetData sheetId="3464">
        <row r="1">
          <cell r="A1" t="str">
            <v>PHIẾU XỬ LÝ HỒ SƠ THANH TOÁN VƯỢT THẨM QUYỀN PD</v>
          </cell>
        </row>
      </sheetData>
      <sheetData sheetId="3465">
        <row r="1">
          <cell r="A1" t="str">
            <v>PHIẾU XỬ LÝ HỒ SƠ THANH TOÁN VƯỢT THẨM QUYỀN PD</v>
          </cell>
        </row>
      </sheetData>
      <sheetData sheetId="3466">
        <row r="1">
          <cell r="A1" t="str">
            <v>PHIẾU XỬ LÝ HỒ SƠ THANH TOÁN VƯỢT THẨM QUYỀN PD</v>
          </cell>
        </row>
      </sheetData>
      <sheetData sheetId="3467">
        <row r="1">
          <cell r="A1" t="str">
            <v>PHIẾU XỬ LÝ HỒ SƠ THANH TOÁN VƯỢT THẨM QUYỀN PD</v>
          </cell>
        </row>
      </sheetData>
      <sheetData sheetId="3468">
        <row r="1">
          <cell r="A1" t="str">
            <v>PHIẾU XỬ LÝ HỒ SƠ THANH TOÁN VƯỢT THẨM QUYỀN PD</v>
          </cell>
        </row>
      </sheetData>
      <sheetData sheetId="3469">
        <row r="1">
          <cell r="A1" t="str">
            <v>PHIẾU XỬ LÝ HỒ SƠ THANH TOÁN VƯỢT THẨM QUYỀN PD</v>
          </cell>
        </row>
      </sheetData>
      <sheetData sheetId="3470">
        <row r="1">
          <cell r="A1" t="str">
            <v>PHIẾU XỬ LÝ HỒ SƠ THANH TOÁN VƯỢT THẨM QUYỀN PD</v>
          </cell>
        </row>
      </sheetData>
      <sheetData sheetId="3471">
        <row r="1">
          <cell r="A1" t="str">
            <v>PHIẾU XỬ LÝ HỒ SƠ THANH TOÁN VƯỢT THẨM QUYỀN PD</v>
          </cell>
        </row>
      </sheetData>
      <sheetData sheetId="3472">
        <row r="1">
          <cell r="A1" t="str">
            <v>PHIẾU XỬ LÝ HỒ SƠ THANH TOÁN VƯỢT THẨM QUYỀN PD</v>
          </cell>
        </row>
      </sheetData>
      <sheetData sheetId="3473">
        <row r="1">
          <cell r="A1" t="str">
            <v>PHIẾU XỬ LÝ HỒ SƠ THANH TOÁN VƯỢT THẨM QUYỀN PD</v>
          </cell>
        </row>
      </sheetData>
      <sheetData sheetId="3474">
        <row r="1">
          <cell r="A1" t="str">
            <v>PHIẾU XỬ LÝ HỒ SƠ THANH TOÁN VƯỢT THẨM QUYỀN PD</v>
          </cell>
        </row>
      </sheetData>
      <sheetData sheetId="3475">
        <row r="1">
          <cell r="A1" t="str">
            <v>PHIẾU XỬ LÝ HỒ SƠ THANH TOÁN VƯỢT THẨM QUYỀN PD</v>
          </cell>
        </row>
      </sheetData>
      <sheetData sheetId="3476">
        <row r="1">
          <cell r="A1" t="str">
            <v>PHIẾU XỬ LÝ HỒ SƠ THANH TOÁN VƯỢT THẨM QUYỀN PD</v>
          </cell>
        </row>
      </sheetData>
      <sheetData sheetId="3477">
        <row r="1">
          <cell r="A1" t="str">
            <v>PHIẾU XỬ LÝ HỒ SƠ THANH TOÁN VƯỢT THẨM QUYỀN PD</v>
          </cell>
        </row>
      </sheetData>
      <sheetData sheetId="3478">
        <row r="1">
          <cell r="A1" t="str">
            <v>PHIẾU XỬ LÝ HỒ SƠ THANH TOÁN VƯỢT THẨM QUYỀN PD</v>
          </cell>
        </row>
      </sheetData>
      <sheetData sheetId="3479">
        <row r="1">
          <cell r="A1" t="str">
            <v>PHIẾU XỬ LÝ HỒ SƠ THANH TOÁN VƯỢT THẨM QUYỀN PD</v>
          </cell>
        </row>
      </sheetData>
      <sheetData sheetId="3480">
        <row r="1">
          <cell r="A1" t="str">
            <v>PHIẾU XỬ LÝ HỒ SƠ THANH TOÁN VƯỢT THẨM QUYỀN PD</v>
          </cell>
        </row>
      </sheetData>
      <sheetData sheetId="3481">
        <row r="1">
          <cell r="A1" t="str">
            <v>PHIẾU XỬ LÝ HỒ SƠ THANH TOÁN VƯỢT THẨM QUYỀN PD</v>
          </cell>
        </row>
      </sheetData>
      <sheetData sheetId="3482">
        <row r="1">
          <cell r="A1" t="str">
            <v>PHIẾU XỬ LÝ HỒ SƠ THANH TOÁN VƯỢT THẨM QUYỀN PD</v>
          </cell>
        </row>
      </sheetData>
      <sheetData sheetId="3483">
        <row r="1">
          <cell r="A1" t="str">
            <v>PHIẾU XỬ LÝ HỒ SƠ THANH TOÁN VƯỢT THẨM QUYỀN PD</v>
          </cell>
        </row>
      </sheetData>
      <sheetData sheetId="3484">
        <row r="1">
          <cell r="A1" t="str">
            <v>PHIẾU XỬ LÝ HỒ SƠ THANH TOÁN VƯỢT THẨM QUYỀN PD</v>
          </cell>
        </row>
      </sheetData>
      <sheetData sheetId="3485">
        <row r="1">
          <cell r="A1" t="str">
            <v>PHIẾU XỬ LÝ HỒ SƠ THANH TOÁN VƯỢT THẨM QUYỀN PD</v>
          </cell>
        </row>
      </sheetData>
      <sheetData sheetId="3486">
        <row r="1">
          <cell r="A1" t="str">
            <v>PHIẾU XỬ LÝ HỒ SƠ THANH TOÁN VƯỢT THẨM QUYỀN PD</v>
          </cell>
        </row>
      </sheetData>
      <sheetData sheetId="3487">
        <row r="1">
          <cell r="A1" t="str">
            <v>PHIẾU XỬ LÝ HỒ SƠ THANH TOÁN VƯỢT THẨM QUYỀN PD</v>
          </cell>
        </row>
      </sheetData>
      <sheetData sheetId="3488">
        <row r="1">
          <cell r="A1" t="str">
            <v>PHIẾU XỬ LÝ HỒ SƠ THANH TOÁN VƯỢT THẨM QUYỀN PD</v>
          </cell>
        </row>
      </sheetData>
      <sheetData sheetId="3489">
        <row r="1">
          <cell r="A1" t="str">
            <v>PHIẾU XỬ LÝ HỒ SƠ THANH TOÁN VƯỢT THẨM QUYỀN PD</v>
          </cell>
        </row>
      </sheetData>
      <sheetData sheetId="3490">
        <row r="1">
          <cell r="A1" t="str">
            <v>PHIẾU XỬ LÝ HỒ SƠ THANH TOÁN VƯỢT THẨM QUYỀN PD</v>
          </cell>
        </row>
      </sheetData>
      <sheetData sheetId="3491">
        <row r="1">
          <cell r="A1" t="str">
            <v>PHIẾU XỬ LÝ HỒ SƠ THANH TOÁN VƯỢT THẨM QUYỀN PD</v>
          </cell>
        </row>
      </sheetData>
      <sheetData sheetId="3492">
        <row r="1">
          <cell r="A1" t="str">
            <v>PHIẾU XỬ LÝ HỒ SƠ THANH TOÁN VƯỢT THẨM QUYỀN PD</v>
          </cell>
        </row>
      </sheetData>
      <sheetData sheetId="3493">
        <row r="1">
          <cell r="A1" t="str">
            <v>PHIẾU XỬ LÝ HỒ SƠ THANH TOÁN VƯỢT THẨM QUYỀN PD</v>
          </cell>
        </row>
      </sheetData>
      <sheetData sheetId="3494">
        <row r="1">
          <cell r="A1" t="str">
            <v>PHIẾU XỬ LÝ HỒ SƠ THANH TOÁN VƯỢT THẨM QUYỀN PD</v>
          </cell>
        </row>
      </sheetData>
      <sheetData sheetId="3495">
        <row r="1">
          <cell r="A1" t="str">
            <v>PHIẾU XỬ LÝ HỒ SƠ THANH TOÁN VƯỢT THẨM QUYỀN PD</v>
          </cell>
        </row>
      </sheetData>
      <sheetData sheetId="3496">
        <row r="1">
          <cell r="A1" t="str">
            <v>PHIẾU XỬ LÝ HỒ SƠ THANH TOÁN VƯỢT THẨM QUYỀN PD</v>
          </cell>
        </row>
      </sheetData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>
        <row r="1">
          <cell r="A1" t="str">
            <v>PHIẾU XỬ LÝ HỒ SƠ THANH TOÁN VƯỢT THẨM QUYỀN PD</v>
          </cell>
        </row>
      </sheetData>
      <sheetData sheetId="3503">
        <row r="1">
          <cell r="A1" t="str">
            <v>PHIẾU XỬ LÝ HỒ SƠ THANH TOÁN VƯỢT THẨM QUYỀN PD</v>
          </cell>
        </row>
      </sheetData>
      <sheetData sheetId="3504">
        <row r="1">
          <cell r="A1" t="str">
            <v>PHIẾU XỬ LÝ HỒ SƠ THANH TOÁN VƯỢT THẨM QUYỀN PD</v>
          </cell>
        </row>
      </sheetData>
      <sheetData sheetId="3505">
        <row r="1">
          <cell r="A1" t="str">
            <v>PHIẾU XỬ LÝ HỒ SƠ THANH TOÁN VƯỢT THẨM QUYỀN PD</v>
          </cell>
        </row>
      </sheetData>
      <sheetData sheetId="3506" refreshError="1"/>
      <sheetData sheetId="3507">
        <row r="1">
          <cell r="A1" t="str">
            <v>PHIẾU XỬ LÝ HỒ SƠ THANH TOÁN VƯỢT THẨM QUYỀN PD</v>
          </cell>
        </row>
      </sheetData>
      <sheetData sheetId="3508">
        <row r="1">
          <cell r="A1" t="str">
            <v>PHIẾU XỬ LÝ HỒ SƠ THANH TOÁN VƯỢT THẨM QUYỀN PD</v>
          </cell>
        </row>
      </sheetData>
      <sheetData sheetId="3509"/>
      <sheetData sheetId="3510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>
        <row r="1">
          <cell r="A1" t="str">
            <v>PHIẾU XỬ LÝ HỒ SƠ THANH TOÁN VƯỢT THẨM QUYỀN PD</v>
          </cell>
        </row>
      </sheetData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>
        <row r="1">
          <cell r="A1" t="str">
            <v>PHIẾU XỬ LÝ HỒ SƠ THANH TOÁN VƯỢT THẨM QUYỀN PD</v>
          </cell>
        </row>
      </sheetData>
      <sheetData sheetId="3537">
        <row r="1">
          <cell r="A1" t="str">
            <v>PHIẾU XỬ LÝ HỒ SƠ THANH TOÁN VƯỢT THẨM QUYỀN PD</v>
          </cell>
        </row>
      </sheetData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>
        <row r="1">
          <cell r="A1" t="str">
            <v>PHIẾU XỬ LÝ HỒ SƠ THANH TOÁN VƯỢT THẨM QUYỀN PD</v>
          </cell>
        </row>
      </sheetData>
      <sheetData sheetId="3548">
        <row r="1">
          <cell r="A1" t="str">
            <v>PHIẾU XỬ LÝ HỒ SƠ THANH TOÁN VƯỢT THẨM QUYỀN PD</v>
          </cell>
        </row>
      </sheetData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>
        <row r="1">
          <cell r="A1" t="str">
            <v>PHIẾU XỬ LÝ HỒ SƠ THANH TOÁN VƯỢT THẨM QUYỀN PD</v>
          </cell>
        </row>
      </sheetData>
      <sheetData sheetId="3567">
        <row r="1">
          <cell r="A1" t="str">
            <v>PHIẾU XỬ LÝ HỒ SƠ THANH TOÁN VƯỢT THẨM QUYỀN PD</v>
          </cell>
        </row>
      </sheetData>
      <sheetData sheetId="3568">
        <row r="1">
          <cell r="A1" t="str">
            <v>PHIẾU XỬ LÝ HỒ SƠ THANH TOÁN VƯỢT THẨM QUYỀN PD</v>
          </cell>
        </row>
      </sheetData>
      <sheetData sheetId="3569">
        <row r="1">
          <cell r="A1" t="str">
            <v>PHIẾU XỬ LÝ HỒ SƠ THANH TOÁN VƯỢT THẨM QUYỀN PD</v>
          </cell>
        </row>
      </sheetData>
      <sheetData sheetId="3570">
        <row r="1">
          <cell r="A1" t="str">
            <v>PHIẾU XỬ LÝ HỒ SƠ THANH TOÁN VƯỢT THẨM QUYỀN PD</v>
          </cell>
        </row>
      </sheetData>
      <sheetData sheetId="3571">
        <row r="1">
          <cell r="A1" t="str">
            <v>PHIẾU XỬ LÝ HỒ SƠ THANH TOÁN VƯỢT THẨM QUYỀN PD</v>
          </cell>
        </row>
      </sheetData>
      <sheetData sheetId="3572">
        <row r="1">
          <cell r="A1" t="str">
            <v>PHIẾU XỬ LÝ HỒ SƠ THANH TOÁN VƯỢT THẨM QUYỀN PD</v>
          </cell>
        </row>
      </sheetData>
      <sheetData sheetId="3573">
        <row r="1">
          <cell r="A1" t="str">
            <v>PHIẾU XỬ LÝ HỒ SƠ THANH TOÁN VƯỢT THẨM QUYỀN PD</v>
          </cell>
        </row>
      </sheetData>
      <sheetData sheetId="3574">
        <row r="1">
          <cell r="A1" t="str">
            <v>PHIẾU XỬ LÝ HỒ SƠ THANH TOÁN VƯỢT THẨM QUYỀN PD</v>
          </cell>
        </row>
      </sheetData>
      <sheetData sheetId="3575">
        <row r="1">
          <cell r="A1" t="str">
            <v>PHIẾU XỬ LÝ HỒ SƠ THANH TOÁN VƯỢT THẨM QUYỀN PD</v>
          </cell>
        </row>
      </sheetData>
      <sheetData sheetId="3576">
        <row r="1">
          <cell r="A1" t="str">
            <v>PHIẾU XỬ LÝ HỒ SƠ THANH TOÁN VƯỢT THẨM QUYỀN PD</v>
          </cell>
        </row>
      </sheetData>
      <sheetData sheetId="3577">
        <row r="1">
          <cell r="A1" t="str">
            <v>PHIẾU XỬ LÝ HỒ SƠ THANH TOÁN VƯỢT THẨM QUYỀN PD</v>
          </cell>
        </row>
      </sheetData>
      <sheetData sheetId="3578">
        <row r="1">
          <cell r="A1" t="str">
            <v>PHIẾU XỬ LÝ HỒ SƠ THANH TOÁN VƯỢT THẨM QUYỀN PD</v>
          </cell>
        </row>
      </sheetData>
      <sheetData sheetId="3579" refreshError="1"/>
      <sheetData sheetId="3580">
        <row r="1">
          <cell r="A1" t="str">
            <v>PHIẾU XỬ LÝ HỒ SƠ THANH TOÁN VƯỢT THẨM QUYỀN PD</v>
          </cell>
        </row>
      </sheetData>
      <sheetData sheetId="3581">
        <row r="1">
          <cell r="A1" t="str">
            <v>PHIẾU XỬ LÝ HỒ SƠ THANH TOÁN VƯỢT THẨM QUYỀN PD</v>
          </cell>
        </row>
      </sheetData>
      <sheetData sheetId="3582">
        <row r="1">
          <cell r="A1" t="str">
            <v>PHIẾU XỬ LÝ HỒ SƠ THANH TOÁN VƯỢT THẨM QUYỀN PD</v>
          </cell>
        </row>
      </sheetData>
      <sheetData sheetId="3583">
        <row r="1">
          <cell r="A1" t="str">
            <v>PHIẾU XỬ LÝ HỒ SƠ THANH TOÁN VƯỢT THẨM QUYỀN PD</v>
          </cell>
        </row>
      </sheetData>
      <sheetData sheetId="3584">
        <row r="1">
          <cell r="A1" t="str">
            <v>PHIẾU XỬ LÝ HỒ SƠ THANH TOÁN VƯỢT THẨM QUYỀN PD</v>
          </cell>
        </row>
      </sheetData>
      <sheetData sheetId="3585">
        <row r="1">
          <cell r="A1" t="str">
            <v>PHIẾU XỬ LÝ HỒ SƠ THANH TOÁN VƯỢT THẨM QUYỀN PD</v>
          </cell>
        </row>
      </sheetData>
      <sheetData sheetId="3586">
        <row r="1">
          <cell r="A1" t="str">
            <v>PHIẾU XỬ LÝ HỒ SƠ THANH TOÁN VƯỢT THẨM QUYỀN PD</v>
          </cell>
        </row>
      </sheetData>
      <sheetData sheetId="3587">
        <row r="1">
          <cell r="A1" t="str">
            <v>PHIẾU XỬ LÝ HỒ SƠ THANH TOÁN VƯỢT THẨM QUYỀN PD</v>
          </cell>
        </row>
      </sheetData>
      <sheetData sheetId="3588">
        <row r="1">
          <cell r="A1" t="str">
            <v>PHIẾU XỬ LÝ HỒ SƠ THANH TOÁN VƯỢT THẨM QUYỀN PD</v>
          </cell>
        </row>
      </sheetData>
      <sheetData sheetId="3589">
        <row r="1">
          <cell r="A1" t="str">
            <v>PHIẾU XỬ LÝ HỒ SƠ THANH TOÁN VƯỢT THẨM QUYỀN PD</v>
          </cell>
        </row>
      </sheetData>
      <sheetData sheetId="3590">
        <row r="1">
          <cell r="A1" t="str">
            <v>PHIẾU XỬ LÝ HỒ SƠ THANH TOÁN VƯỢT THẨM QUYỀN PD</v>
          </cell>
        </row>
      </sheetData>
      <sheetData sheetId="3591">
        <row r="1">
          <cell r="A1" t="str">
            <v>PHIẾU XỬ LÝ HỒ SƠ THANH TOÁN VƯỢT THẨM QUYỀN PD</v>
          </cell>
        </row>
      </sheetData>
      <sheetData sheetId="3592">
        <row r="1">
          <cell r="A1" t="str">
            <v>PHIẾU XỬ LÝ HỒ SƠ THANH TOÁN VƯỢT THẨM QUYỀN PD</v>
          </cell>
        </row>
      </sheetData>
      <sheetData sheetId="3593">
        <row r="1">
          <cell r="A1" t="str">
            <v>PHIẾU XỬ LÝ HỒ SƠ THANH TOÁN VƯỢT THẨM QUYỀN PD</v>
          </cell>
        </row>
      </sheetData>
      <sheetData sheetId="3594">
        <row r="1">
          <cell r="A1" t="str">
            <v>PHIẾU XỬ LÝ HỒ SƠ THANH TOÁN VƯỢT THẨM QUYỀN PD</v>
          </cell>
        </row>
      </sheetData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>
        <row r="1">
          <cell r="A1" t="str">
            <v>PHIẾU XỬ LÝ HỒ SƠ THANH TOÁN VƯỢT THẨM QUYỀN PD</v>
          </cell>
        </row>
      </sheetData>
      <sheetData sheetId="3604">
        <row r="1">
          <cell r="A1" t="str">
            <v>PHIẾU XỬ LÝ HỒ SƠ THANH TOÁN VƯỢT THẨM QUYỀN PD</v>
          </cell>
        </row>
      </sheetData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>
        <row r="1">
          <cell r="A1" t="str">
            <v>PHIẾU XỬ LÝ HỒ SƠ THANH TOÁN VƯỢT THẨM QUYỀN PD</v>
          </cell>
        </row>
      </sheetData>
      <sheetData sheetId="3617" refreshError="1"/>
      <sheetData sheetId="3618">
        <row r="1">
          <cell r="A1" t="str">
            <v>PHIẾU XỬ LÝ HỒ SƠ THANH TOÁN VƯỢT THẨM QUYỀN PD</v>
          </cell>
        </row>
      </sheetData>
      <sheetData sheetId="3619">
        <row r="1">
          <cell r="A1" t="str">
            <v>PHIẾU XỬ LÝ HỒ SƠ THANH TOÁN VƯỢT THẨM QUYỀN PD</v>
          </cell>
        </row>
      </sheetData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>
        <row r="1">
          <cell r="A1" t="str">
            <v>PHIẾU XỬ LÝ HỒ SƠ THANH TOÁN VƯỢT THẨM QUYỀN PD</v>
          </cell>
        </row>
      </sheetData>
      <sheetData sheetId="3627" refreshError="1"/>
      <sheetData sheetId="3628" refreshError="1"/>
      <sheetData sheetId="3629">
        <row r="1">
          <cell r="A1" t="str">
            <v>PHIẾU XỬ LÝ HỒ SƠ THANH TOÁN VƯỢT THẨM QUYỀN PD</v>
          </cell>
        </row>
      </sheetData>
      <sheetData sheetId="3630">
        <row r="1">
          <cell r="A1" t="str">
            <v>PHIẾU XỬ LÝ HỒ SƠ THANH TOÁN VƯỢT THẨM QUYỀN PD</v>
          </cell>
        </row>
      </sheetData>
      <sheetData sheetId="3631">
        <row r="1">
          <cell r="A1" t="str">
            <v>PHIẾU XỬ LÝ HỒ SƠ THANH TOÁN VƯỢT THẨM QUYỀN PD</v>
          </cell>
        </row>
      </sheetData>
      <sheetData sheetId="3632">
        <row r="1">
          <cell r="A1" t="str">
            <v>PHIẾU XỬ LÝ HỒ SƠ THANH TOÁN VƯỢT THẨM QUYỀN PD</v>
          </cell>
        </row>
      </sheetData>
      <sheetData sheetId="3633">
        <row r="1">
          <cell r="A1" t="str">
            <v>PHIẾU XỬ LÝ HỒ SƠ THANH TOÁN VƯỢT THẨM QUYỀN PD</v>
          </cell>
        </row>
      </sheetData>
      <sheetData sheetId="3634">
        <row r="1">
          <cell r="A1" t="str">
            <v>PHIẾU XỬ LÝ HỒ SƠ THANH TOÁN VƯỢT THẨM QUYỀN PD</v>
          </cell>
        </row>
      </sheetData>
      <sheetData sheetId="3635">
        <row r="1">
          <cell r="A1" t="str">
            <v>PHIẾU XỬ LÝ HỒ SƠ THANH TOÁN VƯỢT THẨM QUYỀN PD</v>
          </cell>
        </row>
      </sheetData>
      <sheetData sheetId="3636">
        <row r="1">
          <cell r="A1" t="str">
            <v>PHIẾU XỬ LÝ HỒ SƠ THANH TOÁN VƯỢT THẨM QUYỀN PD</v>
          </cell>
        </row>
      </sheetData>
      <sheetData sheetId="3637">
        <row r="1">
          <cell r="A1" t="str">
            <v>PHIẾU XỬ LÝ HỒ SƠ THANH TOÁN VƯỢT THẨM QUYỀN PD</v>
          </cell>
        </row>
      </sheetData>
      <sheetData sheetId="3638">
        <row r="1">
          <cell r="A1" t="str">
            <v>PHIẾU XỬ LÝ HỒ SƠ THANH TOÁN VƯỢT THẨM QUYỀN PD</v>
          </cell>
        </row>
      </sheetData>
      <sheetData sheetId="3639">
        <row r="1">
          <cell r="A1" t="str">
            <v>PHIẾU XỬ LÝ HỒ SƠ THANH TOÁN VƯỢT THẨM QUYỀN PD</v>
          </cell>
        </row>
      </sheetData>
      <sheetData sheetId="3640">
        <row r="1">
          <cell r="A1" t="str">
            <v>PHIẾU XỬ LÝ HỒ SƠ THANH TOÁN VƯỢT THẨM QUYỀN PD</v>
          </cell>
        </row>
      </sheetData>
      <sheetData sheetId="3641">
        <row r="1">
          <cell r="A1" t="str">
            <v>PHIẾU XỬ LÝ HỒ SƠ THANH TOÁN VƯỢT THẨM QUYỀN PD</v>
          </cell>
        </row>
      </sheetData>
      <sheetData sheetId="3642">
        <row r="1">
          <cell r="A1" t="str">
            <v>PHIẾU XỬ LÝ HỒ SƠ THANH TOÁN VƯỢT THẨM QUYỀN PD</v>
          </cell>
        </row>
      </sheetData>
      <sheetData sheetId="3643" refreshError="1"/>
      <sheetData sheetId="3644" refreshError="1"/>
      <sheetData sheetId="3645" refreshError="1"/>
      <sheetData sheetId="3646">
        <row r="1">
          <cell r="A1" t="str">
            <v>PHIẾU XỬ LÝ HỒ SƠ THANH TOÁN VƯỢT THẨM QUYỀN PD</v>
          </cell>
        </row>
      </sheetData>
      <sheetData sheetId="3647">
        <row r="1">
          <cell r="A1" t="str">
            <v>PHIẾU XỬ LÝ HỒ SƠ THANH TOÁN VƯỢT THẨM QUYỀN PD</v>
          </cell>
        </row>
      </sheetData>
      <sheetData sheetId="3648">
        <row r="1">
          <cell r="A1" t="str">
            <v>PHIẾU XỬ LÝ HỒ SƠ THANH TOÁN VƯỢT THẨM QUYỀN PD</v>
          </cell>
        </row>
      </sheetData>
      <sheetData sheetId="3649">
        <row r="1">
          <cell r="A1" t="str">
            <v>PHIẾU XỬ LÝ HỒ SƠ THANH TOÁN VƯỢT THẨM QUYỀN PD</v>
          </cell>
        </row>
      </sheetData>
      <sheetData sheetId="3650">
        <row r="1">
          <cell r="A1" t="str">
            <v>PHIẾU XỬ LÝ HỒ SƠ THANH TOÁN VƯỢT THẨM QUYỀN PD</v>
          </cell>
        </row>
      </sheetData>
      <sheetData sheetId="3651">
        <row r="1">
          <cell r="A1" t="str">
            <v>PHIẾU XỬ LÝ HỒ SƠ THANH TOÁN VƯỢT THẨM QUYỀN PD</v>
          </cell>
        </row>
      </sheetData>
      <sheetData sheetId="3652">
        <row r="1">
          <cell r="A1" t="str">
            <v>PHIẾU XỬ LÝ HỒ SƠ THANH TOÁN VƯỢT THẨM QUYỀN PD</v>
          </cell>
        </row>
      </sheetData>
      <sheetData sheetId="3653">
        <row r="1">
          <cell r="A1" t="str">
            <v>PHIẾU XỬ LÝ HỒ SƠ THANH TOÁN VƯỢT THẨM QUYỀN PD</v>
          </cell>
        </row>
      </sheetData>
      <sheetData sheetId="3654">
        <row r="1">
          <cell r="A1" t="str">
            <v>PHIẾU XỬ LÝ HỒ SƠ THANH TOÁN VƯỢT THẨM QUYỀN PD</v>
          </cell>
        </row>
      </sheetData>
      <sheetData sheetId="3655">
        <row r="1">
          <cell r="A1" t="str">
            <v>PHIẾU XỬ LÝ HỒ SƠ THANH TOÁN VƯỢT THẨM QUYỀN PD</v>
          </cell>
        </row>
      </sheetData>
      <sheetData sheetId="3656">
        <row r="1">
          <cell r="A1" t="str">
            <v>PHIẾU XỬ LÝ HỒ SƠ THANH TOÁN VƯỢT THẨM QUYỀN PD</v>
          </cell>
        </row>
      </sheetData>
      <sheetData sheetId="3657">
        <row r="1">
          <cell r="A1" t="str">
            <v>PHIẾU XỬ LÝ HỒ SƠ THANH TOÁN VƯỢT THẨM QUYỀN PD</v>
          </cell>
        </row>
      </sheetData>
      <sheetData sheetId="3658">
        <row r="1">
          <cell r="A1" t="str">
            <v>PHIẾU XỬ LÝ HỒ SƠ THANH TOÁN VƯỢT THẨM QUYỀN PD</v>
          </cell>
        </row>
      </sheetData>
      <sheetData sheetId="3659">
        <row r="1">
          <cell r="A1" t="str">
            <v>PHIẾU XỬ LÝ HỒ SƠ THANH TOÁN VƯỢT THẨM QUYỀN PD</v>
          </cell>
        </row>
      </sheetData>
      <sheetData sheetId="3660">
        <row r="1">
          <cell r="A1" t="str">
            <v>PHIẾU XỬ LÝ HỒ SƠ THANH TOÁN VƯỢT THẨM QUYỀN PD</v>
          </cell>
        </row>
      </sheetData>
      <sheetData sheetId="3661">
        <row r="1">
          <cell r="A1" t="str">
            <v>PHIẾU XỬ LÝ HỒ SƠ THANH TOÁN VƯỢT THẨM QUYỀN PD</v>
          </cell>
        </row>
      </sheetData>
      <sheetData sheetId="3662">
        <row r="1">
          <cell r="A1" t="str">
            <v>PHIẾU XỬ LÝ HỒ SƠ THANH TOÁN VƯỢT THẨM QUYỀN PD</v>
          </cell>
        </row>
      </sheetData>
      <sheetData sheetId="3663">
        <row r="1">
          <cell r="A1" t="str">
            <v>PHIẾU XỬ LÝ HỒ SƠ THANH TOÁN VƯỢT THẨM QUYỀN PD</v>
          </cell>
        </row>
      </sheetData>
      <sheetData sheetId="3664">
        <row r="1">
          <cell r="A1" t="str">
            <v>PHIẾU XỬ LÝ HỒ SƠ THANH TOÁN VƯỢT THẨM QUYỀN PD</v>
          </cell>
        </row>
      </sheetData>
      <sheetData sheetId="3665">
        <row r="1">
          <cell r="A1" t="str">
            <v>PHIẾU XỬ LÝ HỒ SƠ THANH TOÁN VƯỢT THẨM QUYỀN PD</v>
          </cell>
        </row>
      </sheetData>
      <sheetData sheetId="3666">
        <row r="1">
          <cell r="A1" t="str">
            <v>PHIẾU XỬ LÝ HỒ SƠ THANH TOÁN VƯỢT THẨM QUYỀN PD</v>
          </cell>
        </row>
      </sheetData>
      <sheetData sheetId="3667">
        <row r="1">
          <cell r="A1" t="str">
            <v>PHIẾU XỬ LÝ HỒ SƠ THANH TOÁN VƯỢT THẨM QUYỀN PD</v>
          </cell>
        </row>
      </sheetData>
      <sheetData sheetId="3668">
        <row r="1">
          <cell r="A1" t="str">
            <v>PHIẾU XỬ LÝ HỒ SƠ THANH TOÁN VƯỢT THẨM QUYỀN PD</v>
          </cell>
        </row>
      </sheetData>
      <sheetData sheetId="3669">
        <row r="1">
          <cell r="A1" t="str">
            <v>PHIẾU XỬ LÝ HỒ SƠ THANH TOÁN VƯỢT THẨM QUYỀN PD</v>
          </cell>
        </row>
      </sheetData>
      <sheetData sheetId="3670">
        <row r="1">
          <cell r="A1" t="str">
            <v>PHIẾU XỬ LÝ HỒ SƠ THANH TOÁN VƯỢT THẨM QUYỀN PD</v>
          </cell>
        </row>
      </sheetData>
      <sheetData sheetId="3671">
        <row r="1">
          <cell r="A1" t="str">
            <v>PHIẾU XỬ LÝ HỒ SƠ THANH TOÁN VƯỢT THẨM QUYỀN PD</v>
          </cell>
        </row>
      </sheetData>
      <sheetData sheetId="3672">
        <row r="1">
          <cell r="A1" t="str">
            <v>PHIẾU XỬ LÝ HỒ SƠ THANH TOÁN VƯỢT THẨM QUYỀN PD</v>
          </cell>
        </row>
      </sheetData>
      <sheetData sheetId="3673">
        <row r="1">
          <cell r="A1" t="str">
            <v>PHIẾU XỬ LÝ HỒ SƠ THANH TOÁN VƯỢT THẨM QUYỀN PD</v>
          </cell>
        </row>
      </sheetData>
      <sheetData sheetId="3674">
        <row r="1">
          <cell r="A1" t="str">
            <v>PHIẾU XỬ LÝ HỒ SƠ THANH TOÁN VƯỢT THẨM QUYỀN PD</v>
          </cell>
        </row>
      </sheetData>
      <sheetData sheetId="3675">
        <row r="1">
          <cell r="A1" t="str">
            <v>PHIẾU XỬ LÝ HỒ SƠ THANH TOÁN VƯỢT THẨM QUYỀN PD</v>
          </cell>
        </row>
      </sheetData>
      <sheetData sheetId="3676">
        <row r="1">
          <cell r="A1" t="str">
            <v>PHIẾU XỬ LÝ HỒ SƠ THANH TOÁN VƯỢT THẨM QUYỀN PD</v>
          </cell>
        </row>
      </sheetData>
      <sheetData sheetId="3677">
        <row r="1">
          <cell r="A1" t="str">
            <v>PHIẾU XỬ LÝ HỒ SƠ THANH TOÁN VƯỢT THẨM QUYỀN PD</v>
          </cell>
        </row>
      </sheetData>
      <sheetData sheetId="3678">
        <row r="1">
          <cell r="A1" t="str">
            <v>PHIẾU XỬ LÝ HỒ SƠ THANH TOÁN VƯỢT THẨM QUYỀN PD</v>
          </cell>
        </row>
      </sheetData>
      <sheetData sheetId="3679">
        <row r="1">
          <cell r="A1" t="str">
            <v>PHIẾU XỬ LÝ HỒ SƠ THANH TOÁN VƯỢT THẨM QUYỀN PD</v>
          </cell>
        </row>
      </sheetData>
      <sheetData sheetId="3680">
        <row r="1">
          <cell r="A1" t="str">
            <v>PHIẾU XỬ LÝ HỒ SƠ THANH TOÁN VƯỢT THẨM QUYỀN PD</v>
          </cell>
        </row>
      </sheetData>
      <sheetData sheetId="3681">
        <row r="1">
          <cell r="A1" t="str">
            <v>PHIẾU XỬ LÝ HỒ SƠ THANH TOÁN VƯỢT THẨM QUYỀN PD</v>
          </cell>
        </row>
      </sheetData>
      <sheetData sheetId="3682">
        <row r="1">
          <cell r="A1" t="str">
            <v>PHIẾU XỬ LÝ HỒ SƠ THANH TOÁN VƯỢT THẨM QUYỀN PD</v>
          </cell>
        </row>
      </sheetData>
      <sheetData sheetId="3683">
        <row r="1">
          <cell r="A1" t="str">
            <v>PHIẾU XỬ LÝ HỒ SƠ THANH TOÁN VƯỢT THẨM QUYỀN PD</v>
          </cell>
        </row>
      </sheetData>
      <sheetData sheetId="3684">
        <row r="1">
          <cell r="A1" t="str">
            <v>PHIẾU XỬ LÝ HỒ SƠ THANH TOÁN VƯỢT THẨM QUYỀN PD</v>
          </cell>
        </row>
      </sheetData>
      <sheetData sheetId="3685">
        <row r="1">
          <cell r="A1" t="str">
            <v>PHIẾU XỬ LÝ HỒ SƠ THANH TOÁN VƯỢT THẨM QUYỀN PD</v>
          </cell>
        </row>
      </sheetData>
      <sheetData sheetId="3686">
        <row r="1">
          <cell r="A1" t="str">
            <v>PHIẾU XỬ LÝ HỒ SƠ THANH TOÁN VƯỢT THẨM QUYỀN PD</v>
          </cell>
        </row>
      </sheetData>
      <sheetData sheetId="3687">
        <row r="1">
          <cell r="A1" t="str">
            <v>PHIẾU XỬ LÝ HỒ SƠ THANH TOÁN VƯỢT THẨM QUYỀN PD</v>
          </cell>
        </row>
      </sheetData>
      <sheetData sheetId="3688">
        <row r="1">
          <cell r="A1" t="str">
            <v>PHIẾU XỬ LÝ HỒ SƠ THANH TOÁN VƯỢT THẨM QUYỀN PD</v>
          </cell>
        </row>
      </sheetData>
      <sheetData sheetId="3689">
        <row r="1">
          <cell r="A1" t="str">
            <v>PHIẾU XỬ LÝ HỒ SƠ THANH TOÁN VƯỢT THẨM QUYỀN PD</v>
          </cell>
        </row>
      </sheetData>
      <sheetData sheetId="3690">
        <row r="1">
          <cell r="A1" t="str">
            <v>PHIẾU XỬ LÝ HỒ SƠ THANH TOÁN VƯỢT THẨM QUYỀN PD</v>
          </cell>
        </row>
      </sheetData>
      <sheetData sheetId="3691">
        <row r="1">
          <cell r="A1" t="str">
            <v>PHIẾU XỬ LÝ HỒ SƠ THANH TOÁN VƯỢT THẨM QUYỀN PD</v>
          </cell>
        </row>
      </sheetData>
      <sheetData sheetId="3692">
        <row r="1">
          <cell r="A1" t="str">
            <v>PHIẾU XỬ LÝ HỒ SƠ THANH TOÁN VƯỢT THẨM QUYỀN PD</v>
          </cell>
        </row>
      </sheetData>
      <sheetData sheetId="3693">
        <row r="1">
          <cell r="A1" t="str">
            <v>PHIẾU XỬ LÝ HỒ SƠ THANH TOÁN VƯỢT THẨM QUYỀN PD</v>
          </cell>
        </row>
      </sheetData>
      <sheetData sheetId="3694">
        <row r="1">
          <cell r="A1" t="str">
            <v>PHIẾU XỬ LÝ HỒ SƠ THANH TOÁN VƯỢT THẨM QUYỀN PD</v>
          </cell>
        </row>
      </sheetData>
      <sheetData sheetId="3695">
        <row r="1">
          <cell r="A1" t="str">
            <v>PHIẾU XỬ LÝ HỒ SƠ THANH TOÁN VƯỢT THẨM QUYỀN PD</v>
          </cell>
        </row>
      </sheetData>
      <sheetData sheetId="3696">
        <row r="1">
          <cell r="A1" t="str">
            <v>PHIẾU XỬ LÝ HỒ SƠ THANH TOÁN VƯỢT THẨM QUYỀN PD</v>
          </cell>
        </row>
      </sheetData>
      <sheetData sheetId="3697">
        <row r="1">
          <cell r="A1" t="str">
            <v>PHIẾU XỬ LÝ HỒ SƠ THANH TOÁN VƯỢT THẨM QUYỀN PD</v>
          </cell>
        </row>
      </sheetData>
      <sheetData sheetId="3698">
        <row r="1">
          <cell r="A1" t="str">
            <v>PHIẾU XỬ LÝ HỒ SƠ THANH TOÁN VƯỢT THẨM QUYỀN PD</v>
          </cell>
        </row>
      </sheetData>
      <sheetData sheetId="3699">
        <row r="1">
          <cell r="A1" t="str">
            <v>PHIẾU XỬ LÝ HỒ SƠ THANH TOÁN VƯỢT THẨM QUYỀN PD</v>
          </cell>
        </row>
      </sheetData>
      <sheetData sheetId="3700">
        <row r="1">
          <cell r="A1" t="str">
            <v>PHIẾU XỬ LÝ HỒ SƠ THANH TOÁN VƯỢT THẨM QUYỀN PD</v>
          </cell>
        </row>
      </sheetData>
      <sheetData sheetId="3701">
        <row r="1">
          <cell r="A1" t="str">
            <v>PHIẾU XỬ LÝ HỒ SƠ THANH TOÁN VƯỢT THẨM QUYỀN PD</v>
          </cell>
        </row>
      </sheetData>
      <sheetData sheetId="3702">
        <row r="1">
          <cell r="A1" t="str">
            <v>PHIẾU XỬ LÝ HỒ SƠ THANH TOÁN VƯỢT THẨM QUYỀN PD</v>
          </cell>
        </row>
      </sheetData>
      <sheetData sheetId="3703">
        <row r="1">
          <cell r="A1" t="str">
            <v>PHIẾU XỬ LÝ HỒ SƠ THANH TOÁN VƯỢT THẨM QUYỀN PD</v>
          </cell>
        </row>
      </sheetData>
      <sheetData sheetId="3704">
        <row r="1">
          <cell r="A1" t="str">
            <v>PHIẾU XỬ LÝ HỒ SƠ THANH TOÁN VƯỢT THẨM QUYỀN PD</v>
          </cell>
        </row>
      </sheetData>
      <sheetData sheetId="3705">
        <row r="1">
          <cell r="A1" t="str">
            <v>PHIẾU XỬ LÝ HỒ SƠ THANH TOÁN VƯỢT THẨM QUYỀN PD</v>
          </cell>
        </row>
      </sheetData>
      <sheetData sheetId="3706">
        <row r="1">
          <cell r="A1" t="str">
            <v>PHIẾU XỬ LÝ HỒ SƠ THANH TOÁN VƯỢT THẨM QUYỀN PD</v>
          </cell>
        </row>
      </sheetData>
      <sheetData sheetId="3707">
        <row r="1">
          <cell r="A1" t="str">
            <v>PHIẾU XỬ LÝ HỒ SƠ THANH TOÁN VƯỢT THẨM QUYỀN PD</v>
          </cell>
        </row>
      </sheetData>
      <sheetData sheetId="3708">
        <row r="1">
          <cell r="A1" t="str">
            <v>PHIẾU XỬ LÝ HỒ SƠ THANH TOÁN VƯỢT THẨM QUYỀN PD</v>
          </cell>
        </row>
      </sheetData>
      <sheetData sheetId="3709">
        <row r="1">
          <cell r="A1" t="str">
            <v>PHIẾU XỬ LÝ HỒ SƠ THANH TOÁN VƯỢT THẨM QUYỀN PD</v>
          </cell>
        </row>
      </sheetData>
      <sheetData sheetId="3710">
        <row r="1">
          <cell r="A1" t="str">
            <v>PHIẾU XỬ LÝ HỒ SƠ THANH TOÁN VƯỢT THẨM QUYỀN PD</v>
          </cell>
        </row>
      </sheetData>
      <sheetData sheetId="3711">
        <row r="1">
          <cell r="A1" t="str">
            <v>PHIẾU XỬ LÝ HỒ SƠ THANH TOÁN VƯỢT THẨM QUYỀN PD</v>
          </cell>
        </row>
      </sheetData>
      <sheetData sheetId="3712">
        <row r="1">
          <cell r="A1" t="str">
            <v>PHIẾU XỬ LÝ HỒ SƠ THANH TOÁN VƯỢT THẨM QUYỀN PD</v>
          </cell>
        </row>
      </sheetData>
      <sheetData sheetId="3713">
        <row r="1">
          <cell r="A1" t="str">
            <v>PHIẾU XỬ LÝ HỒ SƠ THANH TOÁN VƯỢT THẨM QUYỀN PD</v>
          </cell>
        </row>
      </sheetData>
      <sheetData sheetId="3714">
        <row r="1">
          <cell r="A1" t="str">
            <v>PHIẾU XỬ LÝ HỒ SƠ THANH TOÁN VƯỢT THẨM QUYỀN PD</v>
          </cell>
        </row>
      </sheetData>
      <sheetData sheetId="3715">
        <row r="1">
          <cell r="A1" t="str">
            <v>PHIẾU XỬ LÝ HỒ SƠ THANH TOÁN VƯỢT THẨM QUYỀN PD</v>
          </cell>
        </row>
      </sheetData>
      <sheetData sheetId="3716">
        <row r="1">
          <cell r="A1" t="str">
            <v>PHIẾU XỬ LÝ HỒ SƠ THANH TOÁN VƯỢT THẨM QUYỀN PD</v>
          </cell>
        </row>
      </sheetData>
      <sheetData sheetId="3717">
        <row r="1">
          <cell r="A1" t="str">
            <v>PHIẾU XỬ LÝ HỒ SƠ THANH TOÁN VƯỢT THẨM QUYỀN PD</v>
          </cell>
        </row>
      </sheetData>
      <sheetData sheetId="3718">
        <row r="1">
          <cell r="A1" t="str">
            <v>PHIẾU XỬ LÝ HỒ SƠ THANH TOÁN VƯỢT THẨM QUYỀN PD</v>
          </cell>
        </row>
      </sheetData>
      <sheetData sheetId="3719">
        <row r="1">
          <cell r="A1" t="str">
            <v>PHIẾU XỬ LÝ HỒ SƠ THANH TOÁN VƯỢT THẨM QUYỀN PD</v>
          </cell>
        </row>
      </sheetData>
      <sheetData sheetId="3720">
        <row r="1">
          <cell r="A1" t="str">
            <v>PHIẾU XỬ LÝ HỒ SƠ THANH TOÁN VƯỢT THẨM QUYỀN PD</v>
          </cell>
        </row>
      </sheetData>
      <sheetData sheetId="3721">
        <row r="1">
          <cell r="A1" t="str">
            <v>PHIẾU XỬ LÝ HỒ SƠ THANH TOÁN VƯỢT THẨM QUYỀN PD</v>
          </cell>
        </row>
      </sheetData>
      <sheetData sheetId="3722">
        <row r="1">
          <cell r="A1" t="str">
            <v>PHIẾU XỬ LÝ HỒ SƠ THANH TOÁN VƯỢT THẨM QUYỀN PD</v>
          </cell>
        </row>
      </sheetData>
      <sheetData sheetId="3723">
        <row r="1">
          <cell r="A1" t="str">
            <v>PHIẾU XỬ LÝ HỒ SƠ THANH TOÁN VƯỢT THẨM QUYỀN PD</v>
          </cell>
        </row>
      </sheetData>
      <sheetData sheetId="3724">
        <row r="1">
          <cell r="A1" t="str">
            <v>PHIẾU XỬ LÝ HỒ SƠ THANH TOÁN VƯỢT THẨM QUYỀN PD</v>
          </cell>
        </row>
      </sheetData>
      <sheetData sheetId="3725">
        <row r="1">
          <cell r="A1" t="str">
            <v>PHIẾU XỬ LÝ HỒ SƠ THANH TOÁN VƯỢT THẨM QUYỀN PD</v>
          </cell>
        </row>
      </sheetData>
      <sheetData sheetId="3726">
        <row r="1">
          <cell r="A1" t="str">
            <v>PHIẾU XỬ LÝ HỒ SƠ THANH TOÁN VƯỢT THẨM QUYỀN PD</v>
          </cell>
        </row>
      </sheetData>
      <sheetData sheetId="3727">
        <row r="1">
          <cell r="A1" t="str">
            <v>PHIẾU XỬ LÝ HỒ SƠ THANH TOÁN VƯỢT THẨM QUYỀN PD</v>
          </cell>
        </row>
      </sheetData>
      <sheetData sheetId="3728">
        <row r="1">
          <cell r="A1" t="str">
            <v>PHIẾU XỬ LÝ HỒ SƠ THANH TOÁN VƯỢT THẨM QUYỀN PD</v>
          </cell>
        </row>
      </sheetData>
      <sheetData sheetId="3729">
        <row r="1">
          <cell r="A1" t="str">
            <v>PHIẾU XỬ LÝ HỒ SƠ THANH TOÁN VƯỢT THẨM QUYỀN PD</v>
          </cell>
        </row>
      </sheetData>
      <sheetData sheetId="3730">
        <row r="1">
          <cell r="A1" t="str">
            <v>PHIẾU XỬ LÝ HỒ SƠ THANH TOÁN VƯỢT THẨM QUYỀN PD</v>
          </cell>
        </row>
      </sheetData>
      <sheetData sheetId="3731">
        <row r="1">
          <cell r="A1" t="str">
            <v>PHIẾU XỬ LÝ HỒ SƠ THANH TOÁN VƯỢT THẨM QUYỀN PD</v>
          </cell>
        </row>
      </sheetData>
      <sheetData sheetId="3732">
        <row r="1">
          <cell r="A1" t="str">
            <v>PHIẾU XỬ LÝ HỒ SƠ THANH TOÁN VƯỢT THẨM QUYỀN PD</v>
          </cell>
        </row>
      </sheetData>
      <sheetData sheetId="3733">
        <row r="1">
          <cell r="A1" t="str">
            <v>PHIẾU XỬ LÝ HỒ SƠ THANH TOÁN VƯỢT THẨM QUYỀN PD</v>
          </cell>
        </row>
      </sheetData>
      <sheetData sheetId="3734">
        <row r="1">
          <cell r="A1" t="str">
            <v>PHIẾU XỬ LÝ HỒ SƠ THANH TOÁN VƯỢT THẨM QUYỀN PD</v>
          </cell>
        </row>
      </sheetData>
      <sheetData sheetId="3735">
        <row r="1">
          <cell r="A1" t="str">
            <v>PHIẾU XỬ LÝ HỒ SƠ THANH TOÁN VƯỢT THẨM QUYỀN PD</v>
          </cell>
        </row>
      </sheetData>
      <sheetData sheetId="3736">
        <row r="1">
          <cell r="A1" t="str">
            <v>PHIẾU XỬ LÝ HỒ SƠ THANH TOÁN VƯỢT THẨM QUYỀN PD</v>
          </cell>
        </row>
      </sheetData>
      <sheetData sheetId="3737">
        <row r="1">
          <cell r="A1" t="str">
            <v>PHIẾU XỬ LÝ HỒ SƠ THANH TOÁN VƯỢT THẨM QUYỀN PD</v>
          </cell>
        </row>
      </sheetData>
      <sheetData sheetId="3738">
        <row r="1">
          <cell r="A1" t="str">
            <v>PHIẾU XỬ LÝ HỒ SƠ THANH TOÁN VƯỢT THẨM QUYỀN PD</v>
          </cell>
        </row>
      </sheetData>
      <sheetData sheetId="3739">
        <row r="1">
          <cell r="A1" t="str">
            <v>PHIẾU XỬ LÝ HỒ SƠ THANH TOÁN VƯỢT THẨM QUYỀN PD</v>
          </cell>
        </row>
      </sheetData>
      <sheetData sheetId="3740">
        <row r="1">
          <cell r="A1" t="str">
            <v>PHIẾU XỬ LÝ HỒ SƠ THANH TOÁN VƯỢT THẨM QUYỀN PD</v>
          </cell>
        </row>
      </sheetData>
      <sheetData sheetId="3741">
        <row r="1">
          <cell r="A1" t="str">
            <v>PHIẾU XỬ LÝ HỒ SƠ THANH TOÁN VƯỢT THẨM QUYỀN PD</v>
          </cell>
        </row>
      </sheetData>
      <sheetData sheetId="3742">
        <row r="1">
          <cell r="A1" t="str">
            <v>PHIẾU XỬ LÝ HỒ SƠ THANH TOÁN VƯỢT THẨM QUYỀN PD</v>
          </cell>
        </row>
      </sheetData>
      <sheetData sheetId="3743">
        <row r="1">
          <cell r="A1" t="str">
            <v>PHIẾU XỬ LÝ HỒ SƠ THANH TOÁN VƯỢT THẨM QUYỀN PD</v>
          </cell>
        </row>
      </sheetData>
      <sheetData sheetId="3744">
        <row r="1">
          <cell r="A1" t="str">
            <v>PHIẾU XỬ LÝ HỒ SƠ THANH TOÁN VƯỢT THẨM QUYỀN PD</v>
          </cell>
        </row>
      </sheetData>
      <sheetData sheetId="3745">
        <row r="1">
          <cell r="A1" t="str">
            <v>PHIẾU XỬ LÝ HỒ SƠ THANH TOÁN VƯỢT THẨM QUYỀN PD</v>
          </cell>
        </row>
      </sheetData>
      <sheetData sheetId="3746">
        <row r="1">
          <cell r="A1" t="str">
            <v>PHIẾU XỬ LÝ HỒ SƠ THANH TOÁN VƯỢT THẨM QUYỀN PD</v>
          </cell>
        </row>
      </sheetData>
      <sheetData sheetId="3747">
        <row r="1">
          <cell r="A1" t="str">
            <v>PHIẾU XỬ LÝ HỒ SƠ THANH TOÁN VƯỢT THẨM QUYỀN PD</v>
          </cell>
        </row>
      </sheetData>
      <sheetData sheetId="3748">
        <row r="1">
          <cell r="A1" t="str">
            <v>PHIẾU XỬ LÝ HỒ SƠ THANH TOÁN VƯỢT THẨM QUYỀN PD</v>
          </cell>
        </row>
      </sheetData>
      <sheetData sheetId="3749">
        <row r="1">
          <cell r="A1" t="str">
            <v>PHIẾU XỬ LÝ HỒ SƠ THANH TOÁN VƯỢT THẨM QUYỀN PD</v>
          </cell>
        </row>
      </sheetData>
      <sheetData sheetId="3750">
        <row r="1">
          <cell r="A1" t="str">
            <v>PHIẾU XỬ LÝ HỒ SƠ THANH TOÁN VƯỢT THẨM QUYỀN PD</v>
          </cell>
        </row>
      </sheetData>
      <sheetData sheetId="3751">
        <row r="1">
          <cell r="A1" t="str">
            <v>PHIẾU XỬ LÝ HỒ SƠ THANH TOÁN VƯỢT THẨM QUYỀN PD</v>
          </cell>
        </row>
      </sheetData>
      <sheetData sheetId="3752">
        <row r="1">
          <cell r="A1" t="str">
            <v>PHIẾU XỬ LÝ HỒ SƠ THANH TOÁN VƯỢT THẨM QUYỀN PD</v>
          </cell>
        </row>
      </sheetData>
      <sheetData sheetId="3753">
        <row r="1">
          <cell r="A1" t="str">
            <v>PHIẾU XỬ LÝ HỒ SƠ THANH TOÁN VƯỢT THẨM QUYỀN PD</v>
          </cell>
        </row>
      </sheetData>
      <sheetData sheetId="3754">
        <row r="1">
          <cell r="A1" t="str">
            <v>PHIẾU XỬ LÝ HỒ SƠ THANH TOÁN VƯỢT THẨM QUYỀN PD</v>
          </cell>
        </row>
      </sheetData>
      <sheetData sheetId="3755">
        <row r="1">
          <cell r="A1" t="str">
            <v>PHIẾU XỬ LÝ HỒ SƠ THANH TOÁN VƯỢT THẨM QUYỀN PD</v>
          </cell>
        </row>
      </sheetData>
      <sheetData sheetId="3756">
        <row r="1">
          <cell r="A1" t="str">
            <v>PHIẾU XỬ LÝ HỒ SƠ THANH TOÁN VƯỢT THẨM QUYỀN PD</v>
          </cell>
        </row>
      </sheetData>
      <sheetData sheetId="3757">
        <row r="1">
          <cell r="A1" t="str">
            <v>PHIẾU XỬ LÝ HỒ SƠ THANH TOÁN VƯỢT THẨM QUYỀN PD</v>
          </cell>
        </row>
      </sheetData>
      <sheetData sheetId="3758">
        <row r="1">
          <cell r="A1" t="str">
            <v>PHIẾU XỬ LÝ HỒ SƠ THANH TOÁN VƯỢT THẨM QUYỀN PD</v>
          </cell>
        </row>
      </sheetData>
      <sheetData sheetId="3759">
        <row r="1">
          <cell r="A1" t="str">
            <v>PHIẾU XỬ LÝ HỒ SƠ THANH TOÁN VƯỢT THẨM QUYỀN PD</v>
          </cell>
        </row>
      </sheetData>
      <sheetData sheetId="3760">
        <row r="1">
          <cell r="A1" t="str">
            <v>PHIẾU XỬ LÝ HỒ SƠ THANH TOÁN VƯỢT THẨM QUYỀN PD</v>
          </cell>
        </row>
      </sheetData>
      <sheetData sheetId="3761">
        <row r="1">
          <cell r="A1" t="str">
            <v>PHIẾU XỬ LÝ HỒ SƠ THANH TOÁN VƯỢT THẨM QUYỀN PD</v>
          </cell>
        </row>
      </sheetData>
      <sheetData sheetId="3762">
        <row r="1">
          <cell r="A1" t="str">
            <v>PHIẾU XỬ LÝ HỒ SƠ THANH TOÁN VƯỢT THẨM QUYỀN PD</v>
          </cell>
        </row>
      </sheetData>
      <sheetData sheetId="3763">
        <row r="1">
          <cell r="A1" t="str">
            <v>PHIẾU XỬ LÝ HỒ SƠ THANH TOÁN VƯỢT THẨM QUYỀN PD</v>
          </cell>
        </row>
      </sheetData>
      <sheetData sheetId="3764">
        <row r="1">
          <cell r="A1" t="str">
            <v>PHIẾU XỬ LÝ HỒ SƠ THANH TOÁN VƯỢT THẨM QUYỀN PD</v>
          </cell>
        </row>
      </sheetData>
      <sheetData sheetId="3765">
        <row r="1">
          <cell r="A1" t="str">
            <v>PHIẾU XỬ LÝ HỒ SƠ THANH TOÁN VƯỢT THẨM QUYỀN PD</v>
          </cell>
        </row>
      </sheetData>
      <sheetData sheetId="3766">
        <row r="1">
          <cell r="A1" t="str">
            <v>PHIẾU XỬ LÝ HỒ SƠ THANH TOÁN VƯỢT THẨM QUYỀN PD</v>
          </cell>
        </row>
      </sheetData>
      <sheetData sheetId="3767">
        <row r="1">
          <cell r="A1" t="str">
            <v>PHIẾU XỬ LÝ HỒ SƠ THANH TOÁN VƯỢT THẨM QUYỀN PD</v>
          </cell>
        </row>
      </sheetData>
      <sheetData sheetId="3768">
        <row r="1">
          <cell r="A1" t="str">
            <v>PHIẾU XỬ LÝ HỒ SƠ THANH TOÁN VƯỢT THẨM QUYỀN PD</v>
          </cell>
        </row>
      </sheetData>
      <sheetData sheetId="3769">
        <row r="1">
          <cell r="A1" t="str">
            <v>PHIẾU XỬ LÝ HỒ SƠ THANH TOÁN VƯỢT THẨM QUYỀN PD</v>
          </cell>
        </row>
      </sheetData>
      <sheetData sheetId="3770">
        <row r="1">
          <cell r="A1" t="str">
            <v>PHIẾU XỬ LÝ HỒ SƠ THANH TOÁN VƯỢT THẨM QUYỀN PD</v>
          </cell>
        </row>
      </sheetData>
      <sheetData sheetId="3771">
        <row r="1">
          <cell r="A1" t="str">
            <v>PHIẾU XỬ LÝ HỒ SƠ THANH TOÁN VƯỢT THẨM QUYỀN PD</v>
          </cell>
        </row>
      </sheetData>
      <sheetData sheetId="3772">
        <row r="1">
          <cell r="A1" t="str">
            <v>PHIẾU XỬ LÝ HỒ SƠ THANH TOÁN VƯỢT THẨM QUYỀN PD</v>
          </cell>
        </row>
      </sheetData>
      <sheetData sheetId="3773">
        <row r="1">
          <cell r="A1" t="str">
            <v>PHIẾU XỬ LÝ HỒ SƠ THANH TOÁN VƯỢT THẨM QUYỀN PD</v>
          </cell>
        </row>
      </sheetData>
      <sheetData sheetId="3774">
        <row r="1">
          <cell r="A1" t="str">
            <v>PHIẾU XỬ LÝ HỒ SƠ THANH TOÁN VƯỢT THẨM QUYỀN PD</v>
          </cell>
        </row>
      </sheetData>
      <sheetData sheetId="3775">
        <row r="1">
          <cell r="A1" t="str">
            <v>PHIẾU XỬ LÝ HỒ SƠ THANH TOÁN VƯỢT THẨM QUYỀN PD</v>
          </cell>
        </row>
      </sheetData>
      <sheetData sheetId="3776">
        <row r="1">
          <cell r="A1" t="str">
            <v>PHIẾU XỬ LÝ HỒ SƠ THANH TOÁN VƯỢT THẨM QUYỀN PD</v>
          </cell>
        </row>
      </sheetData>
      <sheetData sheetId="3777">
        <row r="1">
          <cell r="A1" t="str">
            <v>PHIẾU XỬ LÝ HỒ SƠ THANH TOÁN VƯỢT THẨM QUYỀN PD</v>
          </cell>
        </row>
      </sheetData>
      <sheetData sheetId="3778">
        <row r="1">
          <cell r="A1" t="str">
            <v>PHIẾU XỬ LÝ HỒ SƠ THANH TOÁN VƯỢT THẨM QUYỀN PD</v>
          </cell>
        </row>
      </sheetData>
      <sheetData sheetId="3779">
        <row r="1">
          <cell r="A1" t="str">
            <v>PHIẾU XỬ LÝ HỒ SƠ THANH TOÁN VƯỢT THẨM QUYỀN PD</v>
          </cell>
        </row>
      </sheetData>
      <sheetData sheetId="3780">
        <row r="1">
          <cell r="A1" t="str">
            <v>PHIẾU XỬ LÝ HỒ SƠ THANH TOÁN VƯỢT THẨM QUYỀN PD</v>
          </cell>
        </row>
      </sheetData>
      <sheetData sheetId="3781">
        <row r="1">
          <cell r="A1" t="str">
            <v>PHIẾU XỬ LÝ HỒ SƠ THANH TOÁN VƯỢT THẨM QUYỀN PD</v>
          </cell>
        </row>
      </sheetData>
      <sheetData sheetId="3782">
        <row r="1">
          <cell r="A1" t="str">
            <v>PHIẾU XỬ LÝ HỒ SƠ THANH TOÁN VƯỢT THẨM QUYỀN PD</v>
          </cell>
        </row>
      </sheetData>
      <sheetData sheetId="3783">
        <row r="1">
          <cell r="A1" t="str">
            <v>PHIẾU XỬ LÝ HỒ SƠ THANH TOÁN VƯỢT THẨM QUYỀN PD</v>
          </cell>
        </row>
      </sheetData>
      <sheetData sheetId="3784">
        <row r="1">
          <cell r="A1" t="str">
            <v>PHIẾU XỬ LÝ HỒ SƠ THANH TOÁN VƯỢT THẨM QUYỀN PD</v>
          </cell>
        </row>
      </sheetData>
      <sheetData sheetId="3785">
        <row r="1">
          <cell r="A1" t="str">
            <v>PHIẾU XỬ LÝ HỒ SƠ THANH TOÁN VƯỢT THẨM QUYỀN PD</v>
          </cell>
        </row>
      </sheetData>
      <sheetData sheetId="3786">
        <row r="1">
          <cell r="A1" t="str">
            <v>PHIẾU XỬ LÝ HỒ SƠ THANH TOÁN VƯỢT THẨM QUYỀN PD</v>
          </cell>
        </row>
      </sheetData>
      <sheetData sheetId="3787">
        <row r="1">
          <cell r="A1" t="str">
            <v>PHIẾU XỬ LÝ HỒ SƠ THANH TOÁN VƯỢT THẨM QUYỀN PD</v>
          </cell>
        </row>
      </sheetData>
      <sheetData sheetId="3788">
        <row r="1">
          <cell r="A1" t="str">
            <v>PHIẾU XỬ LÝ HỒ SƠ THANH TOÁN VƯỢT THẨM QUYỀN PD</v>
          </cell>
        </row>
      </sheetData>
      <sheetData sheetId="3789">
        <row r="1">
          <cell r="A1" t="str">
            <v>PHIẾU XỬ LÝ HỒ SƠ THANH TOÁN VƯỢT THẨM QUYỀN PD</v>
          </cell>
        </row>
      </sheetData>
      <sheetData sheetId="3790">
        <row r="1">
          <cell r="A1" t="str">
            <v>PHIẾU XỬ LÝ HỒ SƠ THANH TOÁN VƯỢT THẨM QUYỀN PD</v>
          </cell>
        </row>
      </sheetData>
      <sheetData sheetId="3791">
        <row r="1">
          <cell r="A1" t="str">
            <v>PHIẾU XỬ LÝ HỒ SƠ THANH TOÁN VƯỢT THẨM QUYỀN PD</v>
          </cell>
        </row>
      </sheetData>
      <sheetData sheetId="3792">
        <row r="1">
          <cell r="A1" t="str">
            <v>PHIẾU XỬ LÝ HỒ SƠ THANH TOÁN VƯỢT THẨM QUYỀN PD</v>
          </cell>
        </row>
      </sheetData>
      <sheetData sheetId="3793">
        <row r="1">
          <cell r="A1" t="str">
            <v>PHIẾU XỬ LÝ HỒ SƠ THANH TOÁN VƯỢT THẨM QUYỀN PD</v>
          </cell>
        </row>
      </sheetData>
      <sheetData sheetId="3794">
        <row r="1">
          <cell r="A1" t="str">
            <v>PHIẾU XỬ LÝ HỒ SƠ THANH TOÁN VƯỢT THẨM QUYỀN PD</v>
          </cell>
        </row>
      </sheetData>
      <sheetData sheetId="3795">
        <row r="1">
          <cell r="A1" t="str">
            <v>PHIẾU XỬ LÝ HỒ SƠ THANH TOÁN VƯỢT THẨM QUYỀN PD</v>
          </cell>
        </row>
      </sheetData>
      <sheetData sheetId="3796">
        <row r="1">
          <cell r="A1" t="str">
            <v>PHIẾU XỬ LÝ HỒ SƠ THANH TOÁN VƯỢT THẨM QUYỀN PD</v>
          </cell>
        </row>
      </sheetData>
      <sheetData sheetId="3797">
        <row r="1">
          <cell r="A1" t="str">
            <v>PHIẾU XỬ LÝ HỒ SƠ THANH TOÁN VƯỢT THẨM QUYỀN PD</v>
          </cell>
        </row>
      </sheetData>
      <sheetData sheetId="3798">
        <row r="1">
          <cell r="A1" t="str">
            <v>PHIẾU XỬ LÝ HỒ SƠ THANH TOÁN VƯỢT THẨM QUYỀN PD</v>
          </cell>
        </row>
      </sheetData>
      <sheetData sheetId="3799">
        <row r="1">
          <cell r="A1" t="str">
            <v>PHIẾU XỬ LÝ HỒ SƠ THANH TOÁN VƯỢT THẨM QUYỀN PD</v>
          </cell>
        </row>
      </sheetData>
      <sheetData sheetId="3800">
        <row r="1">
          <cell r="A1" t="str">
            <v>PHIẾU XỬ LÝ HỒ SƠ THANH TOÁN VƯỢT THẨM QUYỀN PD</v>
          </cell>
        </row>
      </sheetData>
      <sheetData sheetId="3801">
        <row r="1">
          <cell r="A1" t="str">
            <v>PHIẾU XỬ LÝ HỒ SƠ THANH TOÁN VƯỢT THẨM QUYỀN PD</v>
          </cell>
        </row>
      </sheetData>
      <sheetData sheetId="3802">
        <row r="1">
          <cell r="A1" t="str">
            <v>PHIẾU XỬ LÝ HỒ SƠ THANH TOÁN VƯỢT THẨM QUYỀN PD</v>
          </cell>
        </row>
      </sheetData>
      <sheetData sheetId="3803">
        <row r="1">
          <cell r="A1" t="str">
            <v>PHIẾU XỬ LÝ HỒ SƠ THANH TOÁN VƯỢT THẨM QUYỀN PD</v>
          </cell>
        </row>
      </sheetData>
      <sheetData sheetId="3804">
        <row r="1">
          <cell r="A1" t="str">
            <v>PHIẾU XỬ LÝ HỒ SƠ THANH TOÁN VƯỢT THẨM QUYỀN PD</v>
          </cell>
        </row>
      </sheetData>
      <sheetData sheetId="3805">
        <row r="1">
          <cell r="A1" t="str">
            <v>PHIẾU XỬ LÝ HỒ SƠ THANH TOÁN VƯỢT THẨM QUYỀN PD</v>
          </cell>
        </row>
      </sheetData>
      <sheetData sheetId="3806">
        <row r="1">
          <cell r="A1" t="str">
            <v>PHIẾU XỬ LÝ HỒ SƠ THANH TOÁN VƯỢT THẨM QUYỀN PD</v>
          </cell>
        </row>
      </sheetData>
      <sheetData sheetId="3807">
        <row r="1">
          <cell r="A1" t="str">
            <v>PHIẾU XỬ LÝ HỒ SƠ THANH TOÁN VƯỢT THẨM QUYỀN PD</v>
          </cell>
        </row>
      </sheetData>
      <sheetData sheetId="3808">
        <row r="1">
          <cell r="A1" t="str">
            <v>PHIẾU XỬ LÝ HỒ SƠ THANH TOÁN VƯỢT THẨM QUYỀN PD</v>
          </cell>
        </row>
      </sheetData>
      <sheetData sheetId="3809">
        <row r="1">
          <cell r="A1" t="str">
            <v>PHIẾU XỬ LÝ HỒ SƠ THANH TOÁN VƯỢT THẨM QUYỀN PD</v>
          </cell>
        </row>
      </sheetData>
      <sheetData sheetId="3810">
        <row r="1">
          <cell r="A1" t="str">
            <v>PHIẾU XỬ LÝ HỒ SƠ THANH TOÁN VƯỢT THẨM QUYỀN PD</v>
          </cell>
        </row>
      </sheetData>
      <sheetData sheetId="3811">
        <row r="1">
          <cell r="A1" t="str">
            <v>PHIẾU XỬ LÝ HỒ SƠ THANH TOÁN VƯỢT THẨM QUYỀN PD</v>
          </cell>
        </row>
      </sheetData>
      <sheetData sheetId="3812">
        <row r="1">
          <cell r="A1" t="str">
            <v>PHIẾU XỬ LÝ HỒ SƠ THANH TOÁN VƯỢT THẨM QUYỀN PD</v>
          </cell>
        </row>
      </sheetData>
      <sheetData sheetId="3813">
        <row r="1">
          <cell r="A1" t="str">
            <v>PHIẾU XỬ LÝ HỒ SƠ THANH TOÁN VƯỢT THẨM QUYỀN PD</v>
          </cell>
        </row>
      </sheetData>
      <sheetData sheetId="3814">
        <row r="1">
          <cell r="A1" t="str">
            <v>PHIẾU XỬ LÝ HỒ SƠ THANH TOÁN VƯỢT THẨM QUYỀN PD</v>
          </cell>
        </row>
      </sheetData>
      <sheetData sheetId="3815">
        <row r="1">
          <cell r="A1" t="str">
            <v>PHIẾU XỬ LÝ HỒ SƠ THANH TOÁN VƯỢT THẨM QUYỀN PD</v>
          </cell>
        </row>
      </sheetData>
      <sheetData sheetId="3816">
        <row r="1">
          <cell r="A1" t="str">
            <v>PHIẾU XỬ LÝ HỒ SƠ THANH TOÁN VƯỢT THẨM QUYỀN PD</v>
          </cell>
        </row>
      </sheetData>
      <sheetData sheetId="3817">
        <row r="1">
          <cell r="A1" t="str">
            <v>PHIẾU XỬ LÝ HỒ SƠ THANH TOÁN VƯỢT THẨM QUYỀN PD</v>
          </cell>
        </row>
      </sheetData>
      <sheetData sheetId="3818">
        <row r="1">
          <cell r="A1" t="str">
            <v>PHIẾU XỬ LÝ HỒ SƠ THANH TOÁN VƯỢT THẨM QUYỀN PD</v>
          </cell>
        </row>
      </sheetData>
      <sheetData sheetId="3819">
        <row r="1">
          <cell r="A1" t="str">
            <v>PHIẾU XỬ LÝ HỒ SƠ THANH TOÁN VƯỢT THẨM QUYỀN PD</v>
          </cell>
        </row>
      </sheetData>
      <sheetData sheetId="3820">
        <row r="1">
          <cell r="A1" t="str">
            <v>PHIẾU XỬ LÝ HỒ SƠ THANH TOÁN VƯỢT THẨM QUYỀN PD</v>
          </cell>
        </row>
      </sheetData>
      <sheetData sheetId="3821">
        <row r="1">
          <cell r="A1" t="str">
            <v>PHIẾU XỬ LÝ HỒ SƠ THANH TOÁN VƯỢT THẨM QUYỀN PD</v>
          </cell>
        </row>
      </sheetData>
      <sheetData sheetId="3822">
        <row r="1">
          <cell r="A1" t="str">
            <v>PHIẾU XỬ LÝ HỒ SƠ THANH TOÁN VƯỢT THẨM QUYỀN PD</v>
          </cell>
        </row>
      </sheetData>
      <sheetData sheetId="3823">
        <row r="1">
          <cell r="A1" t="str">
            <v>PHIẾU XỬ LÝ HỒ SƠ THANH TOÁN VƯỢT THẨM QUYỀN PD</v>
          </cell>
        </row>
      </sheetData>
      <sheetData sheetId="3824">
        <row r="1">
          <cell r="A1" t="str">
            <v>PHIẾU XỬ LÝ HỒ SƠ THANH TOÁN VƯỢT THẨM QUYỀN PD</v>
          </cell>
        </row>
      </sheetData>
      <sheetData sheetId="3825">
        <row r="1">
          <cell r="A1" t="str">
            <v>PHIẾU XỬ LÝ HỒ SƠ THANH TOÁN VƯỢT THẨM QUYỀN PD</v>
          </cell>
        </row>
      </sheetData>
      <sheetData sheetId="3826">
        <row r="1">
          <cell r="A1" t="str">
            <v>PHIẾU XỬ LÝ HỒ SƠ THANH TOÁN VƯỢT THẨM QUYỀN PD</v>
          </cell>
        </row>
      </sheetData>
      <sheetData sheetId="3827">
        <row r="1">
          <cell r="A1" t="str">
            <v>PHIẾU XỬ LÝ HỒ SƠ THANH TOÁN VƯỢT THẨM QUYỀN PD</v>
          </cell>
        </row>
      </sheetData>
      <sheetData sheetId="3828">
        <row r="1">
          <cell r="A1" t="str">
            <v>PHIẾU XỬ LÝ HỒ SƠ THANH TOÁN VƯỢT THẨM QUYỀN PD</v>
          </cell>
        </row>
      </sheetData>
      <sheetData sheetId="3829">
        <row r="1">
          <cell r="A1" t="str">
            <v>PHIẾU XỬ LÝ HỒ SƠ THANH TOÁN VƯỢT THẨM QUYỀN PD</v>
          </cell>
        </row>
      </sheetData>
      <sheetData sheetId="3830">
        <row r="1">
          <cell r="A1" t="str">
            <v>PHIẾU XỬ LÝ HỒ SƠ THANH TOÁN VƯỢT THẨM QUYỀN PD</v>
          </cell>
        </row>
      </sheetData>
      <sheetData sheetId="3831">
        <row r="1">
          <cell r="A1" t="str">
            <v>PHIẾU XỬ LÝ HỒ SƠ THANH TOÁN VƯỢT THẨM QUYỀN PD</v>
          </cell>
        </row>
      </sheetData>
      <sheetData sheetId="3832">
        <row r="1">
          <cell r="A1" t="str">
            <v>PHIẾU XỬ LÝ HỒ SƠ THANH TOÁN VƯỢT THẨM QUYỀN PD</v>
          </cell>
        </row>
      </sheetData>
      <sheetData sheetId="3833">
        <row r="1">
          <cell r="A1" t="str">
            <v>PHIẾU XỬ LÝ HỒ SƠ THANH TOÁN VƯỢT THẨM QUYỀN PD</v>
          </cell>
        </row>
      </sheetData>
      <sheetData sheetId="3834">
        <row r="1">
          <cell r="A1" t="str">
            <v>PHIẾU XỬ LÝ HỒ SƠ THANH TOÁN VƯỢT THẨM QUYỀN PD</v>
          </cell>
        </row>
      </sheetData>
      <sheetData sheetId="3835">
        <row r="1">
          <cell r="A1" t="str">
            <v>PHIẾU XỬ LÝ HỒ SƠ THANH TOÁN VƯỢT THẨM QUYỀN PD</v>
          </cell>
        </row>
      </sheetData>
      <sheetData sheetId="3836">
        <row r="1">
          <cell r="A1" t="str">
            <v>PHIẾU XỬ LÝ HỒ SƠ THANH TOÁN VƯỢT THẨM QUYỀN PD</v>
          </cell>
        </row>
      </sheetData>
      <sheetData sheetId="3837">
        <row r="1">
          <cell r="A1" t="str">
            <v>PHIẾU XỬ LÝ HỒ SƠ THANH TOÁN VƯỢT THẨM QUYỀN PD</v>
          </cell>
        </row>
      </sheetData>
      <sheetData sheetId="3838">
        <row r="1">
          <cell r="A1" t="str">
            <v>PHIẾU XỬ LÝ HỒ SƠ THANH TOÁN VƯỢT THẨM QUYỀN PD</v>
          </cell>
        </row>
      </sheetData>
      <sheetData sheetId="3839">
        <row r="1">
          <cell r="A1" t="str">
            <v>PHIẾU XỬ LÝ HỒ SƠ THANH TOÁN VƯỢT THẨM QUYỀN PD</v>
          </cell>
        </row>
      </sheetData>
      <sheetData sheetId="3840">
        <row r="1">
          <cell r="A1" t="str">
            <v>PHIẾU XỬ LÝ HỒ SƠ THANH TOÁN VƯỢT THẨM QUYỀN PD</v>
          </cell>
        </row>
      </sheetData>
      <sheetData sheetId="3841">
        <row r="1">
          <cell r="A1" t="str">
            <v>PHIẾU XỬ LÝ HỒ SƠ THANH TOÁN VƯỢT THẨM QUYỀN PD</v>
          </cell>
        </row>
      </sheetData>
      <sheetData sheetId="3842">
        <row r="1">
          <cell r="A1" t="str">
            <v>PHIẾU XỬ LÝ HỒ SƠ THANH TOÁN VƯỢT THẨM QUYỀN PD</v>
          </cell>
        </row>
      </sheetData>
      <sheetData sheetId="3843">
        <row r="1">
          <cell r="A1" t="str">
            <v>PHIẾU XỬ LÝ HỒ SƠ THANH TOÁN VƯỢT THẨM QUYỀN PD</v>
          </cell>
        </row>
      </sheetData>
      <sheetData sheetId="3844">
        <row r="1">
          <cell r="A1" t="str">
            <v>PHIẾU XỬ LÝ HỒ SƠ THANH TOÁN VƯỢT THẨM QUYỀN PD</v>
          </cell>
        </row>
      </sheetData>
      <sheetData sheetId="3845">
        <row r="1">
          <cell r="A1" t="str">
            <v>PHIẾU XỬ LÝ HỒ SƠ THANH TOÁN VƯỢT THẨM QUYỀN PD</v>
          </cell>
        </row>
      </sheetData>
      <sheetData sheetId="3846">
        <row r="1">
          <cell r="A1" t="str">
            <v>PHIẾU XỬ LÝ HỒ SƠ THANH TOÁN VƯỢT THẨM QUYỀN PD</v>
          </cell>
        </row>
      </sheetData>
      <sheetData sheetId="3847">
        <row r="1">
          <cell r="A1" t="str">
            <v>PHIẾU XỬ LÝ HỒ SƠ THANH TOÁN VƯỢT THẨM QUYỀN PD</v>
          </cell>
        </row>
      </sheetData>
      <sheetData sheetId="3848">
        <row r="1">
          <cell r="A1" t="str">
            <v>PHIẾU XỬ LÝ HỒ SƠ THANH TOÁN VƯỢT THẨM QUYỀN PD</v>
          </cell>
        </row>
      </sheetData>
      <sheetData sheetId="3849">
        <row r="1">
          <cell r="A1" t="str">
            <v>PHIẾU XỬ LÝ HỒ SƠ THANH TOÁN VƯỢT THẨM QUYỀN PD</v>
          </cell>
        </row>
      </sheetData>
      <sheetData sheetId="3850">
        <row r="1">
          <cell r="A1" t="str">
            <v>PHIẾU XỬ LÝ HỒ SƠ THANH TOÁN VƯỢT THẨM QUYỀN PD</v>
          </cell>
        </row>
      </sheetData>
      <sheetData sheetId="3851">
        <row r="1">
          <cell r="A1" t="str">
            <v>PHIẾU XỬ LÝ HỒ SƠ THANH TOÁN VƯỢT THẨM QUYỀN PD</v>
          </cell>
        </row>
      </sheetData>
      <sheetData sheetId="3852">
        <row r="1">
          <cell r="A1" t="str">
            <v>PHIẾU XỬ LÝ HỒ SƠ THANH TOÁN VƯỢT THẨM QUYỀN PD</v>
          </cell>
        </row>
      </sheetData>
      <sheetData sheetId="3853">
        <row r="1">
          <cell r="A1" t="str">
            <v>PHIẾU XỬ LÝ HỒ SƠ THANH TOÁN VƯỢT THẨM QUYỀN PD</v>
          </cell>
        </row>
      </sheetData>
      <sheetData sheetId="3854">
        <row r="1">
          <cell r="A1" t="str">
            <v>PHIẾU XỬ LÝ HỒ SƠ THANH TOÁN VƯỢT THẨM QUYỀN PD</v>
          </cell>
        </row>
      </sheetData>
      <sheetData sheetId="3855">
        <row r="1">
          <cell r="A1" t="str">
            <v>PHIẾU XỬ LÝ HỒ SƠ THANH TOÁN VƯỢT THẨM QUYỀN PD</v>
          </cell>
        </row>
      </sheetData>
      <sheetData sheetId="3856">
        <row r="1">
          <cell r="A1" t="str">
            <v>PHIẾU XỬ LÝ HỒ SƠ THANH TOÁN VƯỢT THẨM QUYỀN PD</v>
          </cell>
        </row>
      </sheetData>
      <sheetData sheetId="3857">
        <row r="1">
          <cell r="A1" t="str">
            <v>PHIẾU XỬ LÝ HỒ SƠ THANH TOÁN VƯỢT THẨM QUYỀN PD</v>
          </cell>
        </row>
      </sheetData>
      <sheetData sheetId="3858">
        <row r="1">
          <cell r="A1" t="str">
            <v>PHIẾU XỬ LÝ HỒ SƠ THANH TOÁN VƯỢT THẨM QUYỀN PD</v>
          </cell>
        </row>
      </sheetData>
      <sheetData sheetId="3859">
        <row r="1">
          <cell r="A1" t="str">
            <v>PHIẾU XỬ LÝ HỒ SƠ THANH TOÁN VƯỢT THẨM QUYỀN PD</v>
          </cell>
        </row>
      </sheetData>
      <sheetData sheetId="3860">
        <row r="1">
          <cell r="A1" t="str">
            <v>PHIẾU XỬ LÝ HỒ SƠ THANH TOÁN VƯỢT THẨM QUYỀN PD</v>
          </cell>
        </row>
      </sheetData>
      <sheetData sheetId="3861">
        <row r="1">
          <cell r="A1" t="str">
            <v>PHIẾU XỬ LÝ HỒ SƠ THANH TOÁN VƯỢT THẨM QUYỀN PD</v>
          </cell>
        </row>
      </sheetData>
      <sheetData sheetId="3862">
        <row r="1">
          <cell r="A1" t="str">
            <v>PHIẾU XỬ LÝ HỒ SƠ THANH TOÁN VƯỢT THẨM QUYỀN PD</v>
          </cell>
        </row>
      </sheetData>
      <sheetData sheetId="3863">
        <row r="1">
          <cell r="A1" t="str">
            <v>PHIẾU XỬ LÝ HỒ SƠ THANH TOÁN VƯỢT THẨM QUYỀN PD</v>
          </cell>
        </row>
      </sheetData>
      <sheetData sheetId="3864">
        <row r="1">
          <cell r="A1" t="str">
            <v>PHIẾU XỬ LÝ HỒ SƠ THANH TOÁN VƯỢT THẨM QUYỀN PD</v>
          </cell>
        </row>
      </sheetData>
      <sheetData sheetId="3865">
        <row r="1">
          <cell r="A1" t="str">
            <v>PHIẾU XỬ LÝ HỒ SƠ THANH TOÁN VƯỢT THẨM QUYỀN PD</v>
          </cell>
        </row>
      </sheetData>
      <sheetData sheetId="3866">
        <row r="1">
          <cell r="A1" t="str">
            <v>PHIẾU XỬ LÝ HỒ SƠ THANH TOÁN VƯỢT THẨM QUYỀN PD</v>
          </cell>
        </row>
      </sheetData>
      <sheetData sheetId="3867">
        <row r="1">
          <cell r="A1" t="str">
            <v>PHIẾU XỬ LÝ HỒ SƠ THANH TOÁN VƯỢT THẨM QUYỀN PD</v>
          </cell>
        </row>
      </sheetData>
      <sheetData sheetId="3868">
        <row r="1">
          <cell r="A1" t="str">
            <v>PHIẾU XỬ LÝ HỒ SƠ THANH TOÁN VƯỢT THẨM QUYỀN PD</v>
          </cell>
        </row>
      </sheetData>
      <sheetData sheetId="3869">
        <row r="1">
          <cell r="A1" t="str">
            <v>PHIẾU XỬ LÝ HỒ SƠ THANH TOÁN VƯỢT THẨM QUYỀN PD</v>
          </cell>
        </row>
      </sheetData>
      <sheetData sheetId="3870">
        <row r="1">
          <cell r="A1" t="str">
            <v>PHIẾU XỬ LÝ HỒ SƠ THANH TOÁN VƯỢT THẨM QUYỀN PD</v>
          </cell>
        </row>
      </sheetData>
      <sheetData sheetId="3871">
        <row r="1">
          <cell r="A1" t="str">
            <v>PHIẾU XỬ LÝ HỒ SƠ THANH TOÁN VƯỢT THẨM QUYỀN PD</v>
          </cell>
        </row>
      </sheetData>
      <sheetData sheetId="3872">
        <row r="1">
          <cell r="A1" t="str">
            <v>PHIẾU XỬ LÝ HỒ SƠ THANH TOÁN VƯỢT THẨM QUYỀN PD</v>
          </cell>
        </row>
      </sheetData>
      <sheetData sheetId="3873">
        <row r="1">
          <cell r="A1" t="str">
            <v>PHIẾU XỬ LÝ HỒ SƠ THANH TOÁN VƯỢT THẨM QUYỀN PD</v>
          </cell>
        </row>
      </sheetData>
      <sheetData sheetId="3874">
        <row r="1">
          <cell r="A1" t="str">
            <v>PHIẾU XỬ LÝ HỒ SƠ THANH TOÁN VƯỢT THẨM QUYỀN PD</v>
          </cell>
        </row>
      </sheetData>
      <sheetData sheetId="3875">
        <row r="1">
          <cell r="A1" t="str">
            <v>PHIẾU XỬ LÝ HỒ SƠ THANH TOÁN VƯỢT THẨM QUYỀN PD</v>
          </cell>
        </row>
      </sheetData>
      <sheetData sheetId="3876">
        <row r="1">
          <cell r="A1" t="str">
            <v>PHIẾU XỬ LÝ HỒ SƠ THANH TOÁN VƯỢT THẨM QUYỀN PD</v>
          </cell>
        </row>
      </sheetData>
      <sheetData sheetId="3877">
        <row r="1">
          <cell r="A1" t="str">
            <v>PHIẾU XỬ LÝ HỒ SƠ THANH TOÁN VƯỢT THẨM QUYỀN PD</v>
          </cell>
        </row>
      </sheetData>
      <sheetData sheetId="3878">
        <row r="1">
          <cell r="A1" t="str">
            <v>PHIẾU XỬ LÝ HỒ SƠ THANH TOÁN VƯỢT THẨM QUYỀN PD</v>
          </cell>
        </row>
      </sheetData>
      <sheetData sheetId="3879">
        <row r="1">
          <cell r="A1" t="str">
            <v>PHIẾU XỬ LÝ HỒ SƠ THANH TOÁN VƯỢT THẨM QUYỀN PD</v>
          </cell>
        </row>
      </sheetData>
      <sheetData sheetId="3880">
        <row r="1">
          <cell r="A1" t="str">
            <v>PHIẾU XỬ LÝ HỒ SƠ THANH TOÁN VƯỢT THẨM QUYỀN PD</v>
          </cell>
        </row>
      </sheetData>
      <sheetData sheetId="3881">
        <row r="1">
          <cell r="A1" t="str">
            <v>PHIẾU XỬ LÝ HỒ SƠ THANH TOÁN VƯỢT THẨM QUYỀN PD</v>
          </cell>
        </row>
      </sheetData>
      <sheetData sheetId="3882">
        <row r="1">
          <cell r="A1" t="str">
            <v>PHIẾU XỬ LÝ HỒ SƠ THANH TOÁN VƯỢT THẨM QUYỀN PD</v>
          </cell>
        </row>
      </sheetData>
      <sheetData sheetId="3883">
        <row r="1">
          <cell r="A1" t="str">
            <v>PHIẾU XỬ LÝ HỒ SƠ THANH TOÁN VƯỢT THẨM QUYỀN PD</v>
          </cell>
        </row>
      </sheetData>
      <sheetData sheetId="3884">
        <row r="1">
          <cell r="A1" t="str">
            <v>PHIẾU XỬ LÝ HỒ SƠ THANH TOÁN VƯỢT THẨM QUYỀN PD</v>
          </cell>
        </row>
      </sheetData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>
        <row r="1">
          <cell r="A1" t="str">
            <v>PHIẾU XỬ LÝ HỒ SƠ THANH TOÁN VƯỢT THẨM QUYỀN PD</v>
          </cell>
        </row>
      </sheetData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>
        <row r="1">
          <cell r="A1" t="str">
            <v>PHIẾU XỬ LÝ HỒ SƠ THANH TOÁN VƯỢT THẨM QUYỀN PD</v>
          </cell>
        </row>
      </sheetData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>
        <row r="1">
          <cell r="A1" t="str">
            <v>PHIẾU XỬ LÝ HỒ SƠ THANH TOÁN VƯỢT THẨM QUYỀN PD</v>
          </cell>
        </row>
      </sheetData>
      <sheetData sheetId="4036">
        <row r="1">
          <cell r="A1" t="str">
            <v>PHIẾU XỬ LÝ HỒ SƠ THANH TOÁN VƯỢT THẨM QUYỀN PD</v>
          </cell>
        </row>
      </sheetData>
      <sheetData sheetId="4037">
        <row r="1">
          <cell r="A1" t="str">
            <v>PHIẾU XỬ LÝ HỒ SƠ THANH TOÁN VƯỢT THẨM QUYỀN PD</v>
          </cell>
        </row>
      </sheetData>
      <sheetData sheetId="4038">
        <row r="1">
          <cell r="A1" t="str">
            <v>PHIẾU XỬ LÝ HỒ SƠ THANH TOÁN VƯỢT THẨM QUYỀN PD</v>
          </cell>
        </row>
      </sheetData>
      <sheetData sheetId="4039">
        <row r="1">
          <cell r="A1" t="str">
            <v>PHIẾU XỬ LÝ HỒ SƠ THANH TOÁN VƯỢT THẨM QUYỀN PD</v>
          </cell>
        </row>
      </sheetData>
      <sheetData sheetId="4040">
        <row r="1">
          <cell r="A1" t="str">
            <v>PHIẾU XỬ LÝ HỒ SƠ THANH TOÁN VƯỢT THẨM QUYỀN PD</v>
          </cell>
        </row>
      </sheetData>
      <sheetData sheetId="4041">
        <row r="1">
          <cell r="A1" t="str">
            <v>PHIẾU XỬ LÝ HỒ SƠ THANH TOÁN VƯỢT THẨM QUYỀN PD</v>
          </cell>
        </row>
      </sheetData>
      <sheetData sheetId="4042">
        <row r="1">
          <cell r="A1" t="str">
            <v>PHIẾU XỬ LÝ HỒ SƠ THANH TOÁN VƯỢT THẨM QUYỀN PD</v>
          </cell>
        </row>
      </sheetData>
      <sheetData sheetId="4043">
        <row r="1">
          <cell r="A1" t="str">
            <v>PHIẾU XỬ LÝ HỒ SƠ THANH TOÁN VƯỢT THẨM QUYỀN PD</v>
          </cell>
        </row>
      </sheetData>
      <sheetData sheetId="4044">
        <row r="1">
          <cell r="A1" t="str">
            <v>PHIẾU XỬ LÝ HỒ SƠ THANH TOÁN VƯỢT THẨM QUYỀN PD</v>
          </cell>
        </row>
      </sheetData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/>
      <sheetData sheetId="4122" refreshError="1"/>
      <sheetData sheetId="4123">
        <row r="1">
          <cell r="A1" t="str">
            <v>PHIẾU XỬ LÝ HỒ SƠ THANH TOÁN VƯỢT THẨM QUYỀN PD</v>
          </cell>
        </row>
      </sheetData>
      <sheetData sheetId="4124" refreshError="1"/>
      <sheetData sheetId="4125" refreshError="1"/>
      <sheetData sheetId="4126">
        <row r="1">
          <cell r="A1" t="str">
            <v>PHIẾU XỬ LÝ HỒ SƠ THANH TOÁN VƯỢT THẨM QUYỀN PD</v>
          </cell>
        </row>
      </sheetData>
      <sheetData sheetId="4127">
        <row r="1">
          <cell r="A1" t="str">
            <v>PHIẾU XỬ LÝ HỒ SƠ THANH TOÁN VƯỢT THẨM QUYỀN PD</v>
          </cell>
        </row>
      </sheetData>
      <sheetData sheetId="4128">
        <row r="1">
          <cell r="A1" t="str">
            <v>PHIẾU XỬ LÝ HỒ SƠ THANH TOÁN VƯỢT THẨM QUYỀN PD</v>
          </cell>
        </row>
      </sheetData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>
        <row r="1">
          <cell r="A1" t="str">
            <v>PHIẾU XỬ LÝ HỒ SƠ THANH TOÁN VƯỢT THẨM QUYỀN PD</v>
          </cell>
        </row>
      </sheetData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>
        <row r="1">
          <cell r="A1" t="str">
            <v>PHIẾU XỬ LÝ HỒ SƠ THANH TOÁN VƯỢT THẨM QUYỀN PD</v>
          </cell>
        </row>
      </sheetData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>
        <row r="1">
          <cell r="A1" t="str">
            <v>PHIẾU XỬ LÝ HỒ SƠ THANH TOÁN VƯỢT THẨM QUYỀN PD</v>
          </cell>
        </row>
      </sheetData>
      <sheetData sheetId="4219">
        <row r="1">
          <cell r="A1" t="str">
            <v>PHIẾU XỬ LÝ HỒ SƠ THANH TOÁN VƯỢT THẨM QUYỀN PD</v>
          </cell>
        </row>
      </sheetData>
      <sheetData sheetId="4220">
        <row r="1">
          <cell r="A1" t="str">
            <v>PHIẾU XỬ LÝ HỒ SƠ THANH TOÁN VƯỢT THẨM QUYỀN PD</v>
          </cell>
        </row>
      </sheetData>
      <sheetData sheetId="4221">
        <row r="1">
          <cell r="A1" t="str">
            <v>PHIẾU XỬ LÝ HỒ SƠ THANH TOÁN VƯỢT THẨM QUYỀN PD</v>
          </cell>
        </row>
      </sheetData>
      <sheetData sheetId="4222">
        <row r="1">
          <cell r="A1" t="str">
            <v>PHIẾU XỬ LÝ HỒ SƠ THANH TOÁN VƯỢT THẨM QUYỀN PD</v>
          </cell>
        </row>
      </sheetData>
      <sheetData sheetId="4223">
        <row r="1">
          <cell r="A1" t="str">
            <v>PHIẾU XỬ LÝ HỒ SƠ THANH TOÁN VƯỢT THẨM QUYỀN PD</v>
          </cell>
        </row>
      </sheetData>
      <sheetData sheetId="4224">
        <row r="1">
          <cell r="A1" t="str">
            <v>PHIẾU XỬ LÝ HỒ SƠ THANH TOÁN VƯỢT THẨM QUYỀN PD</v>
          </cell>
        </row>
      </sheetData>
      <sheetData sheetId="4225">
        <row r="1">
          <cell r="A1" t="str">
            <v>PHIẾU XỬ LÝ HỒ SƠ THANH TOÁN VƯỢT THẨM QUYỀN PD</v>
          </cell>
        </row>
      </sheetData>
      <sheetData sheetId="4226">
        <row r="1">
          <cell r="A1" t="str">
            <v>PHIẾU XỬ LÝ HỒ SƠ THANH TOÁN VƯỢT THẨM QUYỀN PD</v>
          </cell>
        </row>
      </sheetData>
      <sheetData sheetId="4227">
        <row r="1">
          <cell r="A1" t="str">
            <v>PHIẾU XỬ LÝ HỒ SƠ THANH TOÁN VƯỢT THẨM QUYỀN PD</v>
          </cell>
        </row>
      </sheetData>
      <sheetData sheetId="4228">
        <row r="1">
          <cell r="A1" t="str">
            <v>PHIẾU XỬ LÝ HỒ SƠ THANH TOÁN VƯỢT THẨM QUYỀN PD</v>
          </cell>
        </row>
      </sheetData>
      <sheetData sheetId="4229">
        <row r="1">
          <cell r="A1" t="str">
            <v>PHIẾU XỬ LÝ HỒ SƠ THANH TOÁN VƯỢT THẨM QUYỀN PD</v>
          </cell>
        </row>
      </sheetData>
      <sheetData sheetId="4230">
        <row r="1">
          <cell r="A1" t="str">
            <v>PHIẾU XỬ LÝ HỒ SƠ THANH TOÁN VƯỢT THẨM QUYỀN PD</v>
          </cell>
        </row>
      </sheetData>
      <sheetData sheetId="4231">
        <row r="1">
          <cell r="A1" t="str">
            <v>PHIẾU XỬ LÝ HỒ SƠ THANH TOÁN VƯỢT THẨM QUYỀN PD</v>
          </cell>
        </row>
      </sheetData>
      <sheetData sheetId="4232">
        <row r="1">
          <cell r="A1" t="str">
            <v>PHIẾU XỬ LÝ HỒ SƠ THANH TOÁN VƯỢT THẨM QUYỀN PD</v>
          </cell>
        </row>
      </sheetData>
      <sheetData sheetId="4233">
        <row r="1">
          <cell r="A1" t="str">
            <v>PHIẾU XỬ LÝ HỒ SƠ THANH TOÁN VƯỢT THẨM QUYỀN PD</v>
          </cell>
        </row>
      </sheetData>
      <sheetData sheetId="4234">
        <row r="1">
          <cell r="A1" t="str">
            <v>PHIẾU XỬ LÝ HỒ SƠ THANH TOÁN VƯỢT THẨM QUYỀN PD</v>
          </cell>
        </row>
      </sheetData>
      <sheetData sheetId="4235">
        <row r="1">
          <cell r="A1" t="str">
            <v>PHIẾU XỬ LÝ HỒ SƠ THANH TOÁN VƯỢT THẨM QUYỀN PD</v>
          </cell>
        </row>
      </sheetData>
      <sheetData sheetId="4236">
        <row r="1">
          <cell r="A1" t="str">
            <v>PHIẾU XỬ LÝ HỒ SƠ THANH TOÁN VƯỢT THẨM QUYỀN PD</v>
          </cell>
        </row>
      </sheetData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>
        <row r="1">
          <cell r="A1" t="str">
            <v>PHIẾU XỬ LÝ HỒ SƠ THANH TOÁN VƯỢT THẨM QUYỀN PD</v>
          </cell>
        </row>
      </sheetData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>
        <row r="1">
          <cell r="A1" t="str">
            <v>PHIẾU XỬ LÝ HỒ SƠ THANH TOÁN VƯỢT THẨM QUYỀN PD</v>
          </cell>
        </row>
      </sheetData>
      <sheetData sheetId="4274">
        <row r="1">
          <cell r="A1" t="str">
            <v>PHIẾU XỬ LÝ HỒ SƠ THANH TOÁN VƯỢT THẨM QUYỀN PD</v>
          </cell>
        </row>
      </sheetData>
      <sheetData sheetId="4275" refreshError="1"/>
      <sheetData sheetId="4276">
        <row r="1">
          <cell r="A1" t="str">
            <v>PHIẾU XỬ LÝ HỒ SƠ THANH TOÁN VƯỢT THẨM QUYỀN PD</v>
          </cell>
        </row>
      </sheetData>
      <sheetData sheetId="4277">
        <row r="1">
          <cell r="A1" t="str">
            <v>PHIẾU XỬ LÝ HỒ SƠ THANH TOÁN VƯỢT THẨM QUYỀN PD</v>
          </cell>
        </row>
      </sheetData>
      <sheetData sheetId="4278"/>
      <sheetData sheetId="4279">
        <row r="1">
          <cell r="A1" t="str">
            <v>PHIẾU XỬ LÝ HỒ SƠ THANH TOÁN VƯỢT THẨM QUYỀN PD</v>
          </cell>
        </row>
      </sheetData>
      <sheetData sheetId="4280">
        <row r="1">
          <cell r="A1" t="str">
            <v>PHIẾU XỬ LÝ HỒ SƠ THANH TOÁN VƯỢT THẨM QUYỀN PD</v>
          </cell>
        </row>
      </sheetData>
      <sheetData sheetId="4281">
        <row r="1">
          <cell r="A1" t="str">
            <v>PHIẾU XỬ LÝ HỒ SƠ THANH TOÁN VƯỢT THẨM QUYỀN PD</v>
          </cell>
        </row>
      </sheetData>
      <sheetData sheetId="4282" refreshError="1"/>
      <sheetData sheetId="4283" refreshError="1"/>
      <sheetData sheetId="4284" refreshError="1"/>
      <sheetData sheetId="4285">
        <row r="1">
          <cell r="A1" t="str">
            <v>PHIẾU XỬ LÝ HỒ SƠ THANH TOÁN VƯỢT THẨM QUYỀN PD</v>
          </cell>
        </row>
      </sheetData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>
        <row r="1">
          <cell r="A1" t="str">
            <v>PHIẾU XỬ LÝ HỒ SƠ THANH TOÁN VƯỢT THẨM QUYỀN PD</v>
          </cell>
        </row>
      </sheetData>
      <sheetData sheetId="4320">
        <row r="1">
          <cell r="A1" t="str">
            <v>PHIẾU XỬ LÝ HỒ SƠ THANH TOÁN VƯỢT THẨM QUYỀN PD</v>
          </cell>
        </row>
      </sheetData>
      <sheetData sheetId="4321" refreshError="1"/>
      <sheetData sheetId="4322" refreshError="1"/>
      <sheetData sheetId="4323">
        <row r="1">
          <cell r="A1" t="str">
            <v>PHIẾU XỬ LÝ HỒ SƠ THANH TOÁN VƯỢT THẨM QUYỀN PD</v>
          </cell>
        </row>
      </sheetData>
      <sheetData sheetId="4324">
        <row r="1">
          <cell r="A1" t="str">
            <v>PHIẾU XỬ LÝ HỒ SƠ THANH TOÁN VƯỢT THẨM QUYỀN PD</v>
          </cell>
        </row>
      </sheetData>
      <sheetData sheetId="4325">
        <row r="1">
          <cell r="A1" t="str">
            <v>PHIẾU XỬ LÝ HỒ SƠ THANH TOÁN VƯỢT THẨM QUYỀN PD</v>
          </cell>
        </row>
      </sheetData>
      <sheetData sheetId="4326">
        <row r="1">
          <cell r="A1" t="str">
            <v>PHIẾU XỬ LÝ HỒ SƠ THANH TOÁN VƯỢT THẨM QUYỀN PD</v>
          </cell>
        </row>
      </sheetData>
      <sheetData sheetId="4327">
        <row r="1">
          <cell r="A1" t="str">
            <v>PHIẾU XỬ LÝ HỒ SƠ THANH TOÁN VƯỢT THẨM QUYỀN PD</v>
          </cell>
        </row>
      </sheetData>
      <sheetData sheetId="4328">
        <row r="1">
          <cell r="A1" t="str">
            <v>PHIẾU XỬ LÝ HỒ SƠ THANH TOÁN VƯỢT THẨM QUYỀN PD</v>
          </cell>
        </row>
      </sheetData>
      <sheetData sheetId="4329">
        <row r="1">
          <cell r="A1" t="str">
            <v>PHIẾU XỬ LÝ HỒ SƠ THANH TOÁN VƯỢT THẨM QUYỀN PD</v>
          </cell>
        </row>
      </sheetData>
      <sheetData sheetId="4330">
        <row r="1">
          <cell r="A1" t="str">
            <v>PHIẾU XỬ LÝ HỒ SƠ THANH TOÁN VƯỢT THẨM QUYỀN PD</v>
          </cell>
        </row>
      </sheetData>
      <sheetData sheetId="4331">
        <row r="1">
          <cell r="A1" t="str">
            <v>PHIẾU XỬ LÝ HỒ SƠ THANH TOÁN VƯỢT THẨM QUYỀN PD</v>
          </cell>
        </row>
      </sheetData>
      <sheetData sheetId="4332">
        <row r="1">
          <cell r="A1" t="str">
            <v>PHIẾU XỬ LÝ HỒ SƠ THANH TOÁN VƯỢT THẨM QUYỀN PD</v>
          </cell>
        </row>
      </sheetData>
      <sheetData sheetId="4333">
        <row r="1">
          <cell r="A1" t="str">
            <v>PHIẾU XỬ LÝ HỒ SƠ THANH TOÁN VƯỢT THẨM QUYỀN PD</v>
          </cell>
        </row>
      </sheetData>
      <sheetData sheetId="4334">
        <row r="1">
          <cell r="A1" t="str">
            <v>PHIẾU XỬ LÝ HỒ SƠ THANH TOÁN VƯỢT THẨM QUYỀN PD</v>
          </cell>
        </row>
      </sheetData>
      <sheetData sheetId="4335">
        <row r="1">
          <cell r="A1" t="str">
            <v>PHIẾU XỬ LÝ HỒ SƠ THANH TOÁN VƯỢT THẨM QUYỀN PD</v>
          </cell>
        </row>
      </sheetData>
      <sheetData sheetId="4336">
        <row r="1">
          <cell r="A1" t="str">
            <v>PHIẾU XỬ LÝ HỒ SƠ THANH TOÁN VƯỢT THẨM QUYỀN PD</v>
          </cell>
        </row>
      </sheetData>
      <sheetData sheetId="4337">
        <row r="1">
          <cell r="A1" t="str">
            <v>PHIẾU XỬ LÝ HỒ SƠ THANH TOÁN VƯỢT THẨM QUYỀN PD</v>
          </cell>
        </row>
      </sheetData>
      <sheetData sheetId="4338">
        <row r="1">
          <cell r="A1" t="str">
            <v>PHIẾU XỬ LÝ HỒ SƠ THANH TOÁN VƯỢT THẨM QUYỀN PD</v>
          </cell>
        </row>
      </sheetData>
      <sheetData sheetId="4339">
        <row r="1">
          <cell r="A1" t="str">
            <v>PHIẾU XỬ LÝ HỒ SƠ THANH TOÁN VƯỢT THẨM QUYỀN PD</v>
          </cell>
        </row>
      </sheetData>
      <sheetData sheetId="4340">
        <row r="1">
          <cell r="A1" t="str">
            <v>PHIẾU XỬ LÝ HỒ SƠ THANH TOÁN VƯỢT THẨM QUYỀN PD</v>
          </cell>
        </row>
      </sheetData>
      <sheetData sheetId="4341">
        <row r="1">
          <cell r="A1" t="str">
            <v>PHIẾU XỬ LÝ HỒ SƠ THANH TOÁN VƯỢT THẨM QUYỀN PD</v>
          </cell>
        </row>
      </sheetData>
      <sheetData sheetId="4342">
        <row r="1">
          <cell r="A1" t="str">
            <v>PHIẾU XỬ LÝ HỒ SƠ THANH TOÁN VƯỢT THẨM QUYỀN PD</v>
          </cell>
        </row>
      </sheetData>
      <sheetData sheetId="4343">
        <row r="1">
          <cell r="A1" t="str">
            <v>PHIẾU XỬ LÝ HỒ SƠ THANH TOÁN VƯỢT THẨM QUYỀN PD</v>
          </cell>
        </row>
      </sheetData>
      <sheetData sheetId="4344">
        <row r="1">
          <cell r="A1" t="str">
            <v>PHIẾU XỬ LÝ HỒ SƠ THANH TOÁN VƯỢT THẨM QUYỀN PD</v>
          </cell>
        </row>
      </sheetData>
      <sheetData sheetId="4345">
        <row r="1">
          <cell r="A1" t="str">
            <v>PHIẾU XỬ LÝ HỒ SƠ THANH TOÁN VƯỢT THẨM QUYỀN PD</v>
          </cell>
        </row>
      </sheetData>
      <sheetData sheetId="4346">
        <row r="1">
          <cell r="A1" t="str">
            <v>PHIẾU XỬ LÝ HỒ SƠ THANH TOÁN VƯỢT THẨM QUYỀN PD</v>
          </cell>
        </row>
      </sheetData>
      <sheetData sheetId="4347">
        <row r="1">
          <cell r="A1" t="str">
            <v>PHIẾU XỬ LÝ HỒ SƠ THANH TOÁN VƯỢT THẨM QUYỀN PD</v>
          </cell>
        </row>
      </sheetData>
      <sheetData sheetId="4348">
        <row r="1">
          <cell r="A1" t="str">
            <v>PHIẾU XỬ LÝ HỒ SƠ THANH TOÁN VƯỢT THẨM QUYỀN PD</v>
          </cell>
        </row>
      </sheetData>
      <sheetData sheetId="4349">
        <row r="1">
          <cell r="A1" t="str">
            <v>PHIẾU XỬ LÝ HỒ SƠ THANH TOÁN VƯỢT THẨM QUYỀN PD</v>
          </cell>
        </row>
      </sheetData>
      <sheetData sheetId="4350">
        <row r="1">
          <cell r="A1" t="str">
            <v>PHIẾU XỬ LÝ HỒ SƠ THANH TOÁN VƯỢT THẨM QUYỀN PD</v>
          </cell>
        </row>
      </sheetData>
      <sheetData sheetId="4351">
        <row r="1">
          <cell r="A1" t="str">
            <v>PHIẾU XỬ LÝ HỒ SƠ THANH TOÁN VƯỢT THẨM QUYỀN PD</v>
          </cell>
        </row>
      </sheetData>
      <sheetData sheetId="4352">
        <row r="1">
          <cell r="A1" t="str">
            <v>PHIẾU XỬ LÝ HỒ SƠ THANH TOÁN VƯỢT THẨM QUYỀN PD</v>
          </cell>
        </row>
      </sheetData>
      <sheetData sheetId="4353">
        <row r="1">
          <cell r="A1" t="str">
            <v>PHIẾU XỬ LÝ HỒ SƠ THANH TOÁN VƯỢT THẨM QUYỀN PD</v>
          </cell>
        </row>
      </sheetData>
      <sheetData sheetId="4354">
        <row r="1">
          <cell r="A1" t="str">
            <v>PHIẾU XỬ LÝ HỒ SƠ THANH TOÁN VƯỢT THẨM QUYỀN PD</v>
          </cell>
        </row>
      </sheetData>
      <sheetData sheetId="4355">
        <row r="1">
          <cell r="A1" t="str">
            <v>PHIẾU XỬ LÝ HỒ SƠ THANH TOÁN VƯỢT THẨM QUYỀN PD</v>
          </cell>
        </row>
      </sheetData>
      <sheetData sheetId="4356">
        <row r="1">
          <cell r="A1" t="str">
            <v>PHIẾU XỬ LÝ HỒ SƠ THANH TOÁN VƯỢT THẨM QUYỀN PD</v>
          </cell>
        </row>
      </sheetData>
      <sheetData sheetId="4357">
        <row r="1">
          <cell r="A1" t="str">
            <v>PHIẾU XỬ LÝ HỒ SƠ THANH TOÁN VƯỢT THẨM QUYỀN PD</v>
          </cell>
        </row>
      </sheetData>
      <sheetData sheetId="4358">
        <row r="1">
          <cell r="A1" t="str">
            <v>PHIẾU XỬ LÝ HỒ SƠ THANH TOÁN VƯỢT THẨM QUYỀN PD</v>
          </cell>
        </row>
      </sheetData>
      <sheetData sheetId="4359">
        <row r="1">
          <cell r="A1" t="str">
            <v>PHIẾU XỬ LÝ HỒ SƠ THANH TOÁN VƯỢT THẨM QUYỀN PD</v>
          </cell>
        </row>
      </sheetData>
      <sheetData sheetId="4360">
        <row r="1">
          <cell r="A1" t="str">
            <v>PHIẾU XỬ LÝ HỒ SƠ THANH TOÁN VƯỢT THẨM QUYỀN PD</v>
          </cell>
        </row>
      </sheetData>
      <sheetData sheetId="4361">
        <row r="1">
          <cell r="A1" t="str">
            <v>PHIẾU XỬ LÝ HỒ SƠ THANH TOÁN VƯỢT THẨM QUYỀN PD</v>
          </cell>
        </row>
      </sheetData>
      <sheetData sheetId="4362">
        <row r="1">
          <cell r="A1" t="str">
            <v>PHIẾU XỬ LÝ HỒ SƠ THANH TOÁN VƯỢT THẨM QUYỀN PD</v>
          </cell>
        </row>
      </sheetData>
      <sheetData sheetId="4363">
        <row r="1">
          <cell r="A1" t="str">
            <v>PHIẾU XỬ LÝ HỒ SƠ THANH TOÁN VƯỢT THẨM QUYỀN PD</v>
          </cell>
        </row>
      </sheetData>
      <sheetData sheetId="4364">
        <row r="1">
          <cell r="A1" t="str">
            <v>PHIẾU XỬ LÝ HỒ SƠ THANH TOÁN VƯỢT THẨM QUYỀN PD</v>
          </cell>
        </row>
      </sheetData>
      <sheetData sheetId="4365">
        <row r="1">
          <cell r="A1" t="str">
            <v>PHIẾU XỬ LÝ HỒ SƠ THANH TOÁN VƯỢT THẨM QUYỀN PD</v>
          </cell>
        </row>
      </sheetData>
      <sheetData sheetId="4366">
        <row r="1">
          <cell r="A1" t="str">
            <v>PHIẾU XỬ LÝ HỒ SƠ THANH TOÁN VƯỢT THẨM QUYỀN PD</v>
          </cell>
        </row>
      </sheetData>
      <sheetData sheetId="4367">
        <row r="1">
          <cell r="A1" t="str">
            <v>PHIẾU XỬ LÝ HỒ SƠ THANH TOÁN VƯỢT THẨM QUYỀN PD</v>
          </cell>
        </row>
      </sheetData>
      <sheetData sheetId="4368">
        <row r="1">
          <cell r="A1" t="str">
            <v>PHIẾU XỬ LÝ HỒ SƠ THANH TOÁN VƯỢT THẨM QUYỀN PD</v>
          </cell>
        </row>
      </sheetData>
      <sheetData sheetId="4369">
        <row r="1">
          <cell r="A1" t="str">
            <v>PHIẾU XỬ LÝ HỒ SƠ THANH TOÁN VƯỢT THẨM QUYỀN PD</v>
          </cell>
        </row>
      </sheetData>
      <sheetData sheetId="4370">
        <row r="1">
          <cell r="A1" t="str">
            <v>PHIẾU XỬ LÝ HỒ SƠ THANH TOÁN VƯỢT THẨM QUYỀN PD</v>
          </cell>
        </row>
      </sheetData>
      <sheetData sheetId="4371">
        <row r="1">
          <cell r="A1" t="str">
            <v>PHIẾU XỬ LÝ HỒ SƠ THANH TOÁN VƯỢT THẨM QUYỀN PD</v>
          </cell>
        </row>
      </sheetData>
      <sheetData sheetId="4372">
        <row r="1">
          <cell r="A1" t="str">
            <v>PHIẾU XỬ LÝ HỒ SƠ THANH TOÁN VƯỢT THẨM QUYỀN PD</v>
          </cell>
        </row>
      </sheetData>
      <sheetData sheetId="4373">
        <row r="1">
          <cell r="A1" t="str">
            <v>PHIẾU XỬ LÝ HỒ SƠ THANH TOÁN VƯỢT THẨM QUYỀN PD</v>
          </cell>
        </row>
      </sheetData>
      <sheetData sheetId="4374">
        <row r="1">
          <cell r="A1" t="str">
            <v>PHIẾU XỬ LÝ HỒ SƠ THANH TOÁN VƯỢT THẨM QUYỀN PD</v>
          </cell>
        </row>
      </sheetData>
      <sheetData sheetId="4375">
        <row r="1">
          <cell r="A1" t="str">
            <v>PHIẾU XỬ LÝ HỒ SƠ THANH TOÁN VƯỢT THẨM QUYỀN PD</v>
          </cell>
        </row>
      </sheetData>
      <sheetData sheetId="4376">
        <row r="1">
          <cell r="A1" t="str">
            <v>PHIẾU XỬ LÝ HỒ SƠ THANH TOÁN VƯỢT THẨM QUYỀN PD</v>
          </cell>
        </row>
      </sheetData>
      <sheetData sheetId="4377">
        <row r="1">
          <cell r="A1" t="str">
            <v>PHIẾU XỬ LÝ HỒ SƠ THANH TOÁN VƯỢT THẨM QUYỀN PD</v>
          </cell>
        </row>
      </sheetData>
      <sheetData sheetId="4378">
        <row r="1">
          <cell r="A1" t="str">
            <v>PHIẾU XỬ LÝ HỒ SƠ THANH TOÁN VƯỢT THẨM QUYỀN PD</v>
          </cell>
        </row>
      </sheetData>
      <sheetData sheetId="4379">
        <row r="1">
          <cell r="A1" t="str">
            <v>PHIẾU XỬ LÝ HỒ SƠ THANH TOÁN VƯỢT THẨM QUYỀN PD</v>
          </cell>
        </row>
      </sheetData>
      <sheetData sheetId="4380">
        <row r="1">
          <cell r="A1" t="str">
            <v>PHIẾU XỬ LÝ HỒ SƠ THANH TOÁN VƯỢT THẨM QUYỀN PD</v>
          </cell>
        </row>
      </sheetData>
      <sheetData sheetId="4381">
        <row r="1">
          <cell r="A1" t="str">
            <v>PHIẾU XỬ LÝ HỒ SƠ THANH TOÁN VƯỢT THẨM QUYỀN PD</v>
          </cell>
        </row>
      </sheetData>
      <sheetData sheetId="4382">
        <row r="1">
          <cell r="A1" t="str">
            <v>PHIẾU XỬ LÝ HỒ SƠ THANH TOÁN VƯỢT THẨM QUYỀN PD</v>
          </cell>
        </row>
      </sheetData>
      <sheetData sheetId="4383">
        <row r="1">
          <cell r="A1" t="str">
            <v>PHIẾU XỬ LÝ HỒ SƠ THANH TOÁN VƯỢT THẨM QUYỀN PD</v>
          </cell>
        </row>
      </sheetData>
      <sheetData sheetId="4384">
        <row r="1">
          <cell r="A1" t="str">
            <v>PHIẾU XỬ LÝ HỒ SƠ THANH TOÁN VƯỢT THẨM QUYỀN PD</v>
          </cell>
        </row>
      </sheetData>
      <sheetData sheetId="4385">
        <row r="1">
          <cell r="A1" t="str">
            <v>PHIẾU XỬ LÝ HỒ SƠ THANH TOÁN VƯỢT THẨM QUYỀN PD</v>
          </cell>
        </row>
      </sheetData>
      <sheetData sheetId="4386">
        <row r="1">
          <cell r="A1" t="str">
            <v>PHIẾU XỬ LÝ HỒ SƠ THANH TOÁN VƯỢT THẨM QUYỀN PD</v>
          </cell>
        </row>
      </sheetData>
      <sheetData sheetId="4387">
        <row r="1">
          <cell r="A1" t="str">
            <v>PHIẾU XỬ LÝ HỒ SƠ THANH TOÁN VƯỢT THẨM QUYỀN PD</v>
          </cell>
        </row>
      </sheetData>
      <sheetData sheetId="4388">
        <row r="1">
          <cell r="A1" t="str">
            <v>PHIẾU XỬ LÝ HỒ SƠ THANH TOÁN VƯỢT THẨM QUYỀN PD</v>
          </cell>
        </row>
      </sheetData>
      <sheetData sheetId="4389">
        <row r="1">
          <cell r="A1" t="str">
            <v>PHIẾU XỬ LÝ HỒ SƠ THANH TOÁN VƯỢT THẨM QUYỀN PD</v>
          </cell>
        </row>
      </sheetData>
      <sheetData sheetId="4390">
        <row r="1">
          <cell r="A1" t="str">
            <v>PHIẾU XỬ LÝ HỒ SƠ THANH TOÁN VƯỢT THẨM QUYỀN PD</v>
          </cell>
        </row>
      </sheetData>
      <sheetData sheetId="4391">
        <row r="1">
          <cell r="A1" t="str">
            <v>PHIẾU XỬ LÝ HỒ SƠ THANH TOÁN VƯỢT THẨM QUYỀN PD</v>
          </cell>
        </row>
      </sheetData>
      <sheetData sheetId="4392">
        <row r="1">
          <cell r="A1" t="str">
            <v>PHIẾU XỬ LÝ HỒ SƠ THANH TOÁN VƯỢT THẨM QUYỀN PD</v>
          </cell>
        </row>
      </sheetData>
      <sheetData sheetId="4393">
        <row r="1">
          <cell r="A1" t="str">
            <v>PHIẾU XỬ LÝ HỒ SƠ THANH TOÁN VƯỢT THẨM QUYỀN PD</v>
          </cell>
        </row>
      </sheetData>
      <sheetData sheetId="4394">
        <row r="1">
          <cell r="A1" t="str">
            <v>PHIẾU XỬ LÝ HỒ SƠ THANH TOÁN VƯỢT THẨM QUYỀN PD</v>
          </cell>
        </row>
      </sheetData>
      <sheetData sheetId="4395">
        <row r="1">
          <cell r="A1" t="str">
            <v>PHIẾU XỬ LÝ HỒ SƠ THANH TOÁN VƯỢT THẨM QUYỀN PD</v>
          </cell>
        </row>
      </sheetData>
      <sheetData sheetId="4396">
        <row r="1">
          <cell r="A1" t="str">
            <v>PHIẾU XỬ LÝ HỒ SƠ THANH TOÁN VƯỢT THẨM QUYỀN PD</v>
          </cell>
        </row>
      </sheetData>
      <sheetData sheetId="4397">
        <row r="1">
          <cell r="A1" t="str">
            <v>PHIẾU XỬ LÝ HỒ SƠ THANH TOÁN VƯỢT THẨM QUYỀN PD</v>
          </cell>
        </row>
      </sheetData>
      <sheetData sheetId="4398">
        <row r="1">
          <cell r="A1" t="str">
            <v>PHIẾU XỬ LÝ HỒ SƠ THANH TOÁN VƯỢT THẨM QUYỀN PD</v>
          </cell>
        </row>
      </sheetData>
      <sheetData sheetId="4399">
        <row r="1">
          <cell r="A1" t="str">
            <v>PHIẾU XỬ LÝ HỒ SƠ THANH TOÁN VƯỢT THẨM QUYỀN PD</v>
          </cell>
        </row>
      </sheetData>
      <sheetData sheetId="4400">
        <row r="1">
          <cell r="A1" t="str">
            <v>PHIẾU XỬ LÝ HỒ SƠ THANH TOÁN VƯỢT THẨM QUYỀN PD</v>
          </cell>
        </row>
      </sheetData>
      <sheetData sheetId="4401">
        <row r="1">
          <cell r="A1" t="str">
            <v>PHIẾU XỬ LÝ HỒ SƠ THANH TOÁN VƯỢT THẨM QUYỀN PD</v>
          </cell>
        </row>
      </sheetData>
      <sheetData sheetId="4402">
        <row r="1">
          <cell r="A1" t="str">
            <v>PHIẾU XỬ LÝ HỒ SƠ THANH TOÁN VƯỢT THẨM QUYỀN PD</v>
          </cell>
        </row>
      </sheetData>
      <sheetData sheetId="4403">
        <row r="1">
          <cell r="A1" t="str">
            <v>PHIẾU XỬ LÝ HỒ SƠ THANH TOÁN VƯỢT THẨM QUYỀN PD</v>
          </cell>
        </row>
      </sheetData>
      <sheetData sheetId="4404">
        <row r="1">
          <cell r="A1" t="str">
            <v>PHIẾU XỬ LÝ HỒ SƠ THANH TOÁN VƯỢT THẨM QUYỀN PD</v>
          </cell>
        </row>
      </sheetData>
      <sheetData sheetId="4405">
        <row r="1">
          <cell r="A1" t="str">
            <v>PHIẾU XỬ LÝ HỒ SƠ THANH TOÁN VƯỢT THẨM QUYỀN PD</v>
          </cell>
        </row>
      </sheetData>
      <sheetData sheetId="4406">
        <row r="1">
          <cell r="A1" t="str">
            <v>PHIẾU XỬ LÝ HỒ SƠ THANH TOÁN VƯỢT THẨM QUYỀN PD</v>
          </cell>
        </row>
      </sheetData>
      <sheetData sheetId="4407">
        <row r="1">
          <cell r="A1" t="str">
            <v>PHIẾU XỬ LÝ HỒ SƠ THANH TOÁN VƯỢT THẨM QUYỀN PD</v>
          </cell>
        </row>
      </sheetData>
      <sheetData sheetId="4408">
        <row r="1">
          <cell r="A1" t="str">
            <v>PHIẾU XỬ LÝ HỒ SƠ THANH TOÁN VƯỢT THẨM QUYỀN PD</v>
          </cell>
        </row>
      </sheetData>
      <sheetData sheetId="4409">
        <row r="1">
          <cell r="A1" t="str">
            <v>PHIẾU XỬ LÝ HỒ SƠ THANH TOÁN VƯỢT THẨM QUYỀN PD</v>
          </cell>
        </row>
      </sheetData>
      <sheetData sheetId="4410">
        <row r="1">
          <cell r="A1" t="str">
            <v>PHIẾU XỬ LÝ HỒ SƠ THANH TOÁN VƯỢT THẨM QUYỀN PD</v>
          </cell>
        </row>
      </sheetData>
      <sheetData sheetId="4411">
        <row r="1">
          <cell r="A1" t="str">
            <v>PHIẾU XỬ LÝ HỒ SƠ THANH TOÁN VƯỢT THẨM QUYỀN PD</v>
          </cell>
        </row>
      </sheetData>
      <sheetData sheetId="4412">
        <row r="1">
          <cell r="A1" t="str">
            <v>PHIẾU XỬ LÝ HỒ SƠ THANH TOÁN VƯỢT THẨM QUYỀN PD</v>
          </cell>
        </row>
      </sheetData>
      <sheetData sheetId="4413">
        <row r="1">
          <cell r="A1" t="str">
            <v>PHIẾU XỬ LÝ HỒ SƠ THANH TOÁN VƯỢT THẨM QUYỀN PD</v>
          </cell>
        </row>
      </sheetData>
      <sheetData sheetId="4414">
        <row r="1">
          <cell r="A1" t="str">
            <v>PHIẾU XỬ LÝ HỒ SƠ THANH TOÁN VƯỢT THẨM QUYỀN PD</v>
          </cell>
        </row>
      </sheetData>
      <sheetData sheetId="4415">
        <row r="1">
          <cell r="A1" t="str">
            <v>PHIẾU XỬ LÝ HỒ SƠ THANH TOÁN VƯỢT THẨM QUYỀN PD</v>
          </cell>
        </row>
      </sheetData>
      <sheetData sheetId="4416">
        <row r="1">
          <cell r="A1" t="str">
            <v>PHIẾU XỬ LÝ HỒ SƠ THANH TOÁN VƯỢT THẨM QUYỀN PD</v>
          </cell>
        </row>
      </sheetData>
      <sheetData sheetId="4417">
        <row r="1">
          <cell r="A1" t="str">
            <v>PHIẾU XỬ LÝ HỒ SƠ THANH TOÁN VƯỢT THẨM QUYỀN PD</v>
          </cell>
        </row>
      </sheetData>
      <sheetData sheetId="4418">
        <row r="1">
          <cell r="A1" t="str">
            <v>PHIẾU XỬ LÝ HỒ SƠ THANH TOÁN VƯỢT THẨM QUYỀN PD</v>
          </cell>
        </row>
      </sheetData>
      <sheetData sheetId="4419">
        <row r="1">
          <cell r="A1" t="str">
            <v>PHIẾU XỬ LÝ HỒ SƠ THANH TOÁN VƯỢT THẨM QUYỀN PD</v>
          </cell>
        </row>
      </sheetData>
      <sheetData sheetId="4420">
        <row r="1">
          <cell r="A1" t="str">
            <v>PHIẾU XỬ LÝ HỒ SƠ THANH TOÁN VƯỢT THẨM QUYỀN PD</v>
          </cell>
        </row>
      </sheetData>
      <sheetData sheetId="4421">
        <row r="1">
          <cell r="A1" t="str">
            <v>PHIẾU XỬ LÝ HỒ SƠ THANH TOÁN VƯỢT THẨM QUYỀN PD</v>
          </cell>
        </row>
      </sheetData>
      <sheetData sheetId="4422">
        <row r="1">
          <cell r="A1" t="str">
            <v>PHIẾU XỬ LÝ HỒ SƠ THANH TOÁN VƯỢT THẨM QUYỀN PD</v>
          </cell>
        </row>
      </sheetData>
      <sheetData sheetId="4423">
        <row r="1">
          <cell r="A1" t="str">
            <v>PHIẾU XỬ LÝ HỒ SƠ THANH TOÁN VƯỢT THẨM QUYỀN PD</v>
          </cell>
        </row>
      </sheetData>
      <sheetData sheetId="4424">
        <row r="1">
          <cell r="A1" t="str">
            <v>PHIẾU XỬ LÝ HỒ SƠ THANH TOÁN VƯỢT THẨM QUYỀN PD</v>
          </cell>
        </row>
      </sheetData>
      <sheetData sheetId="4425">
        <row r="1">
          <cell r="A1" t="str">
            <v>PHIẾU XỬ LÝ HỒ SƠ THANH TOÁN VƯỢT THẨM QUYỀN PD</v>
          </cell>
        </row>
      </sheetData>
      <sheetData sheetId="4426">
        <row r="1">
          <cell r="A1" t="str">
            <v>PHIẾU XỬ LÝ HỒ SƠ THANH TOÁN VƯỢT THẨM QUYỀN PD</v>
          </cell>
        </row>
      </sheetData>
      <sheetData sheetId="4427">
        <row r="1">
          <cell r="A1" t="str">
            <v>PHIẾU XỬ LÝ HỒ SƠ THANH TOÁN VƯỢT THẨM QUYỀN PD</v>
          </cell>
        </row>
      </sheetData>
      <sheetData sheetId="4428">
        <row r="1">
          <cell r="A1" t="str">
            <v>PHIẾU XỬ LÝ HỒ SƠ THANH TOÁN VƯỢT THẨM QUYỀN PD</v>
          </cell>
        </row>
      </sheetData>
      <sheetData sheetId="4429">
        <row r="1">
          <cell r="A1" t="str">
            <v>PHIẾU XỬ LÝ HỒ SƠ THANH TOÁN VƯỢT THẨM QUYỀN PD</v>
          </cell>
        </row>
      </sheetData>
      <sheetData sheetId="4430">
        <row r="1">
          <cell r="A1" t="str">
            <v>PHIẾU XỬ LÝ HỒ SƠ THANH TOÁN VƯỢT THẨM QUYỀN PD</v>
          </cell>
        </row>
      </sheetData>
      <sheetData sheetId="4431">
        <row r="1">
          <cell r="A1" t="str">
            <v>PHIẾU XỬ LÝ HỒ SƠ THANH TOÁN VƯỢT THẨM QUYỀN PD</v>
          </cell>
        </row>
      </sheetData>
      <sheetData sheetId="4432">
        <row r="1">
          <cell r="A1" t="str">
            <v>PHIẾU XỬ LÝ HỒ SƠ THANH TOÁN VƯỢT THẨM QUYỀN PD</v>
          </cell>
        </row>
      </sheetData>
      <sheetData sheetId="4433">
        <row r="1">
          <cell r="A1" t="str">
            <v>PHIẾU XỬ LÝ HỒ SƠ THANH TOÁN VƯỢT THẨM QUYỀN PD</v>
          </cell>
        </row>
      </sheetData>
      <sheetData sheetId="4434">
        <row r="1">
          <cell r="A1" t="str">
            <v>PHIẾU XỬ LÝ HỒ SƠ THANH TOÁN VƯỢT THẨM QUYỀN PD</v>
          </cell>
        </row>
      </sheetData>
      <sheetData sheetId="4435">
        <row r="1">
          <cell r="A1" t="str">
            <v>PHIẾU XỬ LÝ HỒ SƠ THANH TOÁN VƯỢT THẨM QUYỀN PD</v>
          </cell>
        </row>
      </sheetData>
      <sheetData sheetId="4436">
        <row r="1">
          <cell r="A1" t="str">
            <v>PHIẾU XỬ LÝ HỒ SƠ THANH TOÁN VƯỢT THẨM QUYỀN PD</v>
          </cell>
        </row>
      </sheetData>
      <sheetData sheetId="4437">
        <row r="1">
          <cell r="A1" t="str">
            <v>PHIẾU XỬ LÝ HỒ SƠ THANH TOÁN VƯỢT THẨM QUYỀN PD</v>
          </cell>
        </row>
      </sheetData>
      <sheetData sheetId="4438">
        <row r="1">
          <cell r="A1" t="str">
            <v>PHIẾU XỬ LÝ HỒ SƠ THANH TOÁN VƯỢT THẨM QUYỀN PD</v>
          </cell>
        </row>
      </sheetData>
      <sheetData sheetId="4439">
        <row r="1">
          <cell r="A1" t="str">
            <v>PHIẾU XỬ LÝ HỒ SƠ THANH TOÁN VƯỢT THẨM QUYỀN PD</v>
          </cell>
        </row>
      </sheetData>
      <sheetData sheetId="4440">
        <row r="1">
          <cell r="A1" t="str">
            <v>PHIẾU XỬ LÝ HỒ SƠ THANH TOÁN VƯỢT THẨM QUYỀN PD</v>
          </cell>
        </row>
      </sheetData>
      <sheetData sheetId="4441">
        <row r="1">
          <cell r="A1" t="str">
            <v>PHIẾU XỬ LÝ HỒ SƠ THANH TOÁN VƯỢT THẨM QUYỀN PD</v>
          </cell>
        </row>
      </sheetData>
      <sheetData sheetId="4442">
        <row r="1">
          <cell r="A1" t="str">
            <v>PHIẾU XỬ LÝ HỒ SƠ THANH TOÁN VƯỢT THẨM QUYỀN PD</v>
          </cell>
        </row>
      </sheetData>
      <sheetData sheetId="4443">
        <row r="1">
          <cell r="A1" t="str">
            <v>PHIẾU XỬ LÝ HỒ SƠ THANH TOÁN VƯỢT THẨM QUYỀN PD</v>
          </cell>
        </row>
      </sheetData>
      <sheetData sheetId="4444">
        <row r="1">
          <cell r="A1" t="str">
            <v>PHIẾU XỬ LÝ HỒ SƠ THANH TOÁN VƯỢT THẨM QUYỀN PD</v>
          </cell>
        </row>
      </sheetData>
      <sheetData sheetId="4445">
        <row r="1">
          <cell r="A1" t="str">
            <v>PHIẾU XỬ LÝ HỒ SƠ THANH TOÁN VƯỢT THẨM QUYỀN PD</v>
          </cell>
        </row>
      </sheetData>
      <sheetData sheetId="4446">
        <row r="1">
          <cell r="A1" t="str">
            <v>PHIẾU XỬ LÝ HỒ SƠ THANH TOÁN VƯỢT THẨM QUYỀN PD</v>
          </cell>
        </row>
      </sheetData>
      <sheetData sheetId="4447">
        <row r="1">
          <cell r="A1" t="str">
            <v>PHIẾU XỬ LÝ HỒ SƠ THANH TOÁN VƯỢT THẨM QUYỀN PD</v>
          </cell>
        </row>
      </sheetData>
      <sheetData sheetId="4448">
        <row r="1">
          <cell r="A1" t="str">
            <v>PHIẾU XỬ LÝ HỒ SƠ THANH TOÁN VƯỢT THẨM QUYỀN PD</v>
          </cell>
        </row>
      </sheetData>
      <sheetData sheetId="4449">
        <row r="1">
          <cell r="A1" t="str">
            <v>PHIẾU XỬ LÝ HỒ SƠ THANH TOÁN VƯỢT THẨM QUYỀN PD</v>
          </cell>
        </row>
      </sheetData>
      <sheetData sheetId="4450">
        <row r="1">
          <cell r="A1" t="str">
            <v>PHIẾU XỬ LÝ HỒ SƠ THANH TOÁN VƯỢT THẨM QUYỀN PD</v>
          </cell>
        </row>
      </sheetData>
      <sheetData sheetId="4451">
        <row r="1">
          <cell r="A1" t="str">
            <v>PHIẾU XỬ LÝ HỒ SƠ THANH TOÁN VƯỢT THẨM QUYỀN PD</v>
          </cell>
        </row>
      </sheetData>
      <sheetData sheetId="4452">
        <row r="1">
          <cell r="A1" t="str">
            <v>PHIẾU XỬ LÝ HỒ SƠ THANH TOÁN VƯỢT THẨM QUYỀN PD</v>
          </cell>
        </row>
      </sheetData>
      <sheetData sheetId="4453">
        <row r="1">
          <cell r="A1" t="str">
            <v>PHIẾU XỬ LÝ HỒ SƠ THANH TOÁN VƯỢT THẨM QUYỀN PD</v>
          </cell>
        </row>
      </sheetData>
      <sheetData sheetId="4454">
        <row r="1">
          <cell r="A1" t="str">
            <v>PHIẾU XỬ LÝ HỒ SƠ THANH TOÁN VƯỢT THẨM QUYỀN PD</v>
          </cell>
        </row>
      </sheetData>
      <sheetData sheetId="4455">
        <row r="1">
          <cell r="A1" t="str">
            <v>PHIẾU XỬ LÝ HỒ SƠ THANH TOÁN VƯỢT THẨM QUYỀN PD</v>
          </cell>
        </row>
      </sheetData>
      <sheetData sheetId="4456">
        <row r="1">
          <cell r="A1" t="str">
            <v>PHIẾU XỬ LÝ HỒ SƠ THANH TOÁN VƯỢT THẨM QUYỀN PD</v>
          </cell>
        </row>
      </sheetData>
      <sheetData sheetId="4457">
        <row r="1">
          <cell r="A1" t="str">
            <v>PHIẾU XỬ LÝ HỒ SƠ THANH TOÁN VƯỢT THẨM QUYỀN PD</v>
          </cell>
        </row>
      </sheetData>
      <sheetData sheetId="4458">
        <row r="1">
          <cell r="A1" t="str">
            <v>PHIẾU XỬ LÝ HỒ SƠ THANH TOÁN VƯỢT THẨM QUYỀN PD</v>
          </cell>
        </row>
      </sheetData>
      <sheetData sheetId="4459">
        <row r="1">
          <cell r="A1" t="str">
            <v>PHIẾU XỬ LÝ HỒ SƠ THANH TOÁN VƯỢT THẨM QUYỀN PD</v>
          </cell>
        </row>
      </sheetData>
      <sheetData sheetId="4460">
        <row r="1">
          <cell r="A1" t="str">
            <v>PHIẾU XỬ LÝ HỒ SƠ THANH TOÁN VƯỢT THẨM QUYỀN PD</v>
          </cell>
        </row>
      </sheetData>
      <sheetData sheetId="4461">
        <row r="1">
          <cell r="A1" t="str">
            <v>PHIẾU XỬ LÝ HỒ SƠ THANH TOÁN VƯỢT THẨM QUYỀN PD</v>
          </cell>
        </row>
      </sheetData>
      <sheetData sheetId="4462">
        <row r="1">
          <cell r="A1" t="str">
            <v>PHIẾU XỬ LÝ HỒ SƠ THANH TOÁN VƯỢT THẨM QUYỀN PD</v>
          </cell>
        </row>
      </sheetData>
      <sheetData sheetId="4463">
        <row r="1">
          <cell r="A1" t="str">
            <v>PHIẾU XỬ LÝ HỒ SƠ THANH TOÁN VƯỢT THẨM QUYỀN PD</v>
          </cell>
        </row>
      </sheetData>
      <sheetData sheetId="4464">
        <row r="1">
          <cell r="A1" t="str">
            <v>PHIẾU XỬ LÝ HỒ SƠ THANH TOÁN VƯỢT THẨM QUYỀN PD</v>
          </cell>
        </row>
      </sheetData>
      <sheetData sheetId="4465">
        <row r="1">
          <cell r="A1" t="str">
            <v>PHIẾU XỬ LÝ HỒ SƠ THANH TOÁN VƯỢT THẨM QUYỀN PD</v>
          </cell>
        </row>
      </sheetData>
      <sheetData sheetId="4466">
        <row r="1">
          <cell r="A1" t="str">
            <v>PHIẾU XỬ LÝ HỒ SƠ THANH TOÁN VƯỢT THẨM QUYỀN PD</v>
          </cell>
        </row>
      </sheetData>
      <sheetData sheetId="4467">
        <row r="1">
          <cell r="A1" t="str">
            <v>PHIẾU XỬ LÝ HỒ SƠ THANH TOÁN VƯỢT THẨM QUYỀN PD</v>
          </cell>
        </row>
      </sheetData>
      <sheetData sheetId="4468">
        <row r="1">
          <cell r="A1" t="str">
            <v>PHIẾU XỬ LÝ HỒ SƠ THANH TOÁN VƯỢT THẨM QUYỀN PD</v>
          </cell>
        </row>
      </sheetData>
      <sheetData sheetId="4469">
        <row r="1">
          <cell r="A1" t="str">
            <v>PHIẾU XỬ LÝ HỒ SƠ THANH TOÁN VƯỢT THẨM QUYỀN PD</v>
          </cell>
        </row>
      </sheetData>
      <sheetData sheetId="4470">
        <row r="1">
          <cell r="A1" t="str">
            <v>PHIẾU XỬ LÝ HỒ SƠ THANH TOÁN VƯỢT THẨM QUYỀN PD</v>
          </cell>
        </row>
      </sheetData>
      <sheetData sheetId="4471">
        <row r="1">
          <cell r="A1" t="str">
            <v>PHIẾU XỬ LÝ HỒ SƠ THANH TOÁN VƯỢT THẨM QUYỀN PD</v>
          </cell>
        </row>
      </sheetData>
      <sheetData sheetId="4472">
        <row r="1">
          <cell r="A1" t="str">
            <v>PHIẾU XỬ LÝ HỒ SƠ THANH TOÁN VƯỢT THẨM QUYỀN PD</v>
          </cell>
        </row>
      </sheetData>
      <sheetData sheetId="4473">
        <row r="1">
          <cell r="A1" t="str">
            <v>PHIẾU XỬ LÝ HỒ SƠ THANH TOÁN VƯỢT THẨM QUYỀN PD</v>
          </cell>
        </row>
      </sheetData>
      <sheetData sheetId="4474">
        <row r="1">
          <cell r="A1" t="str">
            <v>PHIẾU XỬ LÝ HỒ SƠ THANH TOÁN VƯỢT THẨM QUYỀN PD</v>
          </cell>
        </row>
      </sheetData>
      <sheetData sheetId="4475">
        <row r="1">
          <cell r="A1" t="str">
            <v>PHIẾU XỬ LÝ HỒ SƠ THANH TOÁN VƯỢT THẨM QUYỀN PD</v>
          </cell>
        </row>
      </sheetData>
      <sheetData sheetId="4476">
        <row r="1">
          <cell r="A1" t="str">
            <v>PHIẾU XỬ LÝ HỒ SƠ THANH TOÁN VƯỢT THẨM QUYỀN PD</v>
          </cell>
        </row>
      </sheetData>
      <sheetData sheetId="4477">
        <row r="1">
          <cell r="A1" t="str">
            <v>PHIẾU XỬ LÝ HỒ SƠ THANH TOÁN VƯỢT THẨM QUYỀN PD</v>
          </cell>
        </row>
      </sheetData>
      <sheetData sheetId="4478">
        <row r="1">
          <cell r="A1" t="str">
            <v>PHIẾU XỬ LÝ HỒ SƠ THANH TOÁN VƯỢT THẨM QUYỀN PD</v>
          </cell>
        </row>
      </sheetData>
      <sheetData sheetId="4479">
        <row r="1">
          <cell r="A1" t="str">
            <v>PHIẾU XỬ LÝ HỒ SƠ THANH TOÁN VƯỢT THẨM QUYỀN PD</v>
          </cell>
        </row>
      </sheetData>
      <sheetData sheetId="4480">
        <row r="1">
          <cell r="A1" t="str">
            <v>PHIẾU XỬ LÝ HỒ SƠ THANH TOÁN VƯỢT THẨM QUYỀN PD</v>
          </cell>
        </row>
      </sheetData>
      <sheetData sheetId="4481">
        <row r="1">
          <cell r="A1" t="str">
            <v>PHIẾU XỬ LÝ HỒ SƠ THANH TOÁN VƯỢT THẨM QUYỀN PD</v>
          </cell>
        </row>
      </sheetData>
      <sheetData sheetId="4482">
        <row r="1">
          <cell r="A1" t="str">
            <v>PHIẾU XỬ LÝ HỒ SƠ THANH TOÁN VƯỢT THẨM QUYỀN PD</v>
          </cell>
        </row>
      </sheetData>
      <sheetData sheetId="4483">
        <row r="1">
          <cell r="A1" t="str">
            <v>PHIẾU XỬ LÝ HỒ SƠ THANH TOÁN VƯỢT THẨM QUYỀN PD</v>
          </cell>
        </row>
      </sheetData>
      <sheetData sheetId="4484">
        <row r="1">
          <cell r="A1" t="str">
            <v>PHIẾU XỬ LÝ HỒ SƠ THANH TOÁN VƯỢT THẨM QUYỀN PD</v>
          </cell>
        </row>
      </sheetData>
      <sheetData sheetId="4485">
        <row r="1">
          <cell r="A1" t="str">
            <v>PHIẾU XỬ LÝ HỒ SƠ THANH TOÁN VƯỢT THẨM QUYỀN PD</v>
          </cell>
        </row>
      </sheetData>
      <sheetData sheetId="4486">
        <row r="1">
          <cell r="A1" t="str">
            <v>PHIẾU XỬ LÝ HỒ SƠ THANH TOÁN VƯỢT THẨM QUYỀN PD</v>
          </cell>
        </row>
      </sheetData>
      <sheetData sheetId="4487">
        <row r="1">
          <cell r="A1" t="str">
            <v>PHIẾU XỬ LÝ HỒ SƠ THANH TOÁN VƯỢT THẨM QUYỀN PD</v>
          </cell>
        </row>
      </sheetData>
      <sheetData sheetId="4488">
        <row r="1">
          <cell r="A1" t="str">
            <v>PHIẾU XỬ LÝ HỒ SƠ THANH TOÁN VƯỢT THẨM QUYỀN PD</v>
          </cell>
        </row>
      </sheetData>
      <sheetData sheetId="4489">
        <row r="1">
          <cell r="A1" t="str">
            <v>PHIẾU XỬ LÝ HỒ SƠ THANH TOÁN VƯỢT THẨM QUYỀN PD</v>
          </cell>
        </row>
      </sheetData>
      <sheetData sheetId="4490">
        <row r="1">
          <cell r="A1" t="str">
            <v>PHIẾU XỬ LÝ HỒ SƠ THANH TOÁN VƯỢT THẨM QUYỀN PD</v>
          </cell>
        </row>
      </sheetData>
      <sheetData sheetId="4491">
        <row r="1">
          <cell r="A1" t="str">
            <v>PHIẾU XỬ LÝ HỒ SƠ THANH TOÁN VƯỢT THẨM QUYỀN PD</v>
          </cell>
        </row>
      </sheetData>
      <sheetData sheetId="4492">
        <row r="1">
          <cell r="A1" t="str">
            <v>PHIẾU XỬ LÝ HỒ SƠ THANH TOÁN VƯỢT THẨM QUYỀN PD</v>
          </cell>
        </row>
      </sheetData>
      <sheetData sheetId="4493">
        <row r="1">
          <cell r="A1" t="str">
            <v>PHIẾU XỬ LÝ HỒ SƠ THANH TOÁN VƯỢT THẨM QUYỀN PD</v>
          </cell>
        </row>
      </sheetData>
      <sheetData sheetId="4494">
        <row r="1">
          <cell r="A1" t="str">
            <v>PHIẾU XỬ LÝ HỒ SƠ THANH TOÁN VƯỢT THẨM QUYỀN PD</v>
          </cell>
        </row>
      </sheetData>
      <sheetData sheetId="4495">
        <row r="1">
          <cell r="A1" t="str">
            <v>PHIẾU XỬ LÝ HỒ SƠ THANH TOÁN VƯỢT THẨM QUYỀN PD</v>
          </cell>
        </row>
      </sheetData>
      <sheetData sheetId="4496">
        <row r="1">
          <cell r="A1" t="str">
            <v>PHIẾU XỬ LÝ HỒ SƠ THANH TOÁN VƯỢT THẨM QUYỀN PD</v>
          </cell>
        </row>
      </sheetData>
      <sheetData sheetId="4497">
        <row r="1">
          <cell r="A1" t="str">
            <v>PHIẾU XỬ LÝ HỒ SƠ THANH TOÁN VƯỢT THẨM QUYỀN PD</v>
          </cell>
        </row>
      </sheetData>
      <sheetData sheetId="4498">
        <row r="1">
          <cell r="A1" t="str">
            <v>PHIẾU XỬ LÝ HỒ SƠ THANH TOÁN VƯỢT THẨM QUYỀN PD</v>
          </cell>
        </row>
      </sheetData>
      <sheetData sheetId="4499">
        <row r="1">
          <cell r="A1" t="str">
            <v>PHIẾU XỬ LÝ HỒ SƠ THANH TOÁN VƯỢT THẨM QUYỀN PD</v>
          </cell>
        </row>
      </sheetData>
      <sheetData sheetId="4500">
        <row r="1">
          <cell r="A1" t="str">
            <v>PHIẾU XỬ LÝ HỒ SƠ THANH TOÁN VƯỢT THẨM QUYỀN PD</v>
          </cell>
        </row>
      </sheetData>
      <sheetData sheetId="4501">
        <row r="1">
          <cell r="A1" t="str">
            <v>PHIẾU XỬ LÝ HỒ SƠ THANH TOÁN VƯỢT THẨM QUYỀN PD</v>
          </cell>
        </row>
      </sheetData>
      <sheetData sheetId="4502">
        <row r="1">
          <cell r="A1" t="str">
            <v>PHIẾU XỬ LÝ HỒ SƠ THANH TOÁN VƯỢT THẨM QUYỀN PD</v>
          </cell>
        </row>
      </sheetData>
      <sheetData sheetId="4503">
        <row r="1">
          <cell r="A1" t="str">
            <v>PHIẾU XỬ LÝ HỒ SƠ THANH TOÁN VƯỢT THẨM QUYỀN PD</v>
          </cell>
        </row>
      </sheetData>
      <sheetData sheetId="4504">
        <row r="1">
          <cell r="A1" t="str">
            <v>PHIẾU XỬ LÝ HỒ SƠ THANH TOÁN VƯỢT THẨM QUYỀN PD</v>
          </cell>
        </row>
      </sheetData>
      <sheetData sheetId="4505">
        <row r="1">
          <cell r="A1" t="str">
            <v>PHIẾU XỬ LÝ HỒ SƠ THANH TOÁN VƯỢT THẨM QUYỀN PD</v>
          </cell>
        </row>
      </sheetData>
      <sheetData sheetId="4506">
        <row r="1">
          <cell r="A1" t="str">
            <v>PHIẾU XỬ LÝ HỒ SƠ THANH TOÁN VƯỢT THẨM QUYỀN PD</v>
          </cell>
        </row>
      </sheetData>
      <sheetData sheetId="4507">
        <row r="1">
          <cell r="A1" t="str">
            <v>PHIẾU XỬ LÝ HỒ SƠ THANH TOÁN VƯỢT THẨM QUYỀN PD</v>
          </cell>
        </row>
      </sheetData>
      <sheetData sheetId="4508">
        <row r="1">
          <cell r="A1" t="str">
            <v>PHIẾU XỬ LÝ HỒ SƠ THANH TOÁN VƯỢT THẨM QUYỀN PD</v>
          </cell>
        </row>
      </sheetData>
      <sheetData sheetId="4509">
        <row r="1">
          <cell r="A1" t="str">
            <v>PHIẾU XỬ LÝ HỒ SƠ THANH TOÁN VƯỢT THẨM QUYỀN PD</v>
          </cell>
        </row>
      </sheetData>
      <sheetData sheetId="4510">
        <row r="1">
          <cell r="A1" t="str">
            <v>PHIẾU XỬ LÝ HỒ SƠ THANH TOÁN VƯỢT THẨM QUYỀN PD</v>
          </cell>
        </row>
      </sheetData>
      <sheetData sheetId="4511">
        <row r="1">
          <cell r="A1" t="str">
            <v>PHIẾU XỬ LÝ HỒ SƠ THANH TOÁN VƯỢT THẨM QUYỀN PD</v>
          </cell>
        </row>
      </sheetData>
      <sheetData sheetId="4512">
        <row r="1">
          <cell r="A1" t="str">
            <v>PHIẾU XỬ LÝ HỒ SƠ THANH TOÁN VƯỢT THẨM QUYỀN PD</v>
          </cell>
        </row>
      </sheetData>
      <sheetData sheetId="4513">
        <row r="1">
          <cell r="A1" t="str">
            <v>PHIẾU XỬ LÝ HỒ SƠ THANH TOÁN VƯỢT THẨM QUYỀN PD</v>
          </cell>
        </row>
      </sheetData>
      <sheetData sheetId="4514">
        <row r="1">
          <cell r="A1" t="str">
            <v>PHIẾU XỬ LÝ HỒ SƠ THANH TOÁN VƯỢT THẨM QUYỀN PD</v>
          </cell>
        </row>
      </sheetData>
      <sheetData sheetId="4515">
        <row r="1">
          <cell r="A1" t="str">
            <v>PHIẾU XỬ LÝ HỒ SƠ THANH TOÁN VƯỢT THẨM QUYỀN PD</v>
          </cell>
        </row>
      </sheetData>
      <sheetData sheetId="4516">
        <row r="1">
          <cell r="A1" t="str">
            <v>PHIẾU XỬ LÝ HỒ SƠ THANH TOÁN VƯỢT THẨM QUYỀN PD</v>
          </cell>
        </row>
      </sheetData>
      <sheetData sheetId="4517">
        <row r="1">
          <cell r="A1" t="str">
            <v>PHIẾU XỬ LÝ HỒ SƠ THANH TOÁN VƯỢT THẨM QUYỀN PD</v>
          </cell>
        </row>
      </sheetData>
      <sheetData sheetId="4518">
        <row r="1">
          <cell r="A1" t="str">
            <v>PHIẾU XỬ LÝ HỒ SƠ THANH TOÁN VƯỢT THẨM QUYỀN PD</v>
          </cell>
        </row>
      </sheetData>
      <sheetData sheetId="4519">
        <row r="1">
          <cell r="A1" t="str">
            <v>PHIẾU XỬ LÝ HỒ SƠ THANH TOÁN VƯỢT THẨM QUYỀN PD</v>
          </cell>
        </row>
      </sheetData>
      <sheetData sheetId="4520">
        <row r="1">
          <cell r="A1" t="str">
            <v>PHIẾU XỬ LÝ HỒ SƠ THANH TOÁN VƯỢT THẨM QUYỀN PD</v>
          </cell>
        </row>
      </sheetData>
      <sheetData sheetId="4521">
        <row r="1">
          <cell r="A1" t="str">
            <v>PHIẾU XỬ LÝ HỒ SƠ THANH TOÁN VƯỢT THẨM QUYỀN PD</v>
          </cell>
        </row>
      </sheetData>
      <sheetData sheetId="4522">
        <row r="1">
          <cell r="A1" t="str">
            <v>PHIẾU XỬ LÝ HỒ SƠ THANH TOÁN VƯỢT THẨM QUYỀN PD</v>
          </cell>
        </row>
      </sheetData>
      <sheetData sheetId="4523">
        <row r="1">
          <cell r="A1" t="str">
            <v>PHIẾU XỬ LÝ HỒ SƠ THANH TOÁN VƯỢT THẨM QUYỀN PD</v>
          </cell>
        </row>
      </sheetData>
      <sheetData sheetId="4524">
        <row r="1">
          <cell r="A1" t="str">
            <v>PHIẾU XỬ LÝ HỒ SƠ THANH TOÁN VƯỢT THẨM QUYỀN PD</v>
          </cell>
        </row>
      </sheetData>
      <sheetData sheetId="4525">
        <row r="1">
          <cell r="A1" t="str">
            <v>PHIẾU XỬ LÝ HỒ SƠ THANH TOÁN VƯỢT THẨM QUYỀN PD</v>
          </cell>
        </row>
      </sheetData>
      <sheetData sheetId="4526">
        <row r="1">
          <cell r="A1" t="str">
            <v>PHIẾU XỬ LÝ HỒ SƠ THANH TOÁN VƯỢT THẨM QUYỀN PD</v>
          </cell>
        </row>
      </sheetData>
      <sheetData sheetId="4527">
        <row r="1">
          <cell r="A1" t="str">
            <v>PHIẾU XỬ LÝ HỒ SƠ THANH TOÁN VƯỢT THẨM QUYỀN PD</v>
          </cell>
        </row>
      </sheetData>
      <sheetData sheetId="4528">
        <row r="1">
          <cell r="A1" t="str">
            <v>PHIẾU XỬ LÝ HỒ SƠ THANH TOÁN VƯỢT THẨM QUYỀN PD</v>
          </cell>
        </row>
      </sheetData>
      <sheetData sheetId="4529">
        <row r="1">
          <cell r="A1" t="str">
            <v>PHIẾU XỬ LÝ HỒ SƠ THANH TOÁN VƯỢT THẨM QUYỀN PD</v>
          </cell>
        </row>
      </sheetData>
      <sheetData sheetId="4530">
        <row r="1">
          <cell r="A1" t="str">
            <v>PHIẾU XỬ LÝ HỒ SƠ THANH TOÁN VƯỢT THẨM QUYỀN PD</v>
          </cell>
        </row>
      </sheetData>
      <sheetData sheetId="4531">
        <row r="1">
          <cell r="A1" t="str">
            <v>PHIẾU XỬ LÝ HỒ SƠ THANH TOÁN VƯỢT THẨM QUYỀN PD</v>
          </cell>
        </row>
      </sheetData>
      <sheetData sheetId="4532">
        <row r="1">
          <cell r="A1" t="str">
            <v>PHIẾU XỬ LÝ HỒ SƠ THANH TOÁN VƯỢT THẨM QUYỀN PD</v>
          </cell>
        </row>
      </sheetData>
      <sheetData sheetId="4533">
        <row r="1">
          <cell r="A1" t="str">
            <v>PHIẾU XỬ LÝ HỒ SƠ THANH TOÁN VƯỢT THẨM QUYỀN PD</v>
          </cell>
        </row>
      </sheetData>
      <sheetData sheetId="4534">
        <row r="1">
          <cell r="A1" t="str">
            <v>PHIẾU XỬ LÝ HỒ SƠ THANH TOÁN VƯỢT THẨM QUYỀN PD</v>
          </cell>
        </row>
      </sheetData>
      <sheetData sheetId="4535">
        <row r="1">
          <cell r="A1" t="str">
            <v>PHIẾU XỬ LÝ HỒ SƠ THANH TOÁN VƯỢT THẨM QUYỀN PD</v>
          </cell>
        </row>
      </sheetData>
      <sheetData sheetId="4536">
        <row r="1">
          <cell r="A1" t="str">
            <v>PHIẾU XỬ LÝ HỒ SƠ THANH TOÁN VƯỢT THẨM QUYỀN PD</v>
          </cell>
        </row>
      </sheetData>
      <sheetData sheetId="4537">
        <row r="1">
          <cell r="A1" t="str">
            <v>PHIẾU XỬ LÝ HỒ SƠ THANH TOÁN VƯỢT THẨM QUYỀN PD</v>
          </cell>
        </row>
      </sheetData>
      <sheetData sheetId="4538">
        <row r="1">
          <cell r="A1" t="str">
            <v>PHIẾU XỬ LÝ HỒ SƠ THANH TOÁN VƯỢT THẨM QUYỀN PD</v>
          </cell>
        </row>
      </sheetData>
      <sheetData sheetId="4539">
        <row r="1">
          <cell r="A1" t="str">
            <v>PHIẾU XỬ LÝ HỒ SƠ THANH TOÁN VƯỢT THẨM QUYỀN PD</v>
          </cell>
        </row>
      </sheetData>
      <sheetData sheetId="4540">
        <row r="1">
          <cell r="A1" t="str">
            <v>PHIẾU XỬ LÝ HỒ SƠ THANH TOÁN VƯỢT THẨM QUYỀN PD</v>
          </cell>
        </row>
      </sheetData>
      <sheetData sheetId="4541">
        <row r="1">
          <cell r="A1" t="str">
            <v>PHIẾU XỬ LÝ HỒ SƠ THANH TOÁN VƯỢT THẨM QUYỀN PD</v>
          </cell>
        </row>
      </sheetData>
      <sheetData sheetId="4542">
        <row r="1">
          <cell r="A1" t="str">
            <v>PHIẾU XỬ LÝ HỒ SƠ THANH TOÁN VƯỢT THẨM QUYỀN PD</v>
          </cell>
        </row>
      </sheetData>
      <sheetData sheetId="4543">
        <row r="1">
          <cell r="A1" t="str">
            <v>PHIẾU XỬ LÝ HỒ SƠ THANH TOÁN VƯỢT THẨM QUYỀN PD</v>
          </cell>
        </row>
      </sheetData>
      <sheetData sheetId="4544">
        <row r="1">
          <cell r="A1" t="str">
            <v>PHIẾU XỬ LÝ HỒ SƠ THANH TOÁN VƯỢT THẨM QUYỀN PD</v>
          </cell>
        </row>
      </sheetData>
      <sheetData sheetId="4545">
        <row r="1">
          <cell r="A1" t="str">
            <v>PHIẾU XỬ LÝ HỒ SƠ THANH TOÁN VƯỢT THẨM QUYỀN PD</v>
          </cell>
        </row>
      </sheetData>
      <sheetData sheetId="4546">
        <row r="1">
          <cell r="A1" t="str">
            <v>PHIẾU XỬ LÝ HỒ SƠ THANH TOÁN VƯỢT THẨM QUYỀN PD</v>
          </cell>
        </row>
      </sheetData>
      <sheetData sheetId="4547">
        <row r="1">
          <cell r="A1" t="str">
            <v>PHIẾU XỬ LÝ HỒ SƠ THANH TOÁN VƯỢT THẨM QUYỀN PD</v>
          </cell>
        </row>
      </sheetData>
      <sheetData sheetId="4548">
        <row r="1">
          <cell r="A1" t="str">
            <v>PHIẾU XỬ LÝ HỒ SƠ THANH TOÁN VƯỢT THẨM QUYỀN PD</v>
          </cell>
        </row>
      </sheetData>
      <sheetData sheetId="4549">
        <row r="1">
          <cell r="A1" t="str">
            <v>PHIẾU XỬ LÝ HỒ SƠ THANH TOÁN VƯỢT THẨM QUYỀN PD</v>
          </cell>
        </row>
      </sheetData>
      <sheetData sheetId="4550">
        <row r="1">
          <cell r="A1" t="str">
            <v>PHIẾU XỬ LÝ HỒ SƠ THANH TOÁN VƯỢT THẨM QUYỀN PD</v>
          </cell>
        </row>
      </sheetData>
      <sheetData sheetId="4551">
        <row r="1">
          <cell r="A1" t="str">
            <v>PHIẾU XỬ LÝ HỒ SƠ THANH TOÁN VƯỢT THẨM QUYỀN PD</v>
          </cell>
        </row>
      </sheetData>
      <sheetData sheetId="4552">
        <row r="1">
          <cell r="A1" t="str">
            <v>PHIẾU XỬ LÝ HỒ SƠ THANH TOÁN VƯỢT THẨM QUYỀN PD</v>
          </cell>
        </row>
      </sheetData>
      <sheetData sheetId="4553">
        <row r="1">
          <cell r="A1" t="str">
            <v>PHIẾU XỬ LÝ HỒ SƠ THANH TOÁN VƯỢT THẨM QUYỀN PD</v>
          </cell>
        </row>
      </sheetData>
      <sheetData sheetId="4554">
        <row r="1">
          <cell r="A1" t="str">
            <v>PHIẾU XỬ LÝ HỒ SƠ THANH TOÁN VƯỢT THẨM QUYỀN PD</v>
          </cell>
        </row>
      </sheetData>
      <sheetData sheetId="4555">
        <row r="1">
          <cell r="A1" t="str">
            <v>PHIẾU XỬ LÝ HỒ SƠ THANH TOÁN VƯỢT THẨM QUYỀN PD</v>
          </cell>
        </row>
      </sheetData>
      <sheetData sheetId="4556">
        <row r="1">
          <cell r="A1" t="str">
            <v>PHIẾU XỬ LÝ HỒ SƠ THANH TOÁN VƯỢT THẨM QUYỀN PD</v>
          </cell>
        </row>
      </sheetData>
      <sheetData sheetId="4557">
        <row r="1">
          <cell r="A1" t="str">
            <v>PHIẾU XỬ LÝ HỒ SƠ THANH TOÁN VƯỢT THẨM QUYỀN PD</v>
          </cell>
        </row>
      </sheetData>
      <sheetData sheetId="4558">
        <row r="1">
          <cell r="A1" t="str">
            <v>PHIẾU XỬ LÝ HỒ SƠ THANH TOÁN VƯỢT THẨM QUYỀN PD</v>
          </cell>
        </row>
      </sheetData>
      <sheetData sheetId="4559">
        <row r="1">
          <cell r="A1" t="str">
            <v>PHIẾU XỬ LÝ HỒ SƠ THANH TOÁN VƯỢT THẨM QUYỀN PD</v>
          </cell>
        </row>
      </sheetData>
      <sheetData sheetId="4560">
        <row r="1">
          <cell r="A1" t="str">
            <v>PHIẾU XỬ LÝ HỒ SƠ THANH TOÁN VƯỢT THẨM QUYỀN PD</v>
          </cell>
        </row>
      </sheetData>
      <sheetData sheetId="4561">
        <row r="1">
          <cell r="A1" t="str">
            <v>PHIẾU XỬ LÝ HỒ SƠ THANH TOÁN VƯỢT THẨM QUYỀN PD</v>
          </cell>
        </row>
      </sheetData>
      <sheetData sheetId="4562">
        <row r="1">
          <cell r="A1" t="str">
            <v>PHIẾU XỬ LÝ HỒ SƠ THANH TOÁN VƯỢT THẨM QUYỀN PD</v>
          </cell>
        </row>
      </sheetData>
      <sheetData sheetId="4563">
        <row r="1">
          <cell r="A1" t="str">
            <v>PHIẾU XỬ LÝ HỒ SƠ THANH TOÁN VƯỢT THẨM QUYỀN PD</v>
          </cell>
        </row>
      </sheetData>
      <sheetData sheetId="4564">
        <row r="1">
          <cell r="A1" t="str">
            <v>PHIẾU XỬ LÝ HỒ SƠ THANH TOÁN VƯỢT THẨM QUYỀN PD</v>
          </cell>
        </row>
      </sheetData>
      <sheetData sheetId="4565">
        <row r="1">
          <cell r="A1" t="str">
            <v>PHIẾU XỬ LÝ HỒ SƠ THANH TOÁN VƯỢT THẨM QUYỀN PD</v>
          </cell>
        </row>
      </sheetData>
      <sheetData sheetId="4566">
        <row r="1">
          <cell r="A1" t="str">
            <v>PHIẾU XỬ LÝ HỒ SƠ THANH TOÁN VƯỢT THẨM QUYỀN PD</v>
          </cell>
        </row>
      </sheetData>
      <sheetData sheetId="4567">
        <row r="1">
          <cell r="A1" t="str">
            <v>PHIẾU XỬ LÝ HỒ SƠ THANH TOÁN VƯỢT THẨM QUYỀN PD</v>
          </cell>
        </row>
      </sheetData>
      <sheetData sheetId="4568">
        <row r="1">
          <cell r="A1" t="str">
            <v>PHIẾU XỬ LÝ HỒ SƠ THANH TOÁN VƯỢT THẨM QUYỀN PD</v>
          </cell>
        </row>
      </sheetData>
      <sheetData sheetId="4569">
        <row r="1">
          <cell r="A1" t="str">
            <v>PHIẾU XỬ LÝ HỒ SƠ THANH TOÁN VƯỢT THẨM QUYỀN PD</v>
          </cell>
        </row>
      </sheetData>
      <sheetData sheetId="4570">
        <row r="1">
          <cell r="A1" t="str">
            <v>PHIẾU XỬ LÝ HỒ SƠ THANH TOÁN VƯỢT THẨM QUYỀN PD</v>
          </cell>
        </row>
      </sheetData>
      <sheetData sheetId="4571">
        <row r="1">
          <cell r="A1" t="str">
            <v>PHIẾU XỬ LÝ HỒ SƠ THANH TOÁN VƯỢT THẨM QUYỀN PD</v>
          </cell>
        </row>
      </sheetData>
      <sheetData sheetId="4572">
        <row r="1">
          <cell r="A1" t="str">
            <v>PHIẾU XỬ LÝ HỒ SƠ THANH TOÁN VƯỢT THẨM QUYỀN PD</v>
          </cell>
        </row>
      </sheetData>
      <sheetData sheetId="4573">
        <row r="1">
          <cell r="A1" t="str">
            <v>PHIẾU XỬ LÝ HỒ SƠ THANH TOÁN VƯỢT THẨM QUYỀN PD</v>
          </cell>
        </row>
      </sheetData>
      <sheetData sheetId="4574">
        <row r="1">
          <cell r="A1" t="str">
            <v>PHIẾU XỬ LÝ HỒ SƠ THANH TOÁN VƯỢT THẨM QUYỀN PD</v>
          </cell>
        </row>
      </sheetData>
      <sheetData sheetId="4575">
        <row r="1">
          <cell r="A1" t="str">
            <v>PHIẾU XỬ LÝ HỒ SƠ THANH TOÁN VƯỢT THẨM QUYỀN PD</v>
          </cell>
        </row>
      </sheetData>
      <sheetData sheetId="4576">
        <row r="1">
          <cell r="A1" t="str">
            <v>PHIẾU XỬ LÝ HỒ SƠ THANH TOÁN VƯỢT THẨM QUYỀN PD</v>
          </cell>
        </row>
      </sheetData>
      <sheetData sheetId="4577">
        <row r="1">
          <cell r="A1" t="str">
            <v>PHIẾU XỬ LÝ HỒ SƠ THANH TOÁN VƯỢT THẨM QUYỀN PD</v>
          </cell>
        </row>
      </sheetData>
      <sheetData sheetId="4578">
        <row r="1">
          <cell r="A1" t="str">
            <v>PHIẾU XỬ LÝ HỒ SƠ THANH TOÁN VƯỢT THẨM QUYỀN PD</v>
          </cell>
        </row>
      </sheetData>
      <sheetData sheetId="4579">
        <row r="1">
          <cell r="A1" t="str">
            <v>PHIẾU XỬ LÝ HỒ SƠ THANH TOÁN VƯỢT THẨM QUYỀN PD</v>
          </cell>
        </row>
      </sheetData>
      <sheetData sheetId="4580">
        <row r="1">
          <cell r="A1" t="str">
            <v>PHIẾU XỬ LÝ HỒ SƠ THANH TOÁN VƯỢT THẨM QUYỀN PD</v>
          </cell>
        </row>
      </sheetData>
      <sheetData sheetId="4581">
        <row r="1">
          <cell r="A1" t="str">
            <v>PHIẾU XỬ LÝ HỒ SƠ THANH TOÁN VƯỢT THẨM QUYỀN PD</v>
          </cell>
        </row>
      </sheetData>
      <sheetData sheetId="4582">
        <row r="1">
          <cell r="A1" t="str">
            <v>PHIẾU XỬ LÝ HỒ SƠ THANH TOÁN VƯỢT THẨM QUYỀN PD</v>
          </cell>
        </row>
      </sheetData>
      <sheetData sheetId="4583">
        <row r="1">
          <cell r="A1" t="str">
            <v>PHIẾU XỬ LÝ HỒ SƠ THANH TOÁN VƯỢT THẨM QUYỀN PD</v>
          </cell>
        </row>
      </sheetData>
      <sheetData sheetId="4584">
        <row r="1">
          <cell r="A1" t="str">
            <v>PHIẾU XỬ LÝ HỒ SƠ THANH TOÁN VƯỢT THẨM QUYỀN PD</v>
          </cell>
        </row>
      </sheetData>
      <sheetData sheetId="4585">
        <row r="1">
          <cell r="A1" t="str">
            <v>PHIẾU XỬ LÝ HỒ SƠ THANH TOÁN VƯỢT THẨM QUYỀN PD</v>
          </cell>
        </row>
      </sheetData>
      <sheetData sheetId="4586">
        <row r="1">
          <cell r="A1" t="str">
            <v>PHIẾU XỬ LÝ HỒ SƠ THANH TOÁN VƯỢT THẨM QUYỀN PD</v>
          </cell>
        </row>
      </sheetData>
      <sheetData sheetId="4587">
        <row r="1">
          <cell r="A1" t="str">
            <v>PHIẾU XỬ LÝ HỒ SƠ THANH TOÁN VƯỢT THẨM QUYỀN PD</v>
          </cell>
        </row>
      </sheetData>
      <sheetData sheetId="4588">
        <row r="1">
          <cell r="A1" t="str">
            <v>PHIẾU XỬ LÝ HỒ SƠ THANH TOÁN VƯỢT THẨM QUYỀN PD</v>
          </cell>
        </row>
      </sheetData>
      <sheetData sheetId="4589">
        <row r="1">
          <cell r="A1" t="str">
            <v>PHIẾU XỬ LÝ HỒ SƠ THANH TOÁN VƯỢT THẨM QUYỀN PD</v>
          </cell>
        </row>
      </sheetData>
      <sheetData sheetId="4590">
        <row r="1">
          <cell r="A1" t="str">
            <v>PHIẾU XỬ LÝ HỒ SƠ THANH TOÁN VƯỢT THẨM QUYỀN PD</v>
          </cell>
        </row>
      </sheetData>
      <sheetData sheetId="4591">
        <row r="1">
          <cell r="A1" t="str">
            <v>PHIẾU XỬ LÝ HỒ SƠ THANH TOÁN VƯỢT THẨM QUYỀN PD</v>
          </cell>
        </row>
      </sheetData>
      <sheetData sheetId="4592">
        <row r="1">
          <cell r="A1" t="str">
            <v>PHIẾU XỬ LÝ HỒ SƠ THANH TOÁN VƯỢT THẨM QUYỀN PD</v>
          </cell>
        </row>
      </sheetData>
      <sheetData sheetId="4593">
        <row r="1">
          <cell r="A1" t="str">
            <v>PHIẾU XỬ LÝ HỒ SƠ THANH TOÁN VƯỢT THẨM QUYỀN PD</v>
          </cell>
        </row>
      </sheetData>
      <sheetData sheetId="4594">
        <row r="1">
          <cell r="A1" t="str">
            <v>PHIẾU XỬ LÝ HỒ SƠ THANH TOÁN VƯỢT THẨM QUYỀN PD</v>
          </cell>
        </row>
      </sheetData>
      <sheetData sheetId="4595">
        <row r="1">
          <cell r="A1" t="str">
            <v>PHIẾU XỬ LÝ HỒ SƠ THANH TOÁN VƯỢT THẨM QUYỀN PD</v>
          </cell>
        </row>
      </sheetData>
      <sheetData sheetId="4596">
        <row r="1">
          <cell r="A1" t="str">
            <v>PHIẾU XỬ LÝ HỒ SƠ THANH TOÁN VƯỢT THẨM QUYỀN PD</v>
          </cell>
        </row>
      </sheetData>
      <sheetData sheetId="4597">
        <row r="1">
          <cell r="A1" t="str">
            <v>PHIẾU XỬ LÝ HỒ SƠ THANH TOÁN VƯỢT THẨM QUYỀN PD</v>
          </cell>
        </row>
      </sheetData>
      <sheetData sheetId="4598">
        <row r="1">
          <cell r="A1" t="str">
            <v>PHIẾU XỬ LÝ HỒ SƠ THANH TOÁN VƯỢT THẨM QUYỀN PD</v>
          </cell>
        </row>
      </sheetData>
      <sheetData sheetId="4599">
        <row r="1">
          <cell r="A1" t="str">
            <v>PHIẾU XỬ LÝ HỒ SƠ THANH TOÁN VƯỢT THẨM QUYỀN PD</v>
          </cell>
        </row>
      </sheetData>
      <sheetData sheetId="4600">
        <row r="1">
          <cell r="A1" t="str">
            <v>PHIẾU XỬ LÝ HỒ SƠ THANH TOÁN VƯỢT THẨM QUYỀN PD</v>
          </cell>
        </row>
      </sheetData>
      <sheetData sheetId="4601">
        <row r="1">
          <cell r="A1" t="str">
            <v>PHIẾU XỬ LÝ HỒ SƠ THANH TOÁN VƯỢT THẨM QUYỀN PD</v>
          </cell>
        </row>
      </sheetData>
      <sheetData sheetId="4602">
        <row r="1">
          <cell r="A1" t="str">
            <v>PHIẾU XỬ LÝ HỒ SƠ THANH TOÁN VƯỢT THẨM QUYỀN PD</v>
          </cell>
        </row>
      </sheetData>
      <sheetData sheetId="4603">
        <row r="1">
          <cell r="A1" t="str">
            <v>PHIẾU XỬ LÝ HỒ SƠ THANH TOÁN VƯỢT THẨM QUYỀN PD</v>
          </cell>
        </row>
      </sheetData>
      <sheetData sheetId="4604">
        <row r="1">
          <cell r="A1" t="str">
            <v>PHIẾU XỬ LÝ HỒ SƠ THANH TOÁN VƯỢT THẨM QUYỀN PD</v>
          </cell>
        </row>
      </sheetData>
      <sheetData sheetId="4605">
        <row r="1">
          <cell r="A1" t="str">
            <v>PHIẾU XỬ LÝ HỒ SƠ THANH TOÁN VƯỢT THẨM QUYỀN PD</v>
          </cell>
        </row>
      </sheetData>
      <sheetData sheetId="4606">
        <row r="1">
          <cell r="A1" t="str">
            <v>PHIẾU XỬ LÝ HỒ SƠ THANH TOÁN VƯỢT THẨM QUYỀN PD</v>
          </cell>
        </row>
      </sheetData>
      <sheetData sheetId="4607">
        <row r="1">
          <cell r="A1" t="str">
            <v>PHIẾU XỬ LÝ HỒ SƠ THANH TOÁN VƯỢT THẨM QUYỀN PD</v>
          </cell>
        </row>
      </sheetData>
      <sheetData sheetId="4608">
        <row r="1">
          <cell r="A1" t="str">
            <v>PHIẾU XỬ LÝ HỒ SƠ THANH TOÁN VƯỢT THẨM QUYỀN PD</v>
          </cell>
        </row>
      </sheetData>
      <sheetData sheetId="4609">
        <row r="1">
          <cell r="A1" t="str">
            <v>PHIẾU XỬ LÝ HỒ SƠ THANH TOÁN VƯỢT THẨM QUYỀN PD</v>
          </cell>
        </row>
      </sheetData>
      <sheetData sheetId="4610">
        <row r="1">
          <cell r="A1" t="str">
            <v>PHIẾU XỬ LÝ HỒ SƠ THANH TOÁN VƯỢT THẨM QUYỀN PD</v>
          </cell>
        </row>
      </sheetData>
      <sheetData sheetId="4611">
        <row r="1">
          <cell r="A1" t="str">
            <v>PHIẾU XỬ LÝ HỒ SƠ THANH TOÁN VƯỢT THẨM QUYỀN PD</v>
          </cell>
        </row>
      </sheetData>
      <sheetData sheetId="4612">
        <row r="1">
          <cell r="A1" t="str">
            <v>PHIẾU XỬ LÝ HỒ SƠ THANH TOÁN VƯỢT THẨM QUYỀN PD</v>
          </cell>
        </row>
      </sheetData>
      <sheetData sheetId="4613">
        <row r="1">
          <cell r="A1" t="str">
            <v>PHIẾU XỬ LÝ HỒ SƠ THANH TOÁN VƯỢT THẨM QUYỀN PD</v>
          </cell>
        </row>
      </sheetData>
      <sheetData sheetId="4614">
        <row r="1">
          <cell r="A1" t="str">
            <v>PHIẾU XỬ LÝ HỒ SƠ THANH TOÁN VƯỢT THẨM QUYỀN PD</v>
          </cell>
        </row>
      </sheetData>
      <sheetData sheetId="4615">
        <row r="1">
          <cell r="A1" t="str">
            <v>PHIẾU XỬ LÝ HỒ SƠ THANH TOÁN VƯỢT THẨM QUYỀN PD</v>
          </cell>
        </row>
      </sheetData>
      <sheetData sheetId="4616">
        <row r="1">
          <cell r="A1" t="str">
            <v>PHIẾU XỬ LÝ HỒ SƠ THANH TOÁN VƯỢT THẨM QUYỀN PD</v>
          </cell>
        </row>
      </sheetData>
      <sheetData sheetId="4617">
        <row r="1">
          <cell r="A1" t="str">
            <v>PHIẾU XỬ LÝ HỒ SƠ THANH TOÁN VƯỢT THẨM QUYỀN PD</v>
          </cell>
        </row>
      </sheetData>
      <sheetData sheetId="4618">
        <row r="1">
          <cell r="A1" t="str">
            <v>PHIẾU XỬ LÝ HỒ SƠ THANH TOÁN VƯỢT THẨM QUYỀN PD</v>
          </cell>
        </row>
      </sheetData>
      <sheetData sheetId="4619">
        <row r="1">
          <cell r="A1" t="str">
            <v>PHIẾU XỬ LÝ HỒ SƠ THANH TOÁN VƯỢT THẨM QUYỀN PD</v>
          </cell>
        </row>
      </sheetData>
      <sheetData sheetId="4620">
        <row r="1">
          <cell r="A1" t="str">
            <v>PHIẾU XỬ LÝ HỒ SƠ THANH TOÁN VƯỢT THẨM QUYỀN PD</v>
          </cell>
        </row>
      </sheetData>
      <sheetData sheetId="4621">
        <row r="1">
          <cell r="A1" t="str">
            <v>PHIẾU XỬ LÝ HỒ SƠ THANH TOÁN VƯỢT THẨM QUYỀN PD</v>
          </cell>
        </row>
      </sheetData>
      <sheetData sheetId="4622">
        <row r="1">
          <cell r="A1" t="str">
            <v>PHIẾU XỬ LÝ HỒ SƠ THANH TOÁN VƯỢT THẨM QUYỀN PD</v>
          </cell>
        </row>
      </sheetData>
      <sheetData sheetId="4623">
        <row r="1">
          <cell r="A1" t="str">
            <v>PHIẾU XỬ LÝ HỒ SƠ THANH TOÁN VƯỢT THẨM QUYỀN PD</v>
          </cell>
        </row>
      </sheetData>
      <sheetData sheetId="4624">
        <row r="1">
          <cell r="A1" t="str">
            <v>PHIẾU XỬ LÝ HỒ SƠ THANH TOÁN VƯỢT THẨM QUYỀN PD</v>
          </cell>
        </row>
      </sheetData>
      <sheetData sheetId="4625">
        <row r="1">
          <cell r="A1" t="str">
            <v>PHIẾU XỬ LÝ HỒ SƠ THANH TOÁN VƯỢT THẨM QUYỀN PD</v>
          </cell>
        </row>
      </sheetData>
      <sheetData sheetId="4626">
        <row r="1">
          <cell r="A1" t="str">
            <v>PHIẾU XỬ LÝ HỒ SƠ THANH TOÁN VƯỢT THẨM QUYỀN PD</v>
          </cell>
        </row>
      </sheetData>
      <sheetData sheetId="4627">
        <row r="1">
          <cell r="A1" t="str">
            <v>PHIẾU XỬ LÝ HỒ SƠ THANH TOÁN VƯỢT THẨM QUYỀN PD</v>
          </cell>
        </row>
      </sheetData>
      <sheetData sheetId="4628">
        <row r="1">
          <cell r="A1" t="str">
            <v>PHIẾU XỬ LÝ HỒ SƠ THANH TOÁN VƯỢT THẨM QUYỀN PD</v>
          </cell>
        </row>
      </sheetData>
      <sheetData sheetId="4629">
        <row r="1">
          <cell r="A1" t="str">
            <v>PHIẾU XỬ LÝ HỒ SƠ THANH TOÁN VƯỢT THẨM QUYỀN PD</v>
          </cell>
        </row>
      </sheetData>
      <sheetData sheetId="4630">
        <row r="1">
          <cell r="A1" t="str">
            <v>PHIẾU XỬ LÝ HỒ SƠ THANH TOÁN VƯỢT THẨM QUYỀN PD</v>
          </cell>
        </row>
      </sheetData>
      <sheetData sheetId="4631">
        <row r="1">
          <cell r="A1" t="str">
            <v>PHIẾU XỬ LÝ HỒ SƠ THANH TOÁN VƯỢT THẨM QUYỀN PD</v>
          </cell>
        </row>
      </sheetData>
      <sheetData sheetId="4632">
        <row r="1">
          <cell r="A1" t="str">
            <v>PHIẾU XỬ LÝ HỒ SƠ THANH TOÁN VƯỢT THẨM QUYỀN PD</v>
          </cell>
        </row>
      </sheetData>
      <sheetData sheetId="4633">
        <row r="1">
          <cell r="A1" t="str">
            <v>PHIẾU XỬ LÝ HỒ SƠ THANH TOÁN VƯỢT THẨM QUYỀN PD</v>
          </cell>
        </row>
      </sheetData>
      <sheetData sheetId="4634">
        <row r="1">
          <cell r="A1" t="str">
            <v>PHIẾU XỬ LÝ HỒ SƠ THANH TOÁN VƯỢT THẨM QUYỀN PD</v>
          </cell>
        </row>
      </sheetData>
      <sheetData sheetId="4635">
        <row r="1">
          <cell r="A1" t="str">
            <v>PHIẾU XỬ LÝ HỒ SƠ THANH TOÁN VƯỢT THẨM QUYỀN PD</v>
          </cell>
        </row>
      </sheetData>
      <sheetData sheetId="4636">
        <row r="1">
          <cell r="A1" t="str">
            <v>PHIẾU XỬ LÝ HỒ SƠ THANH TOÁN VƯỢT THẨM QUYỀN PD</v>
          </cell>
        </row>
      </sheetData>
      <sheetData sheetId="4637">
        <row r="1">
          <cell r="A1" t="str">
            <v>PHIẾU XỬ LÝ HỒ SƠ THANH TOÁN VƯỢT THẨM QUYỀN PD</v>
          </cell>
        </row>
      </sheetData>
      <sheetData sheetId="4638">
        <row r="1">
          <cell r="A1" t="str">
            <v>PHIẾU XỬ LÝ HỒ SƠ THANH TOÁN VƯỢT THẨM QUYỀN PD</v>
          </cell>
        </row>
      </sheetData>
      <sheetData sheetId="4639">
        <row r="1">
          <cell r="A1" t="str">
            <v>PHIẾU XỬ LÝ HỒ SƠ THANH TOÁN VƯỢT THẨM QUYỀN PD</v>
          </cell>
        </row>
      </sheetData>
      <sheetData sheetId="4640">
        <row r="1">
          <cell r="A1" t="str">
            <v>PHIẾU XỬ LÝ HỒ SƠ THANH TOÁN VƯỢT THẨM QUYỀN PD</v>
          </cell>
        </row>
      </sheetData>
      <sheetData sheetId="4641">
        <row r="1">
          <cell r="A1" t="str">
            <v>PHIẾU XỬ LÝ HỒ SƠ THANH TOÁN VƯỢT THẨM QUYỀN PD</v>
          </cell>
        </row>
      </sheetData>
      <sheetData sheetId="4642">
        <row r="1">
          <cell r="A1" t="str">
            <v>PHIẾU XỬ LÝ HỒ SƠ THANH TOÁN VƯỢT THẨM QUYỀN PD</v>
          </cell>
        </row>
      </sheetData>
      <sheetData sheetId="4643">
        <row r="1">
          <cell r="A1" t="str">
            <v>PHIẾU XỬ LÝ HỒ SƠ THANH TOÁN VƯỢT THẨM QUYỀN PD</v>
          </cell>
        </row>
      </sheetData>
      <sheetData sheetId="4644">
        <row r="1">
          <cell r="A1" t="str">
            <v>PHIẾU XỬ LÝ HỒ SƠ THANH TOÁN VƯỢT THẨM QUYỀN PD</v>
          </cell>
        </row>
      </sheetData>
      <sheetData sheetId="4645">
        <row r="1">
          <cell r="A1" t="str">
            <v>PHIẾU XỬ LÝ HỒ SƠ THANH TOÁN VƯỢT THẨM QUYỀN PD</v>
          </cell>
        </row>
      </sheetData>
      <sheetData sheetId="4646">
        <row r="1">
          <cell r="A1" t="str">
            <v>PHIẾU XỬ LÝ HỒ SƠ THANH TOÁN VƯỢT THẨM QUYỀN PD</v>
          </cell>
        </row>
      </sheetData>
      <sheetData sheetId="4647">
        <row r="1">
          <cell r="A1" t="str">
            <v>PHIẾU XỬ LÝ HỒ SƠ THANH TOÁN VƯỢT THẨM QUYỀN PD</v>
          </cell>
        </row>
      </sheetData>
      <sheetData sheetId="4648">
        <row r="1">
          <cell r="A1" t="str">
            <v>PHIẾU XỬ LÝ HỒ SƠ THANH TOÁN VƯỢT THẨM QUYỀN PD</v>
          </cell>
        </row>
      </sheetData>
      <sheetData sheetId="4649">
        <row r="1">
          <cell r="A1" t="str">
            <v>PHIẾU XỬ LÝ HỒ SƠ THANH TOÁN VƯỢT THẨM QUYỀN PD</v>
          </cell>
        </row>
      </sheetData>
      <sheetData sheetId="4650">
        <row r="1">
          <cell r="A1" t="str">
            <v>PHIẾU XỬ LÝ HỒ SƠ THANH TOÁN VƯỢT THẨM QUYỀN PD</v>
          </cell>
        </row>
      </sheetData>
      <sheetData sheetId="4651">
        <row r="1">
          <cell r="A1" t="str">
            <v>PHIẾU XỬ LÝ HỒ SƠ THANH TOÁN VƯỢT THẨM QUYỀN PD</v>
          </cell>
        </row>
      </sheetData>
      <sheetData sheetId="4652">
        <row r="1">
          <cell r="A1" t="str">
            <v>PHIẾU XỬ LÝ HỒ SƠ THANH TOÁN VƯỢT THẨM QUYỀN PD</v>
          </cell>
        </row>
      </sheetData>
      <sheetData sheetId="4653">
        <row r="1">
          <cell r="A1" t="str">
            <v>PHIẾU XỬ LÝ HỒ SƠ THANH TOÁN VƯỢT THẨM QUYỀN PD</v>
          </cell>
        </row>
      </sheetData>
      <sheetData sheetId="4654">
        <row r="1">
          <cell r="A1" t="str">
            <v>PHIẾU XỬ LÝ HỒ SƠ THANH TOÁN VƯỢT THẨM QUYỀN PD</v>
          </cell>
        </row>
      </sheetData>
      <sheetData sheetId="4655">
        <row r="1">
          <cell r="A1" t="str">
            <v>PHIẾU XỬ LÝ HỒ SƠ THANH TOÁN VƯỢT THẨM QUYỀN PD</v>
          </cell>
        </row>
      </sheetData>
      <sheetData sheetId="4656">
        <row r="1">
          <cell r="A1" t="str">
            <v>PHIẾU XỬ LÝ HỒ SƠ THANH TOÁN VƯỢT THẨM QUYỀN PD</v>
          </cell>
        </row>
      </sheetData>
      <sheetData sheetId="4657">
        <row r="1">
          <cell r="A1" t="str">
            <v>PHIẾU XỬ LÝ HỒ SƠ THANH TOÁN VƯỢT THẨM QUYỀN PD</v>
          </cell>
        </row>
      </sheetData>
      <sheetData sheetId="4658">
        <row r="1">
          <cell r="A1" t="str">
            <v>PHIẾU XỬ LÝ HỒ SƠ THANH TOÁN VƯỢT THẨM QUYỀN PD</v>
          </cell>
        </row>
      </sheetData>
      <sheetData sheetId="4659">
        <row r="1">
          <cell r="A1" t="str">
            <v>PHIẾU XỬ LÝ HỒ SƠ THANH TOÁN VƯỢT THẨM QUYỀN PD</v>
          </cell>
        </row>
      </sheetData>
      <sheetData sheetId="4660">
        <row r="1">
          <cell r="A1" t="str">
            <v>PHIẾU XỬ LÝ HỒ SƠ THANH TOÁN VƯỢT THẨM QUYỀN PD</v>
          </cell>
        </row>
      </sheetData>
      <sheetData sheetId="4661">
        <row r="1">
          <cell r="A1" t="str">
            <v>PHIẾU XỬ LÝ HỒ SƠ THANH TOÁN VƯỢT THẨM QUYỀN PD</v>
          </cell>
        </row>
      </sheetData>
      <sheetData sheetId="4662">
        <row r="1">
          <cell r="A1" t="str">
            <v>PHIẾU XỬ LÝ HỒ SƠ THANH TOÁN VƯỢT THẨM QUYỀN PD</v>
          </cell>
        </row>
      </sheetData>
      <sheetData sheetId="4663">
        <row r="1">
          <cell r="A1" t="str">
            <v>PHIẾU XỬ LÝ HỒ SƠ THANH TOÁN VƯỢT THẨM QUYỀN PD</v>
          </cell>
        </row>
      </sheetData>
      <sheetData sheetId="4664">
        <row r="1">
          <cell r="A1" t="str">
            <v>PHIẾU XỬ LÝ HỒ SƠ THANH TOÁN VƯỢT THẨM QUYỀN PD</v>
          </cell>
        </row>
      </sheetData>
      <sheetData sheetId="4665">
        <row r="1">
          <cell r="A1" t="str">
            <v>PHIẾU XỬ LÝ HỒ SƠ THANH TOÁN VƯỢT THẨM QUYỀN PD</v>
          </cell>
        </row>
      </sheetData>
      <sheetData sheetId="4666">
        <row r="1">
          <cell r="A1" t="str">
            <v>PHIẾU XỬ LÝ HỒ SƠ THANH TOÁN VƯỢT THẨM QUYỀN PD</v>
          </cell>
        </row>
      </sheetData>
      <sheetData sheetId="4667">
        <row r="1">
          <cell r="A1" t="str">
            <v>PHIẾU XỬ LÝ HỒ SƠ THANH TOÁN VƯỢT THẨM QUYỀN PD</v>
          </cell>
        </row>
      </sheetData>
      <sheetData sheetId="4668">
        <row r="1">
          <cell r="A1" t="str">
            <v>PHIẾU XỬ LÝ HỒ SƠ THANH TOÁN VƯỢT THẨM QUYỀN PD</v>
          </cell>
        </row>
      </sheetData>
      <sheetData sheetId="4669">
        <row r="1">
          <cell r="A1" t="str">
            <v>PHIẾU XỬ LÝ HỒ SƠ THANH TOÁN VƯỢT THẨM QUYỀN PD</v>
          </cell>
        </row>
      </sheetData>
      <sheetData sheetId="4670">
        <row r="1">
          <cell r="A1" t="str">
            <v>PHIẾU XỬ LÝ HỒ SƠ THANH TOÁN VƯỢT THẨM QUYỀN PD</v>
          </cell>
        </row>
      </sheetData>
      <sheetData sheetId="4671">
        <row r="1">
          <cell r="A1" t="str">
            <v>PHIẾU XỬ LÝ HỒ SƠ THANH TOÁN VƯỢT THẨM QUYỀN PD</v>
          </cell>
        </row>
      </sheetData>
      <sheetData sheetId="4672">
        <row r="1">
          <cell r="A1" t="str">
            <v>PHIẾU XỬ LÝ HỒ SƠ THANH TOÁN VƯỢT THẨM QUYỀN PD</v>
          </cell>
        </row>
      </sheetData>
      <sheetData sheetId="4673">
        <row r="1">
          <cell r="A1" t="str">
            <v>PHIẾU XỬ LÝ HỒ SƠ THANH TOÁN VƯỢT THẨM QUYỀN PD</v>
          </cell>
        </row>
      </sheetData>
      <sheetData sheetId="4674">
        <row r="1">
          <cell r="A1" t="str">
            <v>PHIẾU XỬ LÝ HỒ SƠ THANH TOÁN VƯỢT THẨM QUYỀN PD</v>
          </cell>
        </row>
      </sheetData>
      <sheetData sheetId="4675">
        <row r="1">
          <cell r="A1" t="str">
            <v>PHIẾU XỬ LÝ HỒ SƠ THANH TOÁN VƯỢT THẨM QUYỀN PD</v>
          </cell>
        </row>
      </sheetData>
      <sheetData sheetId="4676">
        <row r="1">
          <cell r="A1" t="str">
            <v>PHIẾU XỬ LÝ HỒ SƠ THANH TOÁN VƯỢT THẨM QUYỀN PD</v>
          </cell>
        </row>
      </sheetData>
      <sheetData sheetId="4677">
        <row r="1">
          <cell r="A1" t="str">
            <v>PHIẾU XỬ LÝ HỒ SƠ THANH TOÁN VƯỢT THẨM QUYỀN PD</v>
          </cell>
        </row>
      </sheetData>
      <sheetData sheetId="4678">
        <row r="1">
          <cell r="A1" t="str">
            <v>PHIẾU XỬ LÝ HỒ SƠ THANH TOÁN VƯỢT THẨM QUYỀN PD</v>
          </cell>
        </row>
      </sheetData>
      <sheetData sheetId="4679">
        <row r="1">
          <cell r="A1" t="str">
            <v>PHIẾU XỬ LÝ HỒ SƠ THANH TOÁN VƯỢT THẨM QUYỀN PD</v>
          </cell>
        </row>
      </sheetData>
      <sheetData sheetId="4680">
        <row r="1">
          <cell r="A1" t="str">
            <v>PHIẾU XỬ LÝ HỒ SƠ THANH TOÁN VƯỢT THẨM QUYỀN PD</v>
          </cell>
        </row>
      </sheetData>
      <sheetData sheetId="4681">
        <row r="1">
          <cell r="A1" t="str">
            <v>PHIẾU XỬ LÝ HỒ SƠ THANH TOÁN VƯỢT THẨM QUYỀN PD</v>
          </cell>
        </row>
      </sheetData>
      <sheetData sheetId="4682">
        <row r="1">
          <cell r="A1" t="str">
            <v>PHIẾU XỬ LÝ HỒ SƠ THANH TOÁN VƯỢT THẨM QUYỀN PD</v>
          </cell>
        </row>
      </sheetData>
      <sheetData sheetId="4683">
        <row r="1">
          <cell r="A1" t="str">
            <v>PHIẾU XỬ LÝ HỒ SƠ THANH TOÁN VƯỢT THẨM QUYỀN PD</v>
          </cell>
        </row>
      </sheetData>
      <sheetData sheetId="4684">
        <row r="1">
          <cell r="A1" t="str">
            <v>PHIẾU XỬ LÝ HỒ SƠ THANH TOÁN VƯỢT THẨM QUYỀN PD</v>
          </cell>
        </row>
      </sheetData>
      <sheetData sheetId="4685">
        <row r="1">
          <cell r="A1" t="str">
            <v>PHIẾU XỬ LÝ HỒ SƠ THANH TOÁN VƯỢT THẨM QUYỀN PD</v>
          </cell>
        </row>
      </sheetData>
      <sheetData sheetId="4686">
        <row r="1">
          <cell r="A1" t="str">
            <v>PHIẾU XỬ LÝ HỒ SƠ THANH TOÁN VƯỢT THẨM QUYỀN PD</v>
          </cell>
        </row>
      </sheetData>
      <sheetData sheetId="4687">
        <row r="1">
          <cell r="A1" t="str">
            <v>PHIẾU XỬ LÝ HỒ SƠ THANH TOÁN VƯỢT THẨM QUYỀN PD</v>
          </cell>
        </row>
      </sheetData>
      <sheetData sheetId="4688">
        <row r="1">
          <cell r="A1" t="str">
            <v>PHIẾU XỬ LÝ HỒ SƠ THANH TOÁN VƯỢT THẨM QUYỀN PD</v>
          </cell>
        </row>
      </sheetData>
      <sheetData sheetId="4689">
        <row r="1">
          <cell r="A1" t="str">
            <v>PHIẾU XỬ LÝ HỒ SƠ THANH TOÁN VƯỢT THẨM QUYỀN PD</v>
          </cell>
        </row>
      </sheetData>
      <sheetData sheetId="4690" refreshError="1"/>
      <sheetData sheetId="4691" refreshError="1"/>
      <sheetData sheetId="4692">
        <row r="1">
          <cell r="A1" t="str">
            <v>PHIẾU XỬ LÝ HỒ SƠ THANH TOÁN VƯỢT THẨM QUYỀN PD</v>
          </cell>
        </row>
      </sheetData>
      <sheetData sheetId="4693">
        <row r="1">
          <cell r="A1" t="str">
            <v>PHIẾU XỬ LÝ HỒ SƠ THANH TOÁN VƯỢT THẨM QUYỀN PD</v>
          </cell>
        </row>
      </sheetData>
      <sheetData sheetId="4694">
        <row r="1">
          <cell r="A1" t="str">
            <v>PHIẾU XỬ LÝ HỒ SƠ THANH TOÁN VƯỢT THẨM QUYỀN PD</v>
          </cell>
        </row>
      </sheetData>
      <sheetData sheetId="4695">
        <row r="1">
          <cell r="A1" t="str">
            <v>PHIẾU XỬ LÝ HỒ SƠ THANH TOÁN VƯỢT THẨM QUYỀN PD</v>
          </cell>
        </row>
      </sheetData>
      <sheetData sheetId="4696">
        <row r="1">
          <cell r="A1" t="str">
            <v>PHIẾU XỬ LÝ HỒ SƠ THANH TOÁN VƯỢT THẨM QUYỀN PD</v>
          </cell>
        </row>
      </sheetData>
      <sheetData sheetId="4697">
        <row r="1">
          <cell r="A1" t="str">
            <v>PHIẾU XỬ LÝ HỒ SƠ THANH TOÁN VƯỢT THẨM QUYỀN PD</v>
          </cell>
        </row>
      </sheetData>
      <sheetData sheetId="4698">
        <row r="1">
          <cell r="A1" t="str">
            <v>PHIẾU XỬ LÝ HỒ SƠ THANH TOÁN VƯỢT THẨM QUYỀN PD</v>
          </cell>
        </row>
      </sheetData>
      <sheetData sheetId="4699">
        <row r="1">
          <cell r="A1" t="str">
            <v>PHIẾU XỬ LÝ HỒ SƠ THANH TOÁN VƯỢT THẨM QUYỀN PD</v>
          </cell>
        </row>
      </sheetData>
      <sheetData sheetId="4700">
        <row r="1">
          <cell r="A1" t="str">
            <v>PHIẾU XỬ LÝ HỒ SƠ THANH TOÁN VƯỢT THẨM QUYỀN PD</v>
          </cell>
        </row>
      </sheetData>
      <sheetData sheetId="4701">
        <row r="1">
          <cell r="A1" t="str">
            <v>PHIẾU XỬ LÝ HỒ SƠ THANH TOÁN VƯỢT THẨM QUYỀN PD</v>
          </cell>
        </row>
      </sheetData>
      <sheetData sheetId="4702">
        <row r="1">
          <cell r="A1" t="str">
            <v>PHIẾU XỬ LÝ HỒ SƠ THANH TOÁN VƯỢT THẨM QUYỀN PD</v>
          </cell>
        </row>
      </sheetData>
      <sheetData sheetId="4703">
        <row r="1">
          <cell r="A1" t="str">
            <v>PHIẾU XỬ LÝ HỒ SƠ THANH TOÁN VƯỢT THẨM QUYỀN PD</v>
          </cell>
        </row>
      </sheetData>
      <sheetData sheetId="4704">
        <row r="1">
          <cell r="A1" t="str">
            <v>PHIẾU XỬ LÝ HỒ SƠ THANH TOÁN VƯỢT THẨM QUYỀN PD</v>
          </cell>
        </row>
      </sheetData>
      <sheetData sheetId="4705">
        <row r="1">
          <cell r="A1" t="str">
            <v>PHIẾU XỬ LÝ HỒ SƠ THANH TOÁN VƯỢT THẨM QUYỀN PD</v>
          </cell>
        </row>
      </sheetData>
      <sheetData sheetId="4706">
        <row r="1">
          <cell r="A1" t="str">
            <v>PHIẾU XỬ LÝ HỒ SƠ THANH TOÁN VƯỢT THẨM QUYỀN PD</v>
          </cell>
        </row>
      </sheetData>
      <sheetData sheetId="4707">
        <row r="1">
          <cell r="A1" t="str">
            <v>PHIẾU XỬ LÝ HỒ SƠ THANH TOÁN VƯỢT THẨM QUYỀN PD</v>
          </cell>
        </row>
      </sheetData>
      <sheetData sheetId="4708">
        <row r="1">
          <cell r="A1" t="str">
            <v>PHIẾU XỬ LÝ HỒ SƠ THANH TOÁN VƯỢT THẨM QUYỀN PD</v>
          </cell>
        </row>
      </sheetData>
      <sheetData sheetId="4709">
        <row r="1">
          <cell r="A1" t="str">
            <v>PHIẾU XỬ LÝ HỒ SƠ THANH TOÁN VƯỢT THẨM QUYỀN PD</v>
          </cell>
        </row>
      </sheetData>
      <sheetData sheetId="4710">
        <row r="1">
          <cell r="A1" t="str">
            <v>PHIẾU XỬ LÝ HỒ SƠ THANH TOÁN VƯỢT THẨM QUYỀN PD</v>
          </cell>
        </row>
      </sheetData>
      <sheetData sheetId="4711">
        <row r="1">
          <cell r="A1" t="str">
            <v>PHIẾU XỬ LÝ HỒ SƠ THANH TOÁN VƯỢT THẨM QUYỀN PD</v>
          </cell>
        </row>
      </sheetData>
      <sheetData sheetId="4712">
        <row r="1">
          <cell r="A1" t="str">
            <v>PHIẾU XỬ LÝ HỒ SƠ THANH TOÁN VƯỢT THẨM QUYỀN PD</v>
          </cell>
        </row>
      </sheetData>
      <sheetData sheetId="4713">
        <row r="1">
          <cell r="A1" t="str">
            <v>PHIẾU XỬ LÝ HỒ SƠ THANH TOÁN VƯỢT THẨM QUYỀN PD</v>
          </cell>
        </row>
      </sheetData>
      <sheetData sheetId="4714">
        <row r="1">
          <cell r="A1" t="str">
            <v>PHIẾU XỬ LÝ HỒ SƠ THANH TOÁN VƯỢT THẨM QUYỀN PD</v>
          </cell>
        </row>
      </sheetData>
      <sheetData sheetId="4715">
        <row r="1">
          <cell r="A1" t="str">
            <v>PHIẾU XỬ LÝ HỒ SƠ THANH TOÁN VƯỢT THẨM QUYỀN PD</v>
          </cell>
        </row>
      </sheetData>
      <sheetData sheetId="4716">
        <row r="1">
          <cell r="A1" t="str">
            <v>PHIẾU XỬ LÝ HỒ SƠ THANH TOÁN VƯỢT THẨM QUYỀN PD</v>
          </cell>
        </row>
      </sheetData>
      <sheetData sheetId="4717">
        <row r="1">
          <cell r="A1" t="str">
            <v>PHIẾU XỬ LÝ HỒ SƠ THANH TOÁN VƯỢT THẨM QUYỀN PD</v>
          </cell>
        </row>
      </sheetData>
      <sheetData sheetId="4718">
        <row r="1">
          <cell r="A1" t="str">
            <v>PHIẾU XỬ LÝ HỒ SƠ THANH TOÁN VƯỢT THẨM QUYỀN PD</v>
          </cell>
        </row>
      </sheetData>
      <sheetData sheetId="4719">
        <row r="1">
          <cell r="A1" t="str">
            <v>PHIẾU XỬ LÝ HỒ SƠ THANH TOÁN VƯỢT THẨM QUYỀN PD</v>
          </cell>
        </row>
      </sheetData>
      <sheetData sheetId="4720">
        <row r="1">
          <cell r="A1" t="str">
            <v>PHIẾU XỬ LÝ HỒ SƠ THANH TOÁN VƯỢT THẨM QUYỀN PD</v>
          </cell>
        </row>
      </sheetData>
      <sheetData sheetId="4721">
        <row r="1">
          <cell r="A1" t="str">
            <v>PHIẾU XỬ LÝ HỒ SƠ THANH TOÁN VƯỢT THẨM QUYỀN PD</v>
          </cell>
        </row>
      </sheetData>
      <sheetData sheetId="4722">
        <row r="1">
          <cell r="A1" t="str">
            <v>PHIẾU XỬ LÝ HỒ SƠ THANH TOÁN VƯỢT THẨM QUYỀN PD</v>
          </cell>
        </row>
      </sheetData>
      <sheetData sheetId="4723">
        <row r="1">
          <cell r="A1" t="str">
            <v>PHIẾU XỬ LÝ HỒ SƠ THANH TOÁN VƯỢT THẨM QUYỀN PD</v>
          </cell>
        </row>
      </sheetData>
      <sheetData sheetId="4724">
        <row r="1">
          <cell r="A1" t="str">
            <v>PHIẾU XỬ LÝ HỒ SƠ THANH TOÁN VƯỢT THẨM QUYỀN PD</v>
          </cell>
        </row>
      </sheetData>
      <sheetData sheetId="4725">
        <row r="1">
          <cell r="A1" t="str">
            <v>PHIẾU XỬ LÝ HỒ SƠ THANH TOÁN VƯỢT THẨM QUYỀN PD</v>
          </cell>
        </row>
      </sheetData>
      <sheetData sheetId="4726">
        <row r="1">
          <cell r="A1" t="str">
            <v>PHIẾU XỬ LÝ HỒ SƠ THANH TOÁN VƯỢT THẨM QUYỀN PD</v>
          </cell>
        </row>
      </sheetData>
      <sheetData sheetId="4727">
        <row r="1">
          <cell r="A1" t="str">
            <v>PHIẾU XỬ LÝ HỒ SƠ THANH TOÁN VƯỢT THẨM QUYỀN PD</v>
          </cell>
        </row>
      </sheetData>
      <sheetData sheetId="4728">
        <row r="1">
          <cell r="A1" t="str">
            <v>PHIẾU XỬ LÝ HỒ SƠ THANH TOÁN VƯỢT THẨM QUYỀN PD</v>
          </cell>
        </row>
      </sheetData>
      <sheetData sheetId="4729">
        <row r="1">
          <cell r="A1" t="str">
            <v>PHIẾU XỬ LÝ HỒ SƠ THANH TOÁN VƯỢT THẨM QUYỀN PD</v>
          </cell>
        </row>
      </sheetData>
      <sheetData sheetId="4730" refreshError="1"/>
      <sheetData sheetId="4731">
        <row r="1">
          <cell r="A1" t="str">
            <v>PHIẾU XỬ LÝ HỒ SƠ THANH TOÁN VƯỢT THẨM QUYỀN PD</v>
          </cell>
        </row>
      </sheetData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>
        <row r="1">
          <cell r="A1" t="str">
            <v>PHIẾU XỬ LÝ HỒ SƠ THANH TOÁN VƯỢT THẨM QUYỀN PD</v>
          </cell>
        </row>
      </sheetData>
      <sheetData sheetId="4771">
        <row r="1">
          <cell r="A1" t="str">
            <v>PHIẾU XỬ LÝ HỒ SƠ THANH TOÁN VƯỢT THẨM QUYỀN PD</v>
          </cell>
        </row>
      </sheetData>
      <sheetData sheetId="4772">
        <row r="1">
          <cell r="A1" t="str">
            <v>PHIẾU XỬ LÝ HỒ SƠ THANH TOÁN VƯỢT THẨM QUYỀN PD</v>
          </cell>
        </row>
      </sheetData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>
        <row r="1">
          <cell r="A1" t="str">
            <v>PHIẾU XỬ LÝ HỒ SƠ THANH TOÁN VƯỢT THẨM QUYỀN PD</v>
          </cell>
        </row>
      </sheetData>
      <sheetData sheetId="4837">
        <row r="1">
          <cell r="A1" t="str">
            <v>PHIẾU XỬ LÝ HỒ SƠ THANH TOÁN VƯỢT THẨM QUYỀN PD</v>
          </cell>
        </row>
      </sheetData>
      <sheetData sheetId="4838">
        <row r="1">
          <cell r="A1" t="str">
            <v>PHIẾU XỬ LÝ HỒ SƠ THANH TOÁN VƯỢT THẨM QUYỀN PD</v>
          </cell>
        </row>
      </sheetData>
      <sheetData sheetId="4839">
        <row r="1">
          <cell r="A1" t="str">
            <v>PHIẾU XỬ LÝ HỒ SƠ THANH TOÁN VƯỢT THẨM QUYỀN PD</v>
          </cell>
        </row>
      </sheetData>
      <sheetData sheetId="4840">
        <row r="1">
          <cell r="A1" t="str">
            <v>PHIẾU XỬ LÝ HỒ SƠ THANH TOÁN VƯỢT THẨM QUYỀN PD</v>
          </cell>
        </row>
      </sheetData>
      <sheetData sheetId="4841">
        <row r="1">
          <cell r="A1" t="str">
            <v>PHIẾU XỬ LÝ HỒ SƠ THANH TOÁN VƯỢT THẨM QUYỀN PD</v>
          </cell>
        </row>
      </sheetData>
      <sheetData sheetId="4842">
        <row r="1">
          <cell r="A1" t="str">
            <v>PHIẾU XỬ LÝ HỒ SƠ THANH TOÁN VƯỢT THẨM QUYỀN PD</v>
          </cell>
        </row>
      </sheetData>
      <sheetData sheetId="4843">
        <row r="1">
          <cell r="A1" t="str">
            <v>PHIẾU XỬ LÝ HỒ SƠ THANH TOÁN VƯỢT THẨM QUYỀN PD</v>
          </cell>
        </row>
      </sheetData>
      <sheetData sheetId="4844">
        <row r="1">
          <cell r="A1" t="str">
            <v>PHIẾU XỬ LÝ HỒ SƠ THANH TOÁN VƯỢT THẨM QUYỀN PD</v>
          </cell>
        </row>
      </sheetData>
      <sheetData sheetId="4845">
        <row r="1">
          <cell r="A1" t="str">
            <v>PHIẾU XỬ LÝ HỒ SƠ THANH TOÁN VƯỢT THẨM QUYỀN PD</v>
          </cell>
        </row>
      </sheetData>
      <sheetData sheetId="4846">
        <row r="1">
          <cell r="A1" t="str">
            <v>PHIẾU XỬ LÝ HỒ SƠ THANH TOÁN VƯỢT THẨM QUYỀN PD</v>
          </cell>
        </row>
      </sheetData>
      <sheetData sheetId="4847">
        <row r="1">
          <cell r="A1" t="str">
            <v>PHIẾU XỬ LÝ HỒ SƠ THANH TOÁN VƯỢT THẨM QUYỀN PD</v>
          </cell>
        </row>
      </sheetData>
      <sheetData sheetId="4848">
        <row r="1">
          <cell r="A1" t="str">
            <v>PHIẾU XỬ LÝ HỒ SƠ THANH TOÁN VƯỢT THẨM QUYỀN PD</v>
          </cell>
        </row>
      </sheetData>
      <sheetData sheetId="4849">
        <row r="1">
          <cell r="A1" t="str">
            <v>PHIẾU XỬ LÝ HỒ SƠ THANH TOÁN VƯỢT THẨM QUYỀN PD</v>
          </cell>
        </row>
      </sheetData>
      <sheetData sheetId="4850">
        <row r="1">
          <cell r="A1" t="str">
            <v>PHIẾU XỬ LÝ HỒ SƠ THANH TOÁN VƯỢT THẨM QUYỀN PD</v>
          </cell>
        </row>
      </sheetData>
      <sheetData sheetId="4851">
        <row r="1">
          <cell r="A1" t="str">
            <v>PHIẾU XỬ LÝ HỒ SƠ THANH TOÁN VƯỢT THẨM QUYỀN PD</v>
          </cell>
        </row>
      </sheetData>
      <sheetData sheetId="4852">
        <row r="1">
          <cell r="A1" t="str">
            <v>PHIẾU XỬ LÝ HỒ SƠ THANH TOÁN VƯỢT THẨM QUYỀN PD</v>
          </cell>
        </row>
      </sheetData>
      <sheetData sheetId="4853">
        <row r="1">
          <cell r="A1" t="str">
            <v>PHIẾU XỬ LÝ HỒ SƠ THANH TOÁN VƯỢT THẨM QUYỀN PD</v>
          </cell>
        </row>
      </sheetData>
      <sheetData sheetId="4854">
        <row r="1">
          <cell r="A1" t="str">
            <v>PHIẾU XỬ LÝ HỒ SƠ THANH TOÁN VƯỢT THẨM QUYỀN PD</v>
          </cell>
        </row>
      </sheetData>
      <sheetData sheetId="4855">
        <row r="1">
          <cell r="A1" t="str">
            <v>PHIẾU XỬ LÝ HỒ SƠ THANH TOÁN VƯỢT THẨM QUYỀN PD</v>
          </cell>
        </row>
      </sheetData>
      <sheetData sheetId="4856">
        <row r="1">
          <cell r="A1" t="str">
            <v>PHIẾU XỬ LÝ HỒ SƠ THANH TOÁN VƯỢT THẨM QUYỀN PD</v>
          </cell>
        </row>
      </sheetData>
      <sheetData sheetId="4857">
        <row r="1">
          <cell r="A1" t="str">
            <v>PHIẾU XỬ LÝ HỒ SƠ THANH TOÁN VƯỢT THẨM QUYỀN PD</v>
          </cell>
        </row>
      </sheetData>
      <sheetData sheetId="4858">
        <row r="1">
          <cell r="A1" t="str">
            <v>PHIẾU XỬ LÝ HỒ SƠ THANH TOÁN VƯỢT THẨM QUYỀN PD</v>
          </cell>
        </row>
      </sheetData>
      <sheetData sheetId="4859">
        <row r="1">
          <cell r="A1" t="str">
            <v>PHIẾU XỬ LÝ HỒ SƠ THANH TOÁN VƯỢT THẨM QUYỀN PD</v>
          </cell>
        </row>
      </sheetData>
      <sheetData sheetId="4860">
        <row r="1">
          <cell r="A1" t="str">
            <v>PHIẾU XỬ LÝ HỒ SƠ THANH TOÁN VƯỢT THẨM QUYỀN PD</v>
          </cell>
        </row>
      </sheetData>
      <sheetData sheetId="4861">
        <row r="1">
          <cell r="A1" t="str">
            <v>PHIẾU XỬ LÝ HỒ SƠ THANH TOÁN VƯỢT THẨM QUYỀN PD</v>
          </cell>
        </row>
      </sheetData>
      <sheetData sheetId="4862">
        <row r="1">
          <cell r="A1" t="str">
            <v>PHIẾU XỬ LÝ HỒ SƠ THANH TOÁN VƯỢT THẨM QUYỀN PD</v>
          </cell>
        </row>
      </sheetData>
      <sheetData sheetId="4863">
        <row r="1">
          <cell r="A1" t="str">
            <v>PHIẾU XỬ LÝ HỒ SƠ THANH TOÁN VƯỢT THẨM QUYỀN PD</v>
          </cell>
        </row>
      </sheetData>
      <sheetData sheetId="4864">
        <row r="1">
          <cell r="A1" t="str">
            <v>PHIẾU XỬ LÝ HỒ SƠ THANH TOÁN VƯỢT THẨM QUYỀN PD</v>
          </cell>
        </row>
      </sheetData>
      <sheetData sheetId="4865">
        <row r="1">
          <cell r="A1" t="str">
            <v>PHIẾU XỬ LÝ HỒ SƠ THANH TOÁN VƯỢT THẨM QUYỀN PD</v>
          </cell>
        </row>
      </sheetData>
      <sheetData sheetId="4866">
        <row r="1">
          <cell r="A1" t="str">
            <v>PHIẾU XỬ LÝ HỒ SƠ THANH TOÁN VƯỢT THẨM QUYỀN PD</v>
          </cell>
        </row>
      </sheetData>
      <sheetData sheetId="4867">
        <row r="1">
          <cell r="A1" t="str">
            <v>PHIẾU XỬ LÝ HỒ SƠ THANH TOÁN VƯỢT THẨM QUYỀN PD</v>
          </cell>
        </row>
      </sheetData>
      <sheetData sheetId="4868">
        <row r="1">
          <cell r="A1" t="str">
            <v>PHIẾU XỬ LÝ HỒ SƠ THANH TOÁN VƯỢT THẨM QUYỀN PD</v>
          </cell>
        </row>
      </sheetData>
      <sheetData sheetId="4869">
        <row r="1">
          <cell r="A1" t="str">
            <v>PHIẾU XỬ LÝ HỒ SƠ THANH TOÁN VƯỢT THẨM QUYỀN PD</v>
          </cell>
        </row>
      </sheetData>
      <sheetData sheetId="4870">
        <row r="1">
          <cell r="A1" t="str">
            <v>PHIẾU XỬ LÝ HỒ SƠ THANH TOÁN VƯỢT THẨM QUYỀN PD</v>
          </cell>
        </row>
      </sheetData>
      <sheetData sheetId="4871">
        <row r="1">
          <cell r="A1" t="str">
            <v>PHIẾU XỬ LÝ HỒ SƠ THANH TOÁN VƯỢT THẨM QUYỀN PD</v>
          </cell>
        </row>
      </sheetData>
      <sheetData sheetId="4872">
        <row r="1">
          <cell r="A1" t="str">
            <v>PHIẾU XỬ LÝ HỒ SƠ THANH TOÁN VƯỢT THẨM QUYỀN PD</v>
          </cell>
        </row>
      </sheetData>
      <sheetData sheetId="4873">
        <row r="1">
          <cell r="A1" t="str">
            <v>PHIẾU XỬ LÝ HỒ SƠ THANH TOÁN VƯỢT THẨM QUYỀN PD</v>
          </cell>
        </row>
      </sheetData>
      <sheetData sheetId="4874">
        <row r="1">
          <cell r="A1" t="str">
            <v>PHIẾU XỬ LÝ HỒ SƠ THANH TOÁN VƯỢT THẨM QUYỀN PD</v>
          </cell>
        </row>
      </sheetData>
      <sheetData sheetId="4875">
        <row r="1">
          <cell r="A1" t="str">
            <v>PHIẾU XỬ LÝ HỒ SƠ THANH TOÁN VƯỢT THẨM QUYỀN PD</v>
          </cell>
        </row>
      </sheetData>
      <sheetData sheetId="4876">
        <row r="1">
          <cell r="A1" t="str">
            <v>PHIẾU XỬ LÝ HỒ SƠ THANH TOÁN VƯỢT THẨM QUYỀN PD</v>
          </cell>
        </row>
      </sheetData>
      <sheetData sheetId="4877">
        <row r="1">
          <cell r="A1" t="str">
            <v>PHIẾU XỬ LÝ HỒ SƠ THANH TOÁN VƯỢT THẨM QUYỀN PD</v>
          </cell>
        </row>
      </sheetData>
      <sheetData sheetId="4878">
        <row r="1">
          <cell r="A1" t="str">
            <v>PHIẾU XỬ LÝ HỒ SƠ THANH TOÁN VƯỢT THẨM QUYỀN PD</v>
          </cell>
        </row>
      </sheetData>
      <sheetData sheetId="4879">
        <row r="1">
          <cell r="A1" t="str">
            <v>PHIẾU XỬ LÝ HỒ SƠ THANH TOÁN VƯỢT THẨM QUYỀN PD</v>
          </cell>
        </row>
      </sheetData>
      <sheetData sheetId="4880">
        <row r="1">
          <cell r="A1" t="str">
            <v>PHIẾU XỬ LÝ HỒ SƠ THANH TOÁN VƯỢT THẨM QUYỀN PD</v>
          </cell>
        </row>
      </sheetData>
      <sheetData sheetId="4881">
        <row r="1">
          <cell r="A1" t="str">
            <v>PHIẾU XỬ LÝ HỒ SƠ THANH TOÁN VƯỢT THẨM QUYỀN PD</v>
          </cell>
        </row>
      </sheetData>
      <sheetData sheetId="4882">
        <row r="1">
          <cell r="A1" t="str">
            <v>PHIẾU XỬ LÝ HỒ SƠ THANH TOÁN VƯỢT THẨM QUYỀN PD</v>
          </cell>
        </row>
      </sheetData>
      <sheetData sheetId="4883">
        <row r="1">
          <cell r="A1" t="str">
            <v>PHIẾU XỬ LÝ HỒ SƠ THANH TOÁN VƯỢT THẨM QUYỀN PD</v>
          </cell>
        </row>
      </sheetData>
      <sheetData sheetId="4884">
        <row r="1">
          <cell r="A1" t="str">
            <v>PHIẾU XỬ LÝ HỒ SƠ THANH TOÁN VƯỢT THẨM QUYỀN PD</v>
          </cell>
        </row>
      </sheetData>
      <sheetData sheetId="4885">
        <row r="1">
          <cell r="A1" t="str">
            <v>PHIẾU XỬ LÝ HỒ SƠ THANH TOÁN VƯỢT THẨM QUYỀN PD</v>
          </cell>
        </row>
      </sheetData>
      <sheetData sheetId="4886">
        <row r="1">
          <cell r="A1" t="str">
            <v>PHIẾU XỬ LÝ HỒ SƠ THANH TOÁN VƯỢT THẨM QUYỀN PD</v>
          </cell>
        </row>
      </sheetData>
      <sheetData sheetId="4887">
        <row r="1">
          <cell r="A1" t="str">
            <v>PHIẾU XỬ LÝ HỒ SƠ THANH TOÁN VƯỢT THẨM QUYỀN PD</v>
          </cell>
        </row>
      </sheetData>
      <sheetData sheetId="4888">
        <row r="1">
          <cell r="A1" t="str">
            <v>PHIẾU XỬ LÝ HỒ SƠ THANH TOÁN VƯỢT THẨM QUYỀN PD</v>
          </cell>
        </row>
      </sheetData>
      <sheetData sheetId="4889">
        <row r="1">
          <cell r="A1" t="str">
            <v>PHIẾU XỬ LÝ HỒ SƠ THANH TOÁN VƯỢT THẨM QUYỀN PD</v>
          </cell>
        </row>
      </sheetData>
      <sheetData sheetId="4890">
        <row r="1">
          <cell r="A1" t="str">
            <v>PHIẾU XỬ LÝ HỒ SƠ THANH TOÁN VƯỢT THẨM QUYỀN PD</v>
          </cell>
        </row>
      </sheetData>
      <sheetData sheetId="4891">
        <row r="1">
          <cell r="A1" t="str">
            <v>PHIẾU XỬ LÝ HỒ SƠ THANH TOÁN VƯỢT THẨM QUYỀN PD</v>
          </cell>
        </row>
      </sheetData>
      <sheetData sheetId="4892">
        <row r="1">
          <cell r="A1" t="str">
            <v>PHIẾU XỬ LÝ HỒ SƠ THANH TOÁN VƯỢT THẨM QUYỀN PD</v>
          </cell>
        </row>
      </sheetData>
      <sheetData sheetId="4893">
        <row r="1">
          <cell r="A1" t="str">
            <v>PHIẾU XỬ LÝ HỒ SƠ THANH TOÁN VƯỢT THẨM QUYỀN PD</v>
          </cell>
        </row>
      </sheetData>
      <sheetData sheetId="4894">
        <row r="1">
          <cell r="A1" t="str">
            <v>PHIẾU XỬ LÝ HỒ SƠ THANH TOÁN VƯỢT THẨM QUYỀN PD</v>
          </cell>
        </row>
      </sheetData>
      <sheetData sheetId="4895">
        <row r="1">
          <cell r="A1" t="str">
            <v>PHIẾU XỬ LÝ HỒ SƠ THANH TOÁN VƯỢT THẨM QUYỀN PD</v>
          </cell>
        </row>
      </sheetData>
      <sheetData sheetId="4896">
        <row r="1">
          <cell r="A1" t="str">
            <v>PHIẾU XỬ LÝ HỒ SƠ THANH TOÁN VƯỢT THẨM QUYỀN PD</v>
          </cell>
        </row>
      </sheetData>
      <sheetData sheetId="4897">
        <row r="1">
          <cell r="A1" t="str">
            <v>PHIẾU XỬ LÝ HỒ SƠ THANH TOÁN VƯỢT THẨM QUYỀN PD</v>
          </cell>
        </row>
      </sheetData>
      <sheetData sheetId="4898">
        <row r="1">
          <cell r="A1" t="str">
            <v>PHIẾU XỬ LÝ HỒ SƠ THANH TOÁN VƯỢT THẨM QUYỀN PD</v>
          </cell>
        </row>
      </sheetData>
      <sheetData sheetId="4899">
        <row r="1">
          <cell r="A1" t="str">
            <v>PHIẾU XỬ LÝ HỒ SƠ THANH TOÁN VƯỢT THẨM QUYỀN PD</v>
          </cell>
        </row>
      </sheetData>
      <sheetData sheetId="4900">
        <row r="1">
          <cell r="A1" t="str">
            <v>PHIẾU XỬ LÝ HỒ SƠ THANH TOÁN VƯỢT THẨM QUYỀN PD</v>
          </cell>
        </row>
      </sheetData>
      <sheetData sheetId="4901">
        <row r="1">
          <cell r="A1" t="str">
            <v>PHIẾU XỬ LÝ HỒ SƠ THANH TOÁN VƯỢT THẨM QUYỀN PD</v>
          </cell>
        </row>
      </sheetData>
      <sheetData sheetId="4902">
        <row r="1">
          <cell r="A1" t="str">
            <v>PHIẾU XỬ LÝ HỒ SƠ THANH TOÁN VƯỢT THẨM QUYỀN PD</v>
          </cell>
        </row>
      </sheetData>
      <sheetData sheetId="4903">
        <row r="1">
          <cell r="A1" t="str">
            <v>PHIẾU XỬ LÝ HỒ SƠ THANH TOÁN VƯỢT THẨM QUYỀN PD</v>
          </cell>
        </row>
      </sheetData>
      <sheetData sheetId="4904">
        <row r="1">
          <cell r="A1" t="str">
            <v>PHIẾU XỬ LÝ HỒ SƠ THANH TOÁN VƯỢT THẨM QUYỀN PD</v>
          </cell>
        </row>
      </sheetData>
      <sheetData sheetId="4905">
        <row r="1">
          <cell r="A1" t="str">
            <v>PHIẾU XỬ LÝ HỒ SƠ THANH TOÁN VƯỢT THẨM QUYỀN PD</v>
          </cell>
        </row>
      </sheetData>
      <sheetData sheetId="4906">
        <row r="1">
          <cell r="A1" t="str">
            <v>PHIẾU XỬ LÝ HỒ SƠ THANH TOÁN VƯỢT THẨM QUYỀN PD</v>
          </cell>
        </row>
      </sheetData>
      <sheetData sheetId="4907">
        <row r="1">
          <cell r="A1" t="str">
            <v>PHIẾU XỬ LÝ HỒ SƠ THANH TOÁN VƯỢT THẨM QUYỀN PD</v>
          </cell>
        </row>
      </sheetData>
      <sheetData sheetId="4908">
        <row r="1">
          <cell r="A1" t="str">
            <v>PHIẾU XỬ LÝ HỒ SƠ THANH TOÁN VƯỢT THẨM QUYỀN PD</v>
          </cell>
        </row>
      </sheetData>
      <sheetData sheetId="4909">
        <row r="1">
          <cell r="A1" t="str">
            <v>PHIẾU XỬ LÝ HỒ SƠ THANH TOÁN VƯỢT THẨM QUYỀN PD</v>
          </cell>
        </row>
      </sheetData>
      <sheetData sheetId="4910">
        <row r="1">
          <cell r="A1" t="str">
            <v>PHIẾU XỬ LÝ HỒ SƠ THANH TOÁN VƯỢT THẨM QUYỀN PD</v>
          </cell>
        </row>
      </sheetData>
      <sheetData sheetId="4911">
        <row r="1">
          <cell r="A1" t="str">
            <v>PHIẾU XỬ LÝ HỒ SƠ THANH TOÁN VƯỢT THẨM QUYỀN PD</v>
          </cell>
        </row>
      </sheetData>
      <sheetData sheetId="4912">
        <row r="1">
          <cell r="A1" t="str">
            <v>PHIẾU XỬ LÝ HỒ SƠ THANH TOÁN VƯỢT THẨM QUYỀN PD</v>
          </cell>
        </row>
      </sheetData>
      <sheetData sheetId="4913">
        <row r="1">
          <cell r="A1" t="str">
            <v>PHIẾU XỬ LÝ HỒ SƠ THANH TOÁN VƯỢT THẨM QUYỀN PD</v>
          </cell>
        </row>
      </sheetData>
      <sheetData sheetId="4914">
        <row r="1">
          <cell r="A1" t="str">
            <v>PHIẾU XỬ LÝ HỒ SƠ THANH TOÁN VƯỢT THẨM QUYỀN PD</v>
          </cell>
        </row>
      </sheetData>
      <sheetData sheetId="4915">
        <row r="1">
          <cell r="A1" t="str">
            <v>PHIẾU XỬ LÝ HỒ SƠ THANH TOÁN VƯỢT THẨM QUYỀN PD</v>
          </cell>
        </row>
      </sheetData>
      <sheetData sheetId="4916">
        <row r="1">
          <cell r="A1" t="str">
            <v>PHIẾU XỬ LÝ HỒ SƠ THANH TOÁN VƯỢT THẨM QUYỀN PD</v>
          </cell>
        </row>
      </sheetData>
      <sheetData sheetId="4917">
        <row r="1">
          <cell r="A1" t="str">
            <v>PHIẾU XỬ LÝ HỒ SƠ THANH TOÁN VƯỢT THẨM QUYỀN PD</v>
          </cell>
        </row>
      </sheetData>
      <sheetData sheetId="4918">
        <row r="1">
          <cell r="A1" t="str">
            <v>PHIẾU XỬ LÝ HỒ SƠ THANH TOÁN VƯỢT THẨM QUYỀN PD</v>
          </cell>
        </row>
      </sheetData>
      <sheetData sheetId="4919">
        <row r="1">
          <cell r="A1" t="str">
            <v>PHIẾU XỬ LÝ HỒ SƠ THANH TOÁN VƯỢT THẨM QUYỀN PD</v>
          </cell>
        </row>
      </sheetData>
      <sheetData sheetId="4920">
        <row r="1">
          <cell r="A1" t="str">
            <v>PHIẾU XỬ LÝ HỒ SƠ THANH TOÁN VƯỢT THẨM QUYỀN PD</v>
          </cell>
        </row>
      </sheetData>
      <sheetData sheetId="4921">
        <row r="1">
          <cell r="A1" t="str">
            <v>PHIẾU XỬ LÝ HỒ SƠ THANH TOÁN VƯỢT THẨM QUYỀN PD</v>
          </cell>
        </row>
      </sheetData>
      <sheetData sheetId="4922">
        <row r="1">
          <cell r="A1" t="str">
            <v>PHIẾU XỬ LÝ HỒ SƠ THANH TOÁN VƯỢT THẨM QUYỀN PD</v>
          </cell>
        </row>
      </sheetData>
      <sheetData sheetId="4923">
        <row r="1">
          <cell r="A1" t="str">
            <v>PHIẾU XỬ LÝ HỒ SƠ THANH TOÁN VƯỢT THẨM QUYỀN PD</v>
          </cell>
        </row>
      </sheetData>
      <sheetData sheetId="4924">
        <row r="1">
          <cell r="A1" t="str">
            <v>PHIẾU XỬ LÝ HỒ SƠ THANH TOÁN VƯỢT THẨM QUYỀN PD</v>
          </cell>
        </row>
      </sheetData>
      <sheetData sheetId="4925">
        <row r="1">
          <cell r="A1" t="str">
            <v>PHIẾU XỬ LÝ HỒ SƠ THANH TOÁN VƯỢT THẨM QUYỀN PD</v>
          </cell>
        </row>
      </sheetData>
      <sheetData sheetId="4926">
        <row r="1">
          <cell r="A1" t="str">
            <v>PHIẾU XỬ LÝ HỒ SƠ THANH TOÁN VƯỢT THẨM QUYỀN PD</v>
          </cell>
        </row>
      </sheetData>
      <sheetData sheetId="4927">
        <row r="1">
          <cell r="A1" t="str">
            <v>PHIẾU XỬ LÝ HỒ SƠ THANH TOÁN VƯỢT THẨM QUYỀN PD</v>
          </cell>
        </row>
      </sheetData>
      <sheetData sheetId="4928">
        <row r="1">
          <cell r="A1" t="str">
            <v>PHIẾU XỬ LÝ HỒ SƠ THANH TOÁN VƯỢT THẨM QUYỀN PD</v>
          </cell>
        </row>
      </sheetData>
      <sheetData sheetId="4929">
        <row r="1">
          <cell r="A1" t="str">
            <v>PHIẾU XỬ LÝ HỒ SƠ THANH TOÁN VƯỢT THẨM QUYỀN PD</v>
          </cell>
        </row>
      </sheetData>
      <sheetData sheetId="4930">
        <row r="1">
          <cell r="A1" t="str">
            <v>PHIẾU XỬ LÝ HỒ SƠ THANH TOÁN VƯỢT THẨM QUYỀN PD</v>
          </cell>
        </row>
      </sheetData>
      <sheetData sheetId="4931">
        <row r="1">
          <cell r="A1" t="str">
            <v>PHIẾU XỬ LÝ HỒ SƠ THANH TOÁN VƯỢT THẨM QUYỀN PD</v>
          </cell>
        </row>
      </sheetData>
      <sheetData sheetId="4932">
        <row r="1">
          <cell r="A1" t="str">
            <v>PHIẾU XỬ LÝ HỒ SƠ THANH TOÁN VƯỢT THẨM QUYỀN PD</v>
          </cell>
        </row>
      </sheetData>
      <sheetData sheetId="4933">
        <row r="1">
          <cell r="A1" t="str">
            <v>PHIẾU XỬ LÝ HỒ SƠ THANH TOÁN VƯỢT THẨM QUYỀN PD</v>
          </cell>
        </row>
      </sheetData>
      <sheetData sheetId="4934">
        <row r="1">
          <cell r="A1" t="str">
            <v>PHIẾU XỬ LÝ HỒ SƠ THANH TOÁN VƯỢT THẨM QUYỀN PD</v>
          </cell>
        </row>
      </sheetData>
      <sheetData sheetId="4935">
        <row r="1">
          <cell r="A1" t="str">
            <v>PHIẾU XỬ LÝ HỒ SƠ THANH TOÁN VƯỢT THẨM QUYỀN PD</v>
          </cell>
        </row>
      </sheetData>
      <sheetData sheetId="4936">
        <row r="1">
          <cell r="A1" t="str">
            <v>PHIẾU XỬ LÝ HỒ SƠ THANH TOÁN VƯỢT THẨM QUYỀN PD</v>
          </cell>
        </row>
      </sheetData>
      <sheetData sheetId="4937">
        <row r="1">
          <cell r="A1" t="str">
            <v>PHIẾU XỬ LÝ HỒ SƠ THANH TOÁN VƯỢT THẨM QUYỀN PD</v>
          </cell>
        </row>
      </sheetData>
      <sheetData sheetId="4938">
        <row r="1">
          <cell r="A1" t="str">
            <v>PHIẾU XỬ LÝ HỒ SƠ THANH TOÁN VƯỢT THẨM QUYỀN PD</v>
          </cell>
        </row>
      </sheetData>
      <sheetData sheetId="4939">
        <row r="1">
          <cell r="A1" t="str">
            <v>PHIẾU XỬ LÝ HỒ SƠ THANH TOÁN VƯỢT THẨM QUYỀN PD</v>
          </cell>
        </row>
      </sheetData>
      <sheetData sheetId="4940">
        <row r="1">
          <cell r="A1" t="str">
            <v>PHIẾU XỬ LÝ HỒ SƠ THANH TOÁN VƯỢT THẨM QUYỀN PD</v>
          </cell>
        </row>
      </sheetData>
      <sheetData sheetId="4941">
        <row r="1">
          <cell r="A1" t="str">
            <v>PHIẾU XỬ LÝ HỒ SƠ THANH TOÁN VƯỢT THẨM QUYỀN PD</v>
          </cell>
        </row>
      </sheetData>
      <sheetData sheetId="4942">
        <row r="1">
          <cell r="A1" t="str">
            <v>PHIẾU XỬ LÝ HỒ SƠ THANH TOÁN VƯỢT THẨM QUYỀN PD</v>
          </cell>
        </row>
      </sheetData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>
        <row r="1">
          <cell r="A1" t="str">
            <v>PHIẾU XỬ LÝ HỒ SƠ THANH TOÁN VƯỢT THẨM QUYỀN PD</v>
          </cell>
        </row>
      </sheetData>
      <sheetData sheetId="4973">
        <row r="1">
          <cell r="A1" t="str">
            <v>PHIẾU XỬ LÝ HỒ SƠ THANH TOÁN VƯỢT THẨM QUYỀN PD</v>
          </cell>
        </row>
      </sheetData>
      <sheetData sheetId="4974">
        <row r="1">
          <cell r="A1" t="str">
            <v>PHIẾU XỬ LÝ HỒ SƠ THANH TOÁN VƯỢT THẨM QUYỀN PD</v>
          </cell>
        </row>
      </sheetData>
      <sheetData sheetId="4975">
        <row r="1">
          <cell r="A1" t="str">
            <v>PHIẾU XỬ LÝ HỒ SƠ THANH TOÁN VƯỢT THẨM QUYỀN PD</v>
          </cell>
        </row>
      </sheetData>
      <sheetData sheetId="4976">
        <row r="1">
          <cell r="A1" t="str">
            <v>PHIẾU XỬ LÝ HỒ SƠ THANH TOÁN VƯỢT THẨM QUYỀN PD</v>
          </cell>
        </row>
      </sheetData>
      <sheetData sheetId="4977">
        <row r="1">
          <cell r="A1" t="str">
            <v>PHIẾU XỬ LÝ HỒ SƠ THANH TOÁN VƯỢT THẨM QUYỀN PD</v>
          </cell>
        </row>
      </sheetData>
      <sheetData sheetId="4978">
        <row r="1">
          <cell r="A1" t="str">
            <v>PHIẾU XỬ LÝ HỒ SƠ THANH TOÁN VƯỢT THẨM QUYỀN PD</v>
          </cell>
        </row>
      </sheetData>
      <sheetData sheetId="4979">
        <row r="1">
          <cell r="A1" t="str">
            <v>PHIẾU XỬ LÝ HỒ SƠ THANH TOÁN VƯỢT THẨM QUYỀN PD</v>
          </cell>
        </row>
      </sheetData>
      <sheetData sheetId="4980">
        <row r="1">
          <cell r="A1" t="str">
            <v>PHIẾU XỬ LÝ HỒ SƠ THANH TOÁN VƯỢT THẨM QUYỀN PD</v>
          </cell>
        </row>
      </sheetData>
      <sheetData sheetId="4981">
        <row r="1">
          <cell r="A1" t="str">
            <v>PHIẾU XỬ LÝ HỒ SƠ THANH TOÁN VƯỢT THẨM QUYỀN PD</v>
          </cell>
        </row>
      </sheetData>
      <sheetData sheetId="4982">
        <row r="1">
          <cell r="A1" t="str">
            <v>PHIẾU XỬ LÝ HỒ SƠ THANH TOÁN VƯỢT THẨM QUYỀN PD</v>
          </cell>
        </row>
      </sheetData>
      <sheetData sheetId="4983">
        <row r="1">
          <cell r="A1" t="str">
            <v>PHIẾU XỬ LÝ HỒ SƠ THANH TOÁN VƯỢT THẨM QUYỀN PD</v>
          </cell>
        </row>
      </sheetData>
      <sheetData sheetId="4984">
        <row r="1">
          <cell r="A1" t="str">
            <v>PHIẾU XỬ LÝ HỒ SƠ THANH TOÁN VƯỢT THẨM QUYỀN PD</v>
          </cell>
        </row>
      </sheetData>
      <sheetData sheetId="4985">
        <row r="1">
          <cell r="A1" t="str">
            <v>PHIẾU XỬ LÝ HỒ SƠ THANH TOÁN VƯỢT THẨM QUYỀN PD</v>
          </cell>
        </row>
      </sheetData>
      <sheetData sheetId="4986">
        <row r="1">
          <cell r="A1" t="str">
            <v>PHIẾU XỬ LÝ HỒ SƠ THANH TOÁN VƯỢT THẨM QUYỀN PD</v>
          </cell>
        </row>
      </sheetData>
      <sheetData sheetId="4987">
        <row r="1">
          <cell r="A1" t="str">
            <v>PHIẾU XỬ LÝ HỒ SƠ THANH TOÁN VƯỢT THẨM QUYỀN PD</v>
          </cell>
        </row>
      </sheetData>
      <sheetData sheetId="4988">
        <row r="1">
          <cell r="A1" t="str">
            <v>PHIẾU XỬ LÝ HỒ SƠ THANH TOÁN VƯỢT THẨM QUYỀN PD</v>
          </cell>
        </row>
      </sheetData>
      <sheetData sheetId="4989">
        <row r="1">
          <cell r="A1" t="str">
            <v>PHIẾU XỬ LÝ HỒ SƠ THANH TOÁN VƯỢT THẨM QUYỀN PD</v>
          </cell>
        </row>
      </sheetData>
      <sheetData sheetId="4990">
        <row r="1">
          <cell r="A1" t="str">
            <v>PHIẾU XỬ LÝ HỒ SƠ THANH TOÁN VƯỢT THẨM QUYỀN PD</v>
          </cell>
        </row>
      </sheetData>
      <sheetData sheetId="4991">
        <row r="1">
          <cell r="A1" t="str">
            <v>PHIẾU XỬ LÝ HỒ SƠ THANH TOÁN VƯỢT THẨM QUYỀN PD</v>
          </cell>
        </row>
      </sheetData>
      <sheetData sheetId="4992">
        <row r="1">
          <cell r="A1" t="str">
            <v>PHIẾU XỬ LÝ HỒ SƠ THANH TOÁN VƯỢT THẨM QUYỀN PD</v>
          </cell>
        </row>
      </sheetData>
      <sheetData sheetId="4993">
        <row r="1">
          <cell r="A1" t="str">
            <v>PHIẾU XỬ LÝ HỒ SƠ THANH TOÁN VƯỢT THẨM QUYỀN PD</v>
          </cell>
        </row>
      </sheetData>
      <sheetData sheetId="4994">
        <row r="1">
          <cell r="A1" t="str">
            <v>PHIẾU XỬ LÝ HỒ SƠ THANH TOÁN VƯỢT THẨM QUYỀN PD</v>
          </cell>
        </row>
      </sheetData>
      <sheetData sheetId="4995">
        <row r="1">
          <cell r="A1" t="str">
            <v>PHIẾU XỬ LÝ HỒ SƠ THANH TOÁN VƯỢT THẨM QUYỀN PD</v>
          </cell>
        </row>
      </sheetData>
      <sheetData sheetId="4996">
        <row r="1">
          <cell r="A1" t="str">
            <v>PHIẾU XỬ LÝ HỒ SƠ THANH TOÁN VƯỢT THẨM QUYỀN PD</v>
          </cell>
        </row>
      </sheetData>
      <sheetData sheetId="4997">
        <row r="1">
          <cell r="A1" t="str">
            <v>PHIẾU XỬ LÝ HỒ SƠ THANH TOÁN VƯỢT THẨM QUYỀN PD</v>
          </cell>
        </row>
      </sheetData>
      <sheetData sheetId="4998">
        <row r="1">
          <cell r="A1" t="str">
            <v>PHIẾU XỬ LÝ HỒ SƠ THANH TOÁN VƯỢT THẨM QUYỀN PD</v>
          </cell>
        </row>
      </sheetData>
      <sheetData sheetId="4999">
        <row r="1">
          <cell r="A1" t="str">
            <v>PHIẾU XỬ LÝ HỒ SƠ THANH TOÁN VƯỢT THẨM QUYỀN PD</v>
          </cell>
        </row>
      </sheetData>
      <sheetData sheetId="5000">
        <row r="1">
          <cell r="A1" t="str">
            <v>PHIẾU XỬ LÝ HỒ SƠ THANH TOÁN VƯỢT THẨM QUYỀN PD</v>
          </cell>
        </row>
      </sheetData>
      <sheetData sheetId="5001">
        <row r="1">
          <cell r="A1" t="str">
            <v>PHIẾU XỬ LÝ HỒ SƠ THANH TOÁN VƯỢT THẨM QUYỀN PD</v>
          </cell>
        </row>
      </sheetData>
      <sheetData sheetId="5002">
        <row r="1">
          <cell r="A1" t="str">
            <v>PHIẾU XỬ LÝ HỒ SƠ THANH TOÁN VƯỢT THẨM QUYỀN PD</v>
          </cell>
        </row>
      </sheetData>
      <sheetData sheetId="5003">
        <row r="1">
          <cell r="A1" t="str">
            <v>PHIẾU XỬ LÝ HỒ SƠ THANH TOÁN VƯỢT THẨM QUYỀN PD</v>
          </cell>
        </row>
      </sheetData>
      <sheetData sheetId="5004">
        <row r="1">
          <cell r="A1" t="str">
            <v>PHIẾU XỬ LÝ HỒ SƠ THANH TOÁN VƯỢT THẨM QUYỀN PD</v>
          </cell>
        </row>
      </sheetData>
      <sheetData sheetId="5005">
        <row r="1">
          <cell r="A1" t="str">
            <v>PHIẾU XỬ LÝ HỒ SƠ THANH TOÁN VƯỢT THẨM QUYỀN PD</v>
          </cell>
        </row>
      </sheetData>
      <sheetData sheetId="5006">
        <row r="1">
          <cell r="A1" t="str">
            <v>PHIẾU XỬ LÝ HỒ SƠ THANH TOÁN VƯỢT THẨM QUYỀN PD</v>
          </cell>
        </row>
      </sheetData>
      <sheetData sheetId="5007">
        <row r="1">
          <cell r="A1" t="str">
            <v>PHIẾU XỬ LÝ HỒ SƠ THANH TOÁN VƯỢT THẨM QUYỀN PD</v>
          </cell>
        </row>
      </sheetData>
      <sheetData sheetId="5008">
        <row r="1">
          <cell r="A1" t="str">
            <v>PHIẾU XỬ LÝ HỒ SƠ THANH TOÁN VƯỢT THẨM QUYỀN PD</v>
          </cell>
        </row>
      </sheetData>
      <sheetData sheetId="5009">
        <row r="1">
          <cell r="A1" t="str">
            <v>PHIẾU XỬ LÝ HỒ SƠ THANH TOÁN VƯỢT THẨM QUYỀN PD</v>
          </cell>
        </row>
      </sheetData>
      <sheetData sheetId="5010">
        <row r="1">
          <cell r="A1" t="str">
            <v>PHIẾU XỬ LÝ HỒ SƠ THANH TOÁN VƯỢT THẨM QUYỀN PD</v>
          </cell>
        </row>
      </sheetData>
      <sheetData sheetId="5011">
        <row r="1">
          <cell r="A1" t="str">
            <v>PHIẾU XỬ LÝ HỒ SƠ THANH TOÁN VƯỢT THẨM QUYỀN PD</v>
          </cell>
        </row>
      </sheetData>
      <sheetData sheetId="5012">
        <row r="1">
          <cell r="A1" t="str">
            <v>PHIẾU XỬ LÝ HỒ SƠ THANH TOÁN VƯỢT THẨM QUYỀN PD</v>
          </cell>
        </row>
      </sheetData>
      <sheetData sheetId="5013">
        <row r="1">
          <cell r="A1" t="str">
            <v>PHIẾU XỬ LÝ HỒ SƠ THANH TOÁN VƯỢT THẨM QUYỀN PD</v>
          </cell>
        </row>
      </sheetData>
      <sheetData sheetId="5014">
        <row r="1">
          <cell r="A1" t="str">
            <v>PHIẾU XỬ LÝ HỒ SƠ THANH TOÁN VƯỢT THẨM QUYỀN PD</v>
          </cell>
        </row>
      </sheetData>
      <sheetData sheetId="5015">
        <row r="1">
          <cell r="A1" t="str">
            <v>PHIẾU XỬ LÝ HỒ SƠ THANH TOÁN VƯỢT THẨM QUYỀN PD</v>
          </cell>
        </row>
      </sheetData>
      <sheetData sheetId="5016">
        <row r="1">
          <cell r="A1" t="str">
            <v>PHIẾU XỬ LÝ HỒ SƠ THANH TOÁN VƯỢT THẨM QUYỀN PD</v>
          </cell>
        </row>
      </sheetData>
      <sheetData sheetId="5017">
        <row r="1">
          <cell r="A1" t="str">
            <v>PHIẾU XỬ LÝ HỒ SƠ THANH TOÁN VƯỢT THẨM QUYỀN PD</v>
          </cell>
        </row>
      </sheetData>
      <sheetData sheetId="5018">
        <row r="1">
          <cell r="A1" t="str">
            <v>PHIẾU XỬ LÝ HỒ SƠ THANH TOÁN VƯỢT THẨM QUYỀN PD</v>
          </cell>
        </row>
      </sheetData>
      <sheetData sheetId="5019">
        <row r="1">
          <cell r="A1" t="str">
            <v>PHIẾU XỬ LÝ HỒ SƠ THANH TOÁN VƯỢT THẨM QUYỀN PD</v>
          </cell>
        </row>
      </sheetData>
      <sheetData sheetId="5020">
        <row r="1">
          <cell r="A1" t="str">
            <v>PHIẾU XỬ LÝ HỒ SƠ THANH TOÁN VƯỢT THẨM QUYỀN PD</v>
          </cell>
        </row>
      </sheetData>
      <sheetData sheetId="5021">
        <row r="1">
          <cell r="A1" t="str">
            <v>PHIẾU XỬ LÝ HỒ SƠ THANH TOÁN VƯỢT THẨM QUYỀN PD</v>
          </cell>
        </row>
      </sheetData>
      <sheetData sheetId="5022">
        <row r="1">
          <cell r="A1" t="str">
            <v>PHIẾU XỬ LÝ HỒ SƠ THANH TOÁN VƯỢT THẨM QUYỀN PD</v>
          </cell>
        </row>
      </sheetData>
      <sheetData sheetId="5023">
        <row r="1">
          <cell r="A1" t="str">
            <v>PHIẾU XỬ LÝ HỒ SƠ THANH TOÁN VƯỢT THẨM QUYỀN PD</v>
          </cell>
        </row>
      </sheetData>
      <sheetData sheetId="5024">
        <row r="1">
          <cell r="A1" t="str">
            <v>PHIẾU XỬ LÝ HỒ SƠ THANH TOÁN VƯỢT THẨM QUYỀN PD</v>
          </cell>
        </row>
      </sheetData>
      <sheetData sheetId="5025">
        <row r="1">
          <cell r="A1" t="str">
            <v>PHIẾU XỬ LÝ HỒ SƠ THANH TOÁN VƯỢT THẨM QUYỀN PD</v>
          </cell>
        </row>
      </sheetData>
      <sheetData sheetId="5026">
        <row r="1">
          <cell r="A1" t="str">
            <v>PHIẾU XỬ LÝ HỒ SƠ THANH TOÁN VƯỢT THẨM QUYỀN PD</v>
          </cell>
        </row>
      </sheetData>
      <sheetData sheetId="5027">
        <row r="1">
          <cell r="A1" t="str">
            <v>PHIẾU XỬ LÝ HỒ SƠ THANH TOÁN VƯỢT THẨM QUYỀN PD</v>
          </cell>
        </row>
      </sheetData>
      <sheetData sheetId="5028">
        <row r="1">
          <cell r="A1" t="str">
            <v>PHIẾU XỬ LÝ HỒ SƠ THANH TOÁN VƯỢT THẨM QUYỀN PD</v>
          </cell>
        </row>
      </sheetData>
      <sheetData sheetId="5029">
        <row r="1">
          <cell r="A1" t="str">
            <v>PHIẾU XỬ LÝ HỒ SƠ THANH TOÁN VƯỢT THẨM QUYỀN PD</v>
          </cell>
        </row>
      </sheetData>
      <sheetData sheetId="5030">
        <row r="1">
          <cell r="A1" t="str">
            <v>PHIẾU XỬ LÝ HỒ SƠ THANH TOÁN VƯỢT THẨM QUYỀN PD</v>
          </cell>
        </row>
      </sheetData>
      <sheetData sheetId="5031">
        <row r="1">
          <cell r="A1" t="str">
            <v>PHIẾU XỬ LÝ HỒ SƠ THANH TOÁN VƯỢT THẨM QUYỀN PD</v>
          </cell>
        </row>
      </sheetData>
      <sheetData sheetId="5032">
        <row r="1">
          <cell r="A1" t="str">
            <v>PHIẾU XỬ LÝ HỒ SƠ THANH TOÁN VƯỢT THẨM QUYỀN PD</v>
          </cell>
        </row>
      </sheetData>
      <sheetData sheetId="5033">
        <row r="1">
          <cell r="A1" t="str">
            <v>PHIẾU XỬ LÝ HỒ SƠ THANH TOÁN VƯỢT THẨM QUYỀN PD</v>
          </cell>
        </row>
      </sheetData>
      <sheetData sheetId="5034">
        <row r="1">
          <cell r="A1" t="str">
            <v>PHIẾU XỬ LÝ HỒ SƠ THANH TOÁN VƯỢT THẨM QUYỀN PD</v>
          </cell>
        </row>
      </sheetData>
      <sheetData sheetId="5035">
        <row r="1">
          <cell r="A1" t="str">
            <v>PHIẾU XỬ LÝ HỒ SƠ THANH TOÁN VƯỢT THẨM QUYỀN PD</v>
          </cell>
        </row>
      </sheetData>
      <sheetData sheetId="5036">
        <row r="1">
          <cell r="A1" t="str">
            <v>PHIẾU XỬ LÝ HỒ SƠ THANH TOÁN VƯỢT THẨM QUYỀN PD</v>
          </cell>
        </row>
      </sheetData>
      <sheetData sheetId="5037">
        <row r="1">
          <cell r="A1" t="str">
            <v>PHIẾU XỬ LÝ HỒ SƠ THANH TOÁN VƯỢT THẨM QUYỀN PD</v>
          </cell>
        </row>
      </sheetData>
      <sheetData sheetId="5038">
        <row r="1">
          <cell r="A1" t="str">
            <v>PHIẾU XỬ LÝ HỒ SƠ THANH TOÁN VƯỢT THẨM QUYỀN PD</v>
          </cell>
        </row>
      </sheetData>
      <sheetData sheetId="5039">
        <row r="1">
          <cell r="A1" t="str">
            <v>PHIẾU XỬ LÝ HỒ SƠ THANH TOÁN VƯỢT THẨM QUYỀN PD</v>
          </cell>
        </row>
      </sheetData>
      <sheetData sheetId="5040">
        <row r="1">
          <cell r="A1" t="str">
            <v>PHIẾU XỬ LÝ HỒ SƠ THANH TOÁN VƯỢT THẨM QUYỀN PD</v>
          </cell>
        </row>
      </sheetData>
      <sheetData sheetId="5041">
        <row r="1">
          <cell r="A1" t="str">
            <v>PHIẾU XỬ LÝ HỒ SƠ THANH TOÁN VƯỢT THẨM QUYỀN PD</v>
          </cell>
        </row>
      </sheetData>
      <sheetData sheetId="5042">
        <row r="1">
          <cell r="A1" t="str">
            <v>PHIẾU XỬ LÝ HỒ SƠ THANH TOÁN VƯỢT THẨM QUYỀN PD</v>
          </cell>
        </row>
      </sheetData>
      <sheetData sheetId="5043">
        <row r="1">
          <cell r="A1" t="str">
            <v>PHIẾU XỬ LÝ HỒ SƠ THANH TOÁN VƯỢT THẨM QUYỀN PD</v>
          </cell>
        </row>
      </sheetData>
      <sheetData sheetId="5044">
        <row r="1">
          <cell r="A1" t="str">
            <v>PHIẾU XỬ LÝ HỒ SƠ THANH TOÁN VƯỢT THẨM QUYỀN PD</v>
          </cell>
        </row>
      </sheetData>
      <sheetData sheetId="5045">
        <row r="1">
          <cell r="A1" t="str">
            <v>PHIẾU XỬ LÝ HỒ SƠ THANH TOÁN VƯỢT THẨM QUYỀN PD</v>
          </cell>
        </row>
      </sheetData>
      <sheetData sheetId="5046">
        <row r="1">
          <cell r="A1" t="str">
            <v>PHIẾU XỬ LÝ HỒ SƠ THANH TOÁN VƯỢT THẨM QUYỀN PD</v>
          </cell>
        </row>
      </sheetData>
      <sheetData sheetId="5047">
        <row r="1">
          <cell r="A1" t="str">
            <v>PHIẾU XỬ LÝ HỒ SƠ THANH TOÁN VƯỢT THẨM QUYỀN PD</v>
          </cell>
        </row>
      </sheetData>
      <sheetData sheetId="5048">
        <row r="1">
          <cell r="A1" t="str">
            <v>PHIẾU XỬ LÝ HỒ SƠ THANH TOÁN VƯỢT THẨM QUYỀN PD</v>
          </cell>
        </row>
      </sheetData>
      <sheetData sheetId="5049">
        <row r="1">
          <cell r="A1" t="str">
            <v>PHIẾU XỬ LÝ HỒ SƠ THANH TOÁN VƯỢT THẨM QUYỀN PD</v>
          </cell>
        </row>
      </sheetData>
      <sheetData sheetId="5050">
        <row r="1">
          <cell r="A1" t="str">
            <v>PHIẾU XỬ LÝ HỒ SƠ THANH TOÁN VƯỢT THẨM QUYỀN PD</v>
          </cell>
        </row>
      </sheetData>
      <sheetData sheetId="5051">
        <row r="1">
          <cell r="A1" t="str">
            <v>PHIẾU XỬ LÝ HỒ SƠ THANH TOÁN VƯỢT THẨM QUYỀN PD</v>
          </cell>
        </row>
      </sheetData>
      <sheetData sheetId="5052">
        <row r="1">
          <cell r="A1" t="str">
            <v>PHIẾU XỬ LÝ HỒ SƠ THANH TOÁN VƯỢT THẨM QUYỀN PD</v>
          </cell>
        </row>
      </sheetData>
      <sheetData sheetId="5053">
        <row r="1">
          <cell r="A1" t="str">
            <v>PHIẾU XỬ LÝ HỒ SƠ THANH TOÁN VƯỢT THẨM QUYỀN PD</v>
          </cell>
        </row>
      </sheetData>
      <sheetData sheetId="5054">
        <row r="1">
          <cell r="A1" t="str">
            <v>PHIẾU XỬ LÝ HỒ SƠ THANH TOÁN VƯỢT THẨM QUYỀN PD</v>
          </cell>
        </row>
      </sheetData>
      <sheetData sheetId="5055">
        <row r="1">
          <cell r="A1" t="str">
            <v>PHIẾU XỬ LÝ HỒ SƠ THANH TOÁN VƯỢT THẨM QUYỀN PD</v>
          </cell>
        </row>
      </sheetData>
      <sheetData sheetId="5056">
        <row r="1">
          <cell r="A1" t="str">
            <v>PHIẾU XỬ LÝ HỒ SƠ THANH TOÁN VƯỢT THẨM QUYỀN PD</v>
          </cell>
        </row>
      </sheetData>
      <sheetData sheetId="5057">
        <row r="1">
          <cell r="A1" t="str">
            <v>PHIẾU XỬ LÝ HỒ SƠ THANH TOÁN VƯỢT THẨM QUYỀN PD</v>
          </cell>
        </row>
      </sheetData>
      <sheetData sheetId="5058">
        <row r="1">
          <cell r="A1" t="str">
            <v>PHIẾU XỬ LÝ HỒ SƠ THANH TOÁN VƯỢT THẨM QUYỀN PD</v>
          </cell>
        </row>
      </sheetData>
      <sheetData sheetId="5059">
        <row r="1">
          <cell r="A1" t="str">
            <v>PHIẾU XỬ LÝ HỒ SƠ THANH TOÁN VƯỢT THẨM QUYỀN PD</v>
          </cell>
        </row>
      </sheetData>
      <sheetData sheetId="5060">
        <row r="1">
          <cell r="A1" t="str">
            <v>PHIẾU XỬ LÝ HỒ SƠ THANH TOÁN VƯỢT THẨM QUYỀN PD</v>
          </cell>
        </row>
      </sheetData>
      <sheetData sheetId="5061">
        <row r="1">
          <cell r="A1" t="str">
            <v>PHIẾU XỬ LÝ HỒ SƠ THANH TOÁN VƯỢT THẨM QUYỀN PD</v>
          </cell>
        </row>
      </sheetData>
      <sheetData sheetId="5062">
        <row r="1">
          <cell r="A1" t="str">
            <v>PHIẾU XỬ LÝ HỒ SƠ THANH TOÁN VƯỢT THẨM QUYỀN PD</v>
          </cell>
        </row>
      </sheetData>
      <sheetData sheetId="5063">
        <row r="1">
          <cell r="A1" t="str">
            <v>PHIẾU XỬ LÝ HỒ SƠ THANH TOÁN VƯỢT THẨM QUYỀN PD</v>
          </cell>
        </row>
      </sheetData>
      <sheetData sheetId="5064">
        <row r="1">
          <cell r="A1" t="str">
            <v>PHIẾU XỬ LÝ HỒ SƠ THANH TOÁN VƯỢT THẨM QUYỀN PD</v>
          </cell>
        </row>
      </sheetData>
      <sheetData sheetId="5065">
        <row r="1">
          <cell r="A1" t="str">
            <v>PHIẾU XỬ LÝ HỒ SƠ THANH TOÁN VƯỢT THẨM QUYỀN PD</v>
          </cell>
        </row>
      </sheetData>
      <sheetData sheetId="5066">
        <row r="1">
          <cell r="A1" t="str">
            <v>PHIẾU XỬ LÝ HỒ SƠ THANH TOÁN VƯỢT THẨM QUYỀN PD</v>
          </cell>
        </row>
      </sheetData>
      <sheetData sheetId="5067">
        <row r="1">
          <cell r="A1" t="str">
            <v>PHIẾU XỬ LÝ HỒ SƠ THANH TOÁN VƯỢT THẨM QUYỀN PD</v>
          </cell>
        </row>
      </sheetData>
      <sheetData sheetId="5068">
        <row r="1">
          <cell r="A1" t="str">
            <v>PHIẾU XỬ LÝ HỒ SƠ THANH TOÁN VƯỢT THẨM QUYỀN PD</v>
          </cell>
        </row>
      </sheetData>
      <sheetData sheetId="5069">
        <row r="1">
          <cell r="A1" t="str">
            <v>PHIẾU XỬ LÝ HỒ SƠ THANH TOÁN VƯỢT THẨM QUYỀN PD</v>
          </cell>
        </row>
      </sheetData>
      <sheetData sheetId="5070">
        <row r="1">
          <cell r="A1" t="str">
            <v>PHIẾU XỬ LÝ HỒ SƠ THANH TOÁN VƯỢT THẨM QUYỀN PD</v>
          </cell>
        </row>
      </sheetData>
      <sheetData sheetId="5071">
        <row r="1">
          <cell r="A1" t="str">
            <v>PHIẾU XỬ LÝ HỒ SƠ THANH TOÁN VƯỢT THẨM QUYỀN PD</v>
          </cell>
        </row>
      </sheetData>
      <sheetData sheetId="5072">
        <row r="1">
          <cell r="A1" t="str">
            <v>PHIẾU XỬ LÝ HỒ SƠ THANH TOÁN VƯỢT THẨM QUYỀN PD</v>
          </cell>
        </row>
      </sheetData>
      <sheetData sheetId="5073">
        <row r="1">
          <cell r="A1" t="str">
            <v>PHIẾU XỬ LÝ HỒ SƠ THANH TOÁN VƯỢT THẨM QUYỀN PD</v>
          </cell>
        </row>
      </sheetData>
      <sheetData sheetId="5074">
        <row r="1">
          <cell r="A1" t="str">
            <v>PHIẾU XỬ LÝ HỒ SƠ THANH TOÁN VƯỢT THẨM QUYỀN PD</v>
          </cell>
        </row>
      </sheetData>
      <sheetData sheetId="5075">
        <row r="1">
          <cell r="A1" t="str">
            <v>PHIẾU XỬ LÝ HỒ SƠ THANH TOÁN VƯỢT THẨM QUYỀN PD</v>
          </cell>
        </row>
      </sheetData>
      <sheetData sheetId="5076">
        <row r="1">
          <cell r="A1" t="str">
            <v>PHIẾU XỬ LÝ HỒ SƠ THANH TOÁN VƯỢT THẨM QUYỀN PD</v>
          </cell>
        </row>
      </sheetData>
      <sheetData sheetId="5077">
        <row r="1">
          <cell r="A1" t="str">
            <v>PHIẾU XỬ LÝ HỒ SƠ THANH TOÁN VƯỢT THẨM QUYỀN PD</v>
          </cell>
        </row>
      </sheetData>
      <sheetData sheetId="5078">
        <row r="1">
          <cell r="A1" t="str">
            <v>PHIẾU XỬ LÝ HỒ SƠ THANH TOÁN VƯỢT THẨM QUYỀN PD</v>
          </cell>
        </row>
      </sheetData>
      <sheetData sheetId="5079">
        <row r="1">
          <cell r="A1" t="str">
            <v>PHIẾU XỬ LÝ HỒ SƠ THANH TOÁN VƯỢT THẨM QUYỀN PD</v>
          </cell>
        </row>
      </sheetData>
      <sheetData sheetId="5080">
        <row r="1">
          <cell r="A1" t="str">
            <v>PHIẾU XỬ LÝ HỒ SƠ THANH TOÁN VƯỢT THẨM QUYỀN PD</v>
          </cell>
        </row>
      </sheetData>
      <sheetData sheetId="5081">
        <row r="1">
          <cell r="A1" t="str">
            <v>PHIẾU XỬ LÝ HỒ SƠ THANH TOÁN VƯỢT THẨM QUYỀN PD</v>
          </cell>
        </row>
      </sheetData>
      <sheetData sheetId="5082">
        <row r="1">
          <cell r="A1" t="str">
            <v>PHIẾU XỬ LÝ HỒ SƠ THANH TOÁN VƯỢT THẨM QUYỀN PD</v>
          </cell>
        </row>
      </sheetData>
      <sheetData sheetId="5083">
        <row r="1">
          <cell r="A1" t="str">
            <v>PHIẾU XỬ LÝ HỒ SƠ THANH TOÁN VƯỢT THẨM QUYỀN PD</v>
          </cell>
        </row>
      </sheetData>
      <sheetData sheetId="5084">
        <row r="1">
          <cell r="A1" t="str">
            <v>PHIẾU XỬ LÝ HỒ SƠ THANH TOÁN VƯỢT THẨM QUYỀN PD</v>
          </cell>
        </row>
      </sheetData>
      <sheetData sheetId="5085">
        <row r="1">
          <cell r="A1" t="str">
            <v>PHIẾU XỬ LÝ HỒ SƠ THANH TOÁN VƯỢT THẨM QUYỀN PD</v>
          </cell>
        </row>
      </sheetData>
      <sheetData sheetId="5086">
        <row r="1">
          <cell r="A1" t="str">
            <v>PHIẾU XỬ LÝ HỒ SƠ THANH TOÁN VƯỢT THẨM QUYỀN PD</v>
          </cell>
        </row>
      </sheetData>
      <sheetData sheetId="5087">
        <row r="1">
          <cell r="A1" t="str">
            <v>PHIẾU XỬ LÝ HỒ SƠ THANH TOÁN VƯỢT THẨM QUYỀN PD</v>
          </cell>
        </row>
      </sheetData>
      <sheetData sheetId="5088">
        <row r="1">
          <cell r="A1" t="str">
            <v>PHIẾU XỬ LÝ HỒ SƠ THANH TOÁN VƯỢT THẨM QUYỀN PD</v>
          </cell>
        </row>
      </sheetData>
      <sheetData sheetId="5089">
        <row r="1">
          <cell r="A1" t="str">
            <v>PHIẾU XỬ LÝ HỒ SƠ THANH TOÁN VƯỢT THẨM QUYỀN PD</v>
          </cell>
        </row>
      </sheetData>
      <sheetData sheetId="5090">
        <row r="1">
          <cell r="A1" t="str">
            <v>PHIẾU XỬ LÝ HỒ SƠ THANH TOÁN VƯỢT THẨM QUYỀN PD</v>
          </cell>
        </row>
      </sheetData>
      <sheetData sheetId="5091">
        <row r="1">
          <cell r="A1" t="str">
            <v>PHIẾU XỬ LÝ HỒ SƠ THANH TOÁN VƯỢT THẨM QUYỀN PD</v>
          </cell>
        </row>
      </sheetData>
      <sheetData sheetId="5092">
        <row r="1">
          <cell r="A1" t="str">
            <v>PHIẾU XỬ LÝ HỒ SƠ THANH TOÁN VƯỢT THẨM QUYỀN PD</v>
          </cell>
        </row>
      </sheetData>
      <sheetData sheetId="5093">
        <row r="1">
          <cell r="A1" t="str">
            <v>PHIẾU XỬ LÝ HỒ SƠ THANH TOÁN VƯỢT THẨM QUYỀN PD</v>
          </cell>
        </row>
      </sheetData>
      <sheetData sheetId="5094">
        <row r="1">
          <cell r="A1" t="str">
            <v>PHIẾU XỬ LÝ HỒ SƠ THANH TOÁN VƯỢT THẨM QUYỀN PD</v>
          </cell>
        </row>
      </sheetData>
      <sheetData sheetId="5095">
        <row r="1">
          <cell r="A1" t="str">
            <v>PHIẾU XỬ LÝ HỒ SƠ THANH TOÁN VƯỢT THẨM QUYỀN PD</v>
          </cell>
        </row>
      </sheetData>
      <sheetData sheetId="5096">
        <row r="1">
          <cell r="A1" t="str">
            <v>PHIẾU XỬ LÝ HỒ SƠ THANH TOÁN VƯỢT THẨM QUYỀN PD</v>
          </cell>
        </row>
      </sheetData>
      <sheetData sheetId="5097">
        <row r="1">
          <cell r="A1" t="str">
            <v>PHIẾU XỬ LÝ HỒ SƠ THANH TOÁN VƯỢT THẨM QUYỀN PD</v>
          </cell>
        </row>
      </sheetData>
      <sheetData sheetId="5098">
        <row r="1">
          <cell r="A1" t="str">
            <v>PHIẾU XỬ LÝ HỒ SƠ THANH TOÁN VƯỢT THẨM QUYỀN PD</v>
          </cell>
        </row>
      </sheetData>
      <sheetData sheetId="5099">
        <row r="1">
          <cell r="A1" t="str">
            <v>PHIẾU XỬ LÝ HỒ SƠ THANH TOÁN VƯỢT THẨM QUYỀN PD</v>
          </cell>
        </row>
      </sheetData>
      <sheetData sheetId="5100">
        <row r="1">
          <cell r="A1" t="str">
            <v>PHIẾU XỬ LÝ HỒ SƠ THANH TOÁN VƯỢT THẨM QUYỀN PD</v>
          </cell>
        </row>
      </sheetData>
      <sheetData sheetId="5101">
        <row r="1">
          <cell r="A1" t="str">
            <v>PHIẾU XỬ LÝ HỒ SƠ THANH TOÁN VƯỢT THẨM QUYỀN PD</v>
          </cell>
        </row>
      </sheetData>
      <sheetData sheetId="5102">
        <row r="1">
          <cell r="A1" t="str">
            <v>PHIẾU XỬ LÝ HỒ SƠ THANH TOÁN VƯỢT THẨM QUYỀN PD</v>
          </cell>
        </row>
      </sheetData>
      <sheetData sheetId="5103">
        <row r="1">
          <cell r="A1" t="str">
            <v>PHIẾU XỬ LÝ HỒ SƠ THANH TOÁN VƯỢT THẨM QUYỀN PD</v>
          </cell>
        </row>
      </sheetData>
      <sheetData sheetId="5104">
        <row r="1">
          <cell r="A1" t="str">
            <v>PHIẾU XỬ LÝ HỒ SƠ THANH TOÁN VƯỢT THẨM QUYỀN PD</v>
          </cell>
        </row>
      </sheetData>
      <sheetData sheetId="5105">
        <row r="1">
          <cell r="A1" t="str">
            <v>PHIẾU XỬ LÝ HỒ SƠ THANH TOÁN VƯỢT THẨM QUYỀN PD</v>
          </cell>
        </row>
      </sheetData>
      <sheetData sheetId="5106">
        <row r="1">
          <cell r="A1" t="str">
            <v>PHIẾU XỬ LÝ HỒ SƠ THANH TOÁN VƯỢT THẨM QUYỀN PD</v>
          </cell>
        </row>
      </sheetData>
      <sheetData sheetId="5107">
        <row r="1">
          <cell r="A1" t="str">
            <v>PHIẾU XỬ LÝ HỒ SƠ THANH TOÁN VƯỢT THẨM QUYỀN PD</v>
          </cell>
        </row>
      </sheetData>
      <sheetData sheetId="5108">
        <row r="1">
          <cell r="A1" t="str">
            <v>PHIẾU XỬ LÝ HỒ SƠ THANH TOÁN VƯỢT THẨM QUYỀN PD</v>
          </cell>
        </row>
      </sheetData>
      <sheetData sheetId="5109">
        <row r="1">
          <cell r="A1" t="str">
            <v>PHIẾU XỬ LÝ HỒ SƠ THANH TOÁN VƯỢT THẨM QUYỀN PD</v>
          </cell>
        </row>
      </sheetData>
      <sheetData sheetId="5110">
        <row r="1">
          <cell r="A1" t="str">
            <v>PHIẾU XỬ LÝ HỒ SƠ THANH TOÁN VƯỢT THẨM QUYỀN PD</v>
          </cell>
        </row>
      </sheetData>
      <sheetData sheetId="5111">
        <row r="1">
          <cell r="A1" t="str">
            <v>PHIẾU XỬ LÝ HỒ SƠ THANH TOÁN VƯỢT THẨM QUYỀN PD</v>
          </cell>
        </row>
      </sheetData>
      <sheetData sheetId="5112">
        <row r="1">
          <cell r="A1" t="str">
            <v>PHIẾU XỬ LÝ HỒ SƠ THANH TOÁN VƯỢT THẨM QUYỀN PD</v>
          </cell>
        </row>
      </sheetData>
      <sheetData sheetId="5113">
        <row r="1">
          <cell r="A1" t="str">
            <v>PHIẾU XỬ LÝ HỒ SƠ THANH TOÁN VƯỢT THẨM QUYỀN PD</v>
          </cell>
        </row>
      </sheetData>
      <sheetData sheetId="5114">
        <row r="1">
          <cell r="A1" t="str">
            <v>PHIẾU XỬ LÝ HỒ SƠ THANH TOÁN VƯỢT THẨM QUYỀN PD</v>
          </cell>
        </row>
      </sheetData>
      <sheetData sheetId="5115">
        <row r="1">
          <cell r="A1" t="str">
            <v>PHIẾU XỬ LÝ HỒ SƠ THANH TOÁN VƯỢT THẨM QUYỀN PD</v>
          </cell>
        </row>
      </sheetData>
      <sheetData sheetId="5116">
        <row r="1">
          <cell r="A1" t="str">
            <v>PHIẾU XỬ LÝ HỒ SƠ THANH TOÁN VƯỢT THẨM QUYỀN PD</v>
          </cell>
        </row>
      </sheetData>
      <sheetData sheetId="5117">
        <row r="1">
          <cell r="A1" t="str">
            <v>PHIẾU XỬ LÝ HỒ SƠ THANH TOÁN VƯỢT THẨM QUYỀN PD</v>
          </cell>
        </row>
      </sheetData>
      <sheetData sheetId="5118">
        <row r="1">
          <cell r="A1" t="str">
            <v>PHIẾU XỬ LÝ HỒ SƠ THANH TOÁN VƯỢT THẨM QUYỀN PD</v>
          </cell>
        </row>
      </sheetData>
      <sheetData sheetId="5119">
        <row r="1">
          <cell r="A1" t="str">
            <v>PHIẾU XỬ LÝ HỒ SƠ THANH TOÁN VƯỢT THẨM QUYỀN PD</v>
          </cell>
        </row>
      </sheetData>
      <sheetData sheetId="5120">
        <row r="1">
          <cell r="A1" t="str">
            <v>PHIẾU XỬ LÝ HỒ SƠ THANH TOÁN VƯỢT THẨM QUYỀN PD</v>
          </cell>
        </row>
      </sheetData>
      <sheetData sheetId="5121">
        <row r="1">
          <cell r="A1" t="str">
            <v>PHIẾU XỬ LÝ HỒ SƠ THANH TOÁN VƯỢT THẨM QUYỀN PD</v>
          </cell>
        </row>
      </sheetData>
      <sheetData sheetId="5122">
        <row r="1">
          <cell r="A1" t="str">
            <v>PHIẾU XỬ LÝ HỒ SƠ THANH TOÁN VƯỢT THẨM QUYỀN PD</v>
          </cell>
        </row>
      </sheetData>
      <sheetData sheetId="5123">
        <row r="1">
          <cell r="A1" t="str">
            <v>PHIẾU XỬ LÝ HỒ SƠ THANH TOÁN VƯỢT THẨM QUYỀN PD</v>
          </cell>
        </row>
      </sheetData>
      <sheetData sheetId="5124">
        <row r="1">
          <cell r="A1" t="str">
            <v>PHIẾU XỬ LÝ HỒ SƠ THANH TOÁN VƯỢT THẨM QUYỀN PD</v>
          </cell>
        </row>
      </sheetData>
      <sheetData sheetId="5125">
        <row r="1">
          <cell r="A1" t="str">
            <v>PHIẾU XỬ LÝ HỒ SƠ THANH TOÁN VƯỢT THẨM QUYỀN PD</v>
          </cell>
        </row>
      </sheetData>
      <sheetData sheetId="5126">
        <row r="1">
          <cell r="A1" t="str">
            <v>PHIẾU XỬ LÝ HỒ SƠ THANH TOÁN VƯỢT THẨM QUYỀN PD</v>
          </cell>
        </row>
      </sheetData>
      <sheetData sheetId="5127">
        <row r="1">
          <cell r="A1" t="str">
            <v>PHIẾU XỬ LÝ HỒ SƠ THANH TOÁN VƯỢT THẨM QUYỀN PD</v>
          </cell>
        </row>
      </sheetData>
      <sheetData sheetId="5128">
        <row r="1">
          <cell r="A1" t="str">
            <v>PHIẾU XỬ LÝ HỒ SƠ THANH TOÁN VƯỢT THẨM QUYỀN PD</v>
          </cell>
        </row>
      </sheetData>
      <sheetData sheetId="5129">
        <row r="1">
          <cell r="A1" t="str">
            <v>PHIẾU XỬ LÝ HỒ SƠ THANH TOÁN VƯỢT THẨM QUYỀN PD</v>
          </cell>
        </row>
      </sheetData>
      <sheetData sheetId="5130">
        <row r="1">
          <cell r="A1" t="str">
            <v>PHIẾU XỬ LÝ HỒ SƠ THANH TOÁN VƯỢT THẨM QUYỀN PD</v>
          </cell>
        </row>
      </sheetData>
      <sheetData sheetId="5131">
        <row r="1">
          <cell r="A1" t="str">
            <v>PHIẾU XỬ LÝ HỒ SƠ THANH TOÁN VƯỢT THẨM QUYỀN PD</v>
          </cell>
        </row>
      </sheetData>
      <sheetData sheetId="5132">
        <row r="1">
          <cell r="A1" t="str">
            <v>PHIẾU XỬ LÝ HỒ SƠ THANH TOÁN VƯỢT THẨM QUYỀN PD</v>
          </cell>
        </row>
      </sheetData>
      <sheetData sheetId="5133">
        <row r="1">
          <cell r="A1" t="str">
            <v>PHIẾU XỬ LÝ HỒ SƠ THANH TOÁN VƯỢT THẨM QUYỀN PD</v>
          </cell>
        </row>
      </sheetData>
      <sheetData sheetId="5134">
        <row r="1">
          <cell r="A1" t="str">
            <v>PHIẾU XỬ LÝ HỒ SƠ THANH TOÁN VƯỢT THẨM QUYỀN PD</v>
          </cell>
        </row>
      </sheetData>
      <sheetData sheetId="5135">
        <row r="1">
          <cell r="A1" t="str">
            <v>PHIẾU XỬ LÝ HỒ SƠ THANH TOÁN VƯỢT THẨM QUYỀN PD</v>
          </cell>
        </row>
      </sheetData>
      <sheetData sheetId="5136">
        <row r="1">
          <cell r="A1" t="str">
            <v>PHIẾU XỬ LÝ HỒ SƠ THANH TOÁN VƯỢT THẨM QUYỀN PD</v>
          </cell>
        </row>
      </sheetData>
      <sheetData sheetId="5137">
        <row r="1">
          <cell r="A1" t="str">
            <v>PHIẾU XỬ LÝ HỒ SƠ THANH TOÁN VƯỢT THẨM QUYỀN PD</v>
          </cell>
        </row>
      </sheetData>
      <sheetData sheetId="5138">
        <row r="1">
          <cell r="A1" t="str">
            <v>PHIẾU XỬ LÝ HỒ SƠ THANH TOÁN VƯỢT THẨM QUYỀN PD</v>
          </cell>
        </row>
      </sheetData>
      <sheetData sheetId="5139">
        <row r="1">
          <cell r="A1" t="str">
            <v>PHIẾU XỬ LÝ HỒ SƠ THANH TOÁN VƯỢT THẨM QUYỀN PD</v>
          </cell>
        </row>
      </sheetData>
      <sheetData sheetId="5140">
        <row r="1">
          <cell r="A1" t="str">
            <v>PHIẾU XỬ LÝ HỒ SƠ THANH TOÁN VƯỢT THẨM QUYỀN PD</v>
          </cell>
        </row>
      </sheetData>
      <sheetData sheetId="5141">
        <row r="1">
          <cell r="A1" t="str">
            <v>PHIẾU XỬ LÝ HỒ SƠ THANH TOÁN VƯỢT THẨM QUYỀN PD</v>
          </cell>
        </row>
      </sheetData>
      <sheetData sheetId="5142">
        <row r="1">
          <cell r="A1" t="str">
            <v>PHIẾU XỬ LÝ HỒ SƠ THANH TOÁN VƯỢT THẨM QUYỀN PD</v>
          </cell>
        </row>
      </sheetData>
      <sheetData sheetId="5143">
        <row r="1">
          <cell r="A1" t="str">
            <v>PHIẾU XỬ LÝ HỒ SƠ THANH TOÁN VƯỢT THẨM QUYỀN PD</v>
          </cell>
        </row>
      </sheetData>
      <sheetData sheetId="5144">
        <row r="1">
          <cell r="A1" t="str">
            <v>PHIẾU XỬ LÝ HỒ SƠ THANH TOÁN VƯỢT THẨM QUYỀN PD</v>
          </cell>
        </row>
      </sheetData>
      <sheetData sheetId="5145">
        <row r="1">
          <cell r="A1" t="str">
            <v>PHIẾU XỬ LÝ HỒ SƠ THANH TOÁN VƯỢT THẨM QUYỀN PD</v>
          </cell>
        </row>
      </sheetData>
      <sheetData sheetId="5146">
        <row r="1">
          <cell r="A1" t="str">
            <v>PHIẾU XỬ LÝ HỒ SƠ THANH TOÁN VƯỢT THẨM QUYỀN PD</v>
          </cell>
        </row>
      </sheetData>
      <sheetData sheetId="5147">
        <row r="1">
          <cell r="A1" t="str">
            <v>PHIẾU XỬ LÝ HỒ SƠ THANH TOÁN VƯỢT THẨM QUYỀN PD</v>
          </cell>
        </row>
      </sheetData>
      <sheetData sheetId="5148">
        <row r="1">
          <cell r="A1" t="str">
            <v>PHIẾU XỬ LÝ HỒ SƠ THANH TOÁN VƯỢT THẨM QUYỀN PD</v>
          </cell>
        </row>
      </sheetData>
      <sheetData sheetId="5149">
        <row r="1">
          <cell r="A1" t="str">
            <v>PHIẾU XỬ LÝ HỒ SƠ THANH TOÁN VƯỢT THẨM QUYỀN PD</v>
          </cell>
        </row>
      </sheetData>
      <sheetData sheetId="5150">
        <row r="1">
          <cell r="A1" t="str">
            <v>PHIẾU XỬ LÝ HỒ SƠ THANH TOÁN VƯỢT THẨM QUYỀN PD</v>
          </cell>
        </row>
      </sheetData>
      <sheetData sheetId="5151">
        <row r="1">
          <cell r="A1" t="str">
            <v>PHIẾU XỬ LÝ HỒ SƠ THANH TOÁN VƯỢT THẨM QUYỀN PD</v>
          </cell>
        </row>
      </sheetData>
      <sheetData sheetId="5152">
        <row r="1">
          <cell r="A1" t="str">
            <v>PHIẾU XỬ LÝ HỒ SƠ THANH TOÁN VƯỢT THẨM QUYỀN PD</v>
          </cell>
        </row>
      </sheetData>
      <sheetData sheetId="5153">
        <row r="1">
          <cell r="A1" t="str">
            <v>PHIẾU XỬ LÝ HỒ SƠ THANH TOÁN VƯỢT THẨM QUYỀN PD</v>
          </cell>
        </row>
      </sheetData>
      <sheetData sheetId="5154">
        <row r="1">
          <cell r="A1" t="str">
            <v>PHIẾU XỬ LÝ HỒ SƠ THANH TOÁN VƯỢT THẨM QUYỀN PD</v>
          </cell>
        </row>
      </sheetData>
      <sheetData sheetId="5155">
        <row r="1">
          <cell r="A1" t="str">
            <v>PHIẾU XỬ LÝ HỒ SƠ THANH TOÁN VƯỢT THẨM QUYỀN PD</v>
          </cell>
        </row>
      </sheetData>
      <sheetData sheetId="5156">
        <row r="1">
          <cell r="A1" t="str">
            <v>PHIẾU XỬ LÝ HỒ SƠ THANH TOÁN VƯỢT THẨM QUYỀN PD</v>
          </cell>
        </row>
      </sheetData>
      <sheetData sheetId="5157">
        <row r="1">
          <cell r="A1" t="str">
            <v>PHIẾU XỬ LÝ HỒ SƠ THANH TOÁN VƯỢT THẨM QUYỀN PD</v>
          </cell>
        </row>
      </sheetData>
      <sheetData sheetId="5158">
        <row r="1">
          <cell r="A1" t="str">
            <v>PHIẾU XỬ LÝ HỒ SƠ THANH TOÁN VƯỢT THẨM QUYỀN PD</v>
          </cell>
        </row>
      </sheetData>
      <sheetData sheetId="5159">
        <row r="1">
          <cell r="A1" t="str">
            <v>PHIẾU XỬ LÝ HỒ SƠ THANH TOÁN VƯỢT THẨM QUYỀN PD</v>
          </cell>
        </row>
      </sheetData>
      <sheetData sheetId="5160">
        <row r="1">
          <cell r="A1" t="str">
            <v>PHIẾU XỬ LÝ HỒ SƠ THANH TOÁN VƯỢT THẨM QUYỀN PD</v>
          </cell>
        </row>
      </sheetData>
      <sheetData sheetId="5161">
        <row r="1">
          <cell r="A1" t="str">
            <v>PHIẾU XỬ LÝ HỒ SƠ THANH TOÁN VƯỢT THẨM QUYỀN PD</v>
          </cell>
        </row>
      </sheetData>
      <sheetData sheetId="5162">
        <row r="1">
          <cell r="A1" t="str">
            <v>PHIẾU XỬ LÝ HỒ SƠ THANH TOÁN VƯỢT THẨM QUYỀN PD</v>
          </cell>
        </row>
      </sheetData>
      <sheetData sheetId="5163">
        <row r="1">
          <cell r="A1" t="str">
            <v>PHIẾU XỬ LÝ HỒ SƠ THANH TOÁN VƯỢT THẨM QUYỀN PD</v>
          </cell>
        </row>
      </sheetData>
      <sheetData sheetId="5164">
        <row r="1">
          <cell r="A1" t="str">
            <v>PHIẾU XỬ LÝ HỒ SƠ THANH TOÁN VƯỢT THẨM QUYỀN PD</v>
          </cell>
        </row>
      </sheetData>
      <sheetData sheetId="5165">
        <row r="1">
          <cell r="A1" t="str">
            <v>PHIẾU XỬ LÝ HỒ SƠ THANH TOÁN VƯỢT THẨM QUYỀN PD</v>
          </cell>
        </row>
      </sheetData>
      <sheetData sheetId="5166">
        <row r="1">
          <cell r="A1" t="str">
            <v>PHIẾU XỬ LÝ HỒ SƠ THANH TOÁN VƯỢT THẨM QUYỀN PD</v>
          </cell>
        </row>
      </sheetData>
      <sheetData sheetId="5167">
        <row r="1">
          <cell r="A1" t="str">
            <v>PHIẾU XỬ LÝ HỒ SƠ THANH TOÁN VƯỢT THẨM QUYỀN PD</v>
          </cell>
        </row>
      </sheetData>
      <sheetData sheetId="5168">
        <row r="1">
          <cell r="A1" t="str">
            <v>PHIẾU XỬ LÝ HỒ SƠ THANH TOÁN VƯỢT THẨM QUYỀN PD</v>
          </cell>
        </row>
      </sheetData>
      <sheetData sheetId="5169">
        <row r="1">
          <cell r="A1" t="str">
            <v>PHIẾU XỬ LÝ HỒ SƠ THANH TOÁN VƯỢT THẨM QUYỀN PD</v>
          </cell>
        </row>
      </sheetData>
      <sheetData sheetId="5170">
        <row r="1">
          <cell r="A1" t="str">
            <v>PHIẾU XỬ LÝ HỒ SƠ THANH TOÁN VƯỢT THẨM QUYỀN PD</v>
          </cell>
        </row>
      </sheetData>
      <sheetData sheetId="5171">
        <row r="1">
          <cell r="A1" t="str">
            <v>PHIẾU XỬ LÝ HỒ SƠ THANH TOÁN VƯỢT THẨM QUYỀN PD</v>
          </cell>
        </row>
      </sheetData>
      <sheetData sheetId="5172">
        <row r="1">
          <cell r="A1" t="str">
            <v>PHIẾU XỬ LÝ HỒ SƠ THANH TOÁN VƯỢT THẨM QUYỀN PD</v>
          </cell>
        </row>
      </sheetData>
      <sheetData sheetId="5173">
        <row r="1">
          <cell r="A1" t="str">
            <v>PHIẾU XỬ LÝ HỒ SƠ THANH TOÁN VƯỢT THẨM QUYỀN PD</v>
          </cell>
        </row>
      </sheetData>
      <sheetData sheetId="5174">
        <row r="1">
          <cell r="A1" t="str">
            <v>PHIẾU XỬ LÝ HỒ SƠ THANH TOÁN VƯỢT THẨM QUYỀN PD</v>
          </cell>
        </row>
      </sheetData>
      <sheetData sheetId="5175">
        <row r="1">
          <cell r="A1" t="str">
            <v>PHIẾU XỬ LÝ HỒ SƠ THANH TOÁN VƯỢT THẨM QUYỀN PD</v>
          </cell>
        </row>
      </sheetData>
      <sheetData sheetId="5176">
        <row r="1">
          <cell r="A1" t="str">
            <v>PHIẾU XỬ LÝ HỒ SƠ THANH TOÁN VƯỢT THẨM QUYỀN PD</v>
          </cell>
        </row>
      </sheetData>
      <sheetData sheetId="5177">
        <row r="1">
          <cell r="A1" t="str">
            <v>PHIẾU XỬ LÝ HỒ SƠ THANH TOÁN VƯỢT THẨM QUYỀN PD</v>
          </cell>
        </row>
      </sheetData>
      <sheetData sheetId="5178">
        <row r="1">
          <cell r="A1" t="str">
            <v>PHIẾU XỬ LÝ HỒ SƠ THANH TOÁN VƯỢT THẨM QUYỀN PD</v>
          </cell>
        </row>
      </sheetData>
      <sheetData sheetId="5179">
        <row r="1">
          <cell r="A1" t="str">
            <v>PHIẾU XỬ LÝ HỒ SƠ THANH TOÁN VƯỢT THẨM QUYỀN PD</v>
          </cell>
        </row>
      </sheetData>
      <sheetData sheetId="5180">
        <row r="1">
          <cell r="A1" t="str">
            <v>PHIẾU XỬ LÝ HỒ SƠ THANH TOÁN VƯỢT THẨM QUYỀN PD</v>
          </cell>
        </row>
      </sheetData>
      <sheetData sheetId="5181">
        <row r="1">
          <cell r="A1" t="str">
            <v>PHIẾU XỬ LÝ HỒ SƠ THANH TOÁN VƯỢT THẨM QUYỀN PD</v>
          </cell>
        </row>
      </sheetData>
      <sheetData sheetId="5182">
        <row r="1">
          <cell r="A1" t="str">
            <v>PHIẾU XỬ LÝ HỒ SƠ THANH TOÁN VƯỢT THẨM QUYỀN PD</v>
          </cell>
        </row>
      </sheetData>
      <sheetData sheetId="5183">
        <row r="1">
          <cell r="A1" t="str">
            <v>PHIẾU XỬ LÝ HỒ SƠ THANH TOÁN VƯỢT THẨM QUYỀN PD</v>
          </cell>
        </row>
      </sheetData>
      <sheetData sheetId="5184">
        <row r="1">
          <cell r="A1" t="str">
            <v>PHIẾU XỬ LÝ HỒ SƠ THANH TOÁN VƯỢT THẨM QUYỀN PD</v>
          </cell>
        </row>
      </sheetData>
      <sheetData sheetId="5185">
        <row r="1">
          <cell r="A1" t="str">
            <v>PHIẾU XỬ LÝ HỒ SƠ THANH TOÁN VƯỢT THẨM QUYỀN PD</v>
          </cell>
        </row>
      </sheetData>
      <sheetData sheetId="5186">
        <row r="1">
          <cell r="A1" t="str">
            <v>PHIẾU XỬ LÝ HỒ SƠ THANH TOÁN VƯỢT THẨM QUYỀN PD</v>
          </cell>
        </row>
      </sheetData>
      <sheetData sheetId="5187">
        <row r="1">
          <cell r="A1" t="str">
            <v>PHIẾU XỬ LÝ HỒ SƠ THANH TOÁN VƯỢT THẨM QUYỀN PD</v>
          </cell>
        </row>
      </sheetData>
      <sheetData sheetId="5188">
        <row r="1">
          <cell r="A1" t="str">
            <v>PHIẾU XỬ LÝ HỒ SƠ THANH TOÁN VƯỢT THẨM QUYỀN PD</v>
          </cell>
        </row>
      </sheetData>
      <sheetData sheetId="5189">
        <row r="1">
          <cell r="A1" t="str">
            <v>PHIẾU XỬ LÝ HỒ SƠ THANH TOÁN VƯỢT THẨM QUYỀN PD</v>
          </cell>
        </row>
      </sheetData>
      <sheetData sheetId="5190">
        <row r="1">
          <cell r="A1" t="str">
            <v>PHIẾU XỬ LÝ HỒ SƠ THANH TOÁN VƯỢT THẨM QUYỀN PD</v>
          </cell>
        </row>
      </sheetData>
      <sheetData sheetId="5191">
        <row r="1">
          <cell r="A1" t="str">
            <v>PHIẾU XỬ LÝ HỒ SƠ THANH TOÁN VƯỢT THẨM QUYỀN PD</v>
          </cell>
        </row>
      </sheetData>
      <sheetData sheetId="5192">
        <row r="1">
          <cell r="A1" t="str">
            <v>PHIẾU XỬ LÝ HỒ SƠ THANH TOÁN VƯỢT THẨM QUYỀN PD</v>
          </cell>
        </row>
      </sheetData>
      <sheetData sheetId="5193">
        <row r="1">
          <cell r="A1" t="str">
            <v>PHIẾU XỬ LÝ HỒ SƠ THANH TOÁN VƯỢT THẨM QUYỀN PD</v>
          </cell>
        </row>
      </sheetData>
      <sheetData sheetId="5194">
        <row r="1">
          <cell r="A1" t="str">
            <v>PHIẾU XỬ LÝ HỒ SƠ THANH TOÁN VƯỢT THẨM QUYỀN PD</v>
          </cell>
        </row>
      </sheetData>
      <sheetData sheetId="5195">
        <row r="1">
          <cell r="A1" t="str">
            <v>PHIẾU XỬ LÝ HỒ SƠ THANH TOÁN VƯỢT THẨM QUYỀN PD</v>
          </cell>
        </row>
      </sheetData>
      <sheetData sheetId="5196">
        <row r="1">
          <cell r="A1" t="str">
            <v>PHIẾU XỬ LÝ HỒ SƠ THANH TOÁN VƯỢT THẨM QUYỀN PD</v>
          </cell>
        </row>
      </sheetData>
      <sheetData sheetId="5197">
        <row r="1">
          <cell r="A1" t="str">
            <v>PHIẾU XỬ LÝ HỒ SƠ THANH TOÁN VƯỢT THẨM QUYỀN PD</v>
          </cell>
        </row>
      </sheetData>
      <sheetData sheetId="5198">
        <row r="1">
          <cell r="A1" t="str">
            <v>PHIẾU XỬ LÝ HỒ SƠ THANH TOÁN VƯỢT THẨM QUYỀN PD</v>
          </cell>
        </row>
      </sheetData>
      <sheetData sheetId="5199">
        <row r="1">
          <cell r="A1" t="str">
            <v>PHIẾU XỬ LÝ HỒ SƠ THANH TOÁN VƯỢT THẨM QUYỀN PD</v>
          </cell>
        </row>
      </sheetData>
      <sheetData sheetId="5200">
        <row r="1">
          <cell r="A1" t="str">
            <v>PHIẾU XỬ LÝ HỒ SƠ THANH TOÁN VƯỢT THẨM QUYỀN PD</v>
          </cell>
        </row>
      </sheetData>
      <sheetData sheetId="5201">
        <row r="1">
          <cell r="A1" t="str">
            <v>PHIẾU XỬ LÝ HỒ SƠ THANH TOÁN VƯỢT THẨM QUYỀN PD</v>
          </cell>
        </row>
      </sheetData>
      <sheetData sheetId="5202">
        <row r="1">
          <cell r="A1" t="str">
            <v>PHIẾU XỬ LÝ HỒ SƠ THANH TOÁN VƯỢT THẨM QUYỀN PD</v>
          </cell>
        </row>
      </sheetData>
      <sheetData sheetId="5203">
        <row r="1">
          <cell r="A1" t="str">
            <v>PHIẾU XỬ LÝ HỒ SƠ THANH TOÁN VƯỢT THẨM QUYỀN PD</v>
          </cell>
        </row>
      </sheetData>
      <sheetData sheetId="5204">
        <row r="1">
          <cell r="A1" t="str">
            <v>PHIẾU XỬ LÝ HỒ SƠ THANH TOÁN VƯỢT THẨM QUYỀN PD</v>
          </cell>
        </row>
      </sheetData>
      <sheetData sheetId="5205">
        <row r="1">
          <cell r="A1" t="str">
            <v>PHIẾU XỬ LÝ HỒ SƠ THANH TOÁN VƯỢT THẨM QUYỀN PD</v>
          </cell>
        </row>
      </sheetData>
      <sheetData sheetId="5206">
        <row r="1">
          <cell r="A1" t="str">
            <v>PHIẾU XỬ LÝ HỒ SƠ THANH TOÁN VƯỢT THẨM QUYỀN PD</v>
          </cell>
        </row>
      </sheetData>
      <sheetData sheetId="5207">
        <row r="1">
          <cell r="A1" t="str">
            <v>PHIẾU XỬ LÝ HỒ SƠ THANH TOÁN VƯỢT THẨM QUYỀN PD</v>
          </cell>
        </row>
      </sheetData>
      <sheetData sheetId="5208">
        <row r="1">
          <cell r="A1" t="str">
            <v>PHIẾU XỬ LÝ HỒ SƠ THANH TOÁN VƯỢT THẨM QUYỀN PD</v>
          </cell>
        </row>
      </sheetData>
      <sheetData sheetId="5209">
        <row r="1">
          <cell r="A1" t="str">
            <v>PHIẾU XỬ LÝ HỒ SƠ THANH TOÁN VƯỢT THẨM QUYỀN PD</v>
          </cell>
        </row>
      </sheetData>
      <sheetData sheetId="5210">
        <row r="1">
          <cell r="A1" t="str">
            <v>PHIẾU XỬ LÝ HỒ SƠ THANH TOÁN VƯỢT THẨM QUYỀN PD</v>
          </cell>
        </row>
      </sheetData>
      <sheetData sheetId="5211">
        <row r="1">
          <cell r="A1" t="str">
            <v>PHIẾU XỬ LÝ HỒ SƠ THANH TOÁN VƯỢT THẨM QUYỀN PD</v>
          </cell>
        </row>
      </sheetData>
      <sheetData sheetId="5212">
        <row r="1">
          <cell r="A1" t="str">
            <v>PHIẾU XỬ LÝ HỒ SƠ THANH TOÁN VƯỢT THẨM QUYỀN PD</v>
          </cell>
        </row>
      </sheetData>
      <sheetData sheetId="5213">
        <row r="1">
          <cell r="A1" t="str">
            <v>PHIẾU XỬ LÝ HỒ SƠ THANH TOÁN VƯỢT THẨM QUYỀN PD</v>
          </cell>
        </row>
      </sheetData>
      <sheetData sheetId="5214">
        <row r="1">
          <cell r="A1" t="str">
            <v>PHIẾU XỬ LÝ HỒ SƠ THANH TOÁN VƯỢT THẨM QUYỀN PD</v>
          </cell>
        </row>
      </sheetData>
      <sheetData sheetId="5215">
        <row r="1">
          <cell r="A1" t="str">
            <v>PHIẾU XỬ LÝ HỒ SƠ THANH TOÁN VƯỢT THẨM QUYỀN PD</v>
          </cell>
        </row>
      </sheetData>
      <sheetData sheetId="5216">
        <row r="1">
          <cell r="A1" t="str">
            <v>PHIẾU XỬ LÝ HỒ SƠ THANH TOÁN VƯỢT THẨM QUYỀN PD</v>
          </cell>
        </row>
      </sheetData>
      <sheetData sheetId="5217">
        <row r="1">
          <cell r="A1" t="str">
            <v>PHIẾU XỬ LÝ HỒ SƠ THANH TOÁN VƯỢT THẨM QUYỀN PD</v>
          </cell>
        </row>
      </sheetData>
      <sheetData sheetId="5218">
        <row r="1">
          <cell r="A1" t="str">
            <v>PHIẾU XỬ LÝ HỒ SƠ THANH TOÁN VƯỢT THẨM QUYỀN PD</v>
          </cell>
        </row>
      </sheetData>
      <sheetData sheetId="5219">
        <row r="1">
          <cell r="A1" t="str">
            <v>PHIẾU XỬ LÝ HỒ SƠ THANH TOÁN VƯỢT THẨM QUYỀN PD</v>
          </cell>
        </row>
      </sheetData>
      <sheetData sheetId="5220">
        <row r="1">
          <cell r="A1" t="str">
            <v>PHIẾU XỬ LÝ HỒ SƠ THANH TOÁN VƯỢT THẨM QUYỀN PD</v>
          </cell>
        </row>
      </sheetData>
      <sheetData sheetId="5221">
        <row r="1">
          <cell r="A1" t="str">
            <v>PHIẾU XỬ LÝ HỒ SƠ THANH TOÁN VƯỢT THẨM QUYỀN PD</v>
          </cell>
        </row>
      </sheetData>
      <sheetData sheetId="5222">
        <row r="1">
          <cell r="A1" t="str">
            <v>PHIẾU XỬ LÝ HỒ SƠ THANH TOÁN VƯỢT THẨM QUYỀN PD</v>
          </cell>
        </row>
      </sheetData>
      <sheetData sheetId="5223">
        <row r="1">
          <cell r="A1" t="str">
            <v>PHIẾU XỬ LÝ HỒ SƠ THANH TOÁN VƯỢT THẨM QUYỀN PD</v>
          </cell>
        </row>
      </sheetData>
      <sheetData sheetId="5224">
        <row r="1">
          <cell r="A1" t="str">
            <v>PHIẾU XỬ LÝ HỒ SƠ THANH TOÁN VƯỢT THẨM QUYỀN PD</v>
          </cell>
        </row>
      </sheetData>
      <sheetData sheetId="5225">
        <row r="1">
          <cell r="A1" t="str">
            <v>PHIẾU XỬ LÝ HỒ SƠ THANH TOÁN VƯỢT THẨM QUYỀN PD</v>
          </cell>
        </row>
      </sheetData>
      <sheetData sheetId="5226">
        <row r="1">
          <cell r="A1" t="str">
            <v>PHIẾU XỬ LÝ HỒ SƠ THANH TOÁN VƯỢT THẨM QUYỀN PD</v>
          </cell>
        </row>
      </sheetData>
      <sheetData sheetId="5227">
        <row r="1">
          <cell r="A1" t="str">
            <v>PHIẾU XỬ LÝ HỒ SƠ THANH TOÁN VƯỢT THẨM QUYỀN PD</v>
          </cell>
        </row>
      </sheetData>
      <sheetData sheetId="5228">
        <row r="1">
          <cell r="A1" t="str">
            <v>PHIẾU XỬ LÝ HỒ SƠ THANH TOÁN VƯỢT THẨM QUYỀN PD</v>
          </cell>
        </row>
      </sheetData>
      <sheetData sheetId="5229">
        <row r="1">
          <cell r="A1" t="str">
            <v>PHIẾU XỬ LÝ HỒ SƠ THANH TOÁN VƯỢT THẨM QUYỀN PD</v>
          </cell>
        </row>
      </sheetData>
      <sheetData sheetId="5230">
        <row r="1">
          <cell r="A1" t="str">
            <v>PHIẾU XỬ LÝ HỒ SƠ THANH TOÁN VƯỢT THẨM QUYỀN PD</v>
          </cell>
        </row>
      </sheetData>
      <sheetData sheetId="5231">
        <row r="1">
          <cell r="A1" t="str">
            <v>PHIẾU XỬ LÝ HỒ SƠ THANH TOÁN VƯỢT THẨM QUYỀN PD</v>
          </cell>
        </row>
      </sheetData>
      <sheetData sheetId="5232">
        <row r="1">
          <cell r="A1" t="str">
            <v>PHIẾU XỬ LÝ HỒ SƠ THANH TOÁN VƯỢT THẨM QUYỀN PD</v>
          </cell>
        </row>
      </sheetData>
      <sheetData sheetId="5233">
        <row r="1">
          <cell r="A1" t="str">
            <v>PHIẾU XỬ LÝ HỒ SƠ THANH TOÁN VƯỢT THẨM QUYỀN PD</v>
          </cell>
        </row>
      </sheetData>
      <sheetData sheetId="5234">
        <row r="1">
          <cell r="A1" t="str">
            <v>PHIẾU XỬ LÝ HỒ SƠ THANH TOÁN VƯỢT THẨM QUYỀN PD</v>
          </cell>
        </row>
      </sheetData>
      <sheetData sheetId="5235">
        <row r="1">
          <cell r="A1" t="str">
            <v>PHIẾU XỬ LÝ HỒ SƠ THANH TOÁN VƯỢT THẨM QUYỀN PD</v>
          </cell>
        </row>
      </sheetData>
      <sheetData sheetId="5236">
        <row r="1">
          <cell r="A1" t="str">
            <v>PHIẾU XỬ LÝ HỒ SƠ THANH TOÁN VƯỢT THẨM QUYỀN PD</v>
          </cell>
        </row>
      </sheetData>
      <sheetData sheetId="5237">
        <row r="1">
          <cell r="A1" t="str">
            <v>PHIẾU XỬ LÝ HỒ SƠ THANH TOÁN VƯỢT THẨM QUYỀN PD</v>
          </cell>
        </row>
      </sheetData>
      <sheetData sheetId="5238">
        <row r="1">
          <cell r="A1" t="str">
            <v>PHIẾU XỬ LÝ HỒ SƠ THANH TOÁN VƯỢT THẨM QUYỀN PD</v>
          </cell>
        </row>
      </sheetData>
      <sheetData sheetId="5239">
        <row r="1">
          <cell r="A1" t="str">
            <v>PHIẾU XỬ LÝ HỒ SƠ THANH TOÁN VƯỢT THẨM QUYỀN PD</v>
          </cell>
        </row>
      </sheetData>
      <sheetData sheetId="5240">
        <row r="1">
          <cell r="A1" t="str">
            <v>PHIẾU XỬ LÝ HỒ SƠ THANH TOÁN VƯỢT THẨM QUYỀN PD</v>
          </cell>
        </row>
      </sheetData>
      <sheetData sheetId="5241">
        <row r="1">
          <cell r="A1" t="str">
            <v>PHIẾU XỬ LÝ HỒ SƠ THANH TOÁN VƯỢT THẨM QUYỀN PD</v>
          </cell>
        </row>
      </sheetData>
      <sheetData sheetId="5242">
        <row r="1">
          <cell r="A1" t="str">
            <v>PHIẾU XỬ LÝ HỒ SƠ THANH TOÁN VƯỢT THẨM QUYỀN PD</v>
          </cell>
        </row>
      </sheetData>
      <sheetData sheetId="5243">
        <row r="1">
          <cell r="A1" t="str">
            <v>PHIẾU XỬ LÝ HỒ SƠ THANH TOÁN VƯỢT THẨM QUYỀN PD</v>
          </cell>
        </row>
      </sheetData>
      <sheetData sheetId="5244">
        <row r="1">
          <cell r="A1" t="str">
            <v>PHIẾU XỬ LÝ HỒ SƠ THANH TOÁN VƯỢT THẨM QUYỀN PD</v>
          </cell>
        </row>
      </sheetData>
      <sheetData sheetId="5245">
        <row r="1">
          <cell r="A1" t="str">
            <v>PHIẾU XỬ LÝ HỒ SƠ THANH TOÁN VƯỢT THẨM QUYỀN PD</v>
          </cell>
        </row>
      </sheetData>
      <sheetData sheetId="5246">
        <row r="1">
          <cell r="A1" t="str">
            <v>PHIẾU XỬ LÝ HỒ SƠ THANH TOÁN VƯỢT THẨM QUYỀN PD</v>
          </cell>
        </row>
      </sheetData>
      <sheetData sheetId="5247">
        <row r="1">
          <cell r="A1" t="str">
            <v>PHIẾU XỬ LÝ HỒ SƠ THANH TOÁN VƯỢT THẨM QUYỀN PD</v>
          </cell>
        </row>
      </sheetData>
      <sheetData sheetId="5248">
        <row r="1">
          <cell r="A1" t="str">
            <v>PHIẾU XỬ LÝ HỒ SƠ THANH TOÁN VƯỢT THẨM QUYỀN PD</v>
          </cell>
        </row>
      </sheetData>
      <sheetData sheetId="5249">
        <row r="1">
          <cell r="A1" t="str">
            <v>PHIẾU XỬ LÝ HỒ SƠ THANH TOÁN VƯỢT THẨM QUYỀN PD</v>
          </cell>
        </row>
      </sheetData>
      <sheetData sheetId="5250">
        <row r="1">
          <cell r="A1" t="str">
            <v>PHIẾU XỬ LÝ HỒ SƠ THANH TOÁN VƯỢT THẨM QUYỀN PD</v>
          </cell>
        </row>
      </sheetData>
      <sheetData sheetId="5251">
        <row r="1">
          <cell r="A1" t="str">
            <v>PHIẾU XỬ LÝ HỒ SƠ THANH TOÁN VƯỢT THẨM QUYỀN PD</v>
          </cell>
        </row>
      </sheetData>
      <sheetData sheetId="5252">
        <row r="1">
          <cell r="A1" t="str">
            <v>PHIẾU XỬ LÝ HỒ SƠ THANH TOÁN VƯỢT THẨM QUYỀN PD</v>
          </cell>
        </row>
      </sheetData>
      <sheetData sheetId="5253">
        <row r="1">
          <cell r="A1" t="str">
            <v>PHIẾU XỬ LÝ HỒ SƠ THANH TOÁN VƯỢT THẨM QUYỀN PD</v>
          </cell>
        </row>
      </sheetData>
      <sheetData sheetId="5254">
        <row r="1">
          <cell r="A1" t="str">
            <v>PHIẾU XỬ LÝ HỒ SƠ THANH TOÁN VƯỢT THẨM QUYỀN PD</v>
          </cell>
        </row>
      </sheetData>
      <sheetData sheetId="5255">
        <row r="1">
          <cell r="A1" t="str">
            <v>PHIẾU XỬ LÝ HỒ SƠ THANH TOÁN VƯỢT THẨM QUYỀN PD</v>
          </cell>
        </row>
      </sheetData>
      <sheetData sheetId="5256">
        <row r="1">
          <cell r="A1" t="str">
            <v>PHIẾU XỬ LÝ HỒ SƠ THANH TOÁN VƯỢT THẨM QUYỀN PD</v>
          </cell>
        </row>
      </sheetData>
      <sheetData sheetId="5257">
        <row r="1">
          <cell r="A1" t="str">
            <v>PHIẾU XỬ LÝ HỒ SƠ THANH TOÁN VƯỢT THẨM QUYỀN PD</v>
          </cell>
        </row>
      </sheetData>
      <sheetData sheetId="5258">
        <row r="1">
          <cell r="A1" t="str">
            <v>PHIẾU XỬ LÝ HỒ SƠ THANH TOÁN VƯỢT THẨM QUYỀN PD</v>
          </cell>
        </row>
      </sheetData>
      <sheetData sheetId="5259">
        <row r="1">
          <cell r="A1" t="str">
            <v>PHIẾU XỬ LÝ HỒ SƠ THANH TOÁN VƯỢT THẨM QUYỀN PD</v>
          </cell>
        </row>
      </sheetData>
      <sheetData sheetId="5260">
        <row r="1">
          <cell r="A1" t="str">
            <v>PHIẾU XỬ LÝ HỒ SƠ THANH TOÁN VƯỢT THẨM QUYỀN PD</v>
          </cell>
        </row>
      </sheetData>
      <sheetData sheetId="5261">
        <row r="1">
          <cell r="A1" t="str">
            <v>PHIẾU XỬ LÝ HỒ SƠ THANH TOÁN VƯỢT THẨM QUYỀN PD</v>
          </cell>
        </row>
      </sheetData>
      <sheetData sheetId="5262">
        <row r="1">
          <cell r="A1" t="str">
            <v>PHIẾU XỬ LÝ HỒ SƠ THANH TOÁN VƯỢT THẨM QUYỀN PD</v>
          </cell>
        </row>
      </sheetData>
      <sheetData sheetId="5263">
        <row r="1">
          <cell r="A1" t="str">
            <v>PHIẾU XỬ LÝ HỒ SƠ THANH TOÁN VƯỢT THẨM QUYỀN PD</v>
          </cell>
        </row>
      </sheetData>
      <sheetData sheetId="5264">
        <row r="1">
          <cell r="A1" t="str">
            <v>PHIẾU XỬ LÝ HỒ SƠ THANH TOÁN VƯỢT THẨM QUYỀN PD</v>
          </cell>
        </row>
      </sheetData>
      <sheetData sheetId="5265">
        <row r="1">
          <cell r="A1" t="str">
            <v>PHIẾU XỬ LÝ HỒ SƠ THANH TOÁN VƯỢT THẨM QUYỀN PD</v>
          </cell>
        </row>
      </sheetData>
      <sheetData sheetId="5266">
        <row r="1">
          <cell r="A1" t="str">
            <v>PHIẾU XỬ LÝ HỒ SƠ THANH TOÁN VƯỢT THẨM QUYỀN PD</v>
          </cell>
        </row>
      </sheetData>
      <sheetData sheetId="5267">
        <row r="1">
          <cell r="A1" t="str">
            <v>PHIẾU XỬ LÝ HỒ SƠ THANH TOÁN VƯỢT THẨM QUYỀN PD</v>
          </cell>
        </row>
      </sheetData>
      <sheetData sheetId="5268">
        <row r="1">
          <cell r="A1" t="str">
            <v>PHIẾU XỬ LÝ HỒ SƠ THANH TOÁN VƯỢT THẨM QUYỀN PD</v>
          </cell>
        </row>
      </sheetData>
      <sheetData sheetId="5269">
        <row r="1">
          <cell r="A1" t="str">
            <v>PHIẾU XỬ LÝ HỒ SƠ THANH TOÁN VƯỢT THẨM QUYỀN PD</v>
          </cell>
        </row>
      </sheetData>
      <sheetData sheetId="5270">
        <row r="1">
          <cell r="A1" t="str">
            <v>PHIẾU XỬ LÝ HỒ SƠ THANH TOÁN VƯỢT THẨM QUYỀN PD</v>
          </cell>
        </row>
      </sheetData>
      <sheetData sheetId="5271">
        <row r="1">
          <cell r="A1" t="str">
            <v>PHIẾU XỬ LÝ HỒ SƠ THANH TOÁN VƯỢT THẨM QUYỀN PD</v>
          </cell>
        </row>
      </sheetData>
      <sheetData sheetId="5272">
        <row r="1">
          <cell r="A1" t="str">
            <v>PHIẾU XỬ LÝ HỒ SƠ THANH TOÁN VƯỢT THẨM QUYỀN PD</v>
          </cell>
        </row>
      </sheetData>
      <sheetData sheetId="5273">
        <row r="1">
          <cell r="A1" t="str">
            <v>PHIẾU XỬ LÝ HỒ SƠ THANH TOÁN VƯỢT THẨM QUYỀN PD</v>
          </cell>
        </row>
      </sheetData>
      <sheetData sheetId="5274">
        <row r="1">
          <cell r="A1" t="str">
            <v>PHIẾU XỬ LÝ HỒ SƠ THANH TOÁN VƯỢT THẨM QUYỀN PD</v>
          </cell>
        </row>
      </sheetData>
      <sheetData sheetId="5275">
        <row r="1">
          <cell r="A1" t="str">
            <v>PHIẾU XỬ LÝ HỒ SƠ THANH TOÁN VƯỢT THẨM QUYỀN PD</v>
          </cell>
        </row>
      </sheetData>
      <sheetData sheetId="5276">
        <row r="1">
          <cell r="A1" t="str">
            <v>PHIẾU XỬ LÝ HỒ SƠ THANH TOÁN VƯỢT THẨM QUYỀN PD</v>
          </cell>
        </row>
      </sheetData>
      <sheetData sheetId="5277">
        <row r="1">
          <cell r="A1" t="str">
            <v>PHIẾU XỬ LÝ HỒ SƠ THANH TOÁN VƯỢT THẨM QUYỀN PD</v>
          </cell>
        </row>
      </sheetData>
      <sheetData sheetId="5278">
        <row r="1">
          <cell r="A1" t="str">
            <v>PHIẾU XỬ LÝ HỒ SƠ THANH TOÁN VƯỢT THẨM QUYỀN PD</v>
          </cell>
        </row>
      </sheetData>
      <sheetData sheetId="5279">
        <row r="1">
          <cell r="A1" t="str">
            <v>PHIẾU XỬ LÝ HỒ SƠ THANH TOÁN VƯỢT THẨM QUYỀN PD</v>
          </cell>
        </row>
      </sheetData>
      <sheetData sheetId="5280">
        <row r="1">
          <cell r="A1" t="str">
            <v>PHIẾU XỬ LÝ HỒ SƠ THANH TOÁN VƯỢT THẨM QUYỀN PD</v>
          </cell>
        </row>
      </sheetData>
      <sheetData sheetId="5281">
        <row r="1">
          <cell r="A1" t="str">
            <v>PHIẾU XỬ LÝ HỒ SƠ THANH TOÁN VƯỢT THẨM QUYỀN PD</v>
          </cell>
        </row>
      </sheetData>
      <sheetData sheetId="5282">
        <row r="1">
          <cell r="A1" t="str">
            <v>PHIẾU XỬ LÝ HỒ SƠ THANH TOÁN VƯỢT THẨM QUYỀN PD</v>
          </cell>
        </row>
      </sheetData>
      <sheetData sheetId="5283">
        <row r="1">
          <cell r="A1" t="str">
            <v>PHIẾU XỬ LÝ HỒ SƠ THANH TOÁN VƯỢT THẨM QUYỀN PD</v>
          </cell>
        </row>
      </sheetData>
      <sheetData sheetId="5284">
        <row r="1">
          <cell r="A1" t="str">
            <v>PHIẾU XỬ LÝ HỒ SƠ THANH TOÁN VƯỢT THẨM QUYỀN PD</v>
          </cell>
        </row>
      </sheetData>
      <sheetData sheetId="5285">
        <row r="1">
          <cell r="A1" t="str">
            <v>PHIẾU XỬ LÝ HỒ SƠ THANH TOÁN VƯỢT THẨM QUYỀN PD</v>
          </cell>
        </row>
      </sheetData>
      <sheetData sheetId="5286">
        <row r="1">
          <cell r="A1" t="str">
            <v>PHIẾU XỬ LÝ HỒ SƠ THANH TOÁN VƯỢT THẨM QUYỀN PD</v>
          </cell>
        </row>
      </sheetData>
      <sheetData sheetId="5287">
        <row r="1">
          <cell r="A1" t="str">
            <v>PHIẾU XỬ LÝ HỒ SƠ THANH TOÁN VƯỢT THẨM QUYỀN PD</v>
          </cell>
        </row>
      </sheetData>
      <sheetData sheetId="5288">
        <row r="1">
          <cell r="A1" t="str">
            <v>PHIẾU XỬ LÝ HỒ SƠ THANH TOÁN VƯỢT THẨM QUYỀN PD</v>
          </cell>
        </row>
      </sheetData>
      <sheetData sheetId="5289">
        <row r="1">
          <cell r="A1" t="str">
            <v>PHIẾU XỬ LÝ HỒ SƠ THANH TOÁN VƯỢT THẨM QUYỀN PD</v>
          </cell>
        </row>
      </sheetData>
      <sheetData sheetId="5290">
        <row r="1">
          <cell r="A1" t="str">
            <v>PHIẾU XỬ LÝ HỒ SƠ THANH TOÁN VƯỢT THẨM QUYỀN PD</v>
          </cell>
        </row>
      </sheetData>
      <sheetData sheetId="5291">
        <row r="1">
          <cell r="A1" t="str">
            <v>PHIẾU XỬ LÝ HỒ SƠ THANH TOÁN VƯỢT THẨM QUYỀN PD</v>
          </cell>
        </row>
      </sheetData>
      <sheetData sheetId="5292">
        <row r="1">
          <cell r="A1" t="str">
            <v>PHIẾU XỬ LÝ HỒ SƠ THANH TOÁN VƯỢT THẨM QUYỀN PD</v>
          </cell>
        </row>
      </sheetData>
      <sheetData sheetId="5293">
        <row r="1">
          <cell r="A1" t="str">
            <v>PHIẾU XỬ LÝ HỒ SƠ THANH TOÁN VƯỢT THẨM QUYỀN PD</v>
          </cell>
        </row>
      </sheetData>
      <sheetData sheetId="5294">
        <row r="1">
          <cell r="A1" t="str">
            <v>PHIẾU XỬ LÝ HỒ SƠ THANH TOÁN VƯỢT THẨM QUYỀN PD</v>
          </cell>
        </row>
      </sheetData>
      <sheetData sheetId="5295">
        <row r="1">
          <cell r="A1" t="str">
            <v>PHIẾU XỬ LÝ HỒ SƠ THANH TOÁN VƯỢT THẨM QUYỀN PD</v>
          </cell>
        </row>
      </sheetData>
      <sheetData sheetId="5296">
        <row r="1">
          <cell r="A1" t="str">
            <v>PHIẾU XỬ LÝ HỒ SƠ THANH TOÁN VƯỢT THẨM QUYỀN PD</v>
          </cell>
        </row>
      </sheetData>
      <sheetData sheetId="5297">
        <row r="1">
          <cell r="A1" t="str">
            <v>PHIẾU XỬ LÝ HỒ SƠ THANH TOÁN VƯỢT THẨM QUYỀN PD</v>
          </cell>
        </row>
      </sheetData>
      <sheetData sheetId="5298">
        <row r="1">
          <cell r="A1" t="str">
            <v>PHIẾU XỬ LÝ HỒ SƠ THANH TOÁN VƯỢT THẨM QUYỀN PD</v>
          </cell>
        </row>
      </sheetData>
      <sheetData sheetId="5299">
        <row r="1">
          <cell r="A1" t="str">
            <v>PHIẾU XỬ LÝ HỒ SƠ THANH TOÁN VƯỢT THẨM QUYỀN PD</v>
          </cell>
        </row>
      </sheetData>
      <sheetData sheetId="5300">
        <row r="1">
          <cell r="A1" t="str">
            <v>PHIẾU XỬ LÝ HỒ SƠ THANH TOÁN VƯỢT THẨM QUYỀN PD</v>
          </cell>
        </row>
      </sheetData>
      <sheetData sheetId="5301">
        <row r="1">
          <cell r="A1" t="str">
            <v>PHIẾU XỬ LÝ HỒ SƠ THANH TOÁN VƯỢT THẨM QUYỀN PD</v>
          </cell>
        </row>
      </sheetData>
      <sheetData sheetId="5302">
        <row r="1">
          <cell r="A1" t="str">
            <v>PHIẾU XỬ LÝ HỒ SƠ THANH TOÁN VƯỢT THẨM QUYỀN PD</v>
          </cell>
        </row>
      </sheetData>
      <sheetData sheetId="5303">
        <row r="1">
          <cell r="A1" t="str">
            <v>PHIẾU XỬ LÝ HỒ SƠ THANH TOÁN VƯỢT THẨM QUYỀN PD</v>
          </cell>
        </row>
      </sheetData>
      <sheetData sheetId="5304">
        <row r="1">
          <cell r="A1" t="str">
            <v>PHIẾU XỬ LÝ HỒ SƠ THANH TOÁN VƯỢT THẨM QUYỀN PD</v>
          </cell>
        </row>
      </sheetData>
      <sheetData sheetId="5305">
        <row r="1">
          <cell r="A1" t="str">
            <v>PHIẾU XỬ LÝ HỒ SƠ THANH TOÁN VƯỢT THẨM QUYỀN PD</v>
          </cell>
        </row>
      </sheetData>
      <sheetData sheetId="5306">
        <row r="1">
          <cell r="A1" t="str">
            <v>PHIẾU XỬ LÝ HỒ SƠ THANH TOÁN VƯỢT THẨM QUYỀN PD</v>
          </cell>
        </row>
      </sheetData>
      <sheetData sheetId="5307">
        <row r="1">
          <cell r="A1" t="str">
            <v>PHIẾU XỬ LÝ HỒ SƠ THANH TOÁN VƯỢT THẨM QUYỀN PD</v>
          </cell>
        </row>
      </sheetData>
      <sheetData sheetId="5308">
        <row r="1">
          <cell r="A1" t="str">
            <v>PHIẾU XỬ LÝ HỒ SƠ THANH TOÁN VƯỢT THẨM QUYỀN PD</v>
          </cell>
        </row>
      </sheetData>
      <sheetData sheetId="5309">
        <row r="1">
          <cell r="A1" t="str">
            <v>PHIẾU XỬ LÝ HỒ SƠ THANH TOÁN VƯỢT THẨM QUYỀN PD</v>
          </cell>
        </row>
      </sheetData>
      <sheetData sheetId="5310">
        <row r="1">
          <cell r="A1" t="str">
            <v>PHIẾU XỬ LÝ HỒ SƠ THANH TOÁN VƯỢT THẨM QUYỀN PD</v>
          </cell>
        </row>
      </sheetData>
      <sheetData sheetId="5311">
        <row r="1">
          <cell r="A1" t="str">
            <v>PHIẾU XỬ LÝ HỒ SƠ THANH TOÁN VƯỢT THẨM QUYỀN PD</v>
          </cell>
        </row>
      </sheetData>
      <sheetData sheetId="5312">
        <row r="1">
          <cell r="A1" t="str">
            <v>PHIẾU XỬ LÝ HỒ SƠ THANH TOÁN VƯỢT THẨM QUYỀN PD</v>
          </cell>
        </row>
      </sheetData>
      <sheetData sheetId="5313">
        <row r="1">
          <cell r="A1" t="str">
            <v>PHIẾU XỬ LÝ HỒ SƠ THANH TOÁN VƯỢT THẨM QUYỀN PD</v>
          </cell>
        </row>
      </sheetData>
      <sheetData sheetId="5314">
        <row r="1">
          <cell r="A1" t="str">
            <v>PHIẾU XỬ LÝ HỒ SƠ THANH TOÁN VƯỢT THẨM QUYỀN PD</v>
          </cell>
        </row>
      </sheetData>
      <sheetData sheetId="5315">
        <row r="1">
          <cell r="A1" t="str">
            <v>PHIẾU XỬ LÝ HỒ SƠ THANH TOÁN VƯỢT THẨM QUYỀN PD</v>
          </cell>
        </row>
      </sheetData>
      <sheetData sheetId="5316">
        <row r="1">
          <cell r="A1" t="str">
            <v>PHIẾU XỬ LÝ HỒ SƠ THANH TOÁN VƯỢT THẨM QUYỀN PD</v>
          </cell>
        </row>
      </sheetData>
      <sheetData sheetId="5317">
        <row r="1">
          <cell r="A1" t="str">
            <v>PHIẾU XỬ LÝ HỒ SƠ THANH TOÁN VƯỢT THẨM QUYỀN PD</v>
          </cell>
        </row>
      </sheetData>
      <sheetData sheetId="5318">
        <row r="1">
          <cell r="A1" t="str">
            <v>PHIẾU XỬ LÝ HỒ SƠ THANH TOÁN VƯỢT THẨM QUYỀN PD</v>
          </cell>
        </row>
      </sheetData>
      <sheetData sheetId="5319">
        <row r="1">
          <cell r="A1" t="str">
            <v>PHIẾU XỬ LÝ HỒ SƠ THANH TOÁN VƯỢT THẨM QUYỀN PD</v>
          </cell>
        </row>
      </sheetData>
      <sheetData sheetId="5320">
        <row r="1">
          <cell r="A1" t="str">
            <v>PHIẾU XỬ LÝ HỒ SƠ THANH TOÁN VƯỢT THẨM QUYỀN PD</v>
          </cell>
        </row>
      </sheetData>
      <sheetData sheetId="5321">
        <row r="1">
          <cell r="A1" t="str">
            <v>PHIẾU XỬ LÝ HỒ SƠ THANH TOÁN VƯỢT THẨM QUYỀN PD</v>
          </cell>
        </row>
      </sheetData>
      <sheetData sheetId="5322">
        <row r="1">
          <cell r="A1" t="str">
            <v>PHIẾU XỬ LÝ HỒ SƠ THANH TOÁN VƯỢT THẨM QUYỀN PD</v>
          </cell>
        </row>
      </sheetData>
      <sheetData sheetId="5323">
        <row r="1">
          <cell r="A1" t="str">
            <v>PHIẾU XỬ LÝ HỒ SƠ THANH TOÁN VƯỢT THẨM QUYỀN PD</v>
          </cell>
        </row>
      </sheetData>
      <sheetData sheetId="5324">
        <row r="1">
          <cell r="A1" t="str">
            <v>PHIẾU XỬ LÝ HỒ SƠ THANH TOÁN VƯỢT THẨM QUYỀN PD</v>
          </cell>
        </row>
      </sheetData>
      <sheetData sheetId="5325">
        <row r="1">
          <cell r="A1" t="str">
            <v>PHIẾU XỬ LÝ HỒ SƠ THANH TOÁN VƯỢT THẨM QUYỀN PD</v>
          </cell>
        </row>
      </sheetData>
      <sheetData sheetId="5326">
        <row r="1">
          <cell r="A1" t="str">
            <v>PHIẾU XỬ LÝ HỒ SƠ THANH TOÁN VƯỢT THẨM QUYỀN PD</v>
          </cell>
        </row>
      </sheetData>
      <sheetData sheetId="5327">
        <row r="1">
          <cell r="A1" t="str">
            <v>PHIẾU XỬ LÝ HỒ SƠ THANH TOÁN VƯỢT THẨM QUYỀN PD</v>
          </cell>
        </row>
      </sheetData>
      <sheetData sheetId="5328">
        <row r="1">
          <cell r="A1" t="str">
            <v>PHIẾU XỬ LÝ HỒ SƠ THANH TOÁN VƯỢT THẨM QUYỀN PD</v>
          </cell>
        </row>
      </sheetData>
      <sheetData sheetId="5329">
        <row r="1">
          <cell r="A1" t="str">
            <v>PHIẾU XỬ LÝ HỒ SƠ THANH TOÁN VƯỢT THẨM QUYỀN PD</v>
          </cell>
        </row>
      </sheetData>
      <sheetData sheetId="5330">
        <row r="1">
          <cell r="A1" t="str">
            <v>PHIẾU XỬ LÝ HỒ SƠ THANH TOÁN VƯỢT THẨM QUYỀN PD</v>
          </cell>
        </row>
      </sheetData>
      <sheetData sheetId="5331">
        <row r="1">
          <cell r="A1" t="str">
            <v>PHIẾU XỬ LÝ HỒ SƠ THANH TOÁN VƯỢT THẨM QUYỀN PD</v>
          </cell>
        </row>
      </sheetData>
      <sheetData sheetId="5332">
        <row r="1">
          <cell r="A1" t="str">
            <v>PHIẾU XỬ LÝ HỒ SƠ THANH TOÁN VƯỢT THẨM QUYỀN PD</v>
          </cell>
        </row>
      </sheetData>
      <sheetData sheetId="5333">
        <row r="1">
          <cell r="A1" t="str">
            <v>PHIẾU XỬ LÝ HỒ SƠ THANH TOÁN VƯỢT THẨM QUYỀN PD</v>
          </cell>
        </row>
      </sheetData>
      <sheetData sheetId="5334">
        <row r="1">
          <cell r="A1" t="str">
            <v>PHIẾU XỬ LÝ HỒ SƠ THANH TOÁN VƯỢT THẨM QUYỀN PD</v>
          </cell>
        </row>
      </sheetData>
      <sheetData sheetId="5335">
        <row r="1">
          <cell r="A1" t="str">
            <v>PHIẾU XỬ LÝ HỒ SƠ THANH TOÁN VƯỢT THẨM QUYỀN PD</v>
          </cell>
        </row>
      </sheetData>
      <sheetData sheetId="5336">
        <row r="1">
          <cell r="A1" t="str">
            <v>PHIẾU XỬ LÝ HỒ SƠ THANH TOÁN VƯỢT THẨM QUYỀN PD</v>
          </cell>
        </row>
      </sheetData>
      <sheetData sheetId="5337">
        <row r="1">
          <cell r="A1" t="str">
            <v>PHIẾU XỬ LÝ HỒ SƠ THANH TOÁN VƯỢT THẨM QUYỀN PD</v>
          </cell>
        </row>
      </sheetData>
      <sheetData sheetId="5338">
        <row r="1">
          <cell r="A1" t="str">
            <v>PHIẾU XỬ LÝ HỒ SƠ THANH TOÁN VƯỢT THẨM QUYỀN PD</v>
          </cell>
        </row>
      </sheetData>
      <sheetData sheetId="5339">
        <row r="1">
          <cell r="A1" t="str">
            <v>PHIẾU XỬ LÝ HỒ SƠ THANH TOÁN VƯỢT THẨM QUYỀN PD</v>
          </cell>
        </row>
      </sheetData>
      <sheetData sheetId="5340">
        <row r="1">
          <cell r="A1" t="str">
            <v>PHIẾU XỬ LÝ HỒ SƠ THANH TOÁN VƯỢT THẨM QUYỀN PD</v>
          </cell>
        </row>
      </sheetData>
      <sheetData sheetId="5341">
        <row r="1">
          <cell r="A1" t="str">
            <v>PHIẾU XỬ LÝ HỒ SƠ THANH TOÁN VƯỢT THẨM QUYỀN PD</v>
          </cell>
        </row>
      </sheetData>
      <sheetData sheetId="5342">
        <row r="1">
          <cell r="A1" t="str">
            <v>PHIẾU XỬ LÝ HỒ SƠ THANH TOÁN VƯỢT THẨM QUYỀN PD</v>
          </cell>
        </row>
      </sheetData>
      <sheetData sheetId="5343">
        <row r="1">
          <cell r="A1" t="str">
            <v>PHIẾU XỬ LÝ HỒ SƠ THANH TOÁN VƯỢT THẨM QUYỀN PD</v>
          </cell>
        </row>
      </sheetData>
      <sheetData sheetId="5344">
        <row r="1">
          <cell r="A1" t="str">
            <v>PHIẾU XỬ LÝ HỒ SƠ THANH TOÁN VƯỢT THẨM QUYỀN PD</v>
          </cell>
        </row>
      </sheetData>
      <sheetData sheetId="5345">
        <row r="1">
          <cell r="A1" t="str">
            <v>PHIẾU XỬ LÝ HỒ SƠ THANH TOÁN VƯỢT THẨM QUYỀN PD</v>
          </cell>
        </row>
      </sheetData>
      <sheetData sheetId="5346">
        <row r="1">
          <cell r="A1" t="str">
            <v>PHIẾU XỬ LÝ HỒ SƠ THANH TOÁN VƯỢT THẨM QUYỀN PD</v>
          </cell>
        </row>
      </sheetData>
      <sheetData sheetId="5347">
        <row r="1">
          <cell r="A1" t="str">
            <v>PHIẾU XỬ LÝ HỒ SƠ THANH TOÁN VƯỢT THẨM QUYỀN PD</v>
          </cell>
        </row>
      </sheetData>
      <sheetData sheetId="5348">
        <row r="1">
          <cell r="A1" t="str">
            <v>PHIẾU XỬ LÝ HỒ SƠ THANH TOÁN VƯỢT THẨM QUYỀN PD</v>
          </cell>
        </row>
      </sheetData>
      <sheetData sheetId="5349">
        <row r="1">
          <cell r="A1" t="str">
            <v>PHIẾU XỬ LÝ HỒ SƠ THANH TOÁN VƯỢT THẨM QUYỀN PD</v>
          </cell>
        </row>
      </sheetData>
      <sheetData sheetId="5350">
        <row r="1">
          <cell r="A1" t="str">
            <v>PHIẾU XỬ LÝ HỒ SƠ THANH TOÁN VƯỢT THẨM QUYỀN PD</v>
          </cell>
        </row>
      </sheetData>
      <sheetData sheetId="5351">
        <row r="1">
          <cell r="A1" t="str">
            <v>PHIẾU XỬ LÝ HỒ SƠ THANH TOÁN VƯỢT THẨM QUYỀN PD</v>
          </cell>
        </row>
      </sheetData>
      <sheetData sheetId="5352">
        <row r="1">
          <cell r="A1" t="str">
            <v>PHIẾU XỬ LÝ HỒ SƠ THANH TOÁN VƯỢT THẨM QUYỀN PD</v>
          </cell>
        </row>
      </sheetData>
      <sheetData sheetId="5353">
        <row r="1">
          <cell r="A1" t="str">
            <v>PHIẾU XỬ LÝ HỒ SƠ THANH TOÁN VƯỢT THẨM QUYỀN PD</v>
          </cell>
        </row>
      </sheetData>
      <sheetData sheetId="5354">
        <row r="1">
          <cell r="A1" t="str">
            <v>PHIẾU XỬ LÝ HỒ SƠ THANH TOÁN VƯỢT THẨM QUYỀN PD</v>
          </cell>
        </row>
      </sheetData>
      <sheetData sheetId="5355">
        <row r="1">
          <cell r="A1" t="str">
            <v>PHIẾU XỬ LÝ HỒ SƠ THANH TOÁN VƯỢT THẨM QUYỀN PD</v>
          </cell>
        </row>
      </sheetData>
      <sheetData sheetId="5356">
        <row r="1">
          <cell r="A1" t="str">
            <v>PHIẾU XỬ LÝ HỒ SƠ THANH TOÁN VƯỢT THẨM QUYỀN PD</v>
          </cell>
        </row>
      </sheetData>
      <sheetData sheetId="5357">
        <row r="1">
          <cell r="A1" t="str">
            <v>PHIẾU XỬ LÝ HỒ SƠ THANH TOÁN VƯỢT THẨM QUYỀN PD</v>
          </cell>
        </row>
      </sheetData>
      <sheetData sheetId="5358">
        <row r="1">
          <cell r="A1" t="str">
            <v>PHIẾU XỬ LÝ HỒ SƠ THANH TOÁN VƯỢT THẨM QUYỀN PD</v>
          </cell>
        </row>
      </sheetData>
      <sheetData sheetId="5359">
        <row r="1">
          <cell r="A1" t="str">
            <v>PHIẾU XỬ LÝ HỒ SƠ THANH TOÁN VƯỢT THẨM QUYỀN PD</v>
          </cell>
        </row>
      </sheetData>
      <sheetData sheetId="5360">
        <row r="1">
          <cell r="A1" t="str">
            <v>PHIẾU XỬ LÝ HỒ SƠ THANH TOÁN VƯỢT THẨM QUYỀN PD</v>
          </cell>
        </row>
      </sheetData>
      <sheetData sheetId="5361">
        <row r="1">
          <cell r="A1" t="str">
            <v>PHIẾU XỬ LÝ HỒ SƠ THANH TOÁN VƯỢT THẨM QUYỀN PD</v>
          </cell>
        </row>
      </sheetData>
      <sheetData sheetId="5362">
        <row r="1">
          <cell r="A1" t="str">
            <v>PHIẾU XỬ LÝ HỒ SƠ THANH TOÁN VƯỢT THẨM QUYỀN PD</v>
          </cell>
        </row>
      </sheetData>
      <sheetData sheetId="5363">
        <row r="1">
          <cell r="A1" t="str">
            <v>PHIẾU XỬ LÝ HỒ SƠ THANH TOÁN VƯỢT THẨM QUYỀN PD</v>
          </cell>
        </row>
      </sheetData>
      <sheetData sheetId="5364">
        <row r="1">
          <cell r="A1" t="str">
            <v>PHIẾU XỬ LÝ HỒ SƠ THANH TOÁN VƯỢT THẨM QUYỀN PD</v>
          </cell>
        </row>
      </sheetData>
      <sheetData sheetId="5365">
        <row r="1">
          <cell r="A1" t="str">
            <v>PHIẾU XỬ LÝ HỒ SƠ THANH TOÁN VƯỢT THẨM QUYỀN PD</v>
          </cell>
        </row>
      </sheetData>
      <sheetData sheetId="5366">
        <row r="1">
          <cell r="A1" t="str">
            <v>PHIẾU XỬ LÝ HỒ SƠ THANH TOÁN VƯỢT THẨM QUYỀN PD</v>
          </cell>
        </row>
      </sheetData>
      <sheetData sheetId="5367">
        <row r="1">
          <cell r="A1" t="str">
            <v>PHIẾU XỬ LÝ HỒ SƠ THANH TOÁN VƯỢT THẨM QUYỀN PD</v>
          </cell>
        </row>
      </sheetData>
      <sheetData sheetId="5368">
        <row r="1">
          <cell r="A1" t="str">
            <v>PHIẾU XỬ LÝ HỒ SƠ THANH TOÁN VƯỢT THẨM QUYỀN PD</v>
          </cell>
        </row>
      </sheetData>
      <sheetData sheetId="5369">
        <row r="1">
          <cell r="A1" t="str">
            <v>PHIẾU XỬ LÝ HỒ SƠ THANH TOÁN VƯỢT THẨM QUYỀN PD</v>
          </cell>
        </row>
      </sheetData>
      <sheetData sheetId="5370">
        <row r="1">
          <cell r="A1" t="str">
            <v>PHIẾU XỬ LÝ HỒ SƠ THANH TOÁN VƯỢT THẨM QUYỀN PD</v>
          </cell>
        </row>
      </sheetData>
      <sheetData sheetId="5371">
        <row r="1">
          <cell r="A1" t="str">
            <v>PHIẾU XỬ LÝ HỒ SƠ THANH TOÁN VƯỢT THẨM QUYỀN PD</v>
          </cell>
        </row>
      </sheetData>
      <sheetData sheetId="5372">
        <row r="1">
          <cell r="A1" t="str">
            <v>PHIẾU XỬ LÝ HỒ SƠ THANH TOÁN VƯỢT THẨM QUYỀN PD</v>
          </cell>
        </row>
      </sheetData>
      <sheetData sheetId="5373">
        <row r="1">
          <cell r="A1" t="str">
            <v>PHIẾU XỬ LÝ HỒ SƠ THANH TOÁN VƯỢT THẨM QUYỀN PD</v>
          </cell>
        </row>
      </sheetData>
      <sheetData sheetId="5374">
        <row r="1">
          <cell r="A1" t="str">
            <v>PHIẾU XỬ LÝ HỒ SƠ THANH TOÁN VƯỢT THẨM QUYỀN PD</v>
          </cell>
        </row>
      </sheetData>
      <sheetData sheetId="5375">
        <row r="1">
          <cell r="A1" t="str">
            <v>PHIẾU XỬ LÝ HỒ SƠ THANH TOÁN VƯỢT THẨM QUYỀN PD</v>
          </cell>
        </row>
      </sheetData>
      <sheetData sheetId="5376">
        <row r="1">
          <cell r="A1" t="str">
            <v>PHIẾU XỬ LÝ HỒ SƠ THANH TOÁN VƯỢT THẨM QUYỀN PD</v>
          </cell>
        </row>
      </sheetData>
      <sheetData sheetId="5377">
        <row r="1">
          <cell r="A1" t="str">
            <v>PHIẾU XỬ LÝ HỒ SƠ THANH TOÁN VƯỢT THẨM QUYỀN PD</v>
          </cell>
        </row>
      </sheetData>
      <sheetData sheetId="5378">
        <row r="1">
          <cell r="A1" t="str">
            <v>PHIẾU XỬ LÝ HỒ SƠ THANH TOÁN VƯỢT THẨM QUYỀN PD</v>
          </cell>
        </row>
      </sheetData>
      <sheetData sheetId="5379">
        <row r="1">
          <cell r="A1" t="str">
            <v>PHIẾU XỬ LÝ HỒ SƠ THANH TOÁN VƯỢT THẨM QUYỀN PD</v>
          </cell>
        </row>
      </sheetData>
      <sheetData sheetId="5380">
        <row r="1">
          <cell r="A1" t="str">
            <v>PHIẾU XỬ LÝ HỒ SƠ THANH TOÁN VƯỢT THẨM QUYỀN PD</v>
          </cell>
        </row>
      </sheetData>
      <sheetData sheetId="5381">
        <row r="1">
          <cell r="A1" t="str">
            <v>PHIẾU XỬ LÝ HỒ SƠ THANH TOÁN VƯỢT THẨM QUYỀN PD</v>
          </cell>
        </row>
      </sheetData>
      <sheetData sheetId="5382">
        <row r="1">
          <cell r="A1" t="str">
            <v>PHIẾU XỬ LÝ HỒ SƠ THANH TOÁN VƯỢT THẨM QUYỀN PD</v>
          </cell>
        </row>
      </sheetData>
      <sheetData sheetId="5383">
        <row r="1">
          <cell r="A1" t="str">
            <v>PHIẾU XỬ LÝ HỒ SƠ THANH TOÁN VƯỢT THẨM QUYỀN PD</v>
          </cell>
        </row>
      </sheetData>
      <sheetData sheetId="5384" refreshError="1"/>
      <sheetData sheetId="5385" refreshError="1"/>
      <sheetData sheetId="5386" refreshError="1"/>
      <sheetData sheetId="5387">
        <row r="1">
          <cell r="A1" t="str">
            <v>PHIẾU XỬ LÝ HỒ SƠ THANH TOÁN VƯỢT THẨM QUYỀN PD</v>
          </cell>
        </row>
      </sheetData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>
        <row r="1">
          <cell r="A1" t="str">
            <v>PHIẾU XỬ LÝ HỒ SƠ THANH TOÁN VƯỢT THẨM QUYỀN PD</v>
          </cell>
        </row>
      </sheetData>
      <sheetData sheetId="5532">
        <row r="1">
          <cell r="A1" t="str">
            <v>PHIẾU XỬ LÝ HỒ SƠ THANH TOÁN VƯỢT THẨM QUYỀN PD</v>
          </cell>
        </row>
      </sheetData>
      <sheetData sheetId="5533">
        <row r="1">
          <cell r="A1" t="str">
            <v>PHIẾU XỬ LÝ HỒ SƠ THANH TOÁN VƯỢT THẨM QUYỀN PD</v>
          </cell>
        </row>
      </sheetData>
      <sheetData sheetId="5534">
        <row r="1">
          <cell r="A1" t="str">
            <v>PHIẾU XỬ LÝ HỒ SƠ THANH TOÁN VƯỢT THẨM QUYỀN PD</v>
          </cell>
        </row>
      </sheetData>
      <sheetData sheetId="5535" refreshError="1"/>
      <sheetData sheetId="5536">
        <row r="1">
          <cell r="A1" t="str">
            <v>PHIẾU XỬ LÝ HỒ SƠ THANH TOÁN VƯỢT THẨM QUYỀN PD</v>
          </cell>
        </row>
      </sheetData>
      <sheetData sheetId="5537">
        <row r="1">
          <cell r="A1" t="str">
            <v>PHIẾU XỬ LÝ HỒ SƠ THANH TOÁN VƯỢT THẨM QUYỀN PD</v>
          </cell>
        </row>
      </sheetData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>
        <row r="1">
          <cell r="A1" t="str">
            <v>PHIẾU XỬ LÝ HỒ SƠ THANH TOÁN VƯỢT THẨM QUYỀN PD</v>
          </cell>
        </row>
      </sheetData>
      <sheetData sheetId="5550">
        <row r="1">
          <cell r="A1" t="str">
            <v>PHIẾU XỬ LÝ HỒ SƠ THANH TOÁN VƯỢT THẨM QUYỀN PD</v>
          </cell>
        </row>
      </sheetData>
      <sheetData sheetId="5551" refreshError="1"/>
      <sheetData sheetId="5552" refreshError="1"/>
      <sheetData sheetId="5553" refreshError="1"/>
      <sheetData sheetId="5554" refreshError="1"/>
      <sheetData sheetId="5555">
        <row r="1">
          <cell r="A1" t="str">
            <v>PHIẾU XỬ LÝ HỒ SƠ THANH TOÁN VƯỢT THẨM QUYỀN PD</v>
          </cell>
        </row>
      </sheetData>
      <sheetData sheetId="5556">
        <row r="1">
          <cell r="A1" t="str">
            <v>PHIẾU XỬ LÝ HỒ SƠ THANH TOÁN VƯỢT THẨM QUYỀN PD</v>
          </cell>
        </row>
      </sheetData>
      <sheetData sheetId="5557">
        <row r="1">
          <cell r="A1" t="str">
            <v>PHIẾU XỬ LÝ HỒ SƠ THANH TOÁN VƯỢT THẨM QUYỀN PD</v>
          </cell>
        </row>
      </sheetData>
      <sheetData sheetId="5558">
        <row r="1">
          <cell r="A1" t="str">
            <v>PHIẾU XỬ LÝ HỒ SƠ THANH TOÁN VƯỢT THẨM QUYỀN PD</v>
          </cell>
        </row>
      </sheetData>
      <sheetData sheetId="5559">
        <row r="1">
          <cell r="A1" t="str">
            <v>PHIẾU XỬ LÝ HỒ SƠ THANH TOÁN VƯỢT THẨM QUYỀN PD</v>
          </cell>
        </row>
      </sheetData>
      <sheetData sheetId="5560">
        <row r="1">
          <cell r="A1" t="str">
            <v>PHIẾU XỬ LÝ HỒ SƠ THANH TOÁN VƯỢT THẨM QUYỀN PD</v>
          </cell>
        </row>
      </sheetData>
      <sheetData sheetId="5561">
        <row r="1">
          <cell r="A1" t="str">
            <v>PHIẾU XỬ LÝ HỒ SƠ THANH TOÁN VƯỢT THẨM QUYỀN PD</v>
          </cell>
        </row>
      </sheetData>
      <sheetData sheetId="5562">
        <row r="1">
          <cell r="A1" t="str">
            <v>PHIẾU XỬ LÝ HỒ SƠ THANH TOÁN VƯỢT THẨM QUYỀN PD</v>
          </cell>
        </row>
      </sheetData>
      <sheetData sheetId="5563">
        <row r="1">
          <cell r="A1" t="str">
            <v>PHIẾU XỬ LÝ HỒ SƠ THANH TOÁN VƯỢT THẨM QUYỀN PD</v>
          </cell>
        </row>
      </sheetData>
      <sheetData sheetId="5564">
        <row r="1">
          <cell r="A1" t="str">
            <v>PHIẾU XỬ LÝ HỒ SƠ THANH TOÁN VƯỢT THẨM QUYỀN PD</v>
          </cell>
        </row>
      </sheetData>
      <sheetData sheetId="5565">
        <row r="1">
          <cell r="A1" t="str">
            <v>PHIẾU XỬ LÝ HỒ SƠ THANH TOÁN VƯỢT THẨM QUYỀN PD</v>
          </cell>
        </row>
      </sheetData>
      <sheetData sheetId="5566">
        <row r="1">
          <cell r="A1" t="str">
            <v>PHIẾU XỬ LÝ HỒ SƠ THANH TOÁN VƯỢT THẨM QUYỀN PD</v>
          </cell>
        </row>
      </sheetData>
      <sheetData sheetId="5567">
        <row r="1">
          <cell r="A1" t="str">
            <v>PHIẾU XỬ LÝ HỒ SƠ THANH TOÁN VƯỢT THẨM QUYỀN PD</v>
          </cell>
        </row>
      </sheetData>
      <sheetData sheetId="5568" refreshError="1"/>
      <sheetData sheetId="5569">
        <row r="1">
          <cell r="A1" t="str">
            <v>PHIẾU XỬ LÝ HỒ SƠ THANH TOÁN VƯỢT THẨM QUYỀN PD</v>
          </cell>
        </row>
      </sheetData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>
        <row r="1">
          <cell r="A1" t="str">
            <v>PHIẾU XỬ LÝ HỒ SƠ THANH TOÁN VƯỢT THẨM QUYỀN PD</v>
          </cell>
        </row>
      </sheetData>
      <sheetData sheetId="5598">
        <row r="1">
          <cell r="A1" t="str">
            <v>PHIẾU XỬ LÝ HỒ SƠ THANH TOÁN VƯỢT THẨM QUYỀN PD</v>
          </cell>
        </row>
      </sheetData>
      <sheetData sheetId="5599">
        <row r="1">
          <cell r="A1" t="str">
            <v>PHIẾU XỬ LÝ HỒ SƠ THANH TOÁN VƯỢT THẨM QUYỀN PD</v>
          </cell>
        </row>
      </sheetData>
      <sheetData sheetId="5600">
        <row r="1">
          <cell r="A1" t="str">
            <v>PHIẾU XỬ LÝ HỒ SƠ THANH TOÁN VƯỢT THẨM QUYỀN PD</v>
          </cell>
        </row>
      </sheetData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>
        <row r="1">
          <cell r="A1" t="str">
            <v>PHIẾU XỬ LÝ HỒ SƠ THANH TOÁN VƯỢT THẨM QUYỀN PD</v>
          </cell>
        </row>
      </sheetData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>
        <row r="1">
          <cell r="A1" t="str">
            <v>PHIẾU XỬ LÝ HỒ SƠ THANH TOÁN VƯỢT THẨM QUYỀN PD</v>
          </cell>
        </row>
      </sheetData>
      <sheetData sheetId="5627">
        <row r="1">
          <cell r="A1" t="str">
            <v>PHIẾU XỬ LÝ HỒ SƠ THANH TOÁN VƯỢT THẨM QUYỀN PD</v>
          </cell>
        </row>
      </sheetData>
      <sheetData sheetId="5628">
        <row r="1">
          <cell r="A1" t="str">
            <v>PHIẾU XỬ LÝ HỒ SƠ THANH TOÁN VƯỢT THẨM QUYỀN PD</v>
          </cell>
        </row>
      </sheetData>
      <sheetData sheetId="5629">
        <row r="1">
          <cell r="A1" t="str">
            <v>PHIẾU XỬ LÝ HỒ SƠ THANH TOÁN VƯỢT THẨM QUYỀN PD</v>
          </cell>
        </row>
      </sheetData>
      <sheetData sheetId="5630">
        <row r="1">
          <cell r="A1" t="str">
            <v>PHIẾU XỬ LÝ HỒ SƠ THANH TOÁN VƯỢT THẨM QUYỀN PD</v>
          </cell>
        </row>
      </sheetData>
      <sheetData sheetId="5631">
        <row r="1">
          <cell r="A1" t="str">
            <v>PHIẾU XỬ LÝ HỒ SƠ THANH TOÁN VƯỢT THẨM QUYỀN PD</v>
          </cell>
        </row>
      </sheetData>
      <sheetData sheetId="5632">
        <row r="1">
          <cell r="A1" t="str">
            <v>PHIẾU XỬ LÝ HỒ SƠ THANH TOÁN VƯỢT THẨM QUYỀN PD</v>
          </cell>
        </row>
      </sheetData>
      <sheetData sheetId="5633">
        <row r="1">
          <cell r="A1" t="str">
            <v>PHIẾU XỬ LÝ HỒ SƠ THANH TOÁN VƯỢT THẨM QUYỀN PD</v>
          </cell>
        </row>
      </sheetData>
      <sheetData sheetId="5634">
        <row r="1">
          <cell r="A1" t="str">
            <v>PHIẾU XỬ LÝ HỒ SƠ THANH TOÁN VƯỢT THẨM QUYỀN PD</v>
          </cell>
        </row>
      </sheetData>
      <sheetData sheetId="5635">
        <row r="1">
          <cell r="A1" t="str">
            <v>PHIẾU XỬ LÝ HỒ SƠ THANH TOÁN VƯỢT THẨM QUYỀN PD</v>
          </cell>
        </row>
      </sheetData>
      <sheetData sheetId="5636">
        <row r="1">
          <cell r="A1" t="str">
            <v>PHIẾU XỬ LÝ HỒ SƠ THANH TOÁN VƯỢT THẨM QUYỀN PD</v>
          </cell>
        </row>
      </sheetData>
      <sheetData sheetId="5637">
        <row r="1">
          <cell r="A1" t="str">
            <v>PHIẾU XỬ LÝ HỒ SƠ THANH TOÁN VƯỢT THẨM QUYỀN PD</v>
          </cell>
        </row>
      </sheetData>
      <sheetData sheetId="5638">
        <row r="1">
          <cell r="A1" t="str">
            <v>PHIẾU XỬ LÝ HỒ SƠ THANH TOÁN VƯỢT THẨM QUYỀN PD</v>
          </cell>
        </row>
      </sheetData>
      <sheetData sheetId="5639">
        <row r="1">
          <cell r="A1" t="str">
            <v>PHIẾU XỬ LÝ HỒ SƠ THANH TOÁN VƯỢT THẨM QUYỀN PD</v>
          </cell>
        </row>
      </sheetData>
      <sheetData sheetId="5640">
        <row r="1">
          <cell r="A1" t="str">
            <v>PHIẾU XỬ LÝ HỒ SƠ THANH TOÁN VƯỢT THẨM QUYỀN PD</v>
          </cell>
        </row>
      </sheetData>
      <sheetData sheetId="5641">
        <row r="1">
          <cell r="A1" t="str">
            <v>PHIẾU XỬ LÝ HỒ SƠ THANH TOÁN VƯỢT THẨM QUYỀN PD</v>
          </cell>
        </row>
      </sheetData>
      <sheetData sheetId="5642">
        <row r="1">
          <cell r="A1" t="str">
            <v>PHIẾU XỬ LÝ HỒ SƠ THANH TOÁN VƯỢT THẨM QUYỀN PD</v>
          </cell>
        </row>
      </sheetData>
      <sheetData sheetId="5643">
        <row r="1">
          <cell r="A1" t="str">
            <v>PHIẾU XỬ LÝ HỒ SƠ THANH TOÁN VƯỢT THẨM QUYỀN PD</v>
          </cell>
        </row>
      </sheetData>
      <sheetData sheetId="5644">
        <row r="1">
          <cell r="A1" t="str">
            <v>PHIẾU XỬ LÝ HỒ SƠ THANH TOÁN VƯỢT THẨM QUYỀN PD</v>
          </cell>
        </row>
      </sheetData>
      <sheetData sheetId="5645">
        <row r="1">
          <cell r="A1" t="str">
            <v>PHIẾU XỬ LÝ HỒ SƠ THANH TOÁN VƯỢT THẨM QUYỀN PD</v>
          </cell>
        </row>
      </sheetData>
      <sheetData sheetId="5646">
        <row r="1">
          <cell r="A1" t="str">
            <v>PHIẾU XỬ LÝ HỒ SƠ THANH TOÁN VƯỢT THẨM QUYỀN PD</v>
          </cell>
        </row>
      </sheetData>
      <sheetData sheetId="5647">
        <row r="1">
          <cell r="A1" t="str">
            <v>PHIẾU XỬ LÝ HỒ SƠ THANH TOÁN VƯỢT THẨM QUYỀN PD</v>
          </cell>
        </row>
      </sheetData>
      <sheetData sheetId="5648">
        <row r="1">
          <cell r="A1" t="str">
            <v>PHIẾU XỬ LÝ HỒ SƠ THANH TOÁN VƯỢT THẨM QUYỀN PD</v>
          </cell>
        </row>
      </sheetData>
      <sheetData sheetId="5649">
        <row r="1">
          <cell r="A1" t="str">
            <v>PHIẾU XỬ LÝ HỒ SƠ THANH TOÁN VƯỢT THẨM QUYỀN PD</v>
          </cell>
        </row>
      </sheetData>
      <sheetData sheetId="5650">
        <row r="1">
          <cell r="A1" t="str">
            <v>PHIẾU XỬ LÝ HỒ SƠ THANH TOÁN VƯỢT THẨM QUYỀN PD</v>
          </cell>
        </row>
      </sheetData>
      <sheetData sheetId="5651">
        <row r="1">
          <cell r="A1" t="str">
            <v>PHIẾU XỬ LÝ HỒ SƠ THANH TOÁN VƯỢT THẨM QUYỀN PD</v>
          </cell>
        </row>
      </sheetData>
      <sheetData sheetId="5652">
        <row r="1">
          <cell r="A1" t="str">
            <v>PHIẾU XỬ LÝ HỒ SƠ THANH TOÁN VƯỢT THẨM QUYỀN PD</v>
          </cell>
        </row>
      </sheetData>
      <sheetData sheetId="5653">
        <row r="1">
          <cell r="A1" t="str">
            <v>PHIẾU XỬ LÝ HỒ SƠ THANH TOÁN VƯỢT THẨM QUYỀN PD</v>
          </cell>
        </row>
      </sheetData>
      <sheetData sheetId="5654">
        <row r="1">
          <cell r="A1" t="str">
            <v>PHIẾU XỬ LÝ HỒ SƠ THANH TOÁN VƯỢT THẨM QUYỀN PD</v>
          </cell>
        </row>
      </sheetData>
      <sheetData sheetId="5655">
        <row r="1">
          <cell r="A1" t="str">
            <v>PHIẾU XỬ LÝ HỒ SƠ THANH TOÁN VƯỢT THẨM QUYỀN PD</v>
          </cell>
        </row>
      </sheetData>
      <sheetData sheetId="5656">
        <row r="1">
          <cell r="A1" t="str">
            <v>PHIẾU XỬ LÝ HỒ SƠ THANH TOÁN VƯỢT THẨM QUYỀN PD</v>
          </cell>
        </row>
      </sheetData>
      <sheetData sheetId="5657">
        <row r="1">
          <cell r="A1" t="str">
            <v>PHIẾU XỬ LÝ HỒ SƠ THANH TOÁN VƯỢT THẨM QUYỀN PD</v>
          </cell>
        </row>
      </sheetData>
      <sheetData sheetId="5658">
        <row r="1">
          <cell r="A1" t="str">
            <v>PHIẾU XỬ LÝ HỒ SƠ THANH TOÁN VƯỢT THẨM QUYỀN PD</v>
          </cell>
        </row>
      </sheetData>
      <sheetData sheetId="5659">
        <row r="1">
          <cell r="A1" t="str">
            <v>PHIẾU XỬ LÝ HỒ SƠ THANH TOÁN VƯỢT THẨM QUYỀN PD</v>
          </cell>
        </row>
      </sheetData>
      <sheetData sheetId="5660">
        <row r="1">
          <cell r="A1" t="str">
            <v>PHIẾU XỬ LÝ HỒ SƠ THANH TOÁN VƯỢT THẨM QUYỀN PD</v>
          </cell>
        </row>
      </sheetData>
      <sheetData sheetId="5661">
        <row r="1">
          <cell r="A1" t="str">
            <v>PHIẾU XỬ LÝ HỒ SƠ THANH TOÁN VƯỢT THẨM QUYỀN PD</v>
          </cell>
        </row>
      </sheetData>
      <sheetData sheetId="5662">
        <row r="1">
          <cell r="A1" t="str">
            <v>PHIẾU XỬ LÝ HỒ SƠ THANH TOÁN VƯỢT THẨM QUYỀN PD</v>
          </cell>
        </row>
      </sheetData>
      <sheetData sheetId="5663">
        <row r="1">
          <cell r="A1" t="str">
            <v>PHIẾU XỬ LÝ HỒ SƠ THANH TOÁN VƯỢT THẨM QUYỀN PD</v>
          </cell>
        </row>
      </sheetData>
      <sheetData sheetId="5664">
        <row r="1">
          <cell r="A1" t="str">
            <v>PHIẾU XỬ LÝ HỒ SƠ THANH TOÁN VƯỢT THẨM QUYỀN PD</v>
          </cell>
        </row>
      </sheetData>
      <sheetData sheetId="5665">
        <row r="1">
          <cell r="A1" t="str">
            <v>PHIẾU XỬ LÝ HỒ SƠ THANH TOÁN VƯỢT THẨM QUYỀN PD</v>
          </cell>
        </row>
      </sheetData>
      <sheetData sheetId="5666">
        <row r="1">
          <cell r="A1" t="str">
            <v>PHIẾU XỬ LÝ HỒ SƠ THANH TOÁN VƯỢT THẨM QUYỀN PD</v>
          </cell>
        </row>
      </sheetData>
      <sheetData sheetId="5667">
        <row r="1">
          <cell r="A1" t="str">
            <v>PHIẾU XỬ LÝ HỒ SƠ THANH TOÁN VƯỢT THẨM QUYỀN PD</v>
          </cell>
        </row>
      </sheetData>
      <sheetData sheetId="5668">
        <row r="1">
          <cell r="A1" t="str">
            <v>PHIẾU XỬ LÝ HỒ SƠ THANH TOÁN VƯỢT THẨM QUYỀN PD</v>
          </cell>
        </row>
      </sheetData>
      <sheetData sheetId="5669">
        <row r="1">
          <cell r="A1" t="str">
            <v>PHIẾU XỬ LÝ HỒ SƠ THANH TOÁN VƯỢT THẨM QUYỀN PD</v>
          </cell>
        </row>
      </sheetData>
      <sheetData sheetId="5670">
        <row r="1">
          <cell r="A1" t="str">
            <v>PHIẾU XỬ LÝ HỒ SƠ THANH TOÁN VƯỢT THẨM QUYỀN PD</v>
          </cell>
        </row>
      </sheetData>
      <sheetData sheetId="5671">
        <row r="1">
          <cell r="A1" t="str">
            <v>PHIẾU XỬ LÝ HỒ SƠ THANH TOÁN VƯỢT THẨM QUYỀN PD</v>
          </cell>
        </row>
      </sheetData>
      <sheetData sheetId="5672">
        <row r="1">
          <cell r="A1" t="str">
            <v>PHIẾU XỬ LÝ HỒ SƠ THANH TOÁN VƯỢT THẨM QUYỀN PD</v>
          </cell>
        </row>
      </sheetData>
      <sheetData sheetId="5673">
        <row r="1">
          <cell r="A1" t="str">
            <v>PHIẾU XỬ LÝ HỒ SƠ THANH TOÁN VƯỢT THẨM QUYỀN PD</v>
          </cell>
        </row>
      </sheetData>
      <sheetData sheetId="5674">
        <row r="1">
          <cell r="A1" t="str">
            <v>PHIẾU XỬ LÝ HỒ SƠ THANH TOÁN VƯỢT THẨM QUYỀN PD</v>
          </cell>
        </row>
      </sheetData>
      <sheetData sheetId="5675">
        <row r="1">
          <cell r="A1" t="str">
            <v>PHIẾU XỬ LÝ HỒ SƠ THANH TOÁN VƯỢT THẨM QUYỀN PD</v>
          </cell>
        </row>
      </sheetData>
      <sheetData sheetId="5676">
        <row r="1">
          <cell r="A1" t="str">
            <v>PHIẾU XỬ LÝ HỒ SƠ THANH TOÁN VƯỢT THẨM QUYỀN PD</v>
          </cell>
        </row>
      </sheetData>
      <sheetData sheetId="5677">
        <row r="1">
          <cell r="A1" t="str">
            <v>PHIẾU XỬ LÝ HỒ SƠ THANH TOÁN VƯỢT THẨM QUYỀN PD</v>
          </cell>
        </row>
      </sheetData>
      <sheetData sheetId="5678">
        <row r="1">
          <cell r="A1" t="str">
            <v>PHIẾU XỬ LÝ HỒ SƠ THANH TOÁN VƯỢT THẨM QUYỀN PD</v>
          </cell>
        </row>
      </sheetData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>
        <row r="1">
          <cell r="A1" t="str">
            <v>PHIẾU XỬ LÝ HỒ SƠ THANH TOÁN VƯỢT THẨM QUYỀN PD</v>
          </cell>
        </row>
      </sheetData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>
        <row r="1">
          <cell r="A1" t="str">
            <v>PHIẾU XỬ LÝ HỒ SƠ THANH TOÁN VƯỢT THẨM QUYỀN PD</v>
          </cell>
        </row>
      </sheetData>
      <sheetData sheetId="5724">
        <row r="1">
          <cell r="A1" t="str">
            <v>PHIẾU XỬ LÝ HỒ SƠ THANH TOÁN VƯỢT THẨM QUYỀN PD</v>
          </cell>
        </row>
      </sheetData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>
        <row r="1">
          <cell r="A1" t="str">
            <v>PHIẾU XỬ LÝ HỒ SƠ THANH TOÁN VƯỢT THẨM QUYỀN PD</v>
          </cell>
        </row>
      </sheetData>
      <sheetData sheetId="5759"/>
      <sheetData sheetId="5760">
        <row r="1">
          <cell r="A1" t="str">
            <v>PHIẾU XỬ LÝ HỒ SƠ THANH TOÁN VƯỢT THẨM QUYỀN PD</v>
          </cell>
        </row>
      </sheetData>
      <sheetData sheetId="5761">
        <row r="1">
          <cell r="A1" t="str">
            <v>PHIẾU XỬ LÝ HỒ SƠ THANH TOÁN VƯỢT THẨM QUYỀN PD</v>
          </cell>
        </row>
      </sheetData>
      <sheetData sheetId="5762">
        <row r="1">
          <cell r="A1" t="str">
            <v>PHIẾU XỬ LÝ HỒ SƠ THANH TOÁN VƯỢT THẨM QUYỀN PD</v>
          </cell>
        </row>
      </sheetData>
      <sheetData sheetId="5763">
        <row r="1">
          <cell r="A1" t="str">
            <v>PHIẾU XỬ LÝ HỒ SƠ THANH TOÁN VƯỢT THẨM QUYỀN PD</v>
          </cell>
        </row>
      </sheetData>
      <sheetData sheetId="5764">
        <row r="1">
          <cell r="A1" t="str">
            <v>PHIẾU XỬ LÝ HỒ SƠ THANH TOÁN VƯỢT THẨM QUYỀN PD</v>
          </cell>
        </row>
      </sheetData>
      <sheetData sheetId="5765">
        <row r="1">
          <cell r="A1" t="str">
            <v>PHIẾU XỬ LÝ HỒ SƠ THANH TOÁN VƯỢT THẨM QUYỀN PD</v>
          </cell>
        </row>
      </sheetData>
      <sheetData sheetId="5766">
        <row r="1">
          <cell r="A1" t="str">
            <v>PHIẾU XỬ LÝ HỒ SƠ THANH TOÁN VƯỢT THẨM QUYỀN PD</v>
          </cell>
        </row>
      </sheetData>
      <sheetData sheetId="5767">
        <row r="1">
          <cell r="A1" t="str">
            <v>PHIẾU XỬ LÝ HỒ SƠ THANH TOÁN VƯỢT THẨM QUYỀN PD</v>
          </cell>
        </row>
      </sheetData>
      <sheetData sheetId="5768">
        <row r="1">
          <cell r="A1" t="str">
            <v>PHIẾU XỬ LÝ HỒ SƠ THANH TOÁN VƯỢT THẨM QUYỀN PD</v>
          </cell>
        </row>
      </sheetData>
      <sheetData sheetId="5769">
        <row r="1">
          <cell r="A1" t="str">
            <v>PHIẾU XỬ LÝ HỒ SƠ THANH TOÁN VƯỢT THẨM QUYỀN PD</v>
          </cell>
        </row>
      </sheetData>
      <sheetData sheetId="5770">
        <row r="1">
          <cell r="A1" t="str">
            <v>PHIẾU XỬ LÝ HỒ SƠ THANH TOÁN VƯỢT THẨM QUYỀN PD</v>
          </cell>
        </row>
      </sheetData>
      <sheetData sheetId="5771">
        <row r="1">
          <cell r="A1" t="str">
            <v>PHIẾU XỬ LÝ HỒ SƠ THANH TOÁN VƯỢT THẨM QUYỀN PD</v>
          </cell>
        </row>
      </sheetData>
      <sheetData sheetId="5772">
        <row r="1">
          <cell r="A1" t="str">
            <v>PHIẾU XỬ LÝ HỒ SƠ THANH TOÁN VƯỢT THẨM QUYỀN PD</v>
          </cell>
        </row>
      </sheetData>
      <sheetData sheetId="5773">
        <row r="1">
          <cell r="A1" t="str">
            <v>PHIẾU XỬ LÝ HỒ SƠ THANH TOÁN VƯỢT THẨM QUYỀN PD</v>
          </cell>
        </row>
      </sheetData>
      <sheetData sheetId="5774">
        <row r="1">
          <cell r="A1" t="str">
            <v>PHIẾU XỬ LÝ HỒ SƠ THANH TOÁN VƯỢT THẨM QUYỀN PD</v>
          </cell>
        </row>
      </sheetData>
      <sheetData sheetId="5775">
        <row r="1">
          <cell r="A1" t="str">
            <v>PHIẾU XỬ LÝ HỒ SƠ THANH TOÁN VƯỢT THẨM QUYỀN PD</v>
          </cell>
        </row>
      </sheetData>
      <sheetData sheetId="5776">
        <row r="1">
          <cell r="A1" t="str">
            <v>PHIẾU XỬ LÝ HỒ SƠ THANH TOÁN VƯỢT THẨM QUYỀN PD</v>
          </cell>
        </row>
      </sheetData>
      <sheetData sheetId="5777">
        <row r="1">
          <cell r="A1" t="str">
            <v>PHIẾU XỬ LÝ HỒ SƠ THANH TOÁN VƯỢT THẨM QUYỀN PD</v>
          </cell>
        </row>
      </sheetData>
      <sheetData sheetId="5778">
        <row r="1">
          <cell r="A1" t="str">
            <v>PHIẾU XỬ LÝ HỒ SƠ THANH TOÁN VƯỢT THẨM QUYỀN PD</v>
          </cell>
        </row>
      </sheetData>
      <sheetData sheetId="5779">
        <row r="1">
          <cell r="A1" t="str">
            <v>PHIẾU XỬ LÝ HỒ SƠ THANH TOÁN VƯỢT THẨM QUYỀN PD</v>
          </cell>
        </row>
      </sheetData>
      <sheetData sheetId="5780">
        <row r="1">
          <cell r="A1" t="str">
            <v>PHIẾU XỬ LÝ HỒ SƠ THANH TOÁN VƯỢT THẨM QUYỀN PD</v>
          </cell>
        </row>
      </sheetData>
      <sheetData sheetId="5781">
        <row r="1">
          <cell r="A1" t="str">
            <v>PHIẾU XỬ LÝ HỒ SƠ THANH TOÁN VƯỢT THẨM QUYỀN PD</v>
          </cell>
        </row>
      </sheetData>
      <sheetData sheetId="5782">
        <row r="1">
          <cell r="A1" t="str">
            <v>PHIẾU XỬ LÝ HỒ SƠ THANH TOÁN VƯỢT THẨM QUYỀN PD</v>
          </cell>
        </row>
      </sheetData>
      <sheetData sheetId="5783">
        <row r="1">
          <cell r="A1" t="str">
            <v>PHIẾU XỬ LÝ HỒ SƠ THANH TOÁN VƯỢT THẨM QUYỀN PD</v>
          </cell>
        </row>
      </sheetData>
      <sheetData sheetId="5784">
        <row r="1">
          <cell r="A1" t="str">
            <v>PHIẾU XỬ LÝ HỒ SƠ THANH TOÁN VƯỢT THẨM QUYỀN PD</v>
          </cell>
        </row>
      </sheetData>
      <sheetData sheetId="5785">
        <row r="1">
          <cell r="A1" t="str">
            <v>PHIẾU XỬ LÝ HỒ SƠ THANH TOÁN VƯỢT THẨM QUYỀN PD</v>
          </cell>
        </row>
      </sheetData>
      <sheetData sheetId="5786">
        <row r="1">
          <cell r="A1" t="str">
            <v>PHIẾU XỬ LÝ HỒ SƠ THANH TOÁN VƯỢT THẨM QUYỀN PD</v>
          </cell>
        </row>
      </sheetData>
      <sheetData sheetId="5787">
        <row r="1">
          <cell r="A1" t="str">
            <v>PHIẾU XỬ LÝ HỒ SƠ THANH TOÁN VƯỢT THẨM QUYỀN PD</v>
          </cell>
        </row>
      </sheetData>
      <sheetData sheetId="5788">
        <row r="1">
          <cell r="A1" t="str">
            <v>PHIẾU XỬ LÝ HỒ SƠ THANH TOÁN VƯỢT THẨM QUYỀN PD</v>
          </cell>
        </row>
      </sheetData>
      <sheetData sheetId="5789">
        <row r="1">
          <cell r="A1" t="str">
            <v>PHIẾU XỬ LÝ HỒ SƠ THANH TOÁN VƯỢT THẨM QUYỀN PD</v>
          </cell>
        </row>
      </sheetData>
      <sheetData sheetId="5790">
        <row r="1">
          <cell r="A1" t="str">
            <v>PHIẾU XỬ LÝ HỒ SƠ THANH TOÁN VƯỢT THẨM QUYỀN PD</v>
          </cell>
        </row>
      </sheetData>
      <sheetData sheetId="5791">
        <row r="1">
          <cell r="A1" t="str">
            <v>PHIẾU XỬ LÝ HỒ SƠ THANH TOÁN VƯỢT THẨM QUYỀN PD</v>
          </cell>
        </row>
      </sheetData>
      <sheetData sheetId="5792">
        <row r="1">
          <cell r="A1" t="str">
            <v>PHIẾU XỬ LÝ HỒ SƠ THANH TOÁN VƯỢT THẨM QUYỀN PD</v>
          </cell>
        </row>
      </sheetData>
      <sheetData sheetId="5793">
        <row r="1">
          <cell r="A1" t="str">
            <v>PHIẾU XỬ LÝ HỒ SƠ THANH TOÁN VƯỢT THẨM QUYỀN PD</v>
          </cell>
        </row>
      </sheetData>
      <sheetData sheetId="5794">
        <row r="1">
          <cell r="A1" t="str">
            <v>PHIẾU XỬ LÝ HỒ SƠ THANH TOÁN VƯỢT THẨM QUYỀN PD</v>
          </cell>
        </row>
      </sheetData>
      <sheetData sheetId="5795">
        <row r="1">
          <cell r="A1" t="str">
            <v>PHIẾU XỬ LÝ HỒ SƠ THANH TOÁN VƯỢT THẨM QUYỀN PD</v>
          </cell>
        </row>
      </sheetData>
      <sheetData sheetId="5796">
        <row r="1">
          <cell r="A1" t="str">
            <v>PHIẾU XỬ LÝ HỒ SƠ THANH TOÁN VƯỢT THẨM QUYỀN PD</v>
          </cell>
        </row>
      </sheetData>
      <sheetData sheetId="5797">
        <row r="1">
          <cell r="A1" t="str">
            <v>PHIẾU XỬ LÝ HỒ SƠ THANH TOÁN VƯỢT THẨM QUYỀN PD</v>
          </cell>
        </row>
      </sheetData>
      <sheetData sheetId="5798">
        <row r="1">
          <cell r="A1" t="str">
            <v>PHIẾU XỬ LÝ HỒ SƠ THANH TOÁN VƯỢT THẨM QUYỀN PD</v>
          </cell>
        </row>
      </sheetData>
      <sheetData sheetId="5799">
        <row r="1">
          <cell r="A1" t="str">
            <v>PHIẾU XỬ LÝ HỒ SƠ THANH TOÁN VƯỢT THẨM QUYỀN PD</v>
          </cell>
        </row>
      </sheetData>
      <sheetData sheetId="5800" refreshError="1"/>
      <sheetData sheetId="5801">
        <row r="1">
          <cell r="A1" t="str">
            <v>PHIẾU XỬ LÝ HỒ SƠ THANH TOÁN VƯỢT THẨM QUYỀN PD</v>
          </cell>
        </row>
      </sheetData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>
        <row r="1">
          <cell r="A1" t="str">
            <v>PHIẾU XỬ LÝ HỒ SƠ THANH TOÁN VƯỢT THẨM QUYỀN PD</v>
          </cell>
        </row>
      </sheetData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/>
      <sheetData sheetId="5885" refreshError="1"/>
      <sheetData sheetId="5886">
        <row r="1">
          <cell r="A1" t="str">
            <v>PHIẾU XỬ LÝ HỒ SƠ THANH TOÁN VƯỢT THẨM QUYỀN PD</v>
          </cell>
        </row>
      </sheetData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>
        <row r="1">
          <cell r="A1" t="str">
            <v>PHIẾU XỬ LÝ HỒ SƠ THANH TOÁN VƯỢT THẨM QUYỀN PD</v>
          </cell>
        </row>
      </sheetData>
      <sheetData sheetId="5999">
        <row r="1">
          <cell r="A1" t="str">
            <v>PHIẾU XỬ LÝ HỒ SƠ THANH TOÁN VƯỢT THẨM QUYỀN PD</v>
          </cell>
        </row>
      </sheetData>
      <sheetData sheetId="6000">
        <row r="1">
          <cell r="A1" t="str">
            <v>PHIẾU XỬ LÝ HỒ SƠ THANH TOÁN VƯỢT THẨM QUYỀN PD</v>
          </cell>
        </row>
      </sheetData>
      <sheetData sheetId="6001">
        <row r="1">
          <cell r="A1" t="str">
            <v>PHIẾU XỬ LÝ HỒ SƠ THANH TOÁN VƯỢT THẨM QUYỀN PD</v>
          </cell>
        </row>
      </sheetData>
      <sheetData sheetId="6002">
        <row r="1">
          <cell r="A1" t="str">
            <v>PHIẾU XỬ LÝ HỒ SƠ THANH TOÁN VƯỢT THẨM QUYỀN PD</v>
          </cell>
        </row>
      </sheetData>
      <sheetData sheetId="6003">
        <row r="1">
          <cell r="A1" t="str">
            <v>PHIẾU XỬ LÝ HỒ SƠ THANH TOÁN VƯỢT THẨM QUYỀN PD</v>
          </cell>
        </row>
      </sheetData>
      <sheetData sheetId="6004">
        <row r="1">
          <cell r="A1" t="str">
            <v>PHIẾU XỬ LÝ HỒ SƠ THANH TOÁN VƯỢT THẨM QUYỀN PD</v>
          </cell>
        </row>
      </sheetData>
      <sheetData sheetId="6005">
        <row r="1">
          <cell r="A1" t="str">
            <v>PHIẾU XỬ LÝ HỒ SƠ THANH TOÁN VƯỢT THẨM QUYỀN PD</v>
          </cell>
        </row>
      </sheetData>
      <sheetData sheetId="6006">
        <row r="1">
          <cell r="A1" t="str">
            <v>PHIẾU XỬ LÝ HỒ SƠ THANH TOÁN VƯỢT THẨM QUYỀN PD</v>
          </cell>
        </row>
      </sheetData>
      <sheetData sheetId="6007">
        <row r="1">
          <cell r="A1" t="str">
            <v>PHIẾU XỬ LÝ HỒ SƠ THANH TOÁN VƯỢT THẨM QUYỀN PD</v>
          </cell>
        </row>
      </sheetData>
      <sheetData sheetId="6008">
        <row r="1">
          <cell r="A1" t="str">
            <v>PHIẾU XỬ LÝ HỒ SƠ THANH TOÁN VƯỢT THẨM QUYỀN PD</v>
          </cell>
        </row>
      </sheetData>
      <sheetData sheetId="6009">
        <row r="1">
          <cell r="A1" t="str">
            <v>PHIẾU XỬ LÝ HỒ SƠ THANH TOÁN VƯỢT THẨM QUYỀN PD</v>
          </cell>
        </row>
      </sheetData>
      <sheetData sheetId="6010">
        <row r="1">
          <cell r="A1" t="str">
            <v>PHIẾU XỬ LÝ HỒ SƠ THANH TOÁN VƯỢT THẨM QUYỀN PD</v>
          </cell>
        </row>
      </sheetData>
      <sheetData sheetId="6011">
        <row r="1">
          <cell r="A1" t="str">
            <v>PHIẾU XỬ LÝ HỒ SƠ THANH TOÁN VƯỢT THẨM QUYỀN PD</v>
          </cell>
        </row>
      </sheetData>
      <sheetData sheetId="6012">
        <row r="1">
          <cell r="A1" t="str">
            <v>PHIẾU XỬ LÝ HỒ SƠ THANH TOÁN VƯỢT THẨM QUYỀN PD</v>
          </cell>
        </row>
      </sheetData>
      <sheetData sheetId="6013">
        <row r="1">
          <cell r="A1" t="str">
            <v>PHIẾU XỬ LÝ HỒ SƠ THANH TOÁN VƯỢT THẨM QUYỀN PD</v>
          </cell>
        </row>
      </sheetData>
      <sheetData sheetId="6014">
        <row r="1">
          <cell r="A1" t="str">
            <v>PHIẾU XỬ LÝ HỒ SƠ THANH TOÁN VƯỢT THẨM QUYỀN PD</v>
          </cell>
        </row>
      </sheetData>
      <sheetData sheetId="6015">
        <row r="1">
          <cell r="A1" t="str">
            <v>PHIẾU XỬ LÝ HỒ SƠ THANH TOÁN VƯỢT THẨM QUYỀN PD</v>
          </cell>
        </row>
      </sheetData>
      <sheetData sheetId="6016">
        <row r="1">
          <cell r="A1" t="str">
            <v>PHIẾU XỬ LÝ HỒ SƠ THANH TOÁN VƯỢT THẨM QUYỀN PD</v>
          </cell>
        </row>
      </sheetData>
      <sheetData sheetId="6017">
        <row r="1">
          <cell r="A1" t="str">
            <v>PHIẾU XỬ LÝ HỒ SƠ THANH TOÁN VƯỢT THẨM QUYỀN PD</v>
          </cell>
        </row>
      </sheetData>
      <sheetData sheetId="6018">
        <row r="1">
          <cell r="A1" t="str">
            <v>PHIẾU XỬ LÝ HỒ SƠ THANH TOÁN VƯỢT THẨM QUYỀN PD</v>
          </cell>
        </row>
      </sheetData>
      <sheetData sheetId="6019">
        <row r="1">
          <cell r="A1" t="str">
            <v>PHIẾU XỬ LÝ HỒ SƠ THANH TOÁN VƯỢT THẨM QUYỀN PD</v>
          </cell>
        </row>
      </sheetData>
      <sheetData sheetId="6020">
        <row r="1">
          <cell r="A1" t="str">
            <v>PHIẾU XỬ LÝ HỒ SƠ THANH TOÁN VƯỢT THẨM QUYỀN PD</v>
          </cell>
        </row>
      </sheetData>
      <sheetData sheetId="6021">
        <row r="1">
          <cell r="A1" t="str">
            <v>PHIẾU XỬ LÝ HỒ SƠ THANH TOÁN VƯỢT THẨM QUYỀN PD</v>
          </cell>
        </row>
      </sheetData>
      <sheetData sheetId="6022">
        <row r="1">
          <cell r="A1" t="str">
            <v>PHIẾU XỬ LÝ HỒ SƠ THANH TOÁN VƯỢT THẨM QUYỀN PD</v>
          </cell>
        </row>
      </sheetData>
      <sheetData sheetId="6023">
        <row r="1">
          <cell r="A1" t="str">
            <v>PHIẾU XỬ LÝ HỒ SƠ THANH TOÁN VƯỢT THẨM QUYỀN PD</v>
          </cell>
        </row>
      </sheetData>
      <sheetData sheetId="6024">
        <row r="1">
          <cell r="A1" t="str">
            <v>PHIẾU XỬ LÝ HỒ SƠ THANH TOÁN VƯỢT THẨM QUYỀN PD</v>
          </cell>
        </row>
      </sheetData>
      <sheetData sheetId="6025">
        <row r="1">
          <cell r="A1" t="str">
            <v>PHIẾU XỬ LÝ HỒ SƠ THANH TOÁN VƯỢT THẨM QUYỀN PD</v>
          </cell>
        </row>
      </sheetData>
      <sheetData sheetId="6026">
        <row r="1">
          <cell r="A1" t="str">
            <v>PHIẾU XỬ LÝ HỒ SƠ THANH TOÁN VƯỢT THẨM QUYỀN PD</v>
          </cell>
        </row>
      </sheetData>
      <sheetData sheetId="6027">
        <row r="1">
          <cell r="A1" t="str">
            <v>PHIẾU XỬ LÝ HỒ SƠ THANH TOÁN VƯỢT THẨM QUYỀN PD</v>
          </cell>
        </row>
      </sheetData>
      <sheetData sheetId="6028">
        <row r="1">
          <cell r="A1" t="str">
            <v>PHIẾU XỬ LÝ HỒ SƠ THANH TOÁN VƯỢT THẨM QUYỀN PD</v>
          </cell>
        </row>
      </sheetData>
      <sheetData sheetId="6029">
        <row r="1">
          <cell r="A1" t="str">
            <v>PHIẾU XỬ LÝ HỒ SƠ THANH TOÁN VƯỢT THẨM QUYỀN PD</v>
          </cell>
        </row>
      </sheetData>
      <sheetData sheetId="6030">
        <row r="1">
          <cell r="A1" t="str">
            <v>PHIẾU XỬ LÝ HỒ SƠ THANH TOÁN VƯỢT THẨM QUYỀN PD</v>
          </cell>
        </row>
      </sheetData>
      <sheetData sheetId="6031">
        <row r="1">
          <cell r="A1" t="str">
            <v>PHIẾU XỬ LÝ HỒ SƠ THANH TOÁN VƯỢT THẨM QUYỀN PD</v>
          </cell>
        </row>
      </sheetData>
      <sheetData sheetId="6032">
        <row r="1">
          <cell r="A1" t="str">
            <v>PHIẾU XỬ LÝ HỒ SƠ THANH TOÁN VƯỢT THẨM QUYỀN PD</v>
          </cell>
        </row>
      </sheetData>
      <sheetData sheetId="6033">
        <row r="1">
          <cell r="A1" t="str">
            <v>PHIẾU XỬ LÝ HỒ SƠ THANH TOÁN VƯỢT THẨM QUYỀN PD</v>
          </cell>
        </row>
      </sheetData>
      <sheetData sheetId="6034">
        <row r="1">
          <cell r="A1" t="str">
            <v>PHIẾU XỬ LÝ HỒ SƠ THANH TOÁN VƯỢT THẨM QUYỀN PD</v>
          </cell>
        </row>
      </sheetData>
      <sheetData sheetId="6035">
        <row r="1">
          <cell r="A1" t="str">
            <v>PHIẾU XỬ LÝ HỒ SƠ THANH TOÁN VƯỢT THẨM QUYỀN PD</v>
          </cell>
        </row>
      </sheetData>
      <sheetData sheetId="6036">
        <row r="1">
          <cell r="A1" t="str">
            <v>PHIẾU XỬ LÝ HỒ SƠ THANH TOÁN VƯỢT THẨM QUYỀN PD</v>
          </cell>
        </row>
      </sheetData>
      <sheetData sheetId="6037">
        <row r="1">
          <cell r="A1" t="str">
            <v>PHIẾU XỬ LÝ HỒ SƠ THANH TOÁN VƯỢT THẨM QUYỀN PD</v>
          </cell>
        </row>
      </sheetData>
      <sheetData sheetId="6038">
        <row r="1">
          <cell r="A1" t="str">
            <v>PHIẾU XỬ LÝ HỒ SƠ THANH TOÁN VƯỢT THẨM QUYỀN PD</v>
          </cell>
        </row>
      </sheetData>
      <sheetData sheetId="6039">
        <row r="1">
          <cell r="A1" t="str">
            <v>PHIẾU XỬ LÝ HỒ SƠ THANH TOÁN VƯỢT THẨM QUYỀN PD</v>
          </cell>
        </row>
      </sheetData>
      <sheetData sheetId="6040">
        <row r="1">
          <cell r="A1" t="str">
            <v>PHIẾU XỬ LÝ HỒ SƠ THANH TOÁN VƯỢT THẨM QUYỀN PD</v>
          </cell>
        </row>
      </sheetData>
      <sheetData sheetId="6041">
        <row r="1">
          <cell r="A1" t="str">
            <v>PHIẾU XỬ LÝ HỒ SƠ THANH TOÁN VƯỢT THẨM QUYỀN PD</v>
          </cell>
        </row>
      </sheetData>
      <sheetData sheetId="6042">
        <row r="1">
          <cell r="A1" t="str">
            <v>PHIẾU XỬ LÝ HỒ SƠ THANH TOÁN VƯỢT THẨM QUYỀN PD</v>
          </cell>
        </row>
      </sheetData>
      <sheetData sheetId="6043">
        <row r="1">
          <cell r="A1" t="str">
            <v>PHIẾU XỬ LÝ HỒ SƠ THANH TOÁN VƯỢT THẨM QUYỀN PD</v>
          </cell>
        </row>
      </sheetData>
      <sheetData sheetId="6044">
        <row r="1">
          <cell r="A1" t="str">
            <v>PHIẾU XỬ LÝ HỒ SƠ THANH TOÁN VƯỢT THẨM QUYỀN PD</v>
          </cell>
        </row>
      </sheetData>
      <sheetData sheetId="6045">
        <row r="1">
          <cell r="A1" t="str">
            <v>PHIẾU XỬ LÝ HỒ SƠ THANH TOÁN VƯỢT THẨM QUYỀN PD</v>
          </cell>
        </row>
      </sheetData>
      <sheetData sheetId="6046">
        <row r="1">
          <cell r="A1" t="str">
            <v>PHIẾU XỬ LÝ HỒ SƠ THANH TOÁN VƯỢT THẨM QUYỀN PD</v>
          </cell>
        </row>
      </sheetData>
      <sheetData sheetId="6047">
        <row r="1">
          <cell r="A1" t="str">
            <v>PHIẾU XỬ LÝ HỒ SƠ THANH TOÁN VƯỢT THẨM QUYỀN PD</v>
          </cell>
        </row>
      </sheetData>
      <sheetData sheetId="6048">
        <row r="1">
          <cell r="A1" t="str">
            <v>PHIẾU XỬ LÝ HỒ SƠ THANH TOÁN VƯỢT THẨM QUYỀN PD</v>
          </cell>
        </row>
      </sheetData>
      <sheetData sheetId="6049">
        <row r="1">
          <cell r="A1" t="str">
            <v>PHIẾU XỬ LÝ HỒ SƠ THANH TOÁN VƯỢT THẨM QUYỀN PD</v>
          </cell>
        </row>
      </sheetData>
      <sheetData sheetId="6050">
        <row r="1">
          <cell r="A1" t="str">
            <v>PHIẾU XỬ LÝ HỒ SƠ THANH TOÁN VƯỢT THẨM QUYỀN PD</v>
          </cell>
        </row>
      </sheetData>
      <sheetData sheetId="6051">
        <row r="1">
          <cell r="A1" t="str">
            <v>PHIẾU XỬ LÝ HỒ SƠ THANH TOÁN VƯỢT THẨM QUYỀN PD</v>
          </cell>
        </row>
      </sheetData>
      <sheetData sheetId="6052">
        <row r="1">
          <cell r="A1" t="str">
            <v>PHIẾU XỬ LÝ HỒ SƠ THANH TOÁN VƯỢT THẨM QUYỀN PD</v>
          </cell>
        </row>
      </sheetData>
      <sheetData sheetId="6053">
        <row r="1">
          <cell r="A1" t="str">
            <v>PHIẾU XỬ LÝ HỒ SƠ THANH TOÁN VƯỢT THẨM QUYỀN PD</v>
          </cell>
        </row>
      </sheetData>
      <sheetData sheetId="6054">
        <row r="1">
          <cell r="A1" t="str">
            <v>PHIẾU XỬ LÝ HỒ SƠ THANH TOÁN VƯỢT THẨM QUYỀN PD</v>
          </cell>
        </row>
      </sheetData>
      <sheetData sheetId="6055">
        <row r="1">
          <cell r="A1" t="str">
            <v>PHIẾU XỬ LÝ HỒ SƠ THANH TOÁN VƯỢT THẨM QUYỀN PD</v>
          </cell>
        </row>
      </sheetData>
      <sheetData sheetId="6056">
        <row r="1">
          <cell r="A1" t="str">
            <v>PHIẾU XỬ LÝ HỒ SƠ THANH TOÁN VƯỢT THẨM QUYỀN PD</v>
          </cell>
        </row>
      </sheetData>
      <sheetData sheetId="6057">
        <row r="1">
          <cell r="A1" t="str">
            <v>PHIẾU XỬ LÝ HỒ SƠ THANH TOÁN VƯỢT THẨM QUYỀN PD</v>
          </cell>
        </row>
      </sheetData>
      <sheetData sheetId="6058">
        <row r="1">
          <cell r="A1" t="str">
            <v>PHIẾU XỬ LÝ HỒ SƠ THANH TOÁN VƯỢT THẨM QUYỀN PD</v>
          </cell>
        </row>
      </sheetData>
      <sheetData sheetId="6059">
        <row r="1">
          <cell r="A1" t="str">
            <v>PHIẾU XỬ LÝ HỒ SƠ THANH TOÁN VƯỢT THẨM QUYỀN PD</v>
          </cell>
        </row>
      </sheetData>
      <sheetData sheetId="6060">
        <row r="1">
          <cell r="A1" t="str">
            <v>PHIẾU XỬ LÝ HỒ SƠ THANH TOÁN VƯỢT THẨM QUYỀN PD</v>
          </cell>
        </row>
      </sheetData>
      <sheetData sheetId="6061">
        <row r="1">
          <cell r="A1" t="str">
            <v>PHIẾU XỬ LÝ HỒ SƠ THANH TOÁN VƯỢT THẨM QUYỀN PD</v>
          </cell>
        </row>
      </sheetData>
      <sheetData sheetId="6062">
        <row r="1">
          <cell r="A1" t="str">
            <v>PHIẾU XỬ LÝ HỒ SƠ THANH TOÁN VƯỢT THẨM QUYỀN PD</v>
          </cell>
        </row>
      </sheetData>
      <sheetData sheetId="6063">
        <row r="1">
          <cell r="A1" t="str">
            <v>PHIẾU XỬ LÝ HỒ SƠ THANH TOÁN VƯỢT THẨM QUYỀN PD</v>
          </cell>
        </row>
      </sheetData>
      <sheetData sheetId="6064">
        <row r="1">
          <cell r="A1" t="str">
            <v>PHIẾU XỬ LÝ HỒ SƠ THANH TOÁN VƯỢT THẨM QUYỀN PD</v>
          </cell>
        </row>
      </sheetData>
      <sheetData sheetId="6065">
        <row r="1">
          <cell r="A1" t="str">
            <v>PHIẾU XỬ LÝ HỒ SƠ THANH TOÁN VƯỢT THẨM QUYỀN PD</v>
          </cell>
        </row>
      </sheetData>
      <sheetData sheetId="6066">
        <row r="1">
          <cell r="A1" t="str">
            <v>PHIẾU XỬ LÝ HỒ SƠ THANH TOÁN VƯỢT THẨM QUYỀN PD</v>
          </cell>
        </row>
      </sheetData>
      <sheetData sheetId="6067">
        <row r="1">
          <cell r="A1" t="str">
            <v>PHIẾU XỬ LÝ HỒ SƠ THANH TOÁN VƯỢT THẨM QUYỀN PD</v>
          </cell>
        </row>
      </sheetData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>
        <row r="1">
          <cell r="A1" t="str">
            <v>PHIẾU XỬ LÝ HỒ SƠ THANH TOÁN VƯỢT THẨM QUYỀN PD</v>
          </cell>
        </row>
      </sheetData>
      <sheetData sheetId="6106">
        <row r="1">
          <cell r="A1" t="str">
            <v>PHIẾU XỬ LÝ HỒ SƠ THANH TOÁN VƯỢT THẨM QUYỀN PD</v>
          </cell>
        </row>
      </sheetData>
      <sheetData sheetId="6107">
        <row r="1">
          <cell r="A1" t="str">
            <v>PHIẾU XỬ LÝ HỒ SƠ THANH TOÁN VƯỢT THẨM QUYỀN PD</v>
          </cell>
        </row>
      </sheetData>
      <sheetData sheetId="6108">
        <row r="1">
          <cell r="A1" t="str">
            <v>PHIẾU XỬ LÝ HỒ SƠ THANH TOÁN VƯỢT THẨM QUYỀN PD</v>
          </cell>
        </row>
      </sheetData>
      <sheetData sheetId="6109">
        <row r="1">
          <cell r="A1" t="str">
            <v>PHIẾU XỬ LÝ HỒ SƠ THANH TOÁN VƯỢT THẨM QUYỀN PD</v>
          </cell>
        </row>
      </sheetData>
      <sheetData sheetId="6110">
        <row r="1">
          <cell r="A1" t="str">
            <v>PHIẾU XỬ LÝ HỒ SƠ THANH TOÁN VƯỢT THẨM QUYỀN PD</v>
          </cell>
        </row>
      </sheetData>
      <sheetData sheetId="6111">
        <row r="1">
          <cell r="A1" t="str">
            <v>PHIẾU XỬ LÝ HỒ SƠ THANH TOÁN VƯỢT THẨM QUYỀN PD</v>
          </cell>
        </row>
      </sheetData>
      <sheetData sheetId="6112">
        <row r="1">
          <cell r="A1" t="str">
            <v>PHIẾU XỬ LÝ HỒ SƠ THANH TOÁN VƯỢT THẨM QUYỀN PD</v>
          </cell>
        </row>
      </sheetData>
      <sheetData sheetId="6113">
        <row r="1">
          <cell r="A1" t="str">
            <v>PHIẾU XỬ LÝ HỒ SƠ THANH TOÁN VƯỢT THẨM QUYỀN PD</v>
          </cell>
        </row>
      </sheetData>
      <sheetData sheetId="6114">
        <row r="1">
          <cell r="A1" t="str">
            <v>PHIẾU XỬ LÝ HỒ SƠ THANH TOÁN VƯỢT THẨM QUYỀN PD</v>
          </cell>
        </row>
      </sheetData>
      <sheetData sheetId="6115">
        <row r="1">
          <cell r="A1" t="str">
            <v>PHIẾU XỬ LÝ HỒ SƠ THANH TOÁN VƯỢT THẨM QUYỀN PD</v>
          </cell>
        </row>
      </sheetData>
      <sheetData sheetId="6116">
        <row r="1">
          <cell r="A1" t="str">
            <v>PHIẾU XỬ LÝ HỒ SƠ THANH TOÁN VƯỢT THẨM QUYỀN PD</v>
          </cell>
        </row>
      </sheetData>
      <sheetData sheetId="6117">
        <row r="1">
          <cell r="A1" t="str">
            <v>PHIẾU XỬ LÝ HỒ SƠ THANH TOÁN VƯỢT THẨM QUYỀN PD</v>
          </cell>
        </row>
      </sheetData>
      <sheetData sheetId="6118">
        <row r="1">
          <cell r="A1" t="str">
            <v>PHIẾU XỬ LÝ HỒ SƠ THANH TOÁN VƯỢT THẨM QUYỀN PD</v>
          </cell>
        </row>
      </sheetData>
      <sheetData sheetId="6119">
        <row r="1">
          <cell r="A1" t="str">
            <v>PHIẾU XỬ LÝ HỒ SƠ THANH TOÁN VƯỢT THẨM QUYỀN PD</v>
          </cell>
        </row>
      </sheetData>
      <sheetData sheetId="6120">
        <row r="1">
          <cell r="A1" t="str">
            <v>PHIẾU XỬ LÝ HỒ SƠ THANH TOÁN VƯỢT THẨM QUYỀN PD</v>
          </cell>
        </row>
      </sheetData>
      <sheetData sheetId="6121">
        <row r="1">
          <cell r="A1" t="str">
            <v>PHIẾU XỬ LÝ HỒ SƠ THANH TOÁN VƯỢT THẨM QUYỀN PD</v>
          </cell>
        </row>
      </sheetData>
      <sheetData sheetId="6122">
        <row r="1">
          <cell r="A1" t="str">
            <v>PHIẾU XỬ LÝ HỒ SƠ THANH TOÁN VƯỢT THẨM QUYỀN PD</v>
          </cell>
        </row>
      </sheetData>
      <sheetData sheetId="6123">
        <row r="1">
          <cell r="A1" t="str">
            <v>PHIẾU XỬ LÝ HỒ SƠ THANH TOÁN VƯỢT THẨM QUYỀN PD</v>
          </cell>
        </row>
      </sheetData>
      <sheetData sheetId="6124">
        <row r="1">
          <cell r="A1" t="str">
            <v>PHIẾU XỬ LÝ HỒ SƠ THANH TOÁN VƯỢT THẨM QUYỀN PD</v>
          </cell>
        </row>
      </sheetData>
      <sheetData sheetId="6125">
        <row r="1">
          <cell r="A1" t="str">
            <v>PHIẾU XỬ LÝ HỒ SƠ THANH TOÁN VƯỢT THẨM QUYỀN PD</v>
          </cell>
        </row>
      </sheetData>
      <sheetData sheetId="6126">
        <row r="1">
          <cell r="A1" t="str">
            <v>PHIẾU XỬ LÝ HỒ SƠ THANH TOÁN VƯỢT THẨM QUYỀN PD</v>
          </cell>
        </row>
      </sheetData>
      <sheetData sheetId="6127">
        <row r="1">
          <cell r="A1" t="str">
            <v>PHIẾU XỬ LÝ HỒ SƠ THANH TOÁN VƯỢT THẨM QUYỀN PD</v>
          </cell>
        </row>
      </sheetData>
      <sheetData sheetId="6128">
        <row r="1">
          <cell r="A1" t="str">
            <v>PHIẾU XỬ LÝ HỒ SƠ THANH TOÁN VƯỢT THẨM QUYỀN PD</v>
          </cell>
        </row>
      </sheetData>
      <sheetData sheetId="6129">
        <row r="1">
          <cell r="A1" t="str">
            <v>PHIẾU XỬ LÝ HỒ SƠ THANH TOÁN VƯỢT THẨM QUYỀN PD</v>
          </cell>
        </row>
      </sheetData>
      <sheetData sheetId="6130">
        <row r="1">
          <cell r="A1" t="str">
            <v>PHIẾU XỬ LÝ HỒ SƠ THANH TOÁN VƯỢT THẨM QUYỀN PD</v>
          </cell>
        </row>
      </sheetData>
      <sheetData sheetId="6131">
        <row r="1">
          <cell r="A1" t="str">
            <v>PHIẾU XỬ LÝ HỒ SƠ THANH TOÁN VƯỢT THẨM QUYỀN PD</v>
          </cell>
        </row>
      </sheetData>
      <sheetData sheetId="6132">
        <row r="1">
          <cell r="A1" t="str">
            <v>PHIẾU XỬ LÝ HỒ SƠ THANH TOÁN VƯỢT THẨM QUYỀN PD</v>
          </cell>
        </row>
      </sheetData>
      <sheetData sheetId="6133">
        <row r="1">
          <cell r="A1" t="str">
            <v>PHIẾU XỬ LÝ HỒ SƠ THANH TOÁN VƯỢT THẨM QUYỀN PD</v>
          </cell>
        </row>
      </sheetData>
      <sheetData sheetId="6134">
        <row r="1">
          <cell r="A1" t="str">
            <v>PHIẾU XỬ LÝ HỒ SƠ THANH TOÁN VƯỢT THẨM QUYỀN PD</v>
          </cell>
        </row>
      </sheetData>
      <sheetData sheetId="6135">
        <row r="1">
          <cell r="A1" t="str">
            <v>PHIẾU XỬ LÝ HỒ SƠ THANH TOÁN VƯỢT THẨM QUYỀN PD</v>
          </cell>
        </row>
      </sheetData>
      <sheetData sheetId="6136">
        <row r="1">
          <cell r="A1" t="str">
            <v>PHIẾU XỬ LÝ HỒ SƠ THANH TOÁN VƯỢT THẨM QUYỀN PD</v>
          </cell>
        </row>
      </sheetData>
      <sheetData sheetId="6137">
        <row r="1">
          <cell r="A1" t="str">
            <v>PHIẾU XỬ LÝ HỒ SƠ THANH TOÁN VƯỢT THẨM QUYỀN PD</v>
          </cell>
        </row>
      </sheetData>
      <sheetData sheetId="6138">
        <row r="1">
          <cell r="A1" t="str">
            <v>PHIẾU XỬ LÝ HỒ SƠ THANH TOÁN VƯỢT THẨM QUYỀN PD</v>
          </cell>
        </row>
      </sheetData>
      <sheetData sheetId="6139">
        <row r="1">
          <cell r="A1" t="str">
            <v>PHIẾU XỬ LÝ HỒ SƠ THANH TOÁN VƯỢT THẨM QUYỀN PD</v>
          </cell>
        </row>
      </sheetData>
      <sheetData sheetId="6140">
        <row r="1">
          <cell r="A1" t="str">
            <v>PHIẾU XỬ LÝ HỒ SƠ THANH TOÁN VƯỢT THẨM QUYỀN PD</v>
          </cell>
        </row>
      </sheetData>
      <sheetData sheetId="6141">
        <row r="1">
          <cell r="A1" t="str">
            <v>PHIẾU XỬ LÝ HỒ SƠ THANH TOÁN VƯỢT THẨM QUYỀN PD</v>
          </cell>
        </row>
      </sheetData>
      <sheetData sheetId="6142">
        <row r="1">
          <cell r="A1" t="str">
            <v>PHIẾU XỬ LÝ HỒ SƠ THANH TOÁN VƯỢT THẨM QUYỀN PD</v>
          </cell>
        </row>
      </sheetData>
      <sheetData sheetId="6143">
        <row r="1">
          <cell r="A1" t="str">
            <v>PHIẾU XỬ LÝ HỒ SƠ THANH TOÁN VƯỢT THẨM QUYỀN PD</v>
          </cell>
        </row>
      </sheetData>
      <sheetData sheetId="6144">
        <row r="1">
          <cell r="A1" t="str">
            <v>PHIẾU XỬ LÝ HỒ SƠ THANH TOÁN VƯỢT THẨM QUYỀN PD</v>
          </cell>
        </row>
      </sheetData>
      <sheetData sheetId="6145">
        <row r="1">
          <cell r="A1" t="str">
            <v>PHIẾU XỬ LÝ HỒ SƠ THANH TOÁN VƯỢT THẨM QUYỀN PD</v>
          </cell>
        </row>
      </sheetData>
      <sheetData sheetId="6146">
        <row r="1">
          <cell r="A1" t="str">
            <v>PHIẾU XỬ LÝ HỒ SƠ THANH TOÁN VƯỢT THẨM QUYỀN PD</v>
          </cell>
        </row>
      </sheetData>
      <sheetData sheetId="6147">
        <row r="1">
          <cell r="A1" t="str">
            <v>PHIẾU XỬ LÝ HỒ SƠ THANH TOÁN VƯỢT THẨM QUYỀN PD</v>
          </cell>
        </row>
      </sheetData>
      <sheetData sheetId="6148">
        <row r="1">
          <cell r="A1" t="str">
            <v>PHIẾU XỬ LÝ HỒ SƠ THANH TOÁN VƯỢT THẨM QUYỀN PD</v>
          </cell>
        </row>
      </sheetData>
      <sheetData sheetId="6149">
        <row r="1">
          <cell r="A1" t="str">
            <v>PHIẾU XỬ LÝ HỒ SƠ THANH TOÁN VƯỢT THẨM QUYỀN PD</v>
          </cell>
        </row>
      </sheetData>
      <sheetData sheetId="6150">
        <row r="1">
          <cell r="A1" t="str">
            <v>PHIẾU XỬ LÝ HỒ SƠ THANH TOÁN VƯỢT THẨM QUYỀN PD</v>
          </cell>
        </row>
      </sheetData>
      <sheetData sheetId="6151">
        <row r="1">
          <cell r="A1" t="str">
            <v>PHIẾU XỬ LÝ HỒ SƠ THANH TOÁN VƯỢT THẨM QUYỀN PD</v>
          </cell>
        </row>
      </sheetData>
      <sheetData sheetId="6152">
        <row r="1">
          <cell r="A1" t="str">
            <v>PHIẾU XỬ LÝ HỒ SƠ THANH TOÁN VƯỢT THẨM QUYỀN PD</v>
          </cell>
        </row>
      </sheetData>
      <sheetData sheetId="6153">
        <row r="1">
          <cell r="A1" t="str">
            <v>PHIẾU XỬ LÝ HỒ SƠ THANH TOÁN VƯỢT THẨM QUYỀN PD</v>
          </cell>
        </row>
      </sheetData>
      <sheetData sheetId="6154">
        <row r="1">
          <cell r="A1" t="str">
            <v>PHIẾU XỬ LÝ HỒ SƠ THANH TOÁN VƯỢT THẨM QUYỀN PD</v>
          </cell>
        </row>
      </sheetData>
      <sheetData sheetId="6155">
        <row r="1">
          <cell r="A1" t="str">
            <v>PHIẾU XỬ LÝ HỒ SƠ THANH TOÁN VƯỢT THẨM QUYỀN PD</v>
          </cell>
        </row>
      </sheetData>
      <sheetData sheetId="6156">
        <row r="1">
          <cell r="A1" t="str">
            <v>PHIẾU XỬ LÝ HỒ SƠ THANH TOÁN VƯỢT THẨM QUYỀN PD</v>
          </cell>
        </row>
      </sheetData>
      <sheetData sheetId="6157">
        <row r="1">
          <cell r="A1" t="str">
            <v>PHIẾU XỬ LÝ HỒ SƠ THANH TOÁN VƯỢT THẨM QUYỀN PD</v>
          </cell>
        </row>
      </sheetData>
      <sheetData sheetId="6158">
        <row r="1">
          <cell r="A1" t="str">
            <v>PHIẾU XỬ LÝ HỒ SƠ THANH TOÁN VƯỢT THẨM QUYỀN PD</v>
          </cell>
        </row>
      </sheetData>
      <sheetData sheetId="6159">
        <row r="1">
          <cell r="A1" t="str">
            <v>PHIẾU XỬ LÝ HỒ SƠ THANH TOÁN VƯỢT THẨM QUYỀN PD</v>
          </cell>
        </row>
      </sheetData>
      <sheetData sheetId="6160">
        <row r="1">
          <cell r="A1" t="str">
            <v>PHIẾU XỬ LÝ HỒ SƠ THANH TOÁN VƯỢT THẨM QUYỀN PD</v>
          </cell>
        </row>
      </sheetData>
      <sheetData sheetId="6161">
        <row r="1">
          <cell r="A1" t="str">
            <v>PHIẾU XỬ LÝ HỒ SƠ THANH TOÁN VƯỢT THẨM QUYỀN PD</v>
          </cell>
        </row>
      </sheetData>
      <sheetData sheetId="6162">
        <row r="1">
          <cell r="A1" t="str">
            <v>PHIẾU XỬ LÝ HỒ SƠ THANH TOÁN VƯỢT THẨM QUYỀN PD</v>
          </cell>
        </row>
      </sheetData>
      <sheetData sheetId="6163">
        <row r="1">
          <cell r="A1" t="str">
            <v>PHIẾU XỬ LÝ HỒ SƠ THANH TOÁN VƯỢT THẨM QUYỀN PD</v>
          </cell>
        </row>
      </sheetData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>
        <row r="1">
          <cell r="A1" t="str">
            <v>PHIẾU XỬ LÝ HỒ SƠ THANH TOÁN VƯỢT THẨM QUYỀN PD</v>
          </cell>
        </row>
      </sheetData>
      <sheetData sheetId="6195"/>
      <sheetData sheetId="6196">
        <row r="1">
          <cell r="A1" t="str">
            <v>PHIẾU XỬ LÝ HỒ SƠ THANH TOÁN VƯỢT THẨM QUYỀN PD</v>
          </cell>
        </row>
      </sheetData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>
        <row r="1">
          <cell r="A1" t="str">
            <v>PHIẾU XỬ LÝ HỒ SƠ THANH TOÁN VƯỢT THẨM QUYỀN PD</v>
          </cell>
        </row>
      </sheetData>
      <sheetData sheetId="6300">
        <row r="1">
          <cell r="A1" t="str">
            <v>PHIẾU XỬ LÝ HỒ SƠ THANH TOÁN VƯỢT THẨM QUYỀN PD</v>
          </cell>
        </row>
      </sheetData>
      <sheetData sheetId="6301">
        <row r="1">
          <cell r="A1" t="str">
            <v>PHIẾU XỬ LÝ HỒ SƠ THANH TOÁN VƯỢT THẨM QUYỀN PD</v>
          </cell>
        </row>
      </sheetData>
      <sheetData sheetId="6302">
        <row r="1">
          <cell r="A1" t="str">
            <v>PHIẾU XỬ LÝ HỒ SƠ THANH TOÁN VƯỢT THẨM QUYỀN PD</v>
          </cell>
        </row>
      </sheetData>
      <sheetData sheetId="6303">
        <row r="1">
          <cell r="A1" t="str">
            <v>PHIẾU XỬ LÝ HỒ SƠ THANH TOÁN VƯỢT THẨM QUYỀN PD</v>
          </cell>
        </row>
      </sheetData>
      <sheetData sheetId="6304">
        <row r="1">
          <cell r="A1" t="str">
            <v>PHIẾU XỬ LÝ HỒ SƠ THANH TOÁN VƯỢT THẨM QUYỀN PD</v>
          </cell>
        </row>
      </sheetData>
      <sheetData sheetId="6305">
        <row r="1">
          <cell r="A1" t="str">
            <v>PHIẾU XỬ LÝ HỒ SƠ THANH TOÁN VƯỢT THẨM QUYỀN PD</v>
          </cell>
        </row>
      </sheetData>
      <sheetData sheetId="6306">
        <row r="1">
          <cell r="A1" t="str">
            <v>PHIẾU XỬ LÝ HỒ SƠ THANH TOÁN VƯỢT THẨM QUYỀN PD</v>
          </cell>
        </row>
      </sheetData>
      <sheetData sheetId="6307">
        <row r="1">
          <cell r="A1" t="str">
            <v>PHIẾU XỬ LÝ HỒ SƠ THANH TOÁN VƯỢT THẨM QUYỀN PD</v>
          </cell>
        </row>
      </sheetData>
      <sheetData sheetId="6308">
        <row r="1">
          <cell r="A1" t="str">
            <v>PHIẾU XỬ LÝ HỒ SƠ THANH TOÁN VƯỢT THẨM QUYỀN PD</v>
          </cell>
        </row>
      </sheetData>
      <sheetData sheetId="6309">
        <row r="1">
          <cell r="A1" t="str">
            <v>PHIẾU XỬ LÝ HỒ SƠ THANH TOÁN VƯỢT THẨM QUYỀN PD</v>
          </cell>
        </row>
      </sheetData>
      <sheetData sheetId="6310"/>
      <sheetData sheetId="6311">
        <row r="1">
          <cell r="A1" t="str">
            <v>PHIẾU XỬ LÝ HỒ SƠ THANH TOÁN VƯỢT THẨM QUYỀN PD</v>
          </cell>
        </row>
      </sheetData>
      <sheetData sheetId="6312"/>
      <sheetData sheetId="6313">
        <row r="1">
          <cell r="A1" t="str">
            <v>PHIẾU XỬ LÝ HỒ SƠ THANH TOÁN VƯỢT THẨM QUYỀN PD</v>
          </cell>
        </row>
      </sheetData>
      <sheetData sheetId="6314"/>
      <sheetData sheetId="6315">
        <row r="1">
          <cell r="A1" t="str">
            <v>PHIẾU XỬ LÝ HỒ SƠ THANH TOÁN VƯỢT THẨM QUYỀN PD</v>
          </cell>
        </row>
      </sheetData>
      <sheetData sheetId="6316">
        <row r="1">
          <cell r="A1" t="str">
            <v>PHIẾU XỬ LÝ HỒ SƠ THANH TOÁN VƯỢT THẨM QUYỀN PD</v>
          </cell>
        </row>
      </sheetData>
      <sheetData sheetId="6317"/>
      <sheetData sheetId="6318">
        <row r="1">
          <cell r="A1" t="str">
            <v>PHIẾU XỬ LÝ HỒ SƠ THANH TOÁN VƯỢT THẨM QUYỀN PD</v>
          </cell>
        </row>
      </sheetData>
      <sheetData sheetId="6319">
        <row r="1">
          <cell r="A1" t="str">
            <v>PHIẾU XỬ LÝ HỒ SƠ THANH TOÁN VƯỢT THẨM QUYỀN PD</v>
          </cell>
        </row>
      </sheetData>
      <sheetData sheetId="6320">
        <row r="1">
          <cell r="A1" t="str">
            <v>PHIẾU XỬ LÝ HỒ SƠ THANH TOÁN VƯỢT THẨM QUYỀN PD</v>
          </cell>
        </row>
      </sheetData>
      <sheetData sheetId="6321">
        <row r="1">
          <cell r="A1" t="str">
            <v>PHIẾU XỬ LÝ HỒ SƠ THANH TOÁN VƯỢT THẨM QUYỀN PD</v>
          </cell>
        </row>
      </sheetData>
      <sheetData sheetId="6322">
        <row r="1">
          <cell r="A1" t="str">
            <v>PHIẾU XỬ LÝ HỒ SƠ THANH TOÁN VƯỢT THẨM QUYỀN PD</v>
          </cell>
        </row>
      </sheetData>
      <sheetData sheetId="6323">
        <row r="1">
          <cell r="A1" t="str">
            <v>PHIẾU XỬ LÝ HỒ SƠ THANH TOÁN VƯỢT THẨM QUYỀN PD</v>
          </cell>
        </row>
      </sheetData>
      <sheetData sheetId="6324">
        <row r="1">
          <cell r="A1" t="str">
            <v>PHIẾU XỬ LÝ HỒ SƠ THANH TOÁN VƯỢT THẨM QUYỀN PD</v>
          </cell>
        </row>
      </sheetData>
      <sheetData sheetId="6325">
        <row r="1">
          <cell r="A1" t="str">
            <v>PHIẾU XỬ LÝ HỒ SƠ THANH TOÁN VƯỢT THẨM QUYỀN PD</v>
          </cell>
        </row>
      </sheetData>
      <sheetData sheetId="6326">
        <row r="1">
          <cell r="A1" t="str">
            <v>PHIẾU XỬ LÝ HỒ SƠ THANH TOÁN VƯỢT THẨM QUYỀN PD</v>
          </cell>
        </row>
      </sheetData>
      <sheetData sheetId="6327">
        <row r="1">
          <cell r="A1" t="str">
            <v>PHIẾU XỬ LÝ HỒ SƠ THANH TOÁN VƯỢT THẨM QUYỀN PD</v>
          </cell>
        </row>
      </sheetData>
      <sheetData sheetId="6328">
        <row r="1">
          <cell r="A1" t="str">
            <v>PHIẾU XỬ LÝ HỒ SƠ THANH TOÁN VƯỢT THẨM QUYỀN PD</v>
          </cell>
        </row>
      </sheetData>
      <sheetData sheetId="6329">
        <row r="1">
          <cell r="A1" t="str">
            <v>PHIẾU XỬ LÝ HỒ SƠ THANH TOÁN VƯỢT THẨM QUYỀN PD</v>
          </cell>
        </row>
      </sheetData>
      <sheetData sheetId="6330">
        <row r="1">
          <cell r="A1" t="str">
            <v>PHIẾU XỬ LÝ HỒ SƠ THANH TOÁN VƯỢT THẨM QUYỀN PD</v>
          </cell>
        </row>
      </sheetData>
      <sheetData sheetId="6331">
        <row r="1">
          <cell r="A1" t="str">
            <v>PHIẾU XỬ LÝ HỒ SƠ THANH TOÁN VƯỢT THẨM QUYỀN PD</v>
          </cell>
        </row>
      </sheetData>
      <sheetData sheetId="6332">
        <row r="1">
          <cell r="A1" t="str">
            <v>PHIẾU XỬ LÝ HỒ SƠ THANH TOÁN VƯỢT THẨM QUYỀN PD</v>
          </cell>
        </row>
      </sheetData>
      <sheetData sheetId="6333">
        <row r="1">
          <cell r="A1" t="str">
            <v>PHIẾU XỬ LÝ HỒ SƠ THANH TOÁN VƯỢT THẨM QUYỀN PD</v>
          </cell>
        </row>
      </sheetData>
      <sheetData sheetId="6334">
        <row r="1">
          <cell r="A1" t="str">
            <v>PHIẾU XỬ LÝ HỒ SƠ THANH TOÁN VƯỢT THẨM QUYỀN PD</v>
          </cell>
        </row>
      </sheetData>
      <sheetData sheetId="6335">
        <row r="1">
          <cell r="A1" t="str">
            <v>PHIẾU XỬ LÝ HỒ SƠ THANH TOÁN VƯỢT THẨM QUYỀN PD</v>
          </cell>
        </row>
      </sheetData>
      <sheetData sheetId="6336">
        <row r="1">
          <cell r="A1" t="str">
            <v>PHIẾU XỬ LÝ HỒ SƠ THANH TOÁN VƯỢT THẨM QUYỀN PD</v>
          </cell>
        </row>
      </sheetData>
      <sheetData sheetId="6337">
        <row r="1">
          <cell r="A1" t="str">
            <v>PHIẾU XỬ LÝ HỒ SƠ THANH TOÁN VƯỢT THẨM QUYỀN PD</v>
          </cell>
        </row>
      </sheetData>
      <sheetData sheetId="6338">
        <row r="1">
          <cell r="A1" t="str">
            <v>PHIẾU XỬ LÝ HỒ SƠ THANH TOÁN VƯỢT THẨM QUYỀN PD</v>
          </cell>
        </row>
      </sheetData>
      <sheetData sheetId="6339">
        <row r="1">
          <cell r="A1" t="str">
            <v>PHIẾU XỬ LÝ HỒ SƠ THANH TOÁN VƯỢT THẨM QUYỀN PD</v>
          </cell>
        </row>
      </sheetData>
      <sheetData sheetId="6340">
        <row r="1">
          <cell r="A1" t="str">
            <v>PHIẾU XỬ LÝ HỒ SƠ THANH TOÁN VƯỢT THẨM QUYỀN PD</v>
          </cell>
        </row>
      </sheetData>
      <sheetData sheetId="6341">
        <row r="1">
          <cell r="A1" t="str">
            <v>PHIẾU XỬ LÝ HỒ SƠ THANH TOÁN VƯỢT THẨM QUYỀN PD</v>
          </cell>
        </row>
      </sheetData>
      <sheetData sheetId="6342">
        <row r="1">
          <cell r="A1" t="str">
            <v>PHIẾU XỬ LÝ HỒ SƠ THANH TOÁN VƯỢT THẨM QUYỀN PD</v>
          </cell>
        </row>
      </sheetData>
      <sheetData sheetId="6343">
        <row r="1">
          <cell r="A1" t="str">
            <v>PHIẾU XỬ LÝ HỒ SƠ THANH TOÁN VƯỢT THẨM QUYỀN PD</v>
          </cell>
        </row>
      </sheetData>
      <sheetData sheetId="6344">
        <row r="1">
          <cell r="A1" t="str">
            <v>PHIẾU XỬ LÝ HỒ SƠ THANH TOÁN VƯỢT THẨM QUYỀN PD</v>
          </cell>
        </row>
      </sheetData>
      <sheetData sheetId="6345">
        <row r="1">
          <cell r="A1" t="str">
            <v>PHIẾU XỬ LÝ HỒ SƠ THANH TOÁN VƯỢT THẨM QUYỀN PD</v>
          </cell>
        </row>
      </sheetData>
      <sheetData sheetId="6346">
        <row r="1">
          <cell r="A1" t="str">
            <v>PHIẾU XỬ LÝ HỒ SƠ THANH TOÁN VƯỢT THẨM QUYỀN PD</v>
          </cell>
        </row>
      </sheetData>
      <sheetData sheetId="6347">
        <row r="1">
          <cell r="A1" t="str">
            <v>PHIẾU XỬ LÝ HỒ SƠ THANH TOÁN VƯỢT THẨM QUYỀN PD</v>
          </cell>
        </row>
      </sheetData>
      <sheetData sheetId="6348">
        <row r="1">
          <cell r="A1" t="str">
            <v>PHIẾU XỬ LÝ HỒ SƠ THANH TOÁN VƯỢT THẨM QUYỀN PD</v>
          </cell>
        </row>
      </sheetData>
      <sheetData sheetId="6349">
        <row r="1">
          <cell r="A1" t="str">
            <v>PHIẾU XỬ LÝ HỒ SƠ THANH TOÁN VƯỢT THẨM QUYỀN PD</v>
          </cell>
        </row>
      </sheetData>
      <sheetData sheetId="6350">
        <row r="1">
          <cell r="A1" t="str">
            <v>PHIẾU XỬ LÝ HỒ SƠ THANH TOÁN VƯỢT THẨM QUYỀN PD</v>
          </cell>
        </row>
      </sheetData>
      <sheetData sheetId="6351">
        <row r="1">
          <cell r="A1" t="str">
            <v>PHIẾU XỬ LÝ HỒ SƠ THANH TOÁN VƯỢT THẨM QUYỀN PD</v>
          </cell>
        </row>
      </sheetData>
      <sheetData sheetId="6352">
        <row r="1">
          <cell r="A1" t="str">
            <v>PHIẾU XỬ LÝ HỒ SƠ THANH TOÁN VƯỢT THẨM QUYỀN PD</v>
          </cell>
        </row>
      </sheetData>
      <sheetData sheetId="6353">
        <row r="1">
          <cell r="A1" t="str">
            <v>PHIẾU XỬ LÝ HỒ SƠ THANH TOÁN VƯỢT THẨM QUYỀN PD</v>
          </cell>
        </row>
      </sheetData>
      <sheetData sheetId="6354">
        <row r="1">
          <cell r="A1" t="str">
            <v>PHIẾU XỬ LÝ HỒ SƠ THANH TOÁN VƯỢT THẨM QUYỀN PD</v>
          </cell>
        </row>
      </sheetData>
      <sheetData sheetId="6355">
        <row r="1">
          <cell r="A1" t="str">
            <v>PHIẾU XỬ LÝ HỒ SƠ THANH TOÁN VƯỢT THẨM QUYỀN PD</v>
          </cell>
        </row>
      </sheetData>
      <sheetData sheetId="6356">
        <row r="1">
          <cell r="A1" t="str">
            <v>PHIẾU XỬ LÝ HỒ SƠ THANH TOÁN VƯỢT THẨM QUYỀN PD</v>
          </cell>
        </row>
      </sheetData>
      <sheetData sheetId="6357">
        <row r="1">
          <cell r="A1" t="str">
            <v>PHIẾU XỬ LÝ HỒ SƠ THANH TOÁN VƯỢT THẨM QUYỀN PD</v>
          </cell>
        </row>
      </sheetData>
      <sheetData sheetId="6358">
        <row r="1">
          <cell r="A1" t="str">
            <v>PHIẾU XỬ LÝ HỒ SƠ THANH TOÁN VƯỢT THẨM QUYỀN PD</v>
          </cell>
        </row>
      </sheetData>
      <sheetData sheetId="6359">
        <row r="1">
          <cell r="A1" t="str">
            <v>PHIẾU XỬ LÝ HỒ SƠ THANH TOÁN VƯỢT THẨM QUYỀN PD</v>
          </cell>
        </row>
      </sheetData>
      <sheetData sheetId="6360">
        <row r="1">
          <cell r="A1" t="str">
            <v>PHIẾU XỬ LÝ HỒ SƠ THANH TOÁN VƯỢT THẨM QUYỀN PD</v>
          </cell>
        </row>
      </sheetData>
      <sheetData sheetId="6361">
        <row r="1">
          <cell r="A1" t="str">
            <v>PHIẾU XỬ LÝ HỒ SƠ THANH TOÁN VƯỢT THẨM QUYỀN PD</v>
          </cell>
        </row>
      </sheetData>
      <sheetData sheetId="6362">
        <row r="1">
          <cell r="A1" t="str">
            <v>PHIẾU XỬ LÝ HỒ SƠ THANH TOÁN VƯỢT THẨM QUYỀN PD</v>
          </cell>
        </row>
      </sheetData>
      <sheetData sheetId="6363">
        <row r="1">
          <cell r="A1" t="str">
            <v>PHIẾU XỬ LÝ HỒ SƠ THANH TOÁN VƯỢT THẨM QUYỀN PD</v>
          </cell>
        </row>
      </sheetData>
      <sheetData sheetId="6364">
        <row r="1">
          <cell r="A1" t="str">
            <v>PHIẾU XỬ LÝ HỒ SƠ THANH TOÁN VƯỢT THẨM QUYỀN PD</v>
          </cell>
        </row>
      </sheetData>
      <sheetData sheetId="6365">
        <row r="1">
          <cell r="A1" t="str">
            <v>PHIẾU XỬ LÝ HỒ SƠ THANH TOÁN VƯỢT THẨM QUYỀN PD</v>
          </cell>
        </row>
      </sheetData>
      <sheetData sheetId="6366">
        <row r="1">
          <cell r="A1" t="str">
            <v>PHIẾU XỬ LÝ HỒ SƠ THANH TOÁN VƯỢT THẨM QUYỀN PD</v>
          </cell>
        </row>
      </sheetData>
      <sheetData sheetId="6367">
        <row r="1">
          <cell r="A1" t="str">
            <v>PHIẾU XỬ LÝ HỒ SƠ THANH TOÁN VƯỢT THẨM QUYỀN PD</v>
          </cell>
        </row>
      </sheetData>
      <sheetData sheetId="6368">
        <row r="1">
          <cell r="A1" t="str">
            <v>PHIẾU XỬ LÝ HỒ SƠ THANH TOÁN VƯỢT THẨM QUYỀN PD</v>
          </cell>
        </row>
      </sheetData>
      <sheetData sheetId="6369">
        <row r="1">
          <cell r="A1" t="str">
            <v>PHIẾU XỬ LÝ HỒ SƠ THANH TOÁN VƯỢT THẨM QUYỀN PD</v>
          </cell>
        </row>
      </sheetData>
      <sheetData sheetId="6370">
        <row r="1">
          <cell r="A1" t="str">
            <v>PHIẾU XỬ LÝ HỒ SƠ THANH TOÁN VƯỢT THẨM QUYỀN PD</v>
          </cell>
        </row>
      </sheetData>
      <sheetData sheetId="6371">
        <row r="1">
          <cell r="A1" t="str">
            <v>PHIẾU XỬ LÝ HỒ SƠ THANH TOÁN VƯỢT THẨM QUYỀN PD</v>
          </cell>
        </row>
      </sheetData>
      <sheetData sheetId="6372">
        <row r="1">
          <cell r="A1" t="str">
            <v>PHIẾU XỬ LÝ HỒ SƠ THANH TOÁN VƯỢT THẨM QUYỀN PD</v>
          </cell>
        </row>
      </sheetData>
      <sheetData sheetId="6373">
        <row r="1">
          <cell r="A1" t="str">
            <v>PHIẾU XỬ LÝ HỒ SƠ THANH TOÁN VƯỢT THẨM QUYỀN PD</v>
          </cell>
        </row>
      </sheetData>
      <sheetData sheetId="6374">
        <row r="1">
          <cell r="A1" t="str">
            <v>PHIẾU XỬ LÝ HỒ SƠ THANH TOÁN VƯỢT THẨM QUYỀN PD</v>
          </cell>
        </row>
      </sheetData>
      <sheetData sheetId="6375">
        <row r="1">
          <cell r="A1" t="str">
            <v>PHIẾU XỬ LÝ HỒ SƠ THANH TOÁN VƯỢT THẨM QUYỀN PD</v>
          </cell>
        </row>
      </sheetData>
      <sheetData sheetId="6376">
        <row r="1">
          <cell r="A1" t="str">
            <v>PHIẾU XỬ LÝ HỒ SƠ THANH TOÁN VƯỢT THẨM QUYỀN PD</v>
          </cell>
        </row>
      </sheetData>
      <sheetData sheetId="6377">
        <row r="1">
          <cell r="A1" t="str">
            <v>PHIẾU XỬ LÝ HỒ SƠ THANH TOÁN VƯỢT THẨM QUYỀN PD</v>
          </cell>
        </row>
      </sheetData>
      <sheetData sheetId="6378">
        <row r="1">
          <cell r="A1" t="str">
            <v>PHIẾU XỬ LÝ HỒ SƠ THANH TOÁN VƯỢT THẨM QUYỀN PD</v>
          </cell>
        </row>
      </sheetData>
      <sheetData sheetId="6379">
        <row r="1">
          <cell r="A1" t="str">
            <v>PHIẾU XỬ LÝ HỒ SƠ THANH TOÁN VƯỢT THẨM QUYỀN PD</v>
          </cell>
        </row>
      </sheetData>
      <sheetData sheetId="6380">
        <row r="1">
          <cell r="A1" t="str">
            <v>PHIẾU XỬ LÝ HỒ SƠ THANH TOÁN VƯỢT THẨM QUYỀN PD</v>
          </cell>
        </row>
      </sheetData>
      <sheetData sheetId="6381">
        <row r="1">
          <cell r="A1" t="str">
            <v>PHIẾU XỬ LÝ HỒ SƠ THANH TOÁN VƯỢT THẨM QUYỀN PD</v>
          </cell>
        </row>
      </sheetData>
      <sheetData sheetId="6382">
        <row r="1">
          <cell r="A1" t="str">
            <v>PHIẾU XỬ LÝ HỒ SƠ THANH TOÁN VƯỢT THẨM QUYỀN PD</v>
          </cell>
        </row>
      </sheetData>
      <sheetData sheetId="6383">
        <row r="1">
          <cell r="A1" t="str">
            <v>PHIẾU XỬ LÝ HỒ SƠ THANH TOÁN VƯỢT THẨM QUYỀN PD</v>
          </cell>
        </row>
      </sheetData>
      <sheetData sheetId="6384">
        <row r="1">
          <cell r="A1" t="str">
            <v>PHIẾU XỬ LÝ HỒ SƠ THANH TOÁN VƯỢT THẨM QUYỀN PD</v>
          </cell>
        </row>
      </sheetData>
      <sheetData sheetId="6385">
        <row r="1">
          <cell r="A1" t="str">
            <v>PHIẾU XỬ LÝ HỒ SƠ THANH TOÁN VƯỢT THẨM QUYỀN PD</v>
          </cell>
        </row>
      </sheetData>
      <sheetData sheetId="6386">
        <row r="1">
          <cell r="A1" t="str">
            <v>PHIẾU XỬ LÝ HỒ SƠ THANH TOÁN VƯỢT THẨM QUYỀN PD</v>
          </cell>
        </row>
      </sheetData>
      <sheetData sheetId="6387">
        <row r="1">
          <cell r="A1" t="str">
            <v>PHIẾU XỬ LÝ HỒ SƠ THANH TOÁN VƯỢT THẨM QUYỀN PD</v>
          </cell>
        </row>
      </sheetData>
      <sheetData sheetId="6388">
        <row r="1">
          <cell r="A1" t="str">
            <v>PHIẾU XỬ LÝ HỒ SƠ THANH TOÁN VƯỢT THẨM QUYỀN PD</v>
          </cell>
        </row>
      </sheetData>
      <sheetData sheetId="6389">
        <row r="1">
          <cell r="A1" t="str">
            <v>PHIẾU XỬ LÝ HỒ SƠ THANH TOÁN VƯỢT THẨM QUYỀN PD</v>
          </cell>
        </row>
      </sheetData>
      <sheetData sheetId="6390">
        <row r="1">
          <cell r="A1" t="str">
            <v>PHIẾU XỬ LÝ HỒ SƠ THANH TOÁN VƯỢT THẨM QUYỀN PD</v>
          </cell>
        </row>
      </sheetData>
      <sheetData sheetId="6391">
        <row r="1">
          <cell r="A1" t="str">
            <v>PHIẾU XỬ LÝ HỒ SƠ THANH TOÁN VƯỢT THẨM QUYỀN PD</v>
          </cell>
        </row>
      </sheetData>
      <sheetData sheetId="6392">
        <row r="1">
          <cell r="A1" t="str">
            <v>PHIẾU XỬ LÝ HỒ SƠ THANH TOÁN VƯỢT THẨM QUYỀN PD</v>
          </cell>
        </row>
      </sheetData>
      <sheetData sheetId="6393">
        <row r="1">
          <cell r="A1" t="str">
            <v>PHIẾU XỬ LÝ HỒ SƠ THANH TOÁN VƯỢT THẨM QUYỀN PD</v>
          </cell>
        </row>
      </sheetData>
      <sheetData sheetId="6394">
        <row r="1">
          <cell r="A1" t="str">
            <v>PHIẾU XỬ LÝ HỒ SƠ THANH TOÁN VƯỢT THẨM QUYỀN PD</v>
          </cell>
        </row>
      </sheetData>
      <sheetData sheetId="6395">
        <row r="1">
          <cell r="A1" t="str">
            <v>PHIẾU XỬ LÝ HỒ SƠ THANH TOÁN VƯỢT THẨM QUYỀN PD</v>
          </cell>
        </row>
      </sheetData>
      <sheetData sheetId="6396">
        <row r="1">
          <cell r="A1" t="str">
            <v>PHIẾU XỬ LÝ HỒ SƠ THANH TOÁN VƯỢT THẨM QUYỀN PD</v>
          </cell>
        </row>
      </sheetData>
      <sheetData sheetId="6397">
        <row r="1">
          <cell r="A1" t="str">
            <v>PHIẾU XỬ LÝ HỒ SƠ THANH TOÁN VƯỢT THẨM QUYỀN PD</v>
          </cell>
        </row>
      </sheetData>
      <sheetData sheetId="6398">
        <row r="1">
          <cell r="A1" t="str">
            <v>PHIẾU XỬ LÝ HỒ SƠ THANH TOÁN VƯỢT THẨM QUYỀN PD</v>
          </cell>
        </row>
      </sheetData>
      <sheetData sheetId="6399">
        <row r="1">
          <cell r="A1" t="str">
            <v>PHIẾU XỬ LÝ HỒ SƠ THANH TOÁN VƯỢT THẨM QUYỀN PD</v>
          </cell>
        </row>
      </sheetData>
      <sheetData sheetId="6400">
        <row r="1">
          <cell r="A1" t="str">
            <v>PHIẾU XỬ LÝ HỒ SƠ THANH TOÁN VƯỢT THẨM QUYỀN PD</v>
          </cell>
        </row>
      </sheetData>
      <sheetData sheetId="6401">
        <row r="1">
          <cell r="A1" t="str">
            <v>PHIẾU XỬ LÝ HỒ SƠ THANH TOÁN VƯỢT THẨM QUYỀN PD</v>
          </cell>
        </row>
      </sheetData>
      <sheetData sheetId="6402">
        <row r="1">
          <cell r="A1" t="str">
            <v>PHIẾU XỬ LÝ HỒ SƠ THANH TOÁN VƯỢT THẨM QUYỀN PD</v>
          </cell>
        </row>
      </sheetData>
      <sheetData sheetId="6403">
        <row r="1">
          <cell r="A1" t="str">
            <v>PHIẾU XỬ LÝ HỒ SƠ THANH TOÁN VƯỢT THẨM QUYỀN PD</v>
          </cell>
        </row>
      </sheetData>
      <sheetData sheetId="6404">
        <row r="1">
          <cell r="A1" t="str">
            <v>PHIẾU XỬ LÝ HỒ SƠ THANH TOÁN VƯỢT THẨM QUYỀN PD</v>
          </cell>
        </row>
      </sheetData>
      <sheetData sheetId="6405">
        <row r="1">
          <cell r="A1" t="str">
            <v>PHIẾU XỬ LÝ HỒ SƠ THANH TOÁN VƯỢT THẨM QUYỀN PD</v>
          </cell>
        </row>
      </sheetData>
      <sheetData sheetId="6406">
        <row r="1">
          <cell r="A1" t="str">
            <v>PHIẾU XỬ LÝ HỒ SƠ THANH TOÁN VƯỢT THẨM QUYỀN PD</v>
          </cell>
        </row>
      </sheetData>
      <sheetData sheetId="6407">
        <row r="1">
          <cell r="A1" t="str">
            <v>PHIẾU XỬ LÝ HỒ SƠ THANH TOÁN VƯỢT THẨM QUYỀN PD</v>
          </cell>
        </row>
      </sheetData>
      <sheetData sheetId="6408">
        <row r="1">
          <cell r="A1" t="str">
            <v>PHIẾU XỬ LÝ HỒ SƠ THANH TOÁN VƯỢT THẨM QUYỀN PD</v>
          </cell>
        </row>
      </sheetData>
      <sheetData sheetId="6409">
        <row r="1">
          <cell r="A1" t="str">
            <v>PHIẾU XỬ LÝ HỒ SƠ THANH TOÁN VƯỢT THẨM QUYỀN PD</v>
          </cell>
        </row>
      </sheetData>
      <sheetData sheetId="6410">
        <row r="1">
          <cell r="A1" t="str">
            <v>PHIẾU XỬ LÝ HỒ SƠ THANH TOÁN VƯỢT THẨM QUYỀN PD</v>
          </cell>
        </row>
      </sheetData>
      <sheetData sheetId="6411">
        <row r="1">
          <cell r="A1" t="str">
            <v>PHIẾU XỬ LÝ HỒ SƠ THANH TOÁN VƯỢT THẨM QUYỀN PD</v>
          </cell>
        </row>
      </sheetData>
      <sheetData sheetId="6412">
        <row r="1">
          <cell r="A1" t="str">
            <v>PHIẾU XỬ LÝ HỒ SƠ THANH TOÁN VƯỢT THẨM QUYỀN PD</v>
          </cell>
        </row>
      </sheetData>
      <sheetData sheetId="6413">
        <row r="1">
          <cell r="A1" t="str">
            <v>PHIẾU XỬ LÝ HỒ SƠ THANH TOÁN VƯỢT THẨM QUYỀN PD</v>
          </cell>
        </row>
      </sheetData>
      <sheetData sheetId="6414">
        <row r="1">
          <cell r="A1" t="str">
            <v>PHIẾU XỬ LÝ HỒ SƠ THANH TOÁN VƯỢT THẨM QUYỀN PD</v>
          </cell>
        </row>
      </sheetData>
      <sheetData sheetId="6415">
        <row r="1">
          <cell r="A1" t="str">
            <v>PHIẾU XỬ LÝ HỒ SƠ THANH TOÁN VƯỢT THẨM QUYỀN PD</v>
          </cell>
        </row>
      </sheetData>
      <sheetData sheetId="6416">
        <row r="1">
          <cell r="A1" t="str">
            <v>PHIẾU XỬ LÝ HỒ SƠ THANH TOÁN VƯỢT THẨM QUYỀN PD</v>
          </cell>
        </row>
      </sheetData>
      <sheetData sheetId="6417">
        <row r="1">
          <cell r="A1" t="str">
            <v>PHIẾU XỬ LÝ HỒ SƠ THANH TOÁN VƯỢT THẨM QUYỀN PD</v>
          </cell>
        </row>
      </sheetData>
      <sheetData sheetId="6418">
        <row r="1">
          <cell r="A1" t="str">
            <v>PHIẾU XỬ LÝ HỒ SƠ THANH TOÁN VƯỢT THẨM QUYỀN PD</v>
          </cell>
        </row>
      </sheetData>
      <sheetData sheetId="6419">
        <row r="1">
          <cell r="A1" t="str">
            <v>PHIẾU XỬ LÝ HỒ SƠ THANH TOÁN VƯỢT THẨM QUYỀN PD</v>
          </cell>
        </row>
      </sheetData>
      <sheetData sheetId="6420">
        <row r="1">
          <cell r="A1" t="str">
            <v>PHIẾU XỬ LÝ HỒ SƠ THANH TOÁN VƯỢT THẨM QUYỀN PD</v>
          </cell>
        </row>
      </sheetData>
      <sheetData sheetId="6421">
        <row r="1">
          <cell r="A1" t="str">
            <v>PHIẾU XỬ LÝ HỒ SƠ THANH TOÁN VƯỢT THẨM QUYỀN PD</v>
          </cell>
        </row>
      </sheetData>
      <sheetData sheetId="6422">
        <row r="1">
          <cell r="A1" t="str">
            <v>PHIẾU XỬ LÝ HỒ SƠ THANH TOÁN VƯỢT THẨM QUYỀN PD</v>
          </cell>
        </row>
      </sheetData>
      <sheetData sheetId="6423">
        <row r="1">
          <cell r="A1" t="str">
            <v>PHIẾU XỬ LÝ HỒ SƠ THANH TOÁN VƯỢT THẨM QUYỀN PD</v>
          </cell>
        </row>
      </sheetData>
      <sheetData sheetId="6424">
        <row r="1">
          <cell r="A1" t="str">
            <v>PHIẾU XỬ LÝ HỒ SƠ THANH TOÁN VƯỢT THẨM QUYỀN PD</v>
          </cell>
        </row>
      </sheetData>
      <sheetData sheetId="6425">
        <row r="1">
          <cell r="A1" t="str">
            <v>PHIẾU XỬ LÝ HỒ SƠ THANH TOÁN VƯỢT THẨM QUYỀN PD</v>
          </cell>
        </row>
      </sheetData>
      <sheetData sheetId="6426">
        <row r="1">
          <cell r="A1" t="str">
            <v>PHIẾU XỬ LÝ HỒ SƠ THANH TOÁN VƯỢT THẨM QUYỀN PD</v>
          </cell>
        </row>
      </sheetData>
      <sheetData sheetId="6427">
        <row r="1">
          <cell r="A1" t="str">
            <v>PHIẾU XỬ LÝ HỒ SƠ THANH TOÁN VƯỢT THẨM QUYỀN PD</v>
          </cell>
        </row>
      </sheetData>
      <sheetData sheetId="6428">
        <row r="1">
          <cell r="A1" t="str">
            <v>PHIẾU XỬ LÝ HỒ SƠ THANH TOÁN VƯỢT THẨM QUYỀN PD</v>
          </cell>
        </row>
      </sheetData>
      <sheetData sheetId="6429">
        <row r="1">
          <cell r="A1" t="str">
            <v>PHIẾU XỬ LÝ HỒ SƠ THANH TOÁN VƯỢT THẨM QUYỀN PD</v>
          </cell>
        </row>
      </sheetData>
      <sheetData sheetId="6430">
        <row r="1">
          <cell r="A1" t="str">
            <v>PHIẾU XỬ LÝ HỒ SƠ THANH TOÁN VƯỢT THẨM QUYỀN PD</v>
          </cell>
        </row>
      </sheetData>
      <sheetData sheetId="6431">
        <row r="1">
          <cell r="A1" t="str">
            <v>PHIẾU XỬ LÝ HỒ SƠ THANH TOÁN VƯỢT THẨM QUYỀN PD</v>
          </cell>
        </row>
      </sheetData>
      <sheetData sheetId="6432">
        <row r="1">
          <cell r="A1" t="str">
            <v>PHIẾU XỬ LÝ HỒ SƠ THANH TOÁN VƯỢT THẨM QUYỀN PD</v>
          </cell>
        </row>
      </sheetData>
      <sheetData sheetId="6433">
        <row r="1">
          <cell r="A1" t="str">
            <v>PHIẾU XỬ LÝ HỒ SƠ THANH TOÁN VƯỢT THẨM QUYỀN PD</v>
          </cell>
        </row>
      </sheetData>
      <sheetData sheetId="6434">
        <row r="1">
          <cell r="A1" t="str">
            <v>PHIẾU XỬ LÝ HỒ SƠ THANH TOÁN VƯỢT THẨM QUYỀN PD</v>
          </cell>
        </row>
      </sheetData>
      <sheetData sheetId="6435">
        <row r="1">
          <cell r="A1" t="str">
            <v>PHIẾU XỬ LÝ HỒ SƠ THANH TOÁN VƯỢT THẨM QUYỀN PD</v>
          </cell>
        </row>
      </sheetData>
      <sheetData sheetId="6436">
        <row r="1">
          <cell r="A1" t="str">
            <v>PHIẾU XỬ LÝ HỒ SƠ THANH TOÁN VƯỢT THẨM QUYỀN PD</v>
          </cell>
        </row>
      </sheetData>
      <sheetData sheetId="6437">
        <row r="1">
          <cell r="A1" t="str">
            <v>PHIẾU XỬ LÝ HỒ SƠ THANH TOÁN VƯỢT THẨM QUYỀN PD</v>
          </cell>
        </row>
      </sheetData>
      <sheetData sheetId="6438">
        <row r="1">
          <cell r="A1" t="str">
            <v>PHIẾU XỬ LÝ HỒ SƠ THANH TOÁN VƯỢT THẨM QUYỀN PD</v>
          </cell>
        </row>
      </sheetData>
      <sheetData sheetId="6439">
        <row r="1">
          <cell r="A1" t="str">
            <v>PHIẾU XỬ LÝ HỒ SƠ THANH TOÁN VƯỢT THẨM QUYỀN PD</v>
          </cell>
        </row>
      </sheetData>
      <sheetData sheetId="6440">
        <row r="1">
          <cell r="A1" t="str">
            <v>PHIẾU XỬ LÝ HỒ SƠ THANH TOÁN VƯỢT THẨM QUYỀN PD</v>
          </cell>
        </row>
      </sheetData>
      <sheetData sheetId="6441">
        <row r="1">
          <cell r="A1" t="str">
            <v>PHIẾU XỬ LÝ HỒ SƠ THANH TOÁN VƯỢT THẨM QUYỀN PD</v>
          </cell>
        </row>
      </sheetData>
      <sheetData sheetId="6442">
        <row r="1">
          <cell r="A1" t="str">
            <v>PHIẾU XỬ LÝ HỒ SƠ THANH TOÁN VƯỢT THẨM QUYỀN PD</v>
          </cell>
        </row>
      </sheetData>
      <sheetData sheetId="6443">
        <row r="1">
          <cell r="A1" t="str">
            <v>PHIẾU XỬ LÝ HỒ SƠ THANH TOÁN VƯỢT THẨM QUYỀN PD</v>
          </cell>
        </row>
      </sheetData>
      <sheetData sheetId="6444">
        <row r="1">
          <cell r="A1" t="str">
            <v>PHIẾU XỬ LÝ HỒ SƠ THANH TOÁN VƯỢT THẨM QUYỀN PD</v>
          </cell>
        </row>
      </sheetData>
      <sheetData sheetId="6445">
        <row r="1">
          <cell r="A1" t="str">
            <v>PHIẾU XỬ LÝ HỒ SƠ THANH TOÁN VƯỢT THẨM QUYỀN PD</v>
          </cell>
        </row>
      </sheetData>
      <sheetData sheetId="6446">
        <row r="1">
          <cell r="A1" t="str">
            <v>PHIẾU XỬ LÝ HỒ SƠ THANH TOÁN VƯỢT THẨM QUYỀN PD</v>
          </cell>
        </row>
      </sheetData>
      <sheetData sheetId="6447">
        <row r="1">
          <cell r="A1" t="str">
            <v>PHIẾU XỬ LÝ HỒ SƠ THANH TOÁN VƯỢT THẨM QUYỀN PD</v>
          </cell>
        </row>
      </sheetData>
      <sheetData sheetId="6448">
        <row r="1">
          <cell r="A1" t="str">
            <v>PHIẾU XỬ LÝ HỒ SƠ THANH TOÁN VƯỢT THẨM QUYỀN PD</v>
          </cell>
        </row>
      </sheetData>
      <sheetData sheetId="6449">
        <row r="1">
          <cell r="A1" t="str">
            <v>PHIẾU XỬ LÝ HỒ SƠ THANH TOÁN VƯỢT THẨM QUYỀN PD</v>
          </cell>
        </row>
      </sheetData>
      <sheetData sheetId="6450">
        <row r="1">
          <cell r="A1" t="str">
            <v>PHIẾU XỬ LÝ HỒ SƠ THANH TOÁN VƯỢT THẨM QUYỀN PD</v>
          </cell>
        </row>
      </sheetData>
      <sheetData sheetId="6451">
        <row r="1">
          <cell r="A1" t="str">
            <v>PHIẾU XỬ LÝ HỒ SƠ THANH TOÁN VƯỢT THẨM QUYỀN PD</v>
          </cell>
        </row>
      </sheetData>
      <sheetData sheetId="6452">
        <row r="1">
          <cell r="A1" t="str">
            <v>PHIẾU XỬ LÝ HỒ SƠ THANH TOÁN VƯỢT THẨM QUYỀN PD</v>
          </cell>
        </row>
      </sheetData>
      <sheetData sheetId="6453">
        <row r="1">
          <cell r="A1" t="str">
            <v>PHIẾU XỬ LÝ HỒ SƠ THANH TOÁN VƯỢT THẨM QUYỀN PD</v>
          </cell>
        </row>
      </sheetData>
      <sheetData sheetId="6454">
        <row r="1">
          <cell r="A1" t="str">
            <v>PHIẾU XỬ LÝ HỒ SƠ THANH TOÁN VƯỢT THẨM QUYỀN PD</v>
          </cell>
        </row>
      </sheetData>
      <sheetData sheetId="6455">
        <row r="1">
          <cell r="A1" t="str">
            <v>PHIẾU XỬ LÝ HỒ SƠ THANH TOÁN VƯỢT THẨM QUYỀN PD</v>
          </cell>
        </row>
      </sheetData>
      <sheetData sheetId="6456">
        <row r="1">
          <cell r="A1" t="str">
            <v>PHIẾU XỬ LÝ HỒ SƠ THANH TOÁN VƯỢT THẨM QUYỀN PD</v>
          </cell>
        </row>
      </sheetData>
      <sheetData sheetId="6457">
        <row r="1">
          <cell r="A1" t="str">
            <v>PHIẾU XỬ LÝ HỒ SƠ THANH TOÁN VƯỢT THẨM QUYỀN PD</v>
          </cell>
        </row>
      </sheetData>
      <sheetData sheetId="6458">
        <row r="1">
          <cell r="A1" t="str">
            <v>PHIẾU XỬ LÝ HỒ SƠ THANH TOÁN VƯỢT THẨM QUYỀN PD</v>
          </cell>
        </row>
      </sheetData>
      <sheetData sheetId="6459">
        <row r="1">
          <cell r="A1" t="str">
            <v>PHIẾU XỬ LÝ HỒ SƠ THANH TOÁN VƯỢT THẨM QUYỀN PD</v>
          </cell>
        </row>
      </sheetData>
      <sheetData sheetId="6460">
        <row r="1">
          <cell r="A1" t="str">
            <v>PHIẾU XỬ LÝ HỒ SƠ THANH TOÁN VƯỢT THẨM QUYỀN PD</v>
          </cell>
        </row>
      </sheetData>
      <sheetData sheetId="6461">
        <row r="1">
          <cell r="A1" t="str">
            <v>PHIẾU XỬ LÝ HỒ SƠ THANH TOÁN VƯỢT THẨM QUYỀN PD</v>
          </cell>
        </row>
      </sheetData>
      <sheetData sheetId="6462">
        <row r="1">
          <cell r="A1" t="str">
            <v>PHIẾU XỬ LÝ HỒ SƠ THANH TOÁN VƯỢT THẨM QUYỀN PD</v>
          </cell>
        </row>
      </sheetData>
      <sheetData sheetId="6463">
        <row r="1">
          <cell r="A1" t="str">
            <v>PHIẾU XỬ LÝ HỒ SƠ THANH TOÁN VƯỢT THẨM QUYỀN PD</v>
          </cell>
        </row>
      </sheetData>
      <sheetData sheetId="6464">
        <row r="1">
          <cell r="A1" t="str">
            <v>PHIẾU XỬ LÝ HỒ SƠ THANH TOÁN VƯỢT THẨM QUYỀN PD</v>
          </cell>
        </row>
      </sheetData>
      <sheetData sheetId="6465">
        <row r="1">
          <cell r="A1" t="str">
            <v>PHIẾU XỬ LÝ HỒ SƠ THANH TOÁN VƯỢT THẨM QUYỀN PD</v>
          </cell>
        </row>
      </sheetData>
      <sheetData sheetId="6466">
        <row r="1">
          <cell r="A1" t="str">
            <v>PHIẾU XỬ LÝ HỒ SƠ THANH TOÁN VƯỢT THẨM QUYỀN PD</v>
          </cell>
        </row>
      </sheetData>
      <sheetData sheetId="6467">
        <row r="1">
          <cell r="A1" t="str">
            <v>PHIẾU XỬ LÝ HỒ SƠ THANH TOÁN VƯỢT THẨM QUYỀN PD</v>
          </cell>
        </row>
      </sheetData>
      <sheetData sheetId="6468">
        <row r="1">
          <cell r="A1" t="str">
            <v>PHIẾU XỬ LÝ HỒ SƠ THANH TOÁN VƯỢT THẨM QUYỀN PD</v>
          </cell>
        </row>
      </sheetData>
      <sheetData sheetId="6469">
        <row r="1">
          <cell r="A1" t="str">
            <v>PHIẾU XỬ LÝ HỒ SƠ THANH TOÁN VƯỢT THẨM QUYỀN PD</v>
          </cell>
        </row>
      </sheetData>
      <sheetData sheetId="6470">
        <row r="1">
          <cell r="A1" t="str">
            <v>PHIẾU XỬ LÝ HỒ SƠ THANH TOÁN VƯỢT THẨM QUYỀN PD</v>
          </cell>
        </row>
      </sheetData>
      <sheetData sheetId="6471"/>
      <sheetData sheetId="6472"/>
      <sheetData sheetId="6473">
        <row r="1">
          <cell r="A1" t="str">
            <v>PHIẾU XỬ LÝ HỒ SƠ THANH TOÁN VƯỢT THẨM QUYỀN PD</v>
          </cell>
        </row>
      </sheetData>
      <sheetData sheetId="6474"/>
      <sheetData sheetId="6475"/>
      <sheetData sheetId="6476">
        <row r="1">
          <cell r="A1" t="str">
            <v>PHIẾU XỬ LÝ HỒ SƠ THANH TOÁN VƯỢT THẨM QUYỀN PD</v>
          </cell>
        </row>
      </sheetData>
      <sheetData sheetId="6477">
        <row r="1">
          <cell r="A1" t="str">
            <v>PHIẾU XỬ LÝ HỒ SƠ THANH TOÁN VƯỢT THẨM QUYỀN PD</v>
          </cell>
        </row>
      </sheetData>
      <sheetData sheetId="6478">
        <row r="1">
          <cell r="A1" t="str">
            <v>PHIẾU XỬ LÝ HỒ SƠ THANH TOÁN VƯỢT THẨM QUYỀN PD</v>
          </cell>
        </row>
      </sheetData>
      <sheetData sheetId="6479"/>
      <sheetData sheetId="6480">
        <row r="1">
          <cell r="A1" t="str">
            <v>PHIẾU XỬ LÝ HỒ SƠ THANH TOÁN VƯỢT THẨM QUYỀN PD</v>
          </cell>
        </row>
      </sheetData>
      <sheetData sheetId="6481">
        <row r="1">
          <cell r="A1" t="str">
            <v>PHIẾU XỬ LÝ HỒ SƠ THANH TOÁN VƯỢT THẨM QUYỀN PD</v>
          </cell>
        </row>
      </sheetData>
      <sheetData sheetId="6482">
        <row r="1">
          <cell r="A1" t="str">
            <v>PHIẾU XỬ LÝ HỒ SƠ THANH TOÁN VƯỢT THẨM QUYỀN PD</v>
          </cell>
        </row>
      </sheetData>
      <sheetData sheetId="6483">
        <row r="1">
          <cell r="A1" t="str">
            <v>PHIẾU XỬ LÝ HỒ SƠ THANH TOÁN VƯỢT THẨM QUYỀN PD</v>
          </cell>
        </row>
      </sheetData>
      <sheetData sheetId="6484">
        <row r="1">
          <cell r="A1" t="str">
            <v>PHIẾU XỬ LÝ HỒ SƠ THANH TOÁN VƯỢT THẨM QUYỀN PD</v>
          </cell>
        </row>
      </sheetData>
      <sheetData sheetId="6485"/>
      <sheetData sheetId="6486"/>
      <sheetData sheetId="6487"/>
      <sheetData sheetId="6488"/>
      <sheetData sheetId="6489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>
        <row r="1">
          <cell r="A1" t="str">
            <v>PHIẾU XỬ LÝ HỒ SƠ THANH TOÁN VƯỢT THẨM QUYỀN PD</v>
          </cell>
        </row>
      </sheetData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>
        <row r="1">
          <cell r="A1" t="str">
            <v>PHIẾU XỬ LÝ HỒ SƠ THANH TOÁN VƯỢT THẨM QUYỀN PD</v>
          </cell>
        </row>
      </sheetData>
      <sheetData sheetId="6577">
        <row r="1">
          <cell r="A1" t="str">
            <v>PHIẾU XỬ LÝ HỒ SƠ THANH TOÁN VƯỢT THẨM QUYỀN PD</v>
          </cell>
        </row>
      </sheetData>
      <sheetData sheetId="6578">
        <row r="1">
          <cell r="A1" t="str">
            <v>PHIẾU XỬ LÝ HỒ SƠ THANH TOÁN VƯỢT THẨM QUYỀN PD</v>
          </cell>
        </row>
      </sheetData>
      <sheetData sheetId="6579">
        <row r="1">
          <cell r="A1" t="str">
            <v>PHIẾU XỬ LÝ HỒ SƠ THANH TOÁN VƯỢT THẨM QUYỀN PD</v>
          </cell>
        </row>
      </sheetData>
      <sheetData sheetId="6580">
        <row r="1">
          <cell r="A1" t="str">
            <v>PHIẾU XỬ LÝ HỒ SƠ THANH TOÁN VƯỢT THẨM QUYỀN PD</v>
          </cell>
        </row>
      </sheetData>
      <sheetData sheetId="6581">
        <row r="1">
          <cell r="A1" t="str">
            <v>PHIẾU XỬ LÝ HỒ SƠ THANH TOÁN VƯỢT THẨM QUYỀN PD</v>
          </cell>
        </row>
      </sheetData>
      <sheetData sheetId="6582">
        <row r="1">
          <cell r="A1" t="str">
            <v>PHIẾU XỬ LÝ HỒ SƠ THANH TOÁN VƯỢT THẨM QUYỀN PD</v>
          </cell>
        </row>
      </sheetData>
      <sheetData sheetId="6583">
        <row r="1">
          <cell r="A1" t="str">
            <v>PHIẾU XỬ LÝ HỒ SƠ THANH TOÁN VƯỢT THẨM QUYỀN PD</v>
          </cell>
        </row>
      </sheetData>
      <sheetData sheetId="6584">
        <row r="1">
          <cell r="A1" t="str">
            <v>PHIẾU XỬ LÝ HỒ SƠ THANH TOÁN VƯỢT THẨM QUYỀN PD</v>
          </cell>
        </row>
      </sheetData>
      <sheetData sheetId="6585">
        <row r="1">
          <cell r="A1" t="str">
            <v>PHIẾU XỬ LÝ HỒ SƠ THANH TOÁN VƯỢT THẨM QUYỀN PD</v>
          </cell>
        </row>
      </sheetData>
      <sheetData sheetId="6586">
        <row r="1">
          <cell r="A1" t="str">
            <v>PHIẾU XỬ LÝ HỒ SƠ THANH TOÁN VƯỢT THẨM QUYỀN PD</v>
          </cell>
        </row>
      </sheetData>
      <sheetData sheetId="6587">
        <row r="1">
          <cell r="A1" t="str">
            <v>PHIẾU XỬ LÝ HỒ SƠ THANH TOÁN VƯỢT THẨM QUYỀN PD</v>
          </cell>
        </row>
      </sheetData>
      <sheetData sheetId="6588">
        <row r="1">
          <cell r="A1" t="str">
            <v>PHIẾU XỬ LÝ HỒ SƠ THANH TOÁN VƯỢT THẨM QUYỀN PD</v>
          </cell>
        </row>
      </sheetData>
      <sheetData sheetId="6589">
        <row r="1">
          <cell r="A1" t="str">
            <v>PHIẾU XỬ LÝ HỒ SƠ THANH TOÁN VƯỢT THẨM QUYỀN PD</v>
          </cell>
        </row>
      </sheetData>
      <sheetData sheetId="6590" refreshError="1"/>
      <sheetData sheetId="6591">
        <row r="1">
          <cell r="A1" t="str">
            <v>PHIẾU XỬ LÝ HỒ SƠ THANH TOÁN VƯỢT THẨM QUYỀN PD</v>
          </cell>
        </row>
      </sheetData>
      <sheetData sheetId="6592">
        <row r="1">
          <cell r="A1" t="str">
            <v>PHIẾU XỬ LÝ HỒ SƠ THANH TOÁN VƯỢT THẨM QUYỀN PD</v>
          </cell>
        </row>
      </sheetData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>
        <row r="1">
          <cell r="A1" t="str">
            <v>PHIẾU XỬ LÝ HỒ SƠ THANH TOÁN VƯỢT THẨM QUYỀN PD</v>
          </cell>
        </row>
      </sheetData>
      <sheetData sheetId="6623">
        <row r="1">
          <cell r="A1" t="str">
            <v>PHIẾU XỬ LÝ HỒ SƠ THANH TOÁN VƯỢT THẨM QUYỀN PD</v>
          </cell>
        </row>
      </sheetData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/>
      <sheetData sheetId="6648"/>
      <sheetData sheetId="6649"/>
      <sheetData sheetId="6650"/>
      <sheetData sheetId="6651"/>
      <sheetData sheetId="6652"/>
      <sheetData sheetId="6653"/>
      <sheetData sheetId="6654">
        <row r="1">
          <cell r="A1" t="str">
            <v>PHIẾU XỬ LÝ HỒ SƠ THANH TOÁN VƯỢT THẨM QUYỀN PD</v>
          </cell>
        </row>
      </sheetData>
      <sheetData sheetId="6655"/>
      <sheetData sheetId="6656">
        <row r="1">
          <cell r="A1" t="str">
            <v>PHIẾU XỬ LÝ HỒ SƠ THANH TOÁN VƯỢT THẨM QUYỀN PD</v>
          </cell>
        </row>
      </sheetData>
      <sheetData sheetId="6657">
        <row r="1">
          <cell r="A1" t="str">
            <v>PHIẾU XỬ LÝ HỒ SƠ THANH TOÁN VƯỢT THẨM QUYỀN PD</v>
          </cell>
        </row>
      </sheetData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>
        <row r="1">
          <cell r="A1" t="str">
            <v>PHIẾU XỬ LÝ HỒ SƠ THANH TOÁN VƯỢT THẨM QUYỀN PD</v>
          </cell>
        </row>
      </sheetData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>
        <row r="1">
          <cell r="A1" t="str">
            <v>PHIẾU XỬ LÝ HỒ SƠ THANH TOÁN VƯỢT THẨM QUYỀN PD</v>
          </cell>
        </row>
      </sheetData>
      <sheetData sheetId="6891">
        <row r="1">
          <cell r="A1" t="str">
            <v>PHIẾU XỬ LÝ HỒ SƠ THANH TOÁN VƯỢT THẨM QUYỀN PD</v>
          </cell>
        </row>
      </sheetData>
      <sheetData sheetId="6892">
        <row r="1">
          <cell r="A1" t="str">
            <v>PHIẾU XỬ LÝ HỒ SƠ THANH TOÁN VƯỢT THẨM QUYỀN PD</v>
          </cell>
        </row>
      </sheetData>
      <sheetData sheetId="6893">
        <row r="1">
          <cell r="A1" t="str">
            <v>PHIẾU XỬ LÝ HỒ SƠ THANH TOÁN VƯỢT THẨM QUYỀN PD</v>
          </cell>
        </row>
      </sheetData>
      <sheetData sheetId="6894">
        <row r="1">
          <cell r="A1" t="str">
            <v>PHIẾU XỬ LÝ HỒ SƠ THANH TOÁN VƯỢT THẨM QUYỀN PD</v>
          </cell>
        </row>
      </sheetData>
      <sheetData sheetId="6895">
        <row r="1">
          <cell r="A1" t="str">
            <v>PHIẾU XỬ LÝ HỒ SƠ THANH TOÁN VƯỢT THẨM QUYỀN PD</v>
          </cell>
        </row>
      </sheetData>
      <sheetData sheetId="6896">
        <row r="1">
          <cell r="A1" t="str">
            <v>PHIẾU XỬ LÝ HỒ SƠ THANH TOÁN VƯỢT THẨM QUYỀN PD</v>
          </cell>
        </row>
      </sheetData>
      <sheetData sheetId="6897">
        <row r="1">
          <cell r="A1" t="str">
            <v>PHIẾU XỬ LÝ HỒ SƠ THANH TOÁN VƯỢT THẨM QUYỀN PD</v>
          </cell>
        </row>
      </sheetData>
      <sheetData sheetId="6898">
        <row r="1">
          <cell r="A1" t="str">
            <v>PHIẾU XỬ LÝ HỒ SƠ THANH TOÁN VƯỢT THẨM QUYỀN PD</v>
          </cell>
        </row>
      </sheetData>
      <sheetData sheetId="6899">
        <row r="1">
          <cell r="A1" t="str">
            <v>PHIẾU XỬ LÝ HỒ SƠ THANH TOÁN VƯỢT THẨM QUYỀN PD</v>
          </cell>
        </row>
      </sheetData>
      <sheetData sheetId="6900">
        <row r="1">
          <cell r="A1" t="str">
            <v>PHIẾU XỬ LÝ HỒ SƠ THANH TOÁN VƯỢT THẨM QUYỀN PD</v>
          </cell>
        </row>
      </sheetData>
      <sheetData sheetId="6901">
        <row r="1">
          <cell r="A1" t="str">
            <v>PHIẾU XỬ LÝ HỒ SƠ THANH TOÁN VƯỢT THẨM QUYỀN PD</v>
          </cell>
        </row>
      </sheetData>
      <sheetData sheetId="6902">
        <row r="1">
          <cell r="A1" t="str">
            <v>PHIẾU XỬ LÝ HỒ SƠ THANH TOÁN VƯỢT THẨM QUYỀN PD</v>
          </cell>
        </row>
      </sheetData>
      <sheetData sheetId="6903">
        <row r="1">
          <cell r="A1" t="str">
            <v>PHIẾU XỬ LÝ HỒ SƠ THANH TOÁN VƯỢT THẨM QUYỀN PD</v>
          </cell>
        </row>
      </sheetData>
      <sheetData sheetId="6904">
        <row r="1">
          <cell r="A1" t="str">
            <v>PHIẾU XỬ LÝ HỒ SƠ THANH TOÁN VƯỢT THẨM QUYỀN PD</v>
          </cell>
        </row>
      </sheetData>
      <sheetData sheetId="6905">
        <row r="1">
          <cell r="A1" t="str">
            <v>PHIẾU XỬ LÝ HỒ SƠ THANH TOÁN VƯỢT THẨM QUYỀN PD</v>
          </cell>
        </row>
      </sheetData>
      <sheetData sheetId="6906">
        <row r="1">
          <cell r="A1" t="str">
            <v>PHIẾU XỬ LÝ HỒ SƠ THANH TOÁN VƯỢT THẨM QUYỀN PD</v>
          </cell>
        </row>
      </sheetData>
      <sheetData sheetId="6907">
        <row r="1">
          <cell r="A1" t="str">
            <v>PHIẾU XỬ LÝ HỒ SƠ THANH TOÁN VƯỢT THẨM QUYỀN PD</v>
          </cell>
        </row>
      </sheetData>
      <sheetData sheetId="6908">
        <row r="1">
          <cell r="A1" t="str">
            <v>PHIẾU XỬ LÝ HỒ SƠ THANH TOÁN VƯỢT THẨM QUYỀN PD</v>
          </cell>
        </row>
      </sheetData>
      <sheetData sheetId="6909">
        <row r="1">
          <cell r="A1" t="str">
            <v>PHIẾU XỬ LÝ HỒ SƠ THANH TOÁN VƯỢT THẨM QUYỀN PD</v>
          </cell>
        </row>
      </sheetData>
      <sheetData sheetId="6910">
        <row r="1">
          <cell r="A1" t="str">
            <v>PHIẾU XỬ LÝ HỒ SƠ THANH TOÁN VƯỢT THẨM QUYỀN PD</v>
          </cell>
        </row>
      </sheetData>
      <sheetData sheetId="6911">
        <row r="1">
          <cell r="A1" t="str">
            <v>PHIẾU XỬ LÝ HỒ SƠ THANH TOÁN VƯỢT THẨM QUYỀN PD</v>
          </cell>
        </row>
      </sheetData>
      <sheetData sheetId="6912"/>
      <sheetData sheetId="6913"/>
      <sheetData sheetId="6914"/>
      <sheetData sheetId="6915"/>
      <sheetData sheetId="6916">
        <row r="1">
          <cell r="A1" t="str">
            <v>PHIẾU XỬ LÝ HỒ SƠ THANH TOÁN VƯỢT THẨM QUYỀN PD</v>
          </cell>
        </row>
      </sheetData>
      <sheetData sheetId="6917">
        <row r="1">
          <cell r="A1" t="str">
            <v>PHIẾU XỬ LÝ HỒ SƠ THANH TOÁN VƯỢT THẨM QUYỀN PD</v>
          </cell>
        </row>
      </sheetData>
      <sheetData sheetId="6918">
        <row r="1">
          <cell r="A1" t="str">
            <v>PHIẾU XỬ LÝ HỒ SƠ THANH TOÁN VƯỢT THẨM QUYỀN PD</v>
          </cell>
        </row>
      </sheetData>
      <sheetData sheetId="6919">
        <row r="1">
          <cell r="A1" t="str">
            <v>PHIẾU XỬ LÝ HỒ SƠ THANH TOÁN VƯỢT THẨM QUYỀN PD</v>
          </cell>
        </row>
      </sheetData>
      <sheetData sheetId="6920">
        <row r="1">
          <cell r="A1" t="str">
            <v>PHIẾU XỬ LÝ HỒ SƠ THANH TOÁN VƯỢT THẨM QUYỀN PD</v>
          </cell>
        </row>
      </sheetData>
      <sheetData sheetId="6921">
        <row r="1">
          <cell r="A1" t="str">
            <v>PHIẾU XỬ LÝ HỒ SƠ THANH TOÁN VƯỢT THẨM QUYỀN PD</v>
          </cell>
        </row>
      </sheetData>
      <sheetData sheetId="6922">
        <row r="1">
          <cell r="A1" t="str">
            <v>PHIẾU XỬ LÝ HỒ SƠ THANH TOÁN VƯỢT THẨM QUYỀN PD</v>
          </cell>
        </row>
      </sheetData>
      <sheetData sheetId="6923">
        <row r="1">
          <cell r="A1" t="str">
            <v>PHIẾU XỬ LÝ HỒ SƠ THANH TOÁN VƯỢT THẨM QUYỀN PD</v>
          </cell>
        </row>
      </sheetData>
      <sheetData sheetId="6924">
        <row r="1">
          <cell r="A1" t="str">
            <v>PHIẾU XỬ LÝ HỒ SƠ THANH TOÁN VƯỢT THẨM QUYỀN PD</v>
          </cell>
        </row>
      </sheetData>
      <sheetData sheetId="6925">
        <row r="1">
          <cell r="A1" t="str">
            <v>PHIẾU XỬ LÝ HỒ SƠ THANH TOÁN VƯỢT THẨM QUYỀN PD</v>
          </cell>
        </row>
      </sheetData>
      <sheetData sheetId="6926">
        <row r="1">
          <cell r="A1" t="str">
            <v>PHIẾU XỬ LÝ HỒ SƠ THANH TOÁN VƯỢT THẨM QUYỀN PD</v>
          </cell>
        </row>
      </sheetData>
      <sheetData sheetId="6927">
        <row r="1">
          <cell r="A1" t="str">
            <v>PHIẾU XỬ LÝ HỒ SƠ THANH TOÁN VƯỢT THẨM QUYỀN PD</v>
          </cell>
        </row>
      </sheetData>
      <sheetData sheetId="6928">
        <row r="1">
          <cell r="A1" t="str">
            <v>PHIẾU XỬ LÝ HỒ SƠ THANH TOÁN VƯỢT THẨM QUYỀN PD</v>
          </cell>
        </row>
      </sheetData>
      <sheetData sheetId="6929">
        <row r="1">
          <cell r="A1" t="str">
            <v>PHIẾU XỬ LÝ HỒ SƠ THANH TOÁN VƯỢT THẨM QUYỀN PD</v>
          </cell>
        </row>
      </sheetData>
      <sheetData sheetId="6930">
        <row r="1">
          <cell r="A1" t="str">
            <v>PHIẾU XỬ LÝ HỒ SƠ THANH TOÁN VƯỢT THẨM QUYỀN PD</v>
          </cell>
        </row>
      </sheetData>
      <sheetData sheetId="6931">
        <row r="1">
          <cell r="A1" t="str">
            <v>PHIẾU XỬ LÝ HỒ SƠ THANH TOÁN VƯỢT THẨM QUYỀN PD</v>
          </cell>
        </row>
      </sheetData>
      <sheetData sheetId="6932">
        <row r="1">
          <cell r="A1" t="str">
            <v>PHIẾU XỬ LÝ HỒ SƠ THANH TOÁN VƯỢT THẨM QUYỀN PD</v>
          </cell>
        </row>
      </sheetData>
      <sheetData sheetId="6933">
        <row r="1">
          <cell r="A1" t="str">
            <v>PHIẾU XỬ LÝ HỒ SƠ THANH TOÁN VƯỢT THẨM QUYỀN PD</v>
          </cell>
        </row>
      </sheetData>
      <sheetData sheetId="6934">
        <row r="1">
          <cell r="A1" t="str">
            <v>PHIẾU XỬ LÝ HỒ SƠ THANH TOÁN VƯỢT THẨM QUYỀN PD</v>
          </cell>
        </row>
      </sheetData>
      <sheetData sheetId="6935">
        <row r="1">
          <cell r="A1" t="str">
            <v>PHIẾU XỬ LÝ HỒ SƠ THANH TOÁN VƯỢT THẨM QUYỀN PD</v>
          </cell>
        </row>
      </sheetData>
      <sheetData sheetId="6936">
        <row r="1">
          <cell r="A1" t="str">
            <v>PHIẾU XỬ LÝ HỒ SƠ THANH TOÁN VƯỢT THẨM QUYỀN PD</v>
          </cell>
        </row>
      </sheetData>
      <sheetData sheetId="6937">
        <row r="1">
          <cell r="A1" t="str">
            <v>PHIẾU XỬ LÝ HỒ SƠ THANH TOÁN VƯỢT THẨM QUYỀN PD</v>
          </cell>
        </row>
      </sheetData>
      <sheetData sheetId="6938">
        <row r="1">
          <cell r="A1" t="str">
            <v>PHIẾU XỬ LÝ HỒ SƠ THANH TOÁN VƯỢT THẨM QUYỀN PD</v>
          </cell>
        </row>
      </sheetData>
      <sheetData sheetId="6939">
        <row r="1">
          <cell r="A1" t="str">
            <v>PHIẾU XỬ LÝ HỒ SƠ THANH TOÁN VƯỢT THẨM QUYỀN PD</v>
          </cell>
        </row>
      </sheetData>
      <sheetData sheetId="6940">
        <row r="1">
          <cell r="A1" t="str">
            <v>PHIẾU XỬ LÝ HỒ SƠ THANH TOÁN VƯỢT THẨM QUYỀN PD</v>
          </cell>
        </row>
      </sheetData>
      <sheetData sheetId="6941">
        <row r="1">
          <cell r="A1" t="str">
            <v>PHIẾU XỬ LÝ HỒ SƠ THANH TOÁN VƯỢT THẨM QUYỀN PD</v>
          </cell>
        </row>
      </sheetData>
      <sheetData sheetId="6942">
        <row r="1">
          <cell r="A1" t="str">
            <v>PHIẾU XỬ LÝ HỒ SƠ THANH TOÁN VƯỢT THẨM QUYỀN PD</v>
          </cell>
        </row>
      </sheetData>
      <sheetData sheetId="6943">
        <row r="1">
          <cell r="A1" t="str">
            <v>PHIẾU XỬ LÝ HỒ SƠ THANH TOÁN VƯỢT THẨM QUYỀN PD</v>
          </cell>
        </row>
      </sheetData>
      <sheetData sheetId="6944">
        <row r="1">
          <cell r="A1" t="str">
            <v>PHIẾU XỬ LÝ HỒ SƠ THANH TOÁN VƯỢT THẨM QUYỀN PD</v>
          </cell>
        </row>
      </sheetData>
      <sheetData sheetId="6945">
        <row r="1">
          <cell r="A1" t="str">
            <v>PHIẾU XỬ LÝ HỒ SƠ THANH TOÁN VƯỢT THẨM QUYỀN PD</v>
          </cell>
        </row>
      </sheetData>
      <sheetData sheetId="6946">
        <row r="1">
          <cell r="A1" t="str">
            <v>PHIẾU XỬ LÝ HỒ SƠ THANH TOÁN VƯỢT THẨM QUYỀN PD</v>
          </cell>
        </row>
      </sheetData>
      <sheetData sheetId="6947">
        <row r="1">
          <cell r="A1" t="str">
            <v>PHIẾU XỬ LÝ HỒ SƠ THANH TOÁN VƯỢT THẨM QUYỀN PD</v>
          </cell>
        </row>
      </sheetData>
      <sheetData sheetId="6948">
        <row r="1">
          <cell r="A1" t="str">
            <v>PHIẾU XỬ LÝ HỒ SƠ THANH TOÁN VƯỢT THẨM QUYỀN PD</v>
          </cell>
        </row>
      </sheetData>
      <sheetData sheetId="6949">
        <row r="1">
          <cell r="A1" t="str">
            <v>PHIẾU XỬ LÝ HỒ SƠ THANH TOÁN VƯỢT THẨM QUYỀN PD</v>
          </cell>
        </row>
      </sheetData>
      <sheetData sheetId="6950">
        <row r="1">
          <cell r="A1" t="str">
            <v>PHIẾU XỬ LÝ HỒ SƠ THANH TOÁN VƯỢT THẨM QUYỀN PD</v>
          </cell>
        </row>
      </sheetData>
      <sheetData sheetId="6951">
        <row r="1">
          <cell r="A1" t="str">
            <v>PHIẾU XỬ LÝ HỒ SƠ THANH TOÁN VƯỢT THẨM QUYỀN PD</v>
          </cell>
        </row>
      </sheetData>
      <sheetData sheetId="6952">
        <row r="1">
          <cell r="A1" t="str">
            <v>PHIẾU XỬ LÝ HỒ SƠ THANH TOÁN VƯỢT THẨM QUYỀN PD</v>
          </cell>
        </row>
      </sheetData>
      <sheetData sheetId="6953">
        <row r="1">
          <cell r="A1" t="str">
            <v>PHIẾU XỬ LÝ HỒ SƠ THANH TOÁN VƯỢT THẨM QUYỀN PD</v>
          </cell>
        </row>
      </sheetData>
      <sheetData sheetId="6954">
        <row r="1">
          <cell r="A1" t="str">
            <v>PHIẾU XỬ LÝ HỒ SƠ THANH TOÁN VƯỢT THẨM QUYỀN PD</v>
          </cell>
        </row>
      </sheetData>
      <sheetData sheetId="6955">
        <row r="1">
          <cell r="A1" t="str">
            <v>PHIẾU XỬ LÝ HỒ SƠ THANH TOÁN VƯỢT THẨM QUYỀN PD</v>
          </cell>
        </row>
      </sheetData>
      <sheetData sheetId="6956">
        <row r="1">
          <cell r="A1" t="str">
            <v>PHIẾU XỬ LÝ HỒ SƠ THANH TOÁN VƯỢT THẨM QUYỀN PD</v>
          </cell>
        </row>
      </sheetData>
      <sheetData sheetId="6957">
        <row r="1">
          <cell r="A1" t="str">
            <v>PHIẾU XỬ LÝ HỒ SƠ THANH TOÁN VƯỢT THẨM QUYỀN PD</v>
          </cell>
        </row>
      </sheetData>
      <sheetData sheetId="6958">
        <row r="1">
          <cell r="A1" t="str">
            <v>PHIẾU XỬ LÝ HỒ SƠ THANH TOÁN VƯỢT THẨM QUYỀN PD</v>
          </cell>
        </row>
      </sheetData>
      <sheetData sheetId="6959">
        <row r="1">
          <cell r="A1" t="str">
            <v>PHIẾU XỬ LÝ HỒ SƠ THANH TOÁN VƯỢT THẨM QUYỀN PD</v>
          </cell>
        </row>
      </sheetData>
      <sheetData sheetId="6960">
        <row r="1">
          <cell r="A1" t="str">
            <v>PHIẾU XỬ LÝ HỒ SƠ THANH TOÁN VƯỢT THẨM QUYỀN PD</v>
          </cell>
        </row>
      </sheetData>
      <sheetData sheetId="6961">
        <row r="1">
          <cell r="A1" t="str">
            <v>PHIẾU XỬ LÝ HỒ SƠ THANH TOÁN VƯỢT THẨM QUYỀN PD</v>
          </cell>
        </row>
      </sheetData>
      <sheetData sheetId="6962">
        <row r="1">
          <cell r="A1" t="str">
            <v>PHIẾU XỬ LÝ HỒ SƠ THANH TOÁN VƯỢT THẨM QUYỀN PD</v>
          </cell>
        </row>
      </sheetData>
      <sheetData sheetId="6963">
        <row r="1">
          <cell r="A1" t="str">
            <v>PHIẾU XỬ LÝ HỒ SƠ THANH TOÁN VƯỢT THẨM QUYỀN PD</v>
          </cell>
        </row>
      </sheetData>
      <sheetData sheetId="6964">
        <row r="1">
          <cell r="A1" t="str">
            <v>PHIẾU XỬ LÝ HỒ SƠ THANH TOÁN VƯỢT THẨM QUYỀN PD</v>
          </cell>
        </row>
      </sheetData>
      <sheetData sheetId="6965">
        <row r="1">
          <cell r="A1" t="str">
            <v>PHIẾU XỬ LÝ HỒ SƠ THANH TOÁN VƯỢT THẨM QUYỀN PD</v>
          </cell>
        </row>
      </sheetData>
      <sheetData sheetId="6966">
        <row r="1">
          <cell r="A1" t="str">
            <v>PHIẾU XỬ LÝ HỒ SƠ THANH TOÁN VƯỢT THẨM QUYỀN PD</v>
          </cell>
        </row>
      </sheetData>
      <sheetData sheetId="6967">
        <row r="1">
          <cell r="A1" t="str">
            <v>PHIẾU XỬ LÝ HỒ SƠ THANH TOÁN VƯỢT THẨM QUYỀN PD</v>
          </cell>
        </row>
      </sheetData>
      <sheetData sheetId="6968">
        <row r="1">
          <cell r="A1" t="str">
            <v>PHIẾU XỬ LÝ HỒ SƠ THANH TOÁN VƯỢT THẨM QUYỀN PD</v>
          </cell>
        </row>
      </sheetData>
      <sheetData sheetId="6969">
        <row r="1">
          <cell r="A1" t="str">
            <v>PHIẾU XỬ LÝ HỒ SƠ THANH TOÁN VƯỢT THẨM QUYỀN PD</v>
          </cell>
        </row>
      </sheetData>
      <sheetData sheetId="6970">
        <row r="1">
          <cell r="A1" t="str">
            <v>PHIẾU XỬ LÝ HỒ SƠ THANH TOÁN VƯỢT THẨM QUYỀN PD</v>
          </cell>
        </row>
      </sheetData>
      <sheetData sheetId="6971">
        <row r="1">
          <cell r="A1" t="str">
            <v>PHIẾU XỬ LÝ HỒ SƠ THANH TOÁN VƯỢT THẨM QUYỀN PD</v>
          </cell>
        </row>
      </sheetData>
      <sheetData sheetId="6972">
        <row r="1">
          <cell r="A1" t="str">
            <v>PHIẾU XỬ LÝ HỒ SƠ THANH TOÁN VƯỢT THẨM QUYỀN PD</v>
          </cell>
        </row>
      </sheetData>
      <sheetData sheetId="6973">
        <row r="1">
          <cell r="A1" t="str">
            <v>PHIẾU XỬ LÝ HỒ SƠ THANH TOÁN VƯỢT THẨM QUYỀN PD</v>
          </cell>
        </row>
      </sheetData>
      <sheetData sheetId="6974">
        <row r="1">
          <cell r="A1" t="str">
            <v>PHIẾU XỬ LÝ HỒ SƠ THANH TOÁN VƯỢT THẨM QUYỀN PD</v>
          </cell>
        </row>
      </sheetData>
      <sheetData sheetId="6975">
        <row r="1">
          <cell r="A1" t="str">
            <v>PHIẾU XỬ LÝ HỒ SƠ THANH TOÁN VƯỢT THẨM QUYỀN PD</v>
          </cell>
        </row>
      </sheetData>
      <sheetData sheetId="6976">
        <row r="1">
          <cell r="A1" t="str">
            <v>PHIẾU XỬ LÝ HỒ SƠ THANH TOÁN VƯỢT THẨM QUYỀN PD</v>
          </cell>
        </row>
      </sheetData>
      <sheetData sheetId="6977">
        <row r="1">
          <cell r="A1" t="str">
            <v>PHIẾU XỬ LÝ HỒ SƠ THANH TOÁN VƯỢT THẨM QUYỀN PD</v>
          </cell>
        </row>
      </sheetData>
      <sheetData sheetId="6978">
        <row r="1">
          <cell r="A1" t="str">
            <v>PHIẾU XỬ LÝ HỒ SƠ THANH TOÁN VƯỢT THẨM QUYỀN PD</v>
          </cell>
        </row>
      </sheetData>
      <sheetData sheetId="6979">
        <row r="1">
          <cell r="A1" t="str">
            <v>PHIẾU XỬ LÝ HỒ SƠ THANH TOÁN VƯỢT THẨM QUYỀN PD</v>
          </cell>
        </row>
      </sheetData>
      <sheetData sheetId="6980">
        <row r="1">
          <cell r="A1" t="str">
            <v>PHIẾU XỬ LÝ HỒ SƠ THANH TOÁN VƯỢT THẨM QUYỀN PD</v>
          </cell>
        </row>
      </sheetData>
      <sheetData sheetId="6981">
        <row r="1">
          <cell r="A1" t="str">
            <v>PHIẾU XỬ LÝ HỒ SƠ THANH TOÁN VƯỢT THẨM QUYỀN PD</v>
          </cell>
        </row>
      </sheetData>
      <sheetData sheetId="6982">
        <row r="1">
          <cell r="A1" t="str">
            <v>PHIẾU XỬ LÝ HỒ SƠ THANH TOÁN VƯỢT THẨM QUYỀN PD</v>
          </cell>
        </row>
      </sheetData>
      <sheetData sheetId="6983">
        <row r="1">
          <cell r="A1" t="str">
            <v>PHIẾU XỬ LÝ HỒ SƠ THANH TOÁN VƯỢT THẨM QUYỀN PD</v>
          </cell>
        </row>
      </sheetData>
      <sheetData sheetId="6984">
        <row r="1">
          <cell r="A1" t="str">
            <v>PHIẾU XỬ LÝ HỒ SƠ THANH TOÁN VƯỢT THẨM QUYỀN PD</v>
          </cell>
        </row>
      </sheetData>
      <sheetData sheetId="6985">
        <row r="1">
          <cell r="A1" t="str">
            <v>PHIẾU XỬ LÝ HỒ SƠ THANH TOÁN VƯỢT THẨM QUYỀN PD</v>
          </cell>
        </row>
      </sheetData>
      <sheetData sheetId="6986">
        <row r="1">
          <cell r="A1" t="str">
            <v>PHIẾU XỬ LÝ HỒ SƠ THANH TOÁN VƯỢT THẨM QUYỀN PD</v>
          </cell>
        </row>
      </sheetData>
      <sheetData sheetId="6987">
        <row r="1">
          <cell r="A1" t="str">
            <v>PHIẾU XỬ LÝ HỒ SƠ THANH TOÁN VƯỢT THẨM QUYỀN PD</v>
          </cell>
        </row>
      </sheetData>
      <sheetData sheetId="6988">
        <row r="1">
          <cell r="A1" t="str">
            <v>PHIẾU XỬ LÝ HỒ SƠ THANH TOÁN VƯỢT THẨM QUYỀN PD</v>
          </cell>
        </row>
      </sheetData>
      <sheetData sheetId="6989">
        <row r="1">
          <cell r="A1" t="str">
            <v>PHIẾU XỬ LÝ HỒ SƠ THANH TOÁN VƯỢT THẨM QUYỀN PD</v>
          </cell>
        </row>
      </sheetData>
      <sheetData sheetId="6990">
        <row r="1">
          <cell r="A1" t="str">
            <v>PHIẾU XỬ LÝ HỒ SƠ THANH TOÁN VƯỢT THẨM QUYỀN PD</v>
          </cell>
        </row>
      </sheetData>
      <sheetData sheetId="6991">
        <row r="1">
          <cell r="A1" t="str">
            <v>PHIẾU XỬ LÝ HỒ SƠ THANH TOÁN VƯỢT THẨM QUYỀN PD</v>
          </cell>
        </row>
      </sheetData>
      <sheetData sheetId="6992">
        <row r="1">
          <cell r="A1" t="str">
            <v>PHIẾU XỬ LÝ HỒ SƠ THANH TOÁN VƯỢT THẨM QUYỀN PD</v>
          </cell>
        </row>
      </sheetData>
      <sheetData sheetId="6993">
        <row r="1">
          <cell r="A1" t="str">
            <v>PHIẾU XỬ LÝ HỒ SƠ THANH TOÁN VƯỢT THẨM QUYỀN PD</v>
          </cell>
        </row>
      </sheetData>
      <sheetData sheetId="6994">
        <row r="1">
          <cell r="A1" t="str">
            <v>PHIẾU XỬ LÝ HỒ SƠ THANH TOÁN VƯỢT THẨM QUYỀN PD</v>
          </cell>
        </row>
      </sheetData>
      <sheetData sheetId="6995">
        <row r="1">
          <cell r="A1" t="str">
            <v>PHIẾU XỬ LÝ HỒ SƠ THANH TOÁN VƯỢT THẨM QUYỀN PD</v>
          </cell>
        </row>
      </sheetData>
      <sheetData sheetId="6996">
        <row r="1">
          <cell r="A1" t="str">
            <v>PHIẾU XỬ LÝ HỒ SƠ THANH TOÁN VƯỢT THẨM QUYỀN PD</v>
          </cell>
        </row>
      </sheetData>
      <sheetData sheetId="6997">
        <row r="1">
          <cell r="A1" t="str">
            <v>PHIẾU XỬ LÝ HỒ SƠ THANH TOÁN VƯỢT THẨM QUYỀN PD</v>
          </cell>
        </row>
      </sheetData>
      <sheetData sheetId="6998">
        <row r="1">
          <cell r="A1" t="str">
            <v>PHIẾU XỬ LÝ HỒ SƠ THANH TOÁN VƯỢT THẨM QUYỀN PD</v>
          </cell>
        </row>
      </sheetData>
      <sheetData sheetId="6999"/>
      <sheetData sheetId="7000" refreshError="1"/>
      <sheetData sheetId="7001" refreshError="1"/>
      <sheetData sheetId="7002">
        <row r="1">
          <cell r="A1" t="str">
            <v>PHIẾU XỬ LÝ HỒ SƠ THANH TOÁN VƯỢT THẨM QUYỀN PD</v>
          </cell>
        </row>
      </sheetData>
      <sheetData sheetId="7003">
        <row r="1">
          <cell r="A1" t="str">
            <v>PHIẾU XỬ LÝ HỒ SƠ THANH TOÁN VƯỢT THẨM QUYỀN PD</v>
          </cell>
        </row>
      </sheetData>
      <sheetData sheetId="7004">
        <row r="1">
          <cell r="A1" t="str">
            <v>PHIẾU XỬ LÝ HỒ SƠ THANH TOÁN VƯỢT THẨM QUYỀN PD</v>
          </cell>
        </row>
      </sheetData>
      <sheetData sheetId="7005">
        <row r="1">
          <cell r="A1" t="str">
            <v>PHIẾU XỬ LÝ HỒ SƠ THANH TOÁN VƯỢT THẨM QUYỀN PD</v>
          </cell>
        </row>
      </sheetData>
      <sheetData sheetId="7006">
        <row r="1">
          <cell r="A1" t="str">
            <v>PHIẾU XỬ LÝ HỒ SƠ THANH TOÁN VƯỢT THẨM QUYỀN PD</v>
          </cell>
        </row>
      </sheetData>
      <sheetData sheetId="7007">
        <row r="1">
          <cell r="A1" t="str">
            <v>PHIẾU XỬ LÝ HỒ SƠ THANH TOÁN VƯỢT THẨM QUYỀN PD</v>
          </cell>
        </row>
      </sheetData>
      <sheetData sheetId="7008">
        <row r="1">
          <cell r="A1" t="str">
            <v>PHIẾU XỬ LÝ HỒ SƠ THANH TOÁN VƯỢT THẨM QUYỀN PD</v>
          </cell>
        </row>
      </sheetData>
      <sheetData sheetId="7009">
        <row r="1">
          <cell r="A1" t="str">
            <v>PHIẾU XỬ LÝ HỒ SƠ THANH TOÁN VƯỢT THẨM QUYỀN PD</v>
          </cell>
        </row>
      </sheetData>
      <sheetData sheetId="7010">
        <row r="1">
          <cell r="A1" t="str">
            <v>PHIẾU XỬ LÝ HỒ SƠ THANH TOÁN VƯỢT THẨM QUYỀN PD</v>
          </cell>
        </row>
      </sheetData>
      <sheetData sheetId="7011">
        <row r="1">
          <cell r="A1" t="str">
            <v>PHIẾU XỬ LÝ HỒ SƠ THANH TOÁN VƯỢT THẨM QUYỀN PD</v>
          </cell>
        </row>
      </sheetData>
      <sheetData sheetId="7012">
        <row r="1">
          <cell r="A1" t="str">
            <v>PHIẾU XỬ LÝ HỒ SƠ THANH TOÁN VƯỢT THẨM QUYỀN PD</v>
          </cell>
        </row>
      </sheetData>
      <sheetData sheetId="7013">
        <row r="1">
          <cell r="A1" t="str">
            <v>PHIẾU XỬ LÝ HỒ SƠ THANH TOÁN VƯỢT THẨM QUYỀN PD</v>
          </cell>
        </row>
      </sheetData>
      <sheetData sheetId="7014">
        <row r="1">
          <cell r="A1" t="str">
            <v>PHIẾU XỬ LÝ HỒ SƠ THANH TOÁN VƯỢT THẨM QUYỀN PD</v>
          </cell>
        </row>
      </sheetData>
      <sheetData sheetId="7015">
        <row r="1">
          <cell r="A1" t="str">
            <v>PHIẾU XỬ LÝ HỒ SƠ THANH TOÁN VƯỢT THẨM QUYỀN PD</v>
          </cell>
        </row>
      </sheetData>
      <sheetData sheetId="7016">
        <row r="1">
          <cell r="A1" t="str">
            <v>PHIẾU XỬ LÝ HỒ SƠ THANH TOÁN VƯỢT THẨM QUYỀN PD</v>
          </cell>
        </row>
      </sheetData>
      <sheetData sheetId="7017">
        <row r="1">
          <cell r="A1" t="str">
            <v>PHIẾU XỬ LÝ HỒ SƠ THANH TOÁN VƯỢT THẨM QUYỀN PD</v>
          </cell>
        </row>
      </sheetData>
      <sheetData sheetId="7018">
        <row r="1">
          <cell r="A1" t="str">
            <v>PHIẾU XỬ LÝ HỒ SƠ THANH TOÁN VƯỢT THẨM QUYỀN PD</v>
          </cell>
        </row>
      </sheetData>
      <sheetData sheetId="7019">
        <row r="1">
          <cell r="A1" t="str">
            <v>PHIẾU XỬ LÝ HỒ SƠ THANH TOÁN VƯỢT THẨM QUYỀN PD</v>
          </cell>
        </row>
      </sheetData>
      <sheetData sheetId="7020">
        <row r="1">
          <cell r="A1" t="str">
            <v>PHIẾU XỬ LÝ HỒ SƠ THANH TOÁN VƯỢT THẨM QUYỀN PD</v>
          </cell>
        </row>
      </sheetData>
      <sheetData sheetId="7021">
        <row r="1">
          <cell r="A1" t="str">
            <v>PHIẾU XỬ LÝ HỒ SƠ THANH TOÁN VƯỢT THẨM QUYỀN PD</v>
          </cell>
        </row>
      </sheetData>
      <sheetData sheetId="7022">
        <row r="1">
          <cell r="A1" t="str">
            <v>PHIẾU XỬ LÝ HỒ SƠ THANH TOÁN VƯỢT THẨM QUYỀN PD</v>
          </cell>
        </row>
      </sheetData>
      <sheetData sheetId="7023">
        <row r="1">
          <cell r="A1" t="str">
            <v>PHIẾU XỬ LÝ HỒ SƠ THANH TOÁN VƯỢT THẨM QUYỀN PD</v>
          </cell>
        </row>
      </sheetData>
      <sheetData sheetId="7024">
        <row r="1">
          <cell r="A1" t="str">
            <v>PHIẾU XỬ LÝ HỒ SƠ THANH TOÁN VƯỢT THẨM QUYỀN PD</v>
          </cell>
        </row>
      </sheetData>
      <sheetData sheetId="7025">
        <row r="1">
          <cell r="A1" t="str">
            <v>PHIẾU XỬ LÝ HỒ SƠ THANH TOÁN VƯỢT THẨM QUYỀN PD</v>
          </cell>
        </row>
      </sheetData>
      <sheetData sheetId="7026">
        <row r="1">
          <cell r="A1" t="str">
            <v>PHIẾU XỬ LÝ HỒ SƠ THANH TOÁN VƯỢT THẨM QUYỀN PD</v>
          </cell>
        </row>
      </sheetData>
      <sheetData sheetId="7027">
        <row r="1">
          <cell r="A1" t="str">
            <v>PHIẾU XỬ LÝ HỒ SƠ THANH TOÁN VƯỢT THẨM QUYỀN PD</v>
          </cell>
        </row>
      </sheetData>
      <sheetData sheetId="7028">
        <row r="1">
          <cell r="A1" t="str">
            <v>PHIẾU XỬ LÝ HỒ SƠ THANH TOÁN VƯỢT THẨM QUYỀN PD</v>
          </cell>
        </row>
      </sheetData>
      <sheetData sheetId="7029">
        <row r="1">
          <cell r="A1" t="str">
            <v>PHIẾU XỬ LÝ HỒ SƠ THANH TOÁN VƯỢT THẨM QUYỀN PD</v>
          </cell>
        </row>
      </sheetData>
      <sheetData sheetId="7030">
        <row r="1">
          <cell r="A1" t="str">
            <v>PHIẾU XỬ LÝ HỒ SƠ THANH TOÁN VƯỢT THẨM QUYỀN PD</v>
          </cell>
        </row>
      </sheetData>
      <sheetData sheetId="7031">
        <row r="1">
          <cell r="A1" t="str">
            <v>PHIẾU XỬ LÝ HỒ SƠ THANH TOÁN VƯỢT THẨM QUYỀN PD</v>
          </cell>
        </row>
      </sheetData>
      <sheetData sheetId="7032">
        <row r="1">
          <cell r="A1" t="str">
            <v>PHIẾU XỬ LÝ HỒ SƠ THANH TOÁN VƯỢT THẨM QUYỀN PD</v>
          </cell>
        </row>
      </sheetData>
      <sheetData sheetId="7033">
        <row r="1">
          <cell r="A1" t="str">
            <v>PHIẾU XỬ LÝ HỒ SƠ THANH TOÁN VƯỢT THẨM QUYỀN PD</v>
          </cell>
        </row>
      </sheetData>
      <sheetData sheetId="7034">
        <row r="1">
          <cell r="A1" t="str">
            <v>PHIẾU XỬ LÝ HỒ SƠ THANH TOÁN VƯỢT THẨM QUYỀN PD</v>
          </cell>
        </row>
      </sheetData>
      <sheetData sheetId="7035">
        <row r="1">
          <cell r="A1" t="str">
            <v>PHIẾU XỬ LÝ HỒ SƠ THANH TOÁN VƯỢT THẨM QUYỀN PD</v>
          </cell>
        </row>
      </sheetData>
      <sheetData sheetId="7036">
        <row r="1">
          <cell r="A1" t="str">
            <v>PHIẾU XỬ LÝ HỒ SƠ THANH TOÁN VƯỢT THẨM QUYỀN PD</v>
          </cell>
        </row>
      </sheetData>
      <sheetData sheetId="7037">
        <row r="1">
          <cell r="A1" t="str">
            <v>PHIẾU XỬ LÝ HỒ SƠ THANH TOÁN VƯỢT THẨM QUYỀN PD</v>
          </cell>
        </row>
      </sheetData>
      <sheetData sheetId="7038">
        <row r="1">
          <cell r="A1" t="str">
            <v>PHIẾU XỬ LÝ HỒ SƠ THANH TOÁN VƯỢT THẨM QUYỀN PD</v>
          </cell>
        </row>
      </sheetData>
      <sheetData sheetId="7039">
        <row r="1">
          <cell r="A1" t="str">
            <v>PHIẾU XỬ LÝ HỒ SƠ THANH TOÁN VƯỢT THẨM QUYỀN PD</v>
          </cell>
        </row>
      </sheetData>
      <sheetData sheetId="7040">
        <row r="1">
          <cell r="A1" t="str">
            <v>PHIẾU XỬ LÝ HỒ SƠ THANH TOÁN VƯỢT THẨM QUYỀN PD</v>
          </cell>
        </row>
      </sheetData>
      <sheetData sheetId="7041">
        <row r="1">
          <cell r="A1" t="str">
            <v>PHIẾU XỬ LÝ HỒ SƠ THANH TOÁN VƯỢT THẨM QUYỀN PD</v>
          </cell>
        </row>
      </sheetData>
      <sheetData sheetId="7042">
        <row r="1">
          <cell r="A1" t="str">
            <v>PHIẾU XỬ LÝ HỒ SƠ THANH TOÁN VƯỢT THẨM QUYỀN PD</v>
          </cell>
        </row>
      </sheetData>
      <sheetData sheetId="7043">
        <row r="1">
          <cell r="A1" t="str">
            <v>PHIẾU XỬ LÝ HỒ SƠ THANH TOÁN VƯỢT THẨM QUYỀN PD</v>
          </cell>
        </row>
      </sheetData>
      <sheetData sheetId="7044">
        <row r="1">
          <cell r="A1" t="str">
            <v>PHIẾU XỬ LÝ HỒ SƠ THANH TOÁN VƯỢT THẨM QUYỀN PD</v>
          </cell>
        </row>
      </sheetData>
      <sheetData sheetId="7045">
        <row r="1">
          <cell r="A1" t="str">
            <v>PHIẾU XỬ LÝ HỒ SƠ THANH TOÁN VƯỢT THẨM QUYỀN PD</v>
          </cell>
        </row>
      </sheetData>
      <sheetData sheetId="7046">
        <row r="1">
          <cell r="A1" t="str">
            <v>PHIẾU XỬ LÝ HỒ SƠ THANH TOÁN VƯỢT THẨM QUYỀN PD</v>
          </cell>
        </row>
      </sheetData>
      <sheetData sheetId="7047">
        <row r="1">
          <cell r="A1" t="str">
            <v>PHIẾU XỬ LÝ HỒ SƠ THANH TOÁN VƯỢT THẨM QUYỀN PD</v>
          </cell>
        </row>
      </sheetData>
      <sheetData sheetId="7048">
        <row r="1">
          <cell r="A1" t="str">
            <v>PHIẾU XỬ LÝ HỒ SƠ THANH TOÁN VƯỢT THẨM QUYỀN PD</v>
          </cell>
        </row>
      </sheetData>
      <sheetData sheetId="7049">
        <row r="1">
          <cell r="A1" t="str">
            <v>PHIẾU XỬ LÝ HỒ SƠ THANH TOÁN VƯỢT THẨM QUYỀN PD</v>
          </cell>
        </row>
      </sheetData>
      <sheetData sheetId="7050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>
        <row r="1">
          <cell r="A1" t="str">
            <v>PHIẾU XỬ LÝ HỒ SƠ THANH TOÁN VƯỢT THẨM QUYỀN PD</v>
          </cell>
        </row>
      </sheetData>
      <sheetData sheetId="7067">
        <row r="1">
          <cell r="A1" t="str">
            <v>PHIẾU XỬ LÝ HỒ SƠ THANH TOÁN VƯỢT THẨM QUYỀN PD</v>
          </cell>
        </row>
      </sheetData>
      <sheetData sheetId="7068">
        <row r="1">
          <cell r="A1" t="str">
            <v>PHIẾU XỬ LÝ HỒ SƠ THANH TOÁN VƯỢT THẨM QUYỀN PD</v>
          </cell>
        </row>
      </sheetData>
      <sheetData sheetId="7069">
        <row r="1">
          <cell r="A1" t="str">
            <v>PHIẾU XỬ LÝ HỒ SƠ THANH TOÁN VƯỢT THẨM QUYỀN PD</v>
          </cell>
        </row>
      </sheetData>
      <sheetData sheetId="7070">
        <row r="1">
          <cell r="A1" t="str">
            <v>PHIẾU XỬ LÝ HỒ SƠ THANH TOÁN VƯỢT THẨM QUYỀN PD</v>
          </cell>
        </row>
      </sheetData>
      <sheetData sheetId="7071">
        <row r="1">
          <cell r="A1" t="str">
            <v>PHIẾU XỬ LÝ HỒ SƠ THANH TOÁN VƯỢT THẨM QUYỀN PD</v>
          </cell>
        </row>
      </sheetData>
      <sheetData sheetId="7072">
        <row r="1">
          <cell r="A1" t="str">
            <v>PHIẾU XỬ LÝ HỒ SƠ THANH TOÁN VƯỢT THẨM QUYỀN PD</v>
          </cell>
        </row>
      </sheetData>
      <sheetData sheetId="7073">
        <row r="1">
          <cell r="A1" t="str">
            <v>PHIẾU XỬ LÝ HỒ SƠ THANH TOÁN VƯỢT THẨM QUYỀN PD</v>
          </cell>
        </row>
      </sheetData>
      <sheetData sheetId="7074">
        <row r="1">
          <cell r="A1" t="str">
            <v>PHIẾU XỬ LÝ HỒ SƠ THANH TOÁN VƯỢT THẨM QUYỀN PD</v>
          </cell>
        </row>
      </sheetData>
      <sheetData sheetId="7075">
        <row r="1">
          <cell r="A1" t="str">
            <v>PHIẾU XỬ LÝ HỒ SƠ THANH TOÁN VƯỢT THẨM QUYỀN PD</v>
          </cell>
        </row>
      </sheetData>
      <sheetData sheetId="7076">
        <row r="1">
          <cell r="A1" t="str">
            <v>PHIẾU XỬ LÝ HỒ SƠ THANH TOÁN VƯỢT THẨM QUYỀN PD</v>
          </cell>
        </row>
      </sheetData>
      <sheetData sheetId="7077">
        <row r="1">
          <cell r="A1" t="str">
            <v>PHIẾU XỬ LÝ HỒ SƠ THANH TOÁN VƯỢT THẨM QUYỀN PD</v>
          </cell>
        </row>
      </sheetData>
      <sheetData sheetId="7078">
        <row r="1">
          <cell r="A1" t="str">
            <v>PHIẾU XỬ LÝ HỒ SƠ THANH TOÁN VƯỢT THẨM QUYỀN PD</v>
          </cell>
        </row>
      </sheetData>
      <sheetData sheetId="7079">
        <row r="1">
          <cell r="A1" t="str">
            <v>PHIẾU XỬ LÝ HỒ SƠ THANH TOÁN VƯỢT THẨM QUYỀN PD</v>
          </cell>
        </row>
      </sheetData>
      <sheetData sheetId="7080">
        <row r="1">
          <cell r="A1" t="str">
            <v>PHIẾU XỬ LÝ HỒ SƠ THANH TOÁN VƯỢT THẨM QUYỀN PD</v>
          </cell>
        </row>
      </sheetData>
      <sheetData sheetId="7081">
        <row r="1">
          <cell r="A1" t="str">
            <v>PHIẾU XỬ LÝ HỒ SƠ THANH TOÁN VƯỢT THẨM QUYỀN PD</v>
          </cell>
        </row>
      </sheetData>
      <sheetData sheetId="7082">
        <row r="1">
          <cell r="A1" t="str">
            <v>PHIẾU XỬ LÝ HỒ SƠ THANH TOÁN VƯỢT THẨM QUYỀN PD</v>
          </cell>
        </row>
      </sheetData>
      <sheetData sheetId="7083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>
        <row r="1">
          <cell r="A1" t="str">
            <v>PHIẾU XỬ LÝ HỒ SƠ THANH TOÁN VƯỢT THẨM QUYỀN PD</v>
          </cell>
        </row>
      </sheetData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/>
      <sheetData sheetId="7167">
        <row r="1">
          <cell r="A1" t="str">
            <v>PHIẾU XỬ LÝ HỒ SƠ THANH TOÁN VƯỢT THẨM QUYỀN PD</v>
          </cell>
        </row>
      </sheetData>
      <sheetData sheetId="7168">
        <row r="1">
          <cell r="A1" t="str">
            <v>PHIẾU XỬ LÝ HỒ SƠ THANH TOÁN VƯỢT THẨM QUYỀN PD</v>
          </cell>
        </row>
      </sheetData>
      <sheetData sheetId="7169"/>
      <sheetData sheetId="7170">
        <row r="1">
          <cell r="A1" t="str">
            <v>PHIẾU XỬ LÝ HỒ SƠ THANH TOÁN VƯỢT THẨM QUYỀN PD</v>
          </cell>
        </row>
      </sheetData>
      <sheetData sheetId="7171"/>
      <sheetData sheetId="7172">
        <row r="1">
          <cell r="A1" t="str">
            <v>PHIẾU XỬ LÝ HỒ SƠ THANH TOÁN VƯỢT THẨM QUYỀN PD</v>
          </cell>
        </row>
      </sheetData>
      <sheetData sheetId="7173">
        <row r="1">
          <cell r="A1" t="str">
            <v>PHIẾU XỬ LÝ HỒ SƠ THANH TOÁN VƯỢT THẨM QUYỀN PD</v>
          </cell>
        </row>
      </sheetData>
      <sheetData sheetId="7174">
        <row r="1">
          <cell r="A1" t="str">
            <v>PHIẾU XỬ LÝ HỒ SƠ THANH TOÁN VƯỢT THẨM QUYỀN PD</v>
          </cell>
        </row>
      </sheetData>
      <sheetData sheetId="7175">
        <row r="1">
          <cell r="A1" t="str">
            <v>PHIẾU XỬ LÝ HỒ SƠ THANH TOÁN VƯỢT THẨM QUYỀN PD</v>
          </cell>
        </row>
      </sheetData>
      <sheetData sheetId="7176"/>
      <sheetData sheetId="7177">
        <row r="1">
          <cell r="A1" t="str">
            <v>PHIẾU XỬ LÝ HỒ SƠ THANH TOÁN VƯỢT THẨM QUYỀN PD</v>
          </cell>
        </row>
      </sheetData>
      <sheetData sheetId="7178">
        <row r="1">
          <cell r="A1" t="str">
            <v>PHIẾU XỬ LÝ HỒ SƠ THANH TOÁN VƯỢT THẨM QUYỀN PD</v>
          </cell>
        </row>
      </sheetData>
      <sheetData sheetId="7179">
        <row r="1">
          <cell r="A1" t="str">
            <v>PHIẾU XỬ LÝ HỒ SƠ THANH TOÁN VƯỢT THẨM QUYỀN PD</v>
          </cell>
        </row>
      </sheetData>
      <sheetData sheetId="7180">
        <row r="1">
          <cell r="A1" t="str">
            <v>PHIẾU XỬ LÝ HỒ SƠ THANH TOÁN VƯỢT THẨM QUYỀN PD</v>
          </cell>
        </row>
      </sheetData>
      <sheetData sheetId="7181">
        <row r="1">
          <cell r="A1" t="str">
            <v>PHIẾU XỬ LÝ HỒ SƠ THANH TOÁN VƯỢT THẨM QUYỀN PD</v>
          </cell>
        </row>
      </sheetData>
      <sheetData sheetId="7182">
        <row r="1">
          <cell r="A1" t="str">
            <v>PHIẾU XỬ LÝ HỒ SƠ THANH TOÁN VƯỢT THẨM QUYỀN PD</v>
          </cell>
        </row>
      </sheetData>
      <sheetData sheetId="7183">
        <row r="1">
          <cell r="A1" t="str">
            <v>PHIẾU XỬ LÝ HỒ SƠ THANH TOÁN VƯỢT THẨM QUYỀN PD</v>
          </cell>
        </row>
      </sheetData>
      <sheetData sheetId="7184">
        <row r="1">
          <cell r="A1" t="str">
            <v>PHIẾU XỬ LÝ HỒ SƠ THANH TOÁN VƯỢT THẨM QUYỀN PD</v>
          </cell>
        </row>
      </sheetData>
      <sheetData sheetId="7185">
        <row r="1">
          <cell r="A1" t="str">
            <v>PHIẾU XỬ LÝ HỒ SƠ THANH TOÁN VƯỢT THẨM QUYỀN PD</v>
          </cell>
        </row>
      </sheetData>
      <sheetData sheetId="7186">
        <row r="1">
          <cell r="A1" t="str">
            <v>PHIẾU XỬ LÝ HỒ SƠ THANH TOÁN VƯỢT THẨM QUYỀN PD</v>
          </cell>
        </row>
      </sheetData>
      <sheetData sheetId="7187">
        <row r="1">
          <cell r="A1" t="str">
            <v>PHIẾU XỬ LÝ HỒ SƠ THANH TOÁN VƯỢT THẨM QUYỀN PD</v>
          </cell>
        </row>
      </sheetData>
      <sheetData sheetId="7188">
        <row r="1">
          <cell r="A1" t="str">
            <v>PHIẾU XỬ LÝ HỒ SƠ THANH TOÁN VƯỢT THẨM QUYỀN PD</v>
          </cell>
        </row>
      </sheetData>
      <sheetData sheetId="7189">
        <row r="1">
          <cell r="A1" t="str">
            <v>PHIẾU XỬ LÝ HỒ SƠ THANH TOÁN VƯỢT THẨM QUYỀN PD</v>
          </cell>
        </row>
      </sheetData>
      <sheetData sheetId="7190">
        <row r="1">
          <cell r="A1" t="str">
            <v>PHIẾU XỬ LÝ HỒ SƠ THANH TOÁN VƯỢT THẨM QUYỀN PD</v>
          </cell>
        </row>
      </sheetData>
      <sheetData sheetId="7191">
        <row r="1">
          <cell r="A1" t="str">
            <v>PHIẾU XỬ LÝ HỒ SƠ THANH TOÁN VƯỢT THẨM QUYỀN PD</v>
          </cell>
        </row>
      </sheetData>
      <sheetData sheetId="7192">
        <row r="1">
          <cell r="A1" t="str">
            <v>PHIẾU XỬ LÝ HỒ SƠ THANH TOÁN VƯỢT THẨM QUYỀN PD</v>
          </cell>
        </row>
      </sheetData>
      <sheetData sheetId="7193">
        <row r="1">
          <cell r="A1" t="str">
            <v>PHIẾU XỬ LÝ HỒ SƠ THANH TOÁN VƯỢT THẨM QUYỀN PD</v>
          </cell>
        </row>
      </sheetData>
      <sheetData sheetId="7194">
        <row r="1">
          <cell r="A1" t="str">
            <v>PHIẾU XỬ LÝ HỒ SƠ THANH TOÁN VƯỢT THẨM QUYỀN PD</v>
          </cell>
        </row>
      </sheetData>
      <sheetData sheetId="7195">
        <row r="1">
          <cell r="A1" t="str">
            <v>PHIẾU XỬ LÝ HỒ SƠ THANH TOÁN VƯỢT THẨM QUYỀN PD</v>
          </cell>
        </row>
      </sheetData>
      <sheetData sheetId="7196">
        <row r="1">
          <cell r="A1" t="str">
            <v>PHIẾU XỬ LÝ HỒ SƠ THANH TOÁN VƯỢT THẨM QUYỀN PD</v>
          </cell>
        </row>
      </sheetData>
      <sheetData sheetId="7197">
        <row r="1">
          <cell r="A1" t="str">
            <v>PHIẾU XỬ LÝ HỒ SƠ THANH TOÁN VƯỢT THẨM QUYỀN PD</v>
          </cell>
        </row>
      </sheetData>
      <sheetData sheetId="7198">
        <row r="1">
          <cell r="A1" t="str">
            <v>PHIẾU XỬ LÝ HỒ SƠ THANH TOÁN VƯỢT THẨM QUYỀN PD</v>
          </cell>
        </row>
      </sheetData>
      <sheetData sheetId="7199">
        <row r="1">
          <cell r="A1" t="str">
            <v>PHIẾU XỬ LÝ HỒ SƠ THANH TOÁN VƯỢT THẨM QUYỀN PD</v>
          </cell>
        </row>
      </sheetData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/>
      <sheetData sheetId="7235"/>
      <sheetData sheetId="7236"/>
      <sheetData sheetId="7237"/>
      <sheetData sheetId="7238"/>
      <sheetData sheetId="7239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/>
      <sheetData sheetId="7335">
        <row r="1">
          <cell r="A1" t="str">
            <v>PHIẾU XỬ LÝ HỒ SƠ THANH TOÁN VƯỢT THẨM QUYỀN PD</v>
          </cell>
        </row>
      </sheetData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/>
      <sheetData sheetId="7535"/>
      <sheetData sheetId="7536"/>
      <sheetData sheetId="7537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/>
      <sheetData sheetId="7544"/>
      <sheetData sheetId="7545"/>
      <sheetData sheetId="7546" refreshError="1"/>
      <sheetData sheetId="7547" refreshError="1"/>
      <sheetData sheetId="7548" refreshError="1"/>
      <sheetData sheetId="7549" refreshError="1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>
        <row r="1">
          <cell r="A1" t="str">
            <v>PHIẾU XỬ LÝ HỒ SƠ THANH TOÁN VƯỢT THẨM QUYỀN PD</v>
          </cell>
        </row>
      </sheetData>
      <sheetData sheetId="7869"/>
      <sheetData sheetId="7870"/>
      <sheetData sheetId="7871"/>
      <sheetData sheetId="7872"/>
      <sheetData sheetId="7873"/>
      <sheetData sheetId="7874"/>
      <sheetData sheetId="7875">
        <row r="1">
          <cell r="A1" t="str">
            <v>PHIẾU XỬ LÝ HỒ SƠ THANH TOÁN VƯỢT THẨM QUYỀN PD</v>
          </cell>
        </row>
      </sheetData>
      <sheetData sheetId="7876">
        <row r="1">
          <cell r="A1" t="str">
            <v>PHIẾU XỬ LÝ HỒ SƠ THANH TOÁN VƯỢT THẨM QUYỀN PD</v>
          </cell>
        </row>
      </sheetData>
      <sheetData sheetId="7877"/>
      <sheetData sheetId="7878"/>
      <sheetData sheetId="7879"/>
      <sheetData sheetId="7880"/>
      <sheetData sheetId="7881"/>
      <sheetData sheetId="7882">
        <row r="1">
          <cell r="A1" t="str">
            <v>PHIẾU XỬ LÝ HỒ SƠ THANH TOÁN VƯỢT THẨM QUYỀN PD</v>
          </cell>
        </row>
      </sheetData>
      <sheetData sheetId="7883">
        <row r="1">
          <cell r="A1" t="str">
            <v>PHIẾU XỬ LÝ HỒ SƠ THANH TOÁN VƯỢT THẨM QUYỀN PD</v>
          </cell>
        </row>
      </sheetData>
      <sheetData sheetId="7884">
        <row r="1">
          <cell r="A1" t="str">
            <v>PHIẾU XỬ LÝ HỒ SƠ THANH TOÁN VƯỢT THẨM QUYỀN PD</v>
          </cell>
        </row>
      </sheetData>
      <sheetData sheetId="7885">
        <row r="1">
          <cell r="A1" t="str">
            <v>PHIẾU XỬ LÝ HỒ SƠ THANH TOÁN VƯỢT THẨM QUYỀN PD</v>
          </cell>
        </row>
      </sheetData>
      <sheetData sheetId="7886">
        <row r="1">
          <cell r="A1" t="str">
            <v>PHIẾU XỬ LÝ HỒ SƠ THANH TOÁN VƯỢT THẨM QUYỀN PD</v>
          </cell>
        </row>
      </sheetData>
      <sheetData sheetId="7887">
        <row r="1">
          <cell r="A1" t="str">
            <v>PHIẾU XỬ LÝ HỒ SƠ THANH TOÁN VƯỢT THẨM QUYỀN PD</v>
          </cell>
        </row>
      </sheetData>
      <sheetData sheetId="7888">
        <row r="1">
          <cell r="A1" t="str">
            <v>PHIẾU XỬ LÝ HỒ SƠ THANH TOÁN VƯỢT THẨM QUYỀN PD</v>
          </cell>
        </row>
      </sheetData>
      <sheetData sheetId="7889">
        <row r="1">
          <cell r="A1" t="str">
            <v>PHIẾU XỬ LÝ HỒ SƠ THANH TOÁN VƯỢT THẨM QUYỀN PD</v>
          </cell>
        </row>
      </sheetData>
      <sheetData sheetId="7890">
        <row r="1">
          <cell r="A1" t="str">
            <v>PHIẾU XỬ LÝ HỒ SƠ THANH TOÁN VƯỢT THẨM QUYỀN PD</v>
          </cell>
        </row>
      </sheetData>
      <sheetData sheetId="7891">
        <row r="1">
          <cell r="A1" t="str">
            <v>PHIẾU XỬ LÝ HỒ SƠ THANH TOÁN VƯỢT THẨM QUYỀN PD</v>
          </cell>
        </row>
      </sheetData>
      <sheetData sheetId="7892">
        <row r="1">
          <cell r="A1" t="str">
            <v>PHIẾU XỬ LÝ HỒ SƠ THANH TOÁN VƯỢT THẨM QUYỀN PD</v>
          </cell>
        </row>
      </sheetData>
      <sheetData sheetId="7893"/>
      <sheetData sheetId="7894"/>
      <sheetData sheetId="7895">
        <row r="1">
          <cell r="A1" t="str">
            <v>PHIẾU XỬ LÝ HỒ SƠ THANH TOÁN VƯỢT THẨM QUYỀN PD</v>
          </cell>
        </row>
      </sheetData>
      <sheetData sheetId="7896"/>
      <sheetData sheetId="7897">
        <row r="1">
          <cell r="A1" t="str">
            <v>PHIẾU XỬ LÝ HỒ SƠ THANH TOÁN VƯỢT THẨM QUYỀN PD</v>
          </cell>
        </row>
      </sheetData>
      <sheetData sheetId="7898">
        <row r="1">
          <cell r="A1" t="str">
            <v>PHIẾU XỬ LÝ HỒ SƠ THANH TOÁN VƯỢT THẨM QUYỀN PD</v>
          </cell>
        </row>
      </sheetData>
      <sheetData sheetId="7899">
        <row r="1">
          <cell r="A1" t="str">
            <v>PHIẾU XỬ LÝ HỒ SƠ THANH TOÁN VƯỢT THẨM QUYỀN PD</v>
          </cell>
        </row>
      </sheetData>
      <sheetData sheetId="7900">
        <row r="1">
          <cell r="A1" t="str">
            <v>PHIẾU XỬ LÝ HỒ SƠ THANH TOÁN VƯỢT THẨM QUYỀN PD</v>
          </cell>
        </row>
      </sheetData>
      <sheetData sheetId="7901">
        <row r="1">
          <cell r="A1" t="str">
            <v>PHIẾU XỬ LÝ HỒ SƠ THANH TOÁN VƯỢT THẨM QUYỀN PD</v>
          </cell>
        </row>
      </sheetData>
      <sheetData sheetId="7902">
        <row r="1">
          <cell r="A1" t="str">
            <v>PHIẾU XỬ LÝ HỒ SƠ THANH TOÁN VƯỢT THẨM QUYỀN PD</v>
          </cell>
        </row>
      </sheetData>
      <sheetData sheetId="7903">
        <row r="1">
          <cell r="A1" t="str">
            <v>PHIẾU XỬ LÝ HỒ SƠ THANH TOÁN VƯỢT THẨM QUYỀN PD</v>
          </cell>
        </row>
      </sheetData>
      <sheetData sheetId="7904">
        <row r="1">
          <cell r="A1" t="str">
            <v>PHIẾU XỬ LÝ HỒ SƠ THANH TOÁN VƯỢT THẨM QUYỀN PD</v>
          </cell>
        </row>
      </sheetData>
      <sheetData sheetId="7905">
        <row r="1">
          <cell r="A1" t="str">
            <v>PHIẾU XỬ LÝ HỒ SƠ THANH TOÁN VƯỢT THẨM QUYỀN PD</v>
          </cell>
        </row>
      </sheetData>
      <sheetData sheetId="7906"/>
      <sheetData sheetId="7907"/>
      <sheetData sheetId="7908"/>
      <sheetData sheetId="7909">
        <row r="1">
          <cell r="A1" t="str">
            <v>PHIẾU XỬ LÝ HỒ SƠ THANH TOÁN VƯỢT THẨM QUYỀN PD</v>
          </cell>
        </row>
      </sheetData>
      <sheetData sheetId="7910">
        <row r="1">
          <cell r="A1" t="str">
            <v>PHIẾU XỬ LÝ HỒ SƠ THANH TOÁN VƯỢT THẨM QUYỀN PD</v>
          </cell>
        </row>
      </sheetData>
      <sheetData sheetId="7911">
        <row r="1">
          <cell r="A1" t="str">
            <v>PHIẾU XỬ LÝ HỒ SƠ THANH TOÁN VƯỢT THẨM QUYỀN PD</v>
          </cell>
        </row>
      </sheetData>
      <sheetData sheetId="7912">
        <row r="1">
          <cell r="A1" t="str">
            <v>PHIẾU XỬ LÝ HỒ SƠ THANH TOÁN VƯỢT THẨM QUYỀN PD</v>
          </cell>
        </row>
      </sheetData>
      <sheetData sheetId="7913">
        <row r="1">
          <cell r="A1" t="str">
            <v>PHIẾU XỬ LÝ HỒ SƠ THANH TOÁN VƯỢT THẨM QUYỀN PD</v>
          </cell>
        </row>
      </sheetData>
      <sheetData sheetId="7914">
        <row r="1">
          <cell r="A1" t="str">
            <v>PHIẾU XỬ LÝ HỒ SƠ THANH TOÁN VƯỢT THẨM QUYỀN PD</v>
          </cell>
        </row>
      </sheetData>
      <sheetData sheetId="7915">
        <row r="1">
          <cell r="A1" t="str">
            <v>PHIẾU XỬ LÝ HỒ SƠ THANH TOÁN VƯỢT THẨM QUYỀN PD</v>
          </cell>
        </row>
      </sheetData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2000년1차"/>
      <sheetName val="2000전체분"/>
      <sheetName val="교통대책내역"/>
      <sheetName val="집계표"/>
      <sheetName val="조명율표"/>
      <sheetName val="투찰내역"/>
      <sheetName val="간접1"/>
      <sheetName val="퍼스트"/>
      <sheetName val="#REF"/>
      <sheetName val="조경일람"/>
      <sheetName val="내역서"/>
      <sheetName val="BID"/>
      <sheetName val="SLAB데이터"/>
      <sheetName val="단가일람"/>
      <sheetName val="99총공사내역서"/>
      <sheetName val="부대공사비"/>
      <sheetName val="차액보증"/>
      <sheetName val="지질조사"/>
      <sheetName val="CALCULATION"/>
      <sheetName val="조명일위"/>
      <sheetName val="약품공급2"/>
      <sheetName val="C1ㅇ"/>
      <sheetName val="MOTOR"/>
      <sheetName val="제경비"/>
      <sheetName val="실행내역"/>
      <sheetName val="접지수량"/>
      <sheetName val="정부노임단가"/>
      <sheetName val="노임"/>
      <sheetName val="원가계산서"/>
      <sheetName val="Total 단위경유량집계"/>
      <sheetName val="전체제잡비"/>
      <sheetName val="산근"/>
      <sheetName val="제안서"/>
      <sheetName val="행정표준(1)"/>
      <sheetName val="행정표준(2)"/>
      <sheetName val="4.전기"/>
      <sheetName val="실행철강하도"/>
      <sheetName val="RE9604"/>
      <sheetName val="마산월령동골조물량변경"/>
      <sheetName val="DB"/>
      <sheetName val="sheet1"/>
      <sheetName val="내역(원안-대안)"/>
      <sheetName val="건축내역"/>
      <sheetName val="준검 내역서"/>
      <sheetName val="구조물공"/>
      <sheetName val="부대공"/>
      <sheetName val="배수공"/>
      <sheetName val="토공"/>
      <sheetName val="포장공"/>
      <sheetName val="토공유동표(전체.당초)"/>
      <sheetName val="단가"/>
      <sheetName val="기계경비(시간당)"/>
      <sheetName val="1,2공구원가계산서"/>
      <sheetName val="2공구산출내역"/>
      <sheetName val="1공구산출내역서"/>
      <sheetName val="품셈TABLE"/>
      <sheetName val="조명시설"/>
      <sheetName val="DANGA"/>
      <sheetName val="일위대가"/>
      <sheetName val="설계조건"/>
      <sheetName val="N賃率-職"/>
      <sheetName val="당진1,2호기전선관설치및접지4차공사내역서-을지"/>
      <sheetName val="기계내역서"/>
      <sheetName val="1001"/>
      <sheetName val="공사개요"/>
      <sheetName val="매입세율"/>
      <sheetName val="적점"/>
      <sheetName val="NYS"/>
      <sheetName val="금액내역서"/>
      <sheetName val="내역서(전기)"/>
      <sheetName val="교각1"/>
      <sheetName val="항목(1)"/>
      <sheetName val="총괄표"/>
      <sheetName val="일위목록"/>
      <sheetName val="요율"/>
      <sheetName val="기계경비일람"/>
      <sheetName val="기본단가표"/>
      <sheetName val="재료집계표"/>
      <sheetName val="1.수인터널"/>
      <sheetName val="자재일람"/>
      <sheetName val="하남내역"/>
      <sheetName val="총공사내역서"/>
      <sheetName val="SIL98"/>
      <sheetName val="수량산출서"/>
      <sheetName val="5회토적"/>
      <sheetName val="설비2차"/>
      <sheetName val="표  지"/>
      <sheetName val="BH-1 (2)"/>
      <sheetName val="일반공사"/>
      <sheetName val="현장설명"/>
      <sheetName val="잡철물"/>
      <sheetName val="노임단가"/>
      <sheetName val="단위단가"/>
      <sheetName val="공사비예산서(토목분)"/>
      <sheetName val="대포2교접속"/>
      <sheetName val="천방교접속"/>
      <sheetName val="산출근거"/>
      <sheetName val="관급"/>
      <sheetName val="hvac(제어동)"/>
      <sheetName val="문학간접"/>
      <sheetName val="도급"/>
      <sheetName val="1.설계조건"/>
      <sheetName val="조도계산서 (도서)"/>
      <sheetName val="결재갑지"/>
      <sheetName val="공문"/>
      <sheetName val="터파기및재료"/>
      <sheetName val="내역(중앙)"/>
      <sheetName val="견적조건"/>
      <sheetName val="노원열병합  건축공사기성내역서"/>
      <sheetName val="현장지지물물량"/>
      <sheetName val="운반"/>
      <sheetName val="초기화면"/>
      <sheetName val="폐기물"/>
      <sheetName val="인원계획"/>
      <sheetName val="직노"/>
      <sheetName val="ITEM"/>
      <sheetName val="총괄내역서"/>
      <sheetName val="직공비"/>
      <sheetName val="일위대가표"/>
      <sheetName val="앉음벽 (2)"/>
      <sheetName val="6호기"/>
      <sheetName val="조경"/>
      <sheetName val="관리비비계상"/>
      <sheetName val="예산서"/>
      <sheetName val="98지급계획"/>
      <sheetName val="ABUT수량-A1"/>
      <sheetName val="분전반"/>
      <sheetName val="참조-(1)"/>
      <sheetName val="금융비용"/>
      <sheetName val="일반부표"/>
      <sheetName val="타공종이기"/>
      <sheetName val="COVER"/>
      <sheetName val="예가내역서"/>
      <sheetName val="경비2내역"/>
      <sheetName val="자료"/>
      <sheetName val="간접(90)"/>
      <sheetName val="참조"/>
      <sheetName val="산출내역서"/>
      <sheetName val="I.설계조건"/>
      <sheetName val="원가계산서구조조정"/>
      <sheetName val="접지1종"/>
      <sheetName val="설계내역서"/>
      <sheetName val="여과지동"/>
      <sheetName val="기초자료"/>
      <sheetName val="자재단가"/>
      <sheetName val="분뇨"/>
      <sheetName val="단가산출"/>
      <sheetName val="원가"/>
      <sheetName val="예산변경원인분석"/>
      <sheetName val="설계예산서"/>
      <sheetName val="ilch"/>
      <sheetName val="세부내역"/>
      <sheetName val="DATA"/>
      <sheetName val="데이타"/>
      <sheetName val="소포내역 (2)"/>
      <sheetName val="_HIT__HMC 견적_3900_"/>
      <sheetName val="구조물견적서"/>
      <sheetName val="7. 현장관리비 "/>
      <sheetName val="6. 안전관리비"/>
      <sheetName val="INPUT"/>
      <sheetName val="전기내역서(총계)"/>
      <sheetName val="ancillary"/>
      <sheetName val="실행(1)"/>
      <sheetName val="오저간내역서"/>
      <sheetName val="전기"/>
      <sheetName val="토공A"/>
      <sheetName val="입력데이타"/>
      <sheetName val="이형관"/>
      <sheetName val="배수내역"/>
      <sheetName val="갑지"/>
      <sheetName val="추가예산"/>
      <sheetName val="작성방법"/>
      <sheetName val="도급-집계"/>
      <sheetName val="증감내역서"/>
      <sheetName val="001"/>
      <sheetName val="대전21토목내역서"/>
      <sheetName val="말뚝지지력산정"/>
      <sheetName val="간접비계산"/>
      <sheetName val="적용단가"/>
      <sheetName val="입력"/>
      <sheetName val="품셈"/>
      <sheetName val="일위대가목록"/>
      <sheetName val="예산총괄"/>
      <sheetName val="공사원가계산서"/>
      <sheetName val="대비"/>
      <sheetName val="신림자금"/>
      <sheetName val="횡배위치"/>
      <sheetName val="기초일위"/>
      <sheetName val="시설일위"/>
      <sheetName val="운반비"/>
      <sheetName val="2000양배"/>
      <sheetName val="3련 BOX"/>
      <sheetName val="을-ATYPE"/>
      <sheetName val="제1호단위수량"/>
      <sheetName val="코드표"/>
      <sheetName val="여수토토적"/>
      <sheetName val="구조물수량집계표"/>
      <sheetName val="사업전망"/>
      <sheetName val="현장업무"/>
      <sheetName val="PIPING"/>
      <sheetName val="MSS 2"/>
      <sheetName val="전주2本1"/>
      <sheetName val="신호등일위대가"/>
      <sheetName val="프로젝트"/>
      <sheetName val="보증수수료산출"/>
      <sheetName val="을"/>
      <sheetName val="2.1  노무비 평균단가산출"/>
      <sheetName val="경비"/>
      <sheetName val="우수관매설및 우수받이"/>
      <sheetName val="명세서"/>
      <sheetName val="A-4"/>
      <sheetName val="제출내역 (2)"/>
      <sheetName val="보고서 기기리스트"/>
      <sheetName val="8설7발"/>
      <sheetName val="Sheet3"/>
      <sheetName val="기성내역"/>
      <sheetName val="인부노임"/>
      <sheetName val="재료비"/>
      <sheetName val="토목내역"/>
      <sheetName val="사급자재"/>
      <sheetName val="전체"/>
      <sheetName val="간이영수증"/>
      <sheetName val="적용표"/>
      <sheetName val="자재단가비교표"/>
      <sheetName val="부재예실1월"/>
      <sheetName val="설계서(7)"/>
      <sheetName val="예산서(6)"/>
      <sheetName val="11.우각부 보강"/>
      <sheetName val="11.산출(전열)"/>
      <sheetName val="6.산출(동력)"/>
      <sheetName val="7.산출(TRAY)"/>
      <sheetName val="단가대비표"/>
      <sheetName val="현장관리비"/>
      <sheetName val="상-교대(A1-A2)"/>
      <sheetName val="교량"/>
      <sheetName val="노임단가표"/>
      <sheetName val="5.산출(전력)"/>
      <sheetName val="Total"/>
      <sheetName val="bearing"/>
      <sheetName val="광산내역"/>
      <sheetName val="소비자가"/>
      <sheetName val="원가+내역"/>
      <sheetName val="JUCKEYK"/>
      <sheetName val="A 견적"/>
      <sheetName val="전기일위목록"/>
      <sheetName val="금호"/>
      <sheetName val="내   역"/>
      <sheetName val="내역_ver1.0"/>
      <sheetName val="플랜트 설치"/>
      <sheetName val="99월별경비계획"/>
      <sheetName val="할증"/>
      <sheetName val="소야공정계획표"/>
      <sheetName val="I一般比"/>
      <sheetName val="plan&amp;section of foundation"/>
      <sheetName val="pile bearing capa &amp; arrenge"/>
      <sheetName val="working load at the btm ft."/>
      <sheetName val="stability check"/>
      <sheetName val="design criteria"/>
      <sheetName val="내역원본"/>
      <sheetName val="결과조달"/>
      <sheetName val="마산방향"/>
      <sheetName val="진주방향"/>
      <sheetName val="기초수량집"/>
      <sheetName val="lee"/>
      <sheetName val="집계표소트"/>
      <sheetName val="type-F"/>
      <sheetName val="가격조사서"/>
      <sheetName val="검암내역"/>
      <sheetName val="기계공사"/>
      <sheetName val="01AC"/>
      <sheetName val="정화조내역"/>
      <sheetName val="Macro1"/>
      <sheetName val="연결임시"/>
      <sheetName val="봉양~조차장간고하개명(신설)"/>
      <sheetName val="13LPMCC"/>
      <sheetName val="측구터파기공수량집계"/>
      <sheetName val="배수공 시멘트 및 골재량 산출"/>
      <sheetName val="용소리교"/>
      <sheetName val="토목"/>
      <sheetName val="일위대가(1)"/>
      <sheetName val="토목주소"/>
      <sheetName val="물량표S"/>
      <sheetName val="Macro(차단기)"/>
      <sheetName val="중기일위대가"/>
      <sheetName val="시멘트"/>
      <sheetName val="단가조사-2"/>
      <sheetName val="Resource2"/>
      <sheetName val="배수내역 (2)"/>
      <sheetName val="제품원재"/>
      <sheetName val="소방사항"/>
      <sheetName val="날개벽수량표"/>
      <sheetName val="일위집계(기존)"/>
      <sheetName val="조건표"/>
      <sheetName val="역T형옹벽단위수량"/>
      <sheetName val="산출내역서집계표"/>
      <sheetName val="내역(창신)"/>
      <sheetName val="설계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전기일위대가"/>
      <sheetName val="접속도로1"/>
      <sheetName val="공사비총괄"/>
      <sheetName val="EBSDATA"/>
      <sheetName val="b_balju"/>
      <sheetName val="원가총괄"/>
      <sheetName val="부대내역"/>
      <sheetName val="CORE#2"/>
      <sheetName val="전 기"/>
      <sheetName val="내역(가지)"/>
      <sheetName val="원계약고시공및준비구분"/>
      <sheetName val="관급자재"/>
      <sheetName val="자재단가표"/>
      <sheetName val="99-0002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단가조사표"/>
      <sheetName val="건설성적"/>
      <sheetName val="WORK"/>
      <sheetName val="내역표지"/>
      <sheetName val="SHEET PILE단가"/>
      <sheetName val="수정2"/>
      <sheetName val="1.설계기준"/>
      <sheetName val="공통가설"/>
      <sheetName val="70%"/>
      <sheetName val="단가집"/>
      <sheetName val="일위대가(가설)"/>
      <sheetName val="EUPDAT2"/>
      <sheetName val="목차 "/>
      <sheetName val="200"/>
      <sheetName val="전기실-1"/>
      <sheetName val="SUMMARY(S)"/>
      <sheetName val="갑지(추정)"/>
      <sheetName val="노임이"/>
      <sheetName val="현장관리비참조"/>
      <sheetName val="SLAB"/>
      <sheetName val="일위"/>
      <sheetName val="장비단가표"/>
      <sheetName val="asd"/>
      <sheetName val="Customer Databas"/>
      <sheetName val="인사자료총집계"/>
      <sheetName val=" HIT-&gt;HMC 견적(3900)"/>
      <sheetName val="화재 탐지 설비"/>
      <sheetName val="TYPE-A"/>
      <sheetName val="6PILE  (돌출)"/>
      <sheetName val="단가조건(02년)"/>
      <sheetName val="현금흐름"/>
      <sheetName val="unit 4"/>
      <sheetName val="견적서"/>
      <sheetName val="부속동"/>
      <sheetName val="APT"/>
      <sheetName val="투찰추정"/>
      <sheetName val="검토"/>
      <sheetName val="INPUT-DATA"/>
      <sheetName val="총괄-1"/>
      <sheetName val="전체_1설계"/>
      <sheetName val="공통단가"/>
      <sheetName val="1월"/>
      <sheetName val="백암비스타내역"/>
      <sheetName val="설계서(본관)"/>
      <sheetName val="퇴직금(울산천상)"/>
      <sheetName val="POL6차-PIPING"/>
      <sheetName val="d118"/>
      <sheetName val="기기리스트"/>
      <sheetName val="기초코드"/>
      <sheetName val="전라자금"/>
      <sheetName val="Y-WORK"/>
      <sheetName val="시설물일위"/>
      <sheetName val="내역서1"/>
      <sheetName val="WING3"/>
      <sheetName val="전입"/>
      <sheetName val="재집"/>
      <sheetName val="총"/>
      <sheetName val="물량표"/>
      <sheetName val="오산갈곳"/>
      <sheetName val="PAINT"/>
      <sheetName val="일용노임단가"/>
      <sheetName val="재개발"/>
      <sheetName val="투입내역"/>
      <sheetName val="별첨1-임식"/>
      <sheetName val="기본자료"/>
      <sheetName val="구간별관경"/>
      <sheetName val="spc 배관견적"/>
      <sheetName val="C97상"/>
      <sheetName val="데리네이타현황"/>
      <sheetName val="중기"/>
      <sheetName val="바닥판"/>
      <sheetName val="입력DATA"/>
      <sheetName val="지불내역(자재외)"/>
      <sheetName val="BH_1 _2_"/>
      <sheetName val="노임 단가"/>
      <sheetName val="일위(시설)"/>
      <sheetName val="노무비 근거"/>
      <sheetName val="기본일위"/>
      <sheetName val="모델명"/>
      <sheetName val="수량산출"/>
      <sheetName val="편입토지조서"/>
      <sheetName val="배수통관(좌)"/>
      <sheetName val="건축공사"/>
      <sheetName val="직재"/>
      <sheetName val="#2_일위대가목록"/>
      <sheetName val="계수시트"/>
      <sheetName val="기성(1차) "/>
      <sheetName val="NOMUBI"/>
      <sheetName val="sw1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1"/>
      <sheetName val="일위대가목차"/>
      <sheetName val="3.1공사현황 공정표"/>
      <sheetName val="안정계산"/>
      <sheetName val="단면검토"/>
      <sheetName val="시설물기초"/>
      <sheetName val="공정증감대ㅈ표"/>
      <sheetName val="SG"/>
      <sheetName val="예가표"/>
      <sheetName val="입찰"/>
      <sheetName val="현경"/>
      <sheetName val="주관사업"/>
      <sheetName val="귀래 설계 공내역서"/>
      <sheetName val="FM"/>
      <sheetName val="장비비 명세서1"/>
      <sheetName val="실행(ALT1)"/>
      <sheetName val="개인별 순위표"/>
      <sheetName val="INDEX"/>
      <sheetName val="프랜트면허"/>
      <sheetName val="냉천부속동"/>
      <sheetName val="네고율"/>
      <sheetName val="공사비총괄표"/>
      <sheetName val="1,2,3,4,5단위수량"/>
      <sheetName val="덕전리"/>
      <sheetName val="정렬"/>
      <sheetName val="동방설계서"/>
      <sheetName val="1.취수장"/>
      <sheetName val="PAY"/>
      <sheetName val="설 계"/>
      <sheetName val="재료"/>
      <sheetName val="저장소"/>
      <sheetName val="내역집계"/>
      <sheetName val="직접경비호표"/>
      <sheetName val="합계"/>
      <sheetName val="세골재  T2 변경 현황"/>
      <sheetName val="수량산출서집계(1-4차)"/>
      <sheetName val="2000년하반기"/>
      <sheetName val="파일구성"/>
      <sheetName val="유입량"/>
      <sheetName val="1유리"/>
      <sheetName val="신천3호용수로"/>
      <sheetName val="중기비"/>
      <sheetName val="수지예산"/>
      <sheetName val="전동기"/>
      <sheetName val="일위대가(집계)"/>
      <sheetName val="중기사용료산출근거"/>
      <sheetName val="단가산출1"/>
      <sheetName val="6공구(당초)"/>
      <sheetName val="(1)본선수량집계"/>
      <sheetName val="ELEC"/>
      <sheetName val="DATE"/>
      <sheetName val="BH-1_(2)"/>
      <sheetName val="표__지"/>
      <sheetName val="4_전기"/>
      <sheetName val="I_설계조건"/>
      <sheetName val="앉음벽_(2)"/>
      <sheetName val="1_설계조건"/>
      <sheetName val="조도계산서_(도서)"/>
      <sheetName val="노원열병합__건축공사기성내역서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Sheet5"/>
      <sheetName val="손익분석"/>
      <sheetName val="정산내역"/>
      <sheetName val="Cash Flow-1"/>
      <sheetName val="정리계획CF평가"/>
      <sheetName val="증감분석"/>
      <sheetName val="공기압축기실"/>
      <sheetName val="원도급"/>
      <sheetName val="하도급"/>
      <sheetName val="개산공사비"/>
      <sheetName val="장비"/>
      <sheetName val="노무"/>
      <sheetName val="단가조사서"/>
      <sheetName val="준공정산"/>
      <sheetName val="상수도토공집계표"/>
      <sheetName val="10공구일위"/>
      <sheetName val="관공일위대가"/>
      <sheetName val="관자재"/>
      <sheetName val="단가 및 재료비"/>
      <sheetName val="96수출"/>
      <sheetName val="EQT-ESTN"/>
      <sheetName val="청천내"/>
      <sheetName val="토공계산서(부체도로)"/>
      <sheetName val="대공종"/>
      <sheetName val="8.현장관리비"/>
      <sheetName val="7.안전관리비"/>
      <sheetName val="부서코드표"/>
      <sheetName val="입찰보고"/>
      <sheetName val="단가(적용)"/>
      <sheetName val="시운전연료비"/>
      <sheetName val="골조시행"/>
      <sheetName val="시운전연료"/>
      <sheetName val="조경수목"/>
      <sheetName val="퇴직공제부금"/>
      <sheetName val="평균노임"/>
      <sheetName val="분석"/>
      <sheetName val="자료입력"/>
      <sheetName val="적용단위길이"/>
      <sheetName val="전기혼잡제경비(45)"/>
      <sheetName val="재료비단가"/>
      <sheetName val="중사"/>
      <sheetName val="코드"/>
      <sheetName val="공사비집계"/>
      <sheetName val="내역서 "/>
      <sheetName val="한전일위"/>
      <sheetName val="101동"/>
      <sheetName val="설치"/>
      <sheetName val="실행"/>
      <sheetName val="MILL"/>
      <sheetName val="CC16-내역서"/>
      <sheetName val="제노임"/>
      <sheetName val="인건비"/>
      <sheetName val="환율change"/>
      <sheetName val="당초"/>
      <sheetName val="단가표"/>
      <sheetName val="시화점실행"/>
      <sheetName val="기별(종합)"/>
      <sheetName val="1안"/>
      <sheetName val="BQ"/>
      <sheetName val="집계및폼"/>
      <sheetName val="04_10_11"/>
      <sheetName val="Sheet2"/>
      <sheetName val="계산표지"/>
      <sheetName val="분전반일위대가"/>
      <sheetName val="직접비"/>
      <sheetName val="자재co"/>
      <sheetName val="INSTR"/>
      <sheetName val="#3_일위대가목록"/>
      <sheetName val="유림골조"/>
      <sheetName val="별표 "/>
      <sheetName val="연습"/>
      <sheetName val="장비단가"/>
      <sheetName val="MSS_2"/>
      <sheetName val="가설건물"/>
      <sheetName val="일위대가표48"/>
      <sheetName val="노임변동률"/>
      <sheetName val="재료값"/>
      <sheetName val="전기공사"/>
      <sheetName val="건축"/>
      <sheetName val="단중표"/>
      <sheetName val="7"/>
      <sheetName val="投标材料清单 "/>
      <sheetName val="9GNG운반"/>
      <sheetName val="48평단가"/>
      <sheetName val="57단가"/>
      <sheetName val="54평단가"/>
      <sheetName val="66평단가"/>
      <sheetName val="61단가"/>
      <sheetName val="단가산출서"/>
      <sheetName val="집 계 표"/>
      <sheetName val="목차"/>
      <sheetName val="집계장(대목_실행)"/>
      <sheetName val="원형1호맨홀토공수량"/>
      <sheetName val="내역서을지"/>
      <sheetName val="옥내소화전계산서"/>
      <sheetName val="평3"/>
      <sheetName val="대림경상68억"/>
      <sheetName val="품목납기"/>
      <sheetName val="Macro(전선)"/>
      <sheetName val="표준건축비"/>
      <sheetName val="협력업체"/>
      <sheetName val="코드1"/>
      <sheetName val="코드2"/>
      <sheetName val="원가서"/>
      <sheetName val="미드수량"/>
      <sheetName val="노임단가 (2)"/>
      <sheetName val="부대공(BOQ)"/>
      <sheetName val="도담구내 개소별 명세"/>
      <sheetName val="사유서제출현황-2"/>
      <sheetName val="공사비산출내역"/>
      <sheetName val="TCDB"/>
      <sheetName val="손익차9월2"/>
      <sheetName val="득점현황"/>
      <sheetName val="결재란"/>
      <sheetName val="AS복구"/>
      <sheetName val="중기터파기"/>
      <sheetName val="변수값"/>
      <sheetName val="중기상차"/>
      <sheetName val="공량산출서"/>
      <sheetName val="98수문일위"/>
      <sheetName val="3.공통공사대비"/>
      <sheetName val="sub"/>
      <sheetName val="검색방"/>
      <sheetName val="자금청구"/>
      <sheetName val="관접합및자재집계표"/>
      <sheetName val="업체자료"/>
      <sheetName val="TOT"/>
      <sheetName val="-배수구조총재료"/>
      <sheetName val="교각계산"/>
      <sheetName val="수량집계"/>
      <sheetName val="철거산출근거"/>
      <sheetName val="인천제철"/>
      <sheetName val="BJJIN"/>
      <sheetName val="코드일람표2001년10월"/>
      <sheetName val="구의33고"/>
      <sheetName val="유림총괄"/>
      <sheetName val="자동제어"/>
      <sheetName val="89평단가"/>
      <sheetName val="84평단가"/>
      <sheetName val="현장관리비데이타"/>
      <sheetName val="자동세륜기"/>
      <sheetName val="입력데이타(비인쇄용)"/>
      <sheetName val="적용환율"/>
      <sheetName val="암거"/>
      <sheetName val="현금예금"/>
      <sheetName val="단면가정"/>
      <sheetName val="단가(반정1교-원주)"/>
      <sheetName val="지구단위계획"/>
      <sheetName val="RETAIL (ABOVE)"/>
      <sheetName val="CODE"/>
      <sheetName val="시중노임단가"/>
      <sheetName val="입찰견적보고서"/>
      <sheetName val="단가적용"/>
      <sheetName val="남양내역"/>
      <sheetName val="MAIN_TABLE"/>
      <sheetName val="Sheet4"/>
      <sheetName val="심사물량"/>
      <sheetName val="내역서비교"/>
      <sheetName val="인부신상자료"/>
      <sheetName val="투찰가"/>
      <sheetName val="N賃率_職"/>
      <sheetName val="비주거용"/>
      <sheetName val="인원"/>
      <sheetName val="5. 현장관리비(new) "/>
      <sheetName val="원본"/>
      <sheetName val="건축내역서"/>
      <sheetName val="횡배수관토공수량"/>
      <sheetName val="세부추진"/>
      <sheetName val="상용보강"/>
      <sheetName val="SHEET"/>
      <sheetName val="2000노임기준"/>
      <sheetName val="현관"/>
      <sheetName val="제수변 수량집계표(보통)"/>
      <sheetName val="소화실적"/>
      <sheetName val="7.공정표"/>
      <sheetName val="단면 (2)"/>
      <sheetName val="간접비(1)"/>
      <sheetName val="제잡비"/>
      <sheetName val="개요"/>
      <sheetName val="울산자금"/>
      <sheetName val="내역서1999.8최종"/>
      <sheetName val="기본"/>
      <sheetName val="통신물량"/>
      <sheetName val="현장별"/>
      <sheetName val="식재인부"/>
      <sheetName val="하중계산"/>
      <sheetName val="HVAC"/>
      <sheetName val="대치판정"/>
      <sheetName val="CODE1"/>
      <sheetName val="중기사용료"/>
      <sheetName val="1공구(입찰내역)"/>
      <sheetName val="관리,공감"/>
      <sheetName val="Sheet6"/>
      <sheetName val="인력터파기"/>
      <sheetName val="DHEQSUPT"/>
      <sheetName val="단   산"/>
      <sheetName val="실    단"/>
      <sheetName val="기본단가"/>
      <sheetName val="1단계"/>
      <sheetName val="제품목록"/>
      <sheetName val="몰탈"/>
      <sheetName val="Eq. Mobilization"/>
      <sheetName val="점수계산1-2"/>
      <sheetName val="입력정보"/>
      <sheetName val="2.대외공문"/>
      <sheetName val="김해토지조서"/>
      <sheetName val="공정코드"/>
      <sheetName val="월별수입"/>
      <sheetName val="실지수기호표"/>
      <sheetName val="Baby일위대가"/>
      <sheetName val="기준"/>
      <sheetName val="정산을지"/>
      <sheetName val="6. 수량산출서"/>
      <sheetName val="토사(PE)"/>
      <sheetName val="B"/>
      <sheetName val="일위대㐀븁_x0000__x0000_退"/>
      <sheetName val="조작대(1연)"/>
      <sheetName val="신고조서"/>
      <sheetName val="EJ"/>
      <sheetName val="일정"/>
      <sheetName val="일위단가"/>
      <sheetName val="SHL"/>
      <sheetName val="가시설단위수량"/>
      <sheetName val="건축기술부대조건"/>
      <sheetName val="건축2"/>
      <sheetName val="VE절감"/>
      <sheetName val="청주(철골발주의뢰서)"/>
      <sheetName val="분전함신설"/>
      <sheetName val="차수"/>
      <sheetName val="일위총괄"/>
      <sheetName val="이월"/>
      <sheetName val="본사인상전"/>
      <sheetName val="위치"/>
      <sheetName val="단가비교"/>
      <sheetName val="5호광장_(만점)1"/>
      <sheetName val="인천국제_(만점)_(2)1"/>
      <sheetName val="Total_단위경유량집계1"/>
      <sheetName val="준검_내역서1"/>
      <sheetName val="토공유동표(전체_당초)1"/>
      <sheetName val="BH-1_(2)1"/>
      <sheetName val="1_수인터널1"/>
      <sheetName val="4_전기1"/>
      <sheetName val="표__지1"/>
      <sheetName val="앉음벽_(2)1"/>
      <sheetName val="1_설계조건1"/>
      <sheetName val="조도계산서_(도서)1"/>
      <sheetName val="노원열병합__건축공사기성내역서1"/>
      <sheetName val="I_설계조건1"/>
      <sheetName val="MSS_21"/>
      <sheetName val="2_1__노무비_평균단가산출"/>
      <sheetName val="우수관매설및_우수받이1"/>
      <sheetName val="제출내역_(2)1"/>
      <sheetName val="내역_ver1_01"/>
      <sheetName val="plan&amp;section_of_foundation1"/>
      <sheetName val="pile_bearing_capa_&amp;_arrenge1"/>
      <sheetName val="working_load_at_the_btm_ft_1"/>
      <sheetName val="stability_check1"/>
      <sheetName val="design_criteria1"/>
      <sheetName val="11_우각부_보강1"/>
      <sheetName val="보고서_기기리스트"/>
      <sheetName val="3련_BOX1"/>
      <sheetName val="소포내역_(2)1"/>
      <sheetName val="11_산출(전열)1"/>
      <sheetName val="6_산출(동력)1"/>
      <sheetName val="7_산출(TRAY)1"/>
      <sheetName val="7__현장관리비_1"/>
      <sheetName val="6__안전관리비1"/>
      <sheetName val="배수내역_(2)"/>
      <sheetName val="배수공_시멘트_및_골재량_산출"/>
      <sheetName val="_HIT-&gt;HMC_견적(3900)"/>
      <sheetName val="_HIT__HMC_견적_3900_1"/>
      <sheetName val="A_견적"/>
      <sheetName val="내___역"/>
      <sheetName val="플랜트_설치"/>
      <sheetName val="5_산출(전력)"/>
      <sheetName val="전_기"/>
      <sheetName val="수량산출서(전력간선_지하D_C)"/>
      <sheetName val="SHEET_PILE단가"/>
      <sheetName val="1_설계기준"/>
      <sheetName val="목차_"/>
      <sheetName val="Customer_Databas"/>
      <sheetName val="집_계_표"/>
      <sheetName val="6PILE__(돌출)"/>
      <sheetName val="spc_배관견적"/>
      <sheetName val="1_취수장"/>
      <sheetName val="unit_4"/>
      <sheetName val="화재_탐지_설비"/>
      <sheetName val="2차전체변경예정_(2)"/>
      <sheetName val="Cash_Flow-1"/>
      <sheetName val="3_1공사현황_공정표"/>
      <sheetName val="세골재__T2_변경_현황"/>
      <sheetName val="BH_1__2_"/>
      <sheetName val="귀래_설계_공내역서"/>
      <sheetName val="설_계"/>
      <sheetName val="노임_단가"/>
      <sheetName val="8_현장관리비"/>
      <sheetName val="7_안전관리비"/>
      <sheetName val="별표_"/>
      <sheetName val="개인별_순위표"/>
      <sheetName val="Eq__Mobilization"/>
      <sheetName val="내역서_"/>
      <sheetName val="도담구내_개소별_명세"/>
      <sheetName val="投标材料清单_"/>
      <sheetName val="3_공통공사대비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A1"/>
      <sheetName val="단가조사"/>
      <sheetName val="재료비노무비"/>
      <sheetName val="2련간지"/>
      <sheetName val="범례표"/>
      <sheetName val="주beam"/>
      <sheetName val="실행(표지,갑,을)"/>
      <sheetName val="일위_파일"/>
      <sheetName val="이토변실(A3-LINE)"/>
      <sheetName val="guard(mac)"/>
      <sheetName val="COST"/>
      <sheetName val="공통(20-91)"/>
      <sheetName val="가설식당"/>
      <sheetName val="학생내역"/>
      <sheetName val=" 갑지"/>
      <sheetName val="기계실냉난방"/>
      <sheetName val="옥외외등집계표"/>
      <sheetName val="금리계산"/>
      <sheetName val="대운반(철재)"/>
      <sheetName val="산출"/>
      <sheetName val="소방"/>
      <sheetName val="예산코드"/>
      <sheetName val="원가입력"/>
      <sheetName val="철근량"/>
      <sheetName val="실행대비"/>
      <sheetName val="용수간선"/>
      <sheetName val=""/>
      <sheetName val="공사수행방안"/>
      <sheetName val="wall"/>
      <sheetName val="위치조서"/>
      <sheetName val="일위대_x0000__x0000_Ԁ_x0000_䀀"/>
      <sheetName val="확정분요약"/>
      <sheetName val="확정분세부"/>
      <sheetName val="동해title"/>
      <sheetName val="비교1"/>
      <sheetName val="효율표"/>
      <sheetName val="제경비산출서"/>
      <sheetName val="간접"/>
      <sheetName val="도실건시"/>
      <sheetName val="암거 제원표"/>
      <sheetName val="수문일1"/>
      <sheetName val="5.동별횡주관경"/>
      <sheetName val="도급FORM"/>
      <sheetName val="수량명세서"/>
      <sheetName val="전산망"/>
      <sheetName val="기안"/>
      <sheetName val="전선 및 전선관"/>
      <sheetName val="공조기"/>
      <sheetName val="장비 (2)"/>
      <sheetName val="3BL공동구 수량"/>
      <sheetName val="APT내역"/>
      <sheetName val="부대시설"/>
      <sheetName val="Sheet17"/>
      <sheetName val="LF자재단가"/>
      <sheetName val="현장경비"/>
      <sheetName val="공종별(공용부위)"/>
      <sheetName val="공사실행(공용부위)"/>
      <sheetName val="공종분리"/>
      <sheetName val="실행예산보고서"/>
      <sheetName val="실행예산보고서-제출용"/>
      <sheetName val="가설"/>
      <sheetName val="설비"/>
      <sheetName val="에어컨"/>
      <sheetName val="공조설비"/>
      <sheetName val="경량"/>
      <sheetName val="금속"/>
      <sheetName val="도장"/>
      <sheetName val="대관업무"/>
      <sheetName val="대리석"/>
      <sheetName val="롤스크린"/>
      <sheetName val="목공"/>
      <sheetName val="방수"/>
      <sheetName val="베이스판넬"/>
      <sheetName val="습식및 셀프레벨링"/>
      <sheetName val="유리"/>
      <sheetName val="자동문"/>
      <sheetName val="준공청소"/>
      <sheetName val="직영노무비"/>
      <sheetName val="철거"/>
      <sheetName val="카펫트"/>
      <sheetName val="타일"/>
      <sheetName val="폐자재"/>
      <sheetName val="플로링"/>
      <sheetName val="하드웨어"/>
      <sheetName val="p-타일"/>
      <sheetName val="건축공사원가계산서"/>
      <sheetName val="건축집계표"/>
      <sheetName val="인테리어내역서"/>
      <sheetName val="1-1"/>
      <sheetName val="1차 내역서"/>
      <sheetName val="Space"/>
      <sheetName val="Final"/>
      <sheetName val="설계명세서"/>
      <sheetName val="구조물"/>
      <sheetName val="대전(세창동)"/>
      <sheetName val="정보"/>
      <sheetName val="설계명세서(선로)"/>
      <sheetName val="BSD (2)"/>
      <sheetName val="바.한일양산"/>
      <sheetName val="판테온실행내역"/>
      <sheetName val="회사정보"/>
      <sheetName val="해외(원화)"/>
      <sheetName val="hvac내역서(제어동)"/>
      <sheetName val="Project Brief"/>
      <sheetName val="UNIT"/>
      <sheetName val="Breakdown"/>
      <sheetName val="UnitRate"/>
      <sheetName val="영업.일1"/>
      <sheetName val="일위대가(건축)"/>
      <sheetName val="습식및_셀프레벨링"/>
      <sheetName val="1차_내역서"/>
      <sheetName val="카쎫트"/>
      <sheetName val="COPING"/>
      <sheetName val="간선계산"/>
      <sheetName val="#REF!"/>
      <sheetName val="기기 내역서"/>
      <sheetName val="환산"/>
      <sheetName val="일산실행내역"/>
      <sheetName val="J直材4"/>
      <sheetName val="연부97-1"/>
      <sheetName val="갑지1"/>
      <sheetName val="EACT10"/>
      <sheetName val="실행간접비용"/>
      <sheetName val="부대tu"/>
      <sheetName val="시추주상도"/>
      <sheetName val="CLAUSE"/>
      <sheetName val="BOJUNGGM"/>
      <sheetName val="세금자료"/>
      <sheetName val="말고개터널조명전압강하"/>
      <sheetName val="Sheet1 (2)"/>
      <sheetName val="참조 (2)"/>
      <sheetName val="콘크리트타설집계표"/>
      <sheetName val="골조"/>
      <sheetName val="CM 1"/>
      <sheetName val="일위산출근거"/>
      <sheetName val="I_설계조_x0000_"/>
      <sheetName val="양식_자재단가조사표"/>
      <sheetName val="단위수량"/>
      <sheetName val="Sheet16"/>
      <sheetName val="에어샵공사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 소방공사 산출근거"/>
      <sheetName val="49일위"/>
      <sheetName val="22일위"/>
      <sheetName val="제품정보"/>
      <sheetName val="상품수불(합산)"/>
      <sheetName val="Macro3"/>
      <sheetName val="동물이동통로"/>
      <sheetName val="전사 (2)"/>
      <sheetName val="BA (2)"/>
      <sheetName val="CP (2)"/>
      <sheetName val="시산표"/>
      <sheetName val="일위CODE"/>
      <sheetName val="1회"/>
      <sheetName val="구성비"/>
      <sheetName val="95MAKER"/>
      <sheetName val="산식3"/>
      <sheetName val="맨홀토공"/>
      <sheetName val="맨홀수량산출"/>
      <sheetName val="본사공가현황"/>
      <sheetName val="도수로현황"/>
      <sheetName val="부총"/>
      <sheetName val="장비집계"/>
      <sheetName val="수량산출서 (2)"/>
      <sheetName val="노무비"/>
      <sheetName val="목록"/>
      <sheetName val="투찰"/>
      <sheetName val="토공 total"/>
      <sheetName val="공기압舓⿫_x0005_"/>
      <sheetName val="공기압妐&quot;姜"/>
      <sheetName val="토공(1)"/>
      <sheetName val="준공조서갑지"/>
      <sheetName val="일위대가(계측기설치)"/>
      <sheetName val="기계실"/>
      <sheetName val="집계표(육상)"/>
      <sheetName val="목록표"/>
      <sheetName val="유치원내역"/>
      <sheetName val="견내"/>
      <sheetName val="울산자동제어"/>
      <sheetName val="환경평가"/>
      <sheetName val="계정"/>
      <sheetName val="재정비내역"/>
      <sheetName val="지적고시내역"/>
      <sheetName val="조도계산서_(도서_x0000_"/>
      <sheetName val="수배전(갑)"/>
      <sheetName val="esc"/>
      <sheetName val="포장(수량)-관로부"/>
      <sheetName val="기성갑지"/>
      <sheetName val="인건-측정"/>
      <sheetName val="실행내역서(DCU)"/>
      <sheetName val="전기단가조사서"/>
      <sheetName val="조직"/>
      <sheetName val="5사남"/>
      <sheetName val="일위대가 "/>
      <sheetName val="1ST"/>
      <sheetName val="4 LINE"/>
      <sheetName val="7 th"/>
      <sheetName val="CTEMCOST"/>
      <sheetName val="ELECTRIC"/>
      <sheetName val="SCHEDULE"/>
      <sheetName val="REDUCER"/>
      <sheetName val="WE'T"/>
      <sheetName val="전철"/>
      <sheetName val="설계서"/>
      <sheetName val="20관리비율"/>
      <sheetName val="관경별내역서"/>
      <sheetName val="형상"/>
      <sheetName val="MIJIBI"/>
      <sheetName val="0Title"/>
      <sheetName val="할빙수"/>
      <sheetName val="자재"/>
      <sheetName val="산근1"/>
      <sheetName val="조립1부실적"/>
      <sheetName val="정산서"/>
      <sheetName val="실적공사비"/>
      <sheetName val="일위대가집계"/>
      <sheetName val="토목내역서"/>
      <sheetName val="보고서_기기리스트1"/>
      <sheetName val="재적표"/>
      <sheetName val="新철폐복2"/>
      <sheetName val="新철폐복3"/>
      <sheetName val="新철폐복"/>
      <sheetName val="아파트 "/>
      <sheetName val="토공 토적표"/>
      <sheetName val="현황산출서"/>
      <sheetName val="NNV"/>
      <sheetName val="수량산출서집계"/>
      <sheetName val="맨홀수량"/>
      <sheetName val="콘_재료분리(1)"/>
      <sheetName val="1.CB"/>
      <sheetName val="변수"/>
      <sheetName val="04변경-상하"/>
      <sheetName val="CON'C"/>
      <sheetName val="간접비"/>
      <sheetName val="수우미양가(Vlookup)"/>
      <sheetName val="변경내역"/>
      <sheetName val="상반기손익차2총괄"/>
      <sheetName val="골재산출"/>
      <sheetName val="자재단가리스트"/>
      <sheetName val="전압강하자료"/>
      <sheetName val="현장조사"/>
      <sheetName val="견적의뢰서"/>
      <sheetName val="갑지.을지"/>
      <sheetName val="기타"/>
      <sheetName val="각종양식"/>
      <sheetName val="&lt;--"/>
      <sheetName val="마스터원본"/>
      <sheetName val="MSS"/>
      <sheetName val="정화조"/>
      <sheetName val="접속도수량집계표"/>
      <sheetName val="미납품 현황"/>
      <sheetName val="월별손익"/>
      <sheetName val="PI"/>
      <sheetName val="건축공사실행"/>
      <sheetName val="건축원가"/>
      <sheetName val="내역서2안"/>
      <sheetName val="물량내역서"/>
      <sheetName val="수목표준대가"/>
      <sheetName val="기초목"/>
      <sheetName val="database"/>
      <sheetName val="변경명신물량 (2)"/>
      <sheetName val="감가상각비대체내역"/>
      <sheetName val="자재집계"/>
      <sheetName val="apt수량"/>
      <sheetName val="현금"/>
      <sheetName val="첨부1"/>
      <sheetName val="안정검토"/>
      <sheetName val="LIST"/>
      <sheetName val="내역서(100%)"/>
      <sheetName val="J"/>
      <sheetName val="단위중량"/>
      <sheetName val="식음료"/>
      <sheetName val="지급자재"/>
      <sheetName val="난간벽단위"/>
      <sheetName val="예산조서(전송)"/>
      <sheetName val="날개수집"/>
      <sheetName val="95년12월말"/>
      <sheetName val="기존단가 (2)"/>
      <sheetName val="대_x0000__x0000_"/>
      <sheetName val="포장수량집계"/>
      <sheetName val="부대대비"/>
      <sheetName val="냉연집계"/>
      <sheetName val="자갈,시멘트,모래산출"/>
      <sheetName val="15100"/>
      <sheetName val="주bea_xdcf0_"/>
      <sheetName val="물류최종8월7"/>
      <sheetName val="송전기본"/>
      <sheetName val="경비_원본"/>
      <sheetName val="간접경상비"/>
      <sheetName val="유효폭의 계산"/>
      <sheetName val="다곡2교"/>
      <sheetName val="견적시담(송포2공구)"/>
      <sheetName val="F4-F7"/>
      <sheetName val="FAB별"/>
      <sheetName val="Scenario"/>
      <sheetName val="2"/>
      <sheetName val="건축원가계산서"/>
      <sheetName val="간지"/>
      <sheetName val="K1자재(3차등)"/>
      <sheetName val="제수변수량"/>
      <sheetName val="하수급견적대비"/>
      <sheetName val="일위대가목록표"/>
      <sheetName val="교대(A1)"/>
      <sheetName val="집계"/>
      <sheetName val="화설내"/>
      <sheetName val="수정계획3"/>
      <sheetName val="을부담운반비"/>
      <sheetName val="가시설(TYPE-A)"/>
      <sheetName val="1-1평균터파기고(1)"/>
      <sheetName val="GDP"/>
      <sheetName val="일일입력"/>
      <sheetName val="품목등록"/>
      <sheetName val="만년달력"/>
      <sheetName val="조경수량"/>
      <sheetName val="세목별"/>
      <sheetName val="설-원가"/>
      <sheetName val="2분기"/>
      <sheetName val="예산실적전체당월"/>
      <sheetName val="기준액"/>
      <sheetName val="(당평)자재"/>
      <sheetName val="건축집계"/>
      <sheetName val="하조서"/>
      <sheetName val="단양 00 아파트-세부내역"/>
      <sheetName val="시추조사비"/>
      <sheetName val="임차비용"/>
      <sheetName val="설명서 "/>
      <sheetName val="FACTOR"/>
      <sheetName val="인적사항(누적)"/>
      <sheetName val="제1영업소"/>
      <sheetName val="제2영업소"/>
      <sheetName val="제3영업소"/>
      <sheetName val="ITB COST"/>
      <sheetName val="한일양산"/>
      <sheetName val="2-2.매출분석"/>
      <sheetName val="사업부구분코드"/>
      <sheetName val="급,배기팬"/>
      <sheetName val="영업소실적"/>
      <sheetName val="결재_x0000_"/>
      <sheetName val="I_설계조多"/>
      <sheetName val="2002상반기노임기준"/>
      <sheetName val="설계내역(2001)"/>
      <sheetName val="제조노임"/>
      <sheetName val="S0"/>
      <sheetName val="덤프트럭계수"/>
      <sheetName val="ACMV"/>
      <sheetName val="P&amp;S"/>
      <sheetName val="danh muc vat tu"/>
      <sheetName val="Register-BG NCC"/>
      <sheetName val="Data 2"/>
      <sheetName val="TB chính"/>
      <sheetName val="AHU-PAU-FCU"/>
      <sheetName val="FANS"/>
      <sheetName val="Steel pipe"/>
      <sheetName val="Ref pipe+Ins"/>
      <sheetName val="Plastic pipe"/>
      <sheetName val="Duct"/>
      <sheetName val="Air Grilles"/>
      <sheetName val="Valves"/>
      <sheetName val="도담구내 개소별 명柖"/>
      <sheetName val="주식"/>
      <sheetName val="Cost bd-&quot;A&quot;"/>
      <sheetName val="DTCT"/>
      <sheetName val="5호광장_(만점)2"/>
      <sheetName val="인천국제_(만점)_(2)2"/>
      <sheetName val="Total_단위경유량집계2"/>
      <sheetName val="토공유동표(전체_당초)2"/>
      <sheetName val="준검_내역서2"/>
      <sheetName val="1_수인터널2"/>
      <sheetName val="BH-1_(2)2"/>
      <sheetName val="표__지2"/>
      <sheetName val="投标材料清单_1"/>
      <sheetName val="앉음벽_(2)2"/>
      <sheetName val="4_전기2"/>
      <sheetName val="_HIT__HMC_견적_3900_2"/>
      <sheetName val="I_설계조건2"/>
      <sheetName val="7__현장관리비_2"/>
      <sheetName val="6__안전관리비2"/>
      <sheetName val="노원열병합__건축공사기성내역서2"/>
      <sheetName val="1_설계조건2"/>
      <sheetName val="조도계산서_(도서)2"/>
      <sheetName val="소포내역_(2)2"/>
      <sheetName val="MSS_22"/>
      <sheetName val="11_산출(전열)2"/>
      <sheetName val="6_산출(동력)2"/>
      <sheetName val="7_산출(TRAY)2"/>
      <sheetName val="5_산출(전력)1"/>
      <sheetName val="수량산출서(전력간선_지하D_C)1"/>
      <sheetName val="우수관매설및_우수받이2"/>
      <sheetName val="11_우각부_보강2"/>
      <sheetName val="제출내역_(2)2"/>
      <sheetName val="내___역1"/>
      <sheetName val="내역_ver1_02"/>
      <sheetName val="플랜트_설치1"/>
      <sheetName val="plan&amp;section_of_foundation2"/>
      <sheetName val="pile_bearing_capa_&amp;_arrenge2"/>
      <sheetName val="working_load_at_the_btm_ft_2"/>
      <sheetName val="stability_check2"/>
      <sheetName val="design_criteria2"/>
      <sheetName val="2_1__노무비_평균단가산출1"/>
      <sheetName val="3련_BOX2"/>
      <sheetName val="배수내역_(2)1"/>
      <sheetName val="배수공_시멘트_및_골재량_산출1"/>
      <sheetName val="A_견적1"/>
      <sheetName val="unit_41"/>
      <sheetName val="_HIT-&gt;HMC_견적(3900)1"/>
      <sheetName val="Customer_Databas1"/>
      <sheetName val="spc_배관견적1"/>
      <sheetName val="전_기1"/>
      <sheetName val="SHEET_PILE단가1"/>
      <sheetName val="목차_1"/>
      <sheetName val="화재_탐지_설비1"/>
      <sheetName val="6PILE__(돌출)1"/>
      <sheetName val="세골재__T2_변경_현황1"/>
      <sheetName val="BH_1__2_1"/>
      <sheetName val="개인별_순위표1"/>
      <sheetName val="1_취수장1"/>
      <sheetName val="Cash_Flow-11"/>
      <sheetName val="3_1공사현황_공정표1"/>
      <sheetName val="2차전체변경예정_(2)1"/>
      <sheetName val="노임_단가1"/>
      <sheetName val="내역서_1"/>
      <sheetName val="8_현장관리비1"/>
      <sheetName val="7_안전관리비1"/>
      <sheetName val="귀래_설계_공내역서1"/>
      <sheetName val="설_계1"/>
      <sheetName val="1_설계기준1"/>
      <sheetName val="집_계_표1"/>
      <sheetName val="별표_1"/>
      <sheetName val="도담구내_개소별_명세1"/>
      <sheetName val="노임단가_(2)1"/>
      <sheetName val="3_공통공사대비1"/>
      <sheetName val="단가_및_재료비1"/>
      <sheetName val="RETAIL_(ABOVE)1"/>
      <sheetName val="장비비_명세서11"/>
      <sheetName val="단___산"/>
      <sheetName val="실____단"/>
      <sheetName val="전선_및_전선관"/>
      <sheetName val="7_공정표1"/>
      <sheetName val="단면_(2)1"/>
      <sheetName val="5__현장관리비(new)_1"/>
      <sheetName val="내역서1999_8최종"/>
      <sheetName val="2_대외공문1"/>
      <sheetName val="Eq__Mobilization1"/>
      <sheetName val="노무비_근거"/>
      <sheetName val="제수변_수량집계표(보통)"/>
      <sheetName val="Sheet1_(2)"/>
      <sheetName val="장비_(2)"/>
      <sheetName val="3BL공동구_수량"/>
      <sheetName val="5_동별횡주관경"/>
      <sheetName val="암거_제원표"/>
      <sheetName val="도담구내_개소별_명柖"/>
      <sheetName val="CM_1"/>
      <sheetName val="_갑지"/>
      <sheetName val="6__수량산출서"/>
      <sheetName val="참조_(2)"/>
      <sheetName val="일위대가_"/>
      <sheetName val="4_LINE"/>
      <sheetName val="7_th"/>
      <sheetName val="danh_muc_vat_tu"/>
      <sheetName val="Register-BG_NCC"/>
      <sheetName val="Data_2"/>
      <sheetName val="TB_chính"/>
      <sheetName val="Steel_pipe"/>
      <sheetName val="Ref_pipe+Ins"/>
      <sheetName val="Plastic_pipe"/>
      <sheetName val="Air_Grilles"/>
      <sheetName val="Cost_bd-&quot;A&quot;"/>
      <sheetName val="일위1"/>
      <sheetName val="매입"/>
      <sheetName val="H-pile(298x299)"/>
      <sheetName val="H-pile(250x250)"/>
      <sheetName val="4.2.1 마루높이 검토"/>
      <sheetName val="직접뀀鞖/_x0000_"/>
      <sheetName val="보할"/>
      <sheetName val="배수관연장조서"/>
      <sheetName val="선정요령"/>
      <sheetName val="내역1"/>
      <sheetName val="담보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8"/>
      <sheetName val="9"/>
      <sheetName val="STEEL BOX 단면설계(SEC.8)"/>
      <sheetName val="우석문틀"/>
      <sheetName val="실_인건비(5월부터)"/>
      <sheetName val="현장별정리"/>
      <sheetName val="표지 (2)"/>
      <sheetName val=" 견적서"/>
      <sheetName val="부하LOAD"/>
      <sheetName val="전도품의"/>
      <sheetName val="수량계산"/>
      <sheetName val="일위산출"/>
      <sheetName val="개요2"/>
      <sheetName val="자재테이블"/>
      <sheetName val="건축공사집계"/>
      <sheetName val="집계장"/>
      <sheetName val="종단계산"/>
      <sheetName val="인입관수량총괄"/>
      <sheetName val="용산1(해보)"/>
      <sheetName val="데이터유효성검사자료"/>
      <sheetName val="자격 땡겨오기"/>
      <sheetName val="JUCK"/>
      <sheetName val="내역_verᔈ_x0000__x0000_"/>
      <sheetName val="계산_x0000__x0000_"/>
      <sheetName val="기본설계기준"/>
      <sheetName val="건명"/>
      <sheetName val="수자재단위당"/>
      <sheetName val="수계"/>
      <sheetName val="토지가격산출기초"/>
      <sheetName val="공시지가"/>
      <sheetName val="인원계획-미화"/>
      <sheetName val="안산기계장치"/>
      <sheetName val="토목도급"/>
      <sheetName val="점유현황"/>
      <sheetName val="판정1교토공"/>
      <sheetName val="WEON"/>
      <sheetName val="단가조사-1"/>
      <sheetName val="갑지_설계 내역서"/>
      <sheetName val="현장실사자료"/>
      <sheetName val="과업지시서"/>
      <sheetName val="유지정비"/>
      <sheetName val="용역인건비"/>
      <sheetName val="문10"/>
      <sheetName val="원료"/>
      <sheetName val="코_x0000_"/>
      <sheetName val="7_산출(⠀榅弁䘿_x0000_"/>
      <sheetName val="수완하도"/>
      <sheetName val="김포내역"/>
      <sheetName val="수량산출서 갑지"/>
      <sheetName val="2.단면가정 (양곡1교)"/>
      <sheetName val="기타#9"/>
      <sheetName val="미장"/>
      <sheetName val="철골"/>
      <sheetName val="재료할증"/>
      <sheetName val="관급현황"/>
      <sheetName val="기술조건"/>
      <sheetName val="1.내역(청.하역장전등)"/>
      <sheetName val="기계"/>
      <sheetName val="램머"/>
      <sheetName val="1,2,3,4_x0000__x0000_界Þ多⽬"/>
      <sheetName val="1,2,3,4_x0005__x0000__x0000__x0000__x0000_"/>
      <sheetName val="단가비교표_공통1"/>
      <sheetName val="05년 상"/>
      <sheetName val="영흥TL(UP,DOWN) "/>
      <sheetName val="8.PILE  (돌출)"/>
      <sheetName val="LD"/>
      <sheetName val="품셈 "/>
      <sheetName val="음성cable"/>
      <sheetName val="M-EMS GP-570(BIT)"/>
      <sheetName val="일위대"/>
      <sheetName val="일위대㐀븁"/>
      <sheetName val="일반수량총괄집계"/>
      <sheetName val="매출그래프"/>
      <sheetName val="2000.05"/>
      <sheetName val="오동"/>
      <sheetName val="대조"/>
      <sheetName val="나한"/>
      <sheetName val="학익동신동아5차CD365"/>
      <sheetName val="산출근거#2-3"/>
      <sheetName val="설계명세"/>
      <sheetName val="내역서 제출"/>
      <sheetName val="DATA LISTS"/>
      <sheetName val="설변단가적용현황"/>
      <sheetName val="변경내역서"/>
      <sheetName val="시운전"/>
      <sheetName val="시운전绸7"/>
      <sheetName val="125x125"/>
      <sheetName val="4. VOs summary"/>
      <sheetName val="SEX"/>
      <sheetName val="Quantity"/>
      <sheetName val="TOSHIBA-Structure"/>
      <sheetName val="Chiet tinh dz35"/>
      <sheetName val="RATE"/>
      <sheetName val="공량·_x0000__x0000_"/>
      <sheetName val="공량×"/>
      <sheetName val="제수문집계"/>
      <sheetName val="신대방33(적용)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수량산출목록표"/>
      <sheetName val="인구"/>
      <sheetName val="설계예산서(2_소천우회토목)"/>
      <sheetName val="투찰(하수)"/>
      <sheetName val="수토공단위당"/>
      <sheetName val="부안변전"/>
      <sheetName val="구조물터파기수량집계"/>
      <sheetName val="일위집계"/>
      <sheetName val=" FURNACE현설"/>
      <sheetName val="97 사업추정(WEKI)"/>
      <sheetName val="예총"/>
      <sheetName val="장비코드표 050601"/>
      <sheetName val="2007년 생산1부장비"/>
      <sheetName val="2008년 생산부전장비코드"/>
      <sheetName val="DDB부 장비 관리현황"/>
      <sheetName val="Xunit (단위환산)"/>
      <sheetName val="6_산출닑⾱_x0005__x0000_"/>
      <sheetName val="단가산출(T)"/>
      <sheetName val="6동"/>
      <sheetName val="보고"/>
      <sheetName val="장문교(대전)"/>
      <sheetName val="계정1"/>
      <sheetName val="정리계槜〚_x0000__x0000_䇀"/>
      <sheetName val="TABLE DB"/>
      <sheetName val="쌍용 data base"/>
      <sheetName val="Data&amp;Result"/>
      <sheetName val="토공(완충)"/>
      <sheetName val="보활"/>
      <sheetName val="집행(2-1)"/>
      <sheetName val="돈암사업"/>
      <sheetName val="Bảng mã VT"/>
      <sheetName val="[입찰안.xls][입찰안.xls]직접뀀鞖/_x0000_"/>
      <sheetName val="[입찰안.xls]직접뀀鞖/_x0000_"/>
      <sheetName val="품셈총괄표"/>
      <sheetName val="ASP"/>
      <sheetName val="원_x0000__x0000_"/>
      <sheetName val="plan&amp;section_of__x0000__x0000__x0005__x0000_冰﹢Ƚ_x0000__x0000__x0000_"/>
      <sheetName val="단가시흥"/>
      <sheetName val="6__안전관慨⻥"/>
      <sheetName val="8.설치품셈"/>
      <sheetName val="시약"/>
      <sheetName val="내역(인테리어 실내)(도급)"/>
      <sheetName val="내역(인테리어 실외)(도급)"/>
      <sheetName val="9GNG운¼"/>
      <sheetName val="설원"/>
      <sheetName val="주bea?"/>
      <sheetName val="design_crit_x0000__x0000__x0005__x0000_"/>
      <sheetName val="세부내역서"/>
      <sheetName val="3련_B䀀㽚"/>
      <sheetName val="소포내역_x0000__x0000__x0005__x0000_"/>
      <sheetName val="마감산출"/>
      <sheetName val="업체별기성내역"/>
      <sheetName val="사진첩"/>
      <sheetName val="10공-_x0000_Ԁ"/>
      <sheetName val="3련_Bꨀ덽"/>
      <sheetName val="working_load_at０ʵŚÃ堠ᴕ_x0000__x0000__x0000__x0000__x0000__x0000_"/>
      <sheetName val="자재기성 신청서.xlsx"/>
      <sheetName val="공사비증감"/>
      <sheetName val="VXXXXXXX"/>
      <sheetName val="가로등내역서"/>
      <sheetName val="공사비예산서"/>
      <sheetName val="b_balju_cho"/>
      <sheetName val="요율표"/>
      <sheetName val="자단"/>
      <sheetName val="공기압¬_x0000_Ԁ"/>
      <sheetName val="중기조종사 단위단가"/>
      <sheetName val="일위대가(집계_x0000_"/>
      <sheetName val="조도계산서Å_x0000_Ԁ_x0000__x0000_"/>
      <sheetName val="조도계산서Å_x0000_Ԁ_x0000_耀"/>
      <sheetName val="CONCRETE"/>
      <sheetName val="뚝토공"/>
      <sheetName val="토공_total"/>
      <sheetName val="공기압舓⿫"/>
      <sheetName val="기성(1차)_"/>
      <sheetName val="0.목록1"/>
      <sheetName val="Front"/>
      <sheetName val="빗물받이(910-510-410)"/>
      <sheetName val="정리계槜で_x0000__x0000_ｐ"/>
      <sheetName val="정리계槜で_x0000__x0000_㟠"/>
      <sheetName val="수량산출서집계(_x0000__x0000__x0005__x0000_"/>
      <sheetName val="수량산출서집계(_x0000__x0000__x0005__x0000_瞀"/>
      <sheetName val="공사비예"/>
      <sheetName val="7월11일"/>
      <sheetName val="5호광장_(만점)3"/>
      <sheetName val="인천국제_(만점)_(2)3"/>
      <sheetName val="Total_단위경유량집계3"/>
      <sheetName val="토공유동표(전체_당초)3"/>
      <sheetName val="준검_내역서3"/>
      <sheetName val="BH-1_(2)3"/>
      <sheetName val="4_전기3"/>
      <sheetName val="표__지3"/>
      <sheetName val="1_수인터널3"/>
      <sheetName val="I_설계조건3"/>
      <sheetName val="앉음벽_(2)3"/>
      <sheetName val="노원열병합__건축공사기성내역서3"/>
      <sheetName val="1_설계조건3"/>
      <sheetName val="소포내역_(2)3"/>
      <sheetName val="A_견적2"/>
      <sheetName val="조도계산서_(도서)3"/>
      <sheetName val="MSS_23"/>
      <sheetName val="2_1__노무비_평균단가산출2"/>
      <sheetName val="우수관매설및_우수받이3"/>
      <sheetName val="제출내역_(2)3"/>
      <sheetName val="내역_ver1_03"/>
      <sheetName val="plan&amp;section_of_foundation3"/>
      <sheetName val="pile_bearing_capa_&amp;_arrenge3"/>
      <sheetName val="working_load_at_the_btm_ft_3"/>
      <sheetName val="stability_check3"/>
      <sheetName val="design_criteria3"/>
      <sheetName val="11_우각부_보강3"/>
      <sheetName val="보고서_기기리스트2"/>
      <sheetName val="7__현장관리비_3"/>
      <sheetName val="6__안전관리비3"/>
      <sheetName val="_HIT__HMC_견적_3900_3"/>
      <sheetName val="내___역2"/>
      <sheetName val="플랜트_설치2"/>
      <sheetName val="11_산출(전열)3"/>
      <sheetName val="6_산출(동력)3"/>
      <sheetName val="7_산출(TRAY)3"/>
      <sheetName val="3련_BOX3"/>
      <sheetName val="배수공_시멘트_및_골재량_산출2"/>
      <sheetName val="5_산출(전력)2"/>
      <sheetName val="배수내역_(2)2"/>
      <sheetName val="SHEET_PILE단가2"/>
      <sheetName val="전_기2"/>
      <sheetName val="Customer_Databas2"/>
      <sheetName val="_HIT-&gt;HMC_견적(3900)2"/>
      <sheetName val="세골재__T2_변경_현황2"/>
      <sheetName val="수량산출서(전력간선_지하D_C)2"/>
      <sheetName val="화재_탐지_설비2"/>
      <sheetName val="2차전체변경예정_(2)2"/>
      <sheetName val="6PILE__(돌출)2"/>
      <sheetName val="목차_2"/>
      <sheetName val="귀래_설계_공내역서2"/>
      <sheetName val="unit_42"/>
      <sheetName val="BH_1__2_2"/>
      <sheetName val="8_현장관리비2"/>
      <sheetName val="7_안전관리비2"/>
      <sheetName val="spc_배관견적2"/>
      <sheetName val="1_설계기준2"/>
      <sheetName val="1_취수장2"/>
      <sheetName val="개인별_순위표2"/>
      <sheetName val="내역서_2"/>
      <sheetName val="3_1공사현황_공정표2"/>
      <sheetName val="노임_단가2"/>
      <sheetName val="Cash_Flow-12"/>
      <sheetName val="설_계2"/>
      <sheetName val="도담구내_개소별_명세2"/>
      <sheetName val="별표_2"/>
      <sheetName val="投标材料清单_2"/>
      <sheetName val="3_공통공사대비2"/>
      <sheetName val="집_계_표2"/>
      <sheetName val="RETAIL_(ABOVE)2"/>
      <sheetName val="장비비_명세서12"/>
      <sheetName val="노임단가_(2)2"/>
      <sheetName val="단가_및_재료비2"/>
      <sheetName val="6__수량산출서1"/>
      <sheetName val="참조_(2)1"/>
      <sheetName val="7_공정표2"/>
      <sheetName val="단면_(2)2"/>
      <sheetName val="단___산1"/>
      <sheetName val="실____단1"/>
      <sheetName val="5__현장관리비(new)_2"/>
      <sheetName val="2_대외공문2"/>
      <sheetName val="Eq__Mobilization2"/>
      <sheetName val="제수변_수량집계표(보통)1"/>
      <sheetName val="Sheet1_(2)1"/>
      <sheetName val="수량산출서_(2)"/>
      <sheetName val="노무비_근거1"/>
      <sheetName val="_갑지1"/>
      <sheetName val="장비_(2)1"/>
      <sheetName val="CM_11"/>
      <sheetName val="5_동별횡주관경1"/>
      <sheetName val="전선_및_전선관1"/>
      <sheetName val="3BL공동구_수량1"/>
      <sheetName val="암거_제원표1"/>
      <sheetName val="내역서1999_8최종1"/>
      <sheetName val="1_CB"/>
      <sheetName val="일위대가_1"/>
      <sheetName val="4_LINE1"/>
      <sheetName val="7_th1"/>
      <sheetName val="토공_토적표"/>
      <sheetName val="아파트_"/>
      <sheetName val="습식및_셀프레벨링1"/>
      <sheetName val="1차_내역서1"/>
      <sheetName val="BSD_(2)"/>
      <sheetName val="바_한일양산"/>
      <sheetName val="Project_Brief"/>
      <sheetName val="영업_일1"/>
      <sheetName val="기기_내역서"/>
      <sheetName val="전사_(2)"/>
      <sheetName val="BA_(2)"/>
      <sheetName val="CP_(2)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_소방공사_산출근거"/>
      <sheetName val="갑지_을지"/>
      <sheetName val="변경명신물량_(2)"/>
      <sheetName val="2-2_매출분석"/>
      <sheetName val="설명서_"/>
      <sheetName val="주bea"/>
      <sheetName val="유효폭의_계산"/>
      <sheetName val="STEEL_BOX_단면설계(SEC_8)"/>
      <sheetName val="미납품_현황"/>
      <sheetName val="도담구내_개소별_명柖1"/>
      <sheetName val="danh_muc_vat_tu1"/>
      <sheetName val="Register-BG_NCC1"/>
      <sheetName val="Data_21"/>
      <sheetName val="TB_chính1"/>
      <sheetName val="Steel_pipe1"/>
      <sheetName val="Ref_pipe+Ins1"/>
      <sheetName val="Plastic_pipe1"/>
      <sheetName val="Air_Grilles1"/>
      <sheetName val="Cost_bd-&quot;A&quot;1"/>
      <sheetName val="기존단가_(2)"/>
      <sheetName val="05년_상"/>
      <sheetName val="영흥TL(UP,DOWN)_"/>
      <sheetName val="단양_00_아파트-세부내역"/>
      <sheetName val="2_단면가정_(양곡1교)"/>
      <sheetName val="자격_땡겨오기"/>
      <sheetName val="갑지_설계_내역서"/>
      <sheetName val="표지_(2)"/>
      <sheetName val="ITB_COST"/>
      <sheetName val="8_PILE__(돌출)"/>
      <sheetName val="1_내역(청_하역장전등)"/>
      <sheetName val="4_2_1_마루높이_검토"/>
      <sheetName val="수량산출서_갑지"/>
      <sheetName val="_견적서"/>
      <sheetName val="내역서_제출"/>
      <sheetName val="조직관리비"/>
      <sheetName val="수선비"/>
      <sheetName val="원가명세"/>
      <sheetName val="사발차명세표"/>
      <sheetName val="손익"/>
      <sheetName val="분개장·원장"/>
      <sheetName val="전기2005"/>
      <sheetName val="통신2005"/>
      <sheetName val="납부서"/>
      <sheetName val="일위(토,포,부)"/>
      <sheetName val="pile_bearing_capa_&amp;_¬웰ﾕ쀀_x0005_"/>
      <sheetName val="pile_bearing_capa_&amp;_¬웰ﾕ_x0000_ﳪ_x0005_"/>
      <sheetName val="(원)기흥상갈"/>
      <sheetName val="참조표"/>
      <sheetName val="토공집계표"/>
      <sheetName val="단_x0005__x0000_"/>
      <sheetName val="물가시세"/>
      <sheetName val="식재"/>
      <sheetName val="시설물"/>
      <sheetName val="식재출력용"/>
      <sheetName val="유지관리"/>
      <sheetName val="예산M12A"/>
      <sheetName val="부안일위"/>
      <sheetName val="만봉용지매수비(총괄)"/>
      <sheetName val="현우실적"/>
      <sheetName val="DHEQ㧈讄䰀漐"/>
      <sheetName val="CB"/>
      <sheetName val="공정관리1"/>
      <sheetName val="전체공정"/>
      <sheetName val="주간일정"/>
      <sheetName val="주간일정(미팅)"/>
      <sheetName val="19년"/>
      <sheetName val="7월"/>
      <sheetName val="8월"/>
      <sheetName val="9월"/>
      <sheetName val="10월"/>
      <sheetName val="프로파일계산"/>
      <sheetName val="7월~9월정리분(임과장)"/>
      <sheetName val="장비가동"/>
      <sheetName val="교량전기"/>
      <sheetName val="4__VOs_summary"/>
      <sheetName val="Bảng_mã_VT"/>
      <sheetName val="Chiet_tinh_dz35"/>
      <sheetName val="5호광장_(만점)4"/>
      <sheetName val="인천국제_(만점)_(2)4"/>
      <sheetName val="Total_단위경유량집계4"/>
      <sheetName val="준검_내역서4"/>
      <sheetName val="토공유동표(전체_당초)4"/>
      <sheetName val="1_수인터널4"/>
      <sheetName val="4_전기4"/>
      <sheetName val="BH-1_(2)4"/>
      <sheetName val="표__지4"/>
      <sheetName val="1_설계조건4"/>
      <sheetName val="조도계산서_(도서)4"/>
      <sheetName val="I_설계조건4"/>
      <sheetName val="11_우각부_보강4"/>
      <sheetName val="제출내역_(2)4"/>
      <sheetName val="우수관매설및_우수받이4"/>
      <sheetName val="11_산출(전열)4"/>
      <sheetName val="6_산출(동력)4"/>
      <sheetName val="7_산출(TRAY)4"/>
      <sheetName val="노원열병합__건축공사기성내역서4"/>
      <sheetName val="앉음벽_(2)4"/>
      <sheetName val="MSS_24"/>
      <sheetName val="2_1__노무비_평균단가산출3"/>
      <sheetName val="내역_ver1_04"/>
      <sheetName val="plan&amp;section_of_foundation4"/>
      <sheetName val="pile_bearing_capa_&amp;_arrenge4"/>
      <sheetName val="working_load_at_the_btm_ft_4"/>
      <sheetName val="stability_check4"/>
      <sheetName val="design_criteria4"/>
      <sheetName val="보고서_기기리스트3"/>
      <sheetName val="7__현장관리비_4"/>
      <sheetName val="6__안전관리비4"/>
      <sheetName val="3련_BOX4"/>
      <sheetName val="소포내역_(2)4"/>
      <sheetName val="배수공_시멘트_및_골재량_산출3"/>
      <sheetName val="_HIT__HMC_견적_3900_4"/>
      <sheetName val="배수내역_(2)3"/>
      <sheetName val="spc_배관견적3"/>
      <sheetName val="投标材料清单_3"/>
      <sheetName val="5_산출(전력)3"/>
      <sheetName val="수량산출서(전력간선_지하D_C)3"/>
      <sheetName val="내___역3"/>
      <sheetName val="플랜트_설치3"/>
      <sheetName val="A_견적3"/>
      <sheetName val="unit_43"/>
      <sheetName val="Customer_Databas3"/>
      <sheetName val="_HIT-&gt;HMC_견적(3900)3"/>
      <sheetName val="전_기3"/>
      <sheetName val="SHEET_PILE단가3"/>
      <sheetName val="목차_3"/>
      <sheetName val="화재_탐지_설비3"/>
      <sheetName val="6PILE__(돌출)3"/>
      <sheetName val="세골재__T2_변경_현황3"/>
      <sheetName val="BH_1__2_3"/>
      <sheetName val="개인별_순위표3"/>
      <sheetName val="1_취수장3"/>
      <sheetName val="Cash_Flow-13"/>
      <sheetName val="3_1공사현황_공정표3"/>
      <sheetName val="2차전체변경예정_(2)3"/>
      <sheetName val="노임_단가3"/>
      <sheetName val="내역서_3"/>
      <sheetName val="8_현장관리비3"/>
      <sheetName val="7_안전관리비3"/>
      <sheetName val="귀래_설계_공내역서3"/>
      <sheetName val="설_계3"/>
      <sheetName val="1_설계기준3"/>
      <sheetName val="집_계_표3"/>
      <sheetName val="별표_3"/>
      <sheetName val="도담구내_개소별_명세3"/>
      <sheetName val="도담구내_개소별_명柖2"/>
      <sheetName val="노임단가_(2)3"/>
      <sheetName val="3_공통공사대비3"/>
      <sheetName val="단___산2"/>
      <sheetName val="실____단2"/>
      <sheetName val="단가_및_재료비3"/>
      <sheetName val="전선_및_전선관2"/>
      <sheetName val="장비비_명세서13"/>
      <sheetName val="7_공정표3"/>
      <sheetName val="단면_(2)3"/>
      <sheetName val="RETAIL_(ABOVE)3"/>
      <sheetName val="5__현장관리비(new)_3"/>
      <sheetName val="내역서1999_8최종2"/>
      <sheetName val="2_대외공문3"/>
      <sheetName val="Cost_bd-&quot;A&quot;2"/>
      <sheetName val="danh_muc_vat_tu2"/>
      <sheetName val="Register-BG_NCC2"/>
      <sheetName val="Data_22"/>
      <sheetName val="TB_chính2"/>
      <sheetName val="Steel_pipe2"/>
      <sheetName val="Ref_pipe+Ins2"/>
      <sheetName val="Plastic_pipe2"/>
      <sheetName val="Air_Grilles2"/>
      <sheetName val="Sheet1_(2)2"/>
      <sheetName val="장비_(2)2"/>
      <sheetName val="3BL공동구_수량2"/>
      <sheetName val="5_동별횡주관경2"/>
      <sheetName val="암거_제원표2"/>
      <sheetName val="Eq__Mobilization3"/>
      <sheetName val="노무비_근거2"/>
      <sheetName val="제수변_수량집계표(보통)2"/>
      <sheetName val="1차_내역서2"/>
      <sheetName val="6__수량산출서2"/>
      <sheetName val="_갑지2"/>
      <sheetName val="1_CB1"/>
      <sheetName val="CM_12"/>
      <sheetName val="일위대가_2"/>
      <sheetName val="4_LINE2"/>
      <sheetName val="7_th2"/>
      <sheetName val="참조_(2)2"/>
      <sheetName val="수량산출서_(2)1"/>
      <sheetName val="토공_total1"/>
      <sheetName val="기성(1차)_1"/>
      <sheetName val="습식및_셀프레벨링2"/>
      <sheetName val="BSD_(2)1"/>
      <sheetName val="바_한일양산1"/>
      <sheetName val="Project_Brief1"/>
      <sheetName val="영업_일11"/>
      <sheetName val="기기_내역서1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_소방공사_산출근거1"/>
      <sheetName val="토공_토적표1"/>
      <sheetName val="4__VOs_summary1"/>
      <sheetName val="변경명신물량_(2)1"/>
      <sheetName val="전사_(2)1"/>
      <sheetName val="BA_(2)1"/>
      <sheetName val="CP_(2)1"/>
      <sheetName val="Bảng_mã_VT1"/>
      <sheetName val="Chiet_tinh_dz351"/>
      <sheetName val="기존단가_(2)1"/>
      <sheetName val="外構・目次"/>
      <sheetName val="工場棟・目次"/>
      <sheetName val="事務棟・目次"/>
      <sheetName val="Elec LG"/>
      <sheetName val="ESTI."/>
      <sheetName val="DI-ESTI"/>
      <sheetName val="1_MV"/>
      <sheetName val="gVL"/>
      <sheetName val="電気設備表"/>
      <sheetName val="预算"/>
      <sheetName val="받을어음"/>
      <sheetName val="시작"/>
      <sheetName val="투자자산"/>
      <sheetName val="대손상각"/>
      <sheetName val="Translation"/>
      <sheetName val="HS"/>
      <sheetName val="D &amp; W sizes"/>
      <sheetName val="単価表"/>
      <sheetName val="Gia vat tu"/>
      <sheetName val="DI_ESTI"/>
      <sheetName val="dtct cong"/>
      <sheetName val="수량"/>
      <sheetName val="현장"/>
      <sheetName val="차량(구)"/>
      <sheetName val="자격증"/>
      <sheetName val="PROJ. DATA"/>
      <sheetName val=" Beams Sched "/>
      <sheetName val="제잡비1"/>
      <sheetName val="현장경비(공사금액별)"/>
      <sheetName val="Xunit_(단위환산)"/>
      <sheetName val="장비코드표_050601"/>
      <sheetName val="2007년_생산1부장비"/>
      <sheetName val="2008년_생산부전장비코드"/>
      <sheetName val="DDB부_장비_관리현황"/>
      <sheetName val="원가&amp;하도급원가"/>
      <sheetName val="적산"/>
      <sheetName val="cal1"/>
      <sheetName val="bqmpaloc"/>
      <sheetName val="[입찰안.xls][입찰안.xls][입찰안.xls]B__2"/>
      <sheetName val="[입찰안.xls][입찰안.xls][입찰안.xls]B__3"/>
      <sheetName val="[입찰안.xls][입찰안.xls][입찰안.xls]B__5"/>
      <sheetName val="[입찰안.xls][입찰안.xls][입찰안.xls]B__4"/>
      <sheetName val="[입찰안.xls][입찰안.xls][입찰안.xls]B_14"/>
      <sheetName val="[입찰안.xls][입찰안.xls][입찰안.xls]B_11"/>
      <sheetName val="[입찰안.xls][입찰안.xls][입찰안.xls]B_13"/>
      <sheetName val="[입찰안.xls][입찰안.xls][입찰안.xls]B_10"/>
      <sheetName val="[입찰안.xls][입찰안.xls][입찰안.xls]B__7"/>
      <sheetName val="[입찰안.xls][입찰안.xls][입찰안.xls]B__6"/>
      <sheetName val="[입찰안.xls][입찰안.xls][입찰안.xls]B__8"/>
      <sheetName val="[입찰안.xls][입찰안.xls][입찰안.xls]B__9"/>
      <sheetName val="[입찰안.xls][입찰안.xls][입찰안.xls]B_12"/>
      <sheetName val="[입찰안.xls][입찰안.xls][입찰안.xls]B_17"/>
      <sheetName val="[입찰안.xls][입찰안.xls][입찰안.xls]B_25"/>
      <sheetName val="[입찰안.xls][입찰안.xls][입찰안.xls]B_15"/>
      <sheetName val="[입찰안.xls][입찰안.xls][입찰안.xls]B_16"/>
      <sheetName val="[입찰안.xls][입찰안.xls][입찰안.xls]B_18"/>
      <sheetName val="[입찰안.xls][입찰안.xls][입찰안.xls]B_19"/>
      <sheetName val="[입찰안.xls][입찰안.xls][입찰안.xls]B_20"/>
      <sheetName val="[입찰안.xls][입찰안.xls][입찰안.xls]B_21"/>
      <sheetName val="[입찰안.xls][입찰안.xls][입찰안.xls]B_22"/>
      <sheetName val="[입찰안.xls][입찰안.xls][입찰안.xls]B_23"/>
      <sheetName val="[입찰안.xls][입찰안.xls][입찰안.xls]B_24"/>
      <sheetName val="[입찰안.xls][입찰안.xls][입찰안.xls]B_26"/>
      <sheetName val="[입찰안.xls][입찰안.xls][입찰안.xls]B_27"/>
      <sheetName val="[입찰안.xls][입찰안.xls][입찰안.xls]___2"/>
      <sheetName val="[입찰안.xls][입찰안.xls][입찰안.xls]B_34"/>
      <sheetName val="Gian"/>
      <sheetName val="01. DATA"/>
      <sheetName val="BG"/>
      <sheetName val="LEGEND"/>
      <sheetName val="NOTE"/>
      <sheetName val="SCOPE OF WORK"/>
      <sheetName val="IBASE"/>
      <sheetName val="DGCT (01)"/>
      <sheetName val="Chi tiet"/>
      <sheetName val="FitOutConfCentre"/>
      <sheetName val="CableSchedule"/>
      <sheetName val="발주내역"/>
      <sheetName val="nhôm 1,2mm"/>
      <sheetName val="nhôm 1,4mm"/>
      <sheetName val="wbs2차"/>
      <sheetName val="견적비교표 (2)"/>
      <sheetName val="작성방법(지우지마세요)"/>
      <sheetName val="결재방(지우지 마세요)"/>
      <sheetName val="[입찰안.xls][입찰안.xls][입찰안.xls]B_33"/>
      <sheetName val="1,2,3,4"/>
      <sheetName val="H-PILE수량집계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M"/>
      <sheetName val="PE"/>
      <sheetName val="So sanh"/>
      <sheetName val="주bea_"/>
      <sheetName val="발주A"/>
      <sheetName val="0"/>
      <sheetName val="Cọc nhồi"/>
      <sheetName val="Phan tich ca may"/>
      <sheetName val="Chenh lech ca may"/>
      <sheetName val="TLg CN&amp;Laixe"/>
      <sheetName val="TLg CN&amp;Laixe (2)"/>
      <sheetName val="TLg Laitau"/>
      <sheetName val="TLg Laitau (2)"/>
      <sheetName val="5호광장_(만점)5"/>
      <sheetName val="인천국제_(만점)_(2)5"/>
      <sheetName val="Total_단위경유량집계5"/>
      <sheetName val="토공유동표(전체_당초)5"/>
      <sheetName val="준검_내역서5"/>
      <sheetName val="1_수인터널5"/>
      <sheetName val="BH-1_(2)5"/>
      <sheetName val="표__지5"/>
      <sheetName val="投标材料清单_4"/>
      <sheetName val="4_전기5"/>
      <sheetName val="1_설계조건5"/>
      <sheetName val="조도계산서_(도서)5"/>
      <sheetName val="I_설계조건5"/>
      <sheetName val="11_우각부_보강5"/>
      <sheetName val="제출내역_(2)5"/>
      <sheetName val="우수관매설및_우수받이5"/>
      <sheetName val="11_산출(전열)5"/>
      <sheetName val="6_산출(동력)5"/>
      <sheetName val="7_산출(TRAY)5"/>
      <sheetName val="노원열병합__건축공사기성내역서5"/>
      <sheetName val="앉음벽_(2)5"/>
      <sheetName val="MSS_25"/>
      <sheetName val="2_1__노무비_평균단가산출4"/>
      <sheetName val="내역_ver1_05"/>
      <sheetName val="plan&amp;section_of_foundation5"/>
      <sheetName val="pile_bearing_capa_&amp;_arrenge5"/>
      <sheetName val="working_load_at_the_btm_ft_5"/>
      <sheetName val="stability_check5"/>
      <sheetName val="design_criteria5"/>
      <sheetName val="보고서_기기리스트4"/>
      <sheetName val="7__현장관리비_5"/>
      <sheetName val="6__안전관리비5"/>
      <sheetName val="3련_BOX5"/>
      <sheetName val="소포내역_(2)5"/>
      <sheetName val="배수공_시멘트_및_골재량_산출4"/>
      <sheetName val="_HIT__HMC_견적_3900_5"/>
      <sheetName val="배수내역_(2)4"/>
      <sheetName val="spc_배관견적4"/>
      <sheetName val="5_산출(전력)4"/>
      <sheetName val="수량산출서(전력간선_지하D_C)4"/>
      <sheetName val="내___역4"/>
      <sheetName val="플랜트_설치4"/>
      <sheetName val="A_견적4"/>
      <sheetName val="unit_44"/>
      <sheetName val="Customer_Databas4"/>
      <sheetName val="_HIT-&gt;HMC_견적(3900)4"/>
      <sheetName val="전_기4"/>
      <sheetName val="SHEET_PILE단가4"/>
      <sheetName val="목차_4"/>
      <sheetName val="화재_탐지_설비4"/>
      <sheetName val="6PILE__(돌출)4"/>
      <sheetName val="세골재__T2_변경_현황4"/>
      <sheetName val="BH_1__2_4"/>
      <sheetName val="개인별_순위표4"/>
      <sheetName val="1_취수장4"/>
      <sheetName val="Cash_Flow-14"/>
      <sheetName val="3_1공사현황_공정표4"/>
      <sheetName val="2차전체변경예정_(2)4"/>
      <sheetName val="노임_단가4"/>
      <sheetName val="내역서_4"/>
      <sheetName val="8_현장관리비4"/>
      <sheetName val="7_안전관리비4"/>
      <sheetName val="귀래_설계_공내역서4"/>
      <sheetName val="설_계4"/>
      <sheetName val="1_설계기준4"/>
      <sheetName val="집_계_표4"/>
      <sheetName val="별표_4"/>
      <sheetName val="도담구내_개소별_명세4"/>
      <sheetName val="도담구내_개소별_명柖3"/>
      <sheetName val="danh_muc_vat_tu3"/>
      <sheetName val="Register-BG_NCC3"/>
      <sheetName val="Data_23"/>
      <sheetName val="TB_chính3"/>
      <sheetName val="Steel_pipe3"/>
      <sheetName val="Ref_pipe+Ins3"/>
      <sheetName val="Plastic_pipe3"/>
      <sheetName val="Air_Grilles3"/>
      <sheetName val="노임단가_(2)4"/>
      <sheetName val="3_공통공사대비4"/>
      <sheetName val="단___산3"/>
      <sheetName val="실____단3"/>
      <sheetName val="단가_및_재료비4"/>
      <sheetName val="전선_및_전선관3"/>
      <sheetName val="장비비_명세서14"/>
      <sheetName val="7_공정표4"/>
      <sheetName val="단면_(2)4"/>
      <sheetName val="RETAIL_(ABOVE)4"/>
      <sheetName val="5__현장관리비(new)_4"/>
      <sheetName val="내역서1999_8최종3"/>
      <sheetName val="2_대외공문4"/>
      <sheetName val="Cost_bd-&quot;A&quot;3"/>
      <sheetName val="Sheet1_(2)3"/>
      <sheetName val="1차_내역서3"/>
      <sheetName val="장비_(2)3"/>
      <sheetName val="3BL공동구_수량3"/>
      <sheetName val="5_동별횡주관경3"/>
      <sheetName val="암거_제원표3"/>
      <sheetName val="Eq__Mobilization4"/>
      <sheetName val="노무비_근거3"/>
      <sheetName val="제수변_수량집계표(보통)3"/>
      <sheetName val="CM_13"/>
      <sheetName val="_갑지3"/>
      <sheetName val="6__수량산출서3"/>
      <sheetName val="참조_(2)3"/>
      <sheetName val="1_CB2"/>
      <sheetName val="일위대가_3"/>
      <sheetName val="4_LINE3"/>
      <sheetName val="7_th3"/>
      <sheetName val="수량산출서_(2)2"/>
      <sheetName val="토공_total2"/>
      <sheetName val="기성(1차)_2"/>
      <sheetName val="습식및_셀프레벨링3"/>
      <sheetName val="BSD_(2)2"/>
      <sheetName val="바_한일양산2"/>
      <sheetName val="Project_Brief2"/>
      <sheetName val="영업_일12"/>
      <sheetName val="기기_내역서2"/>
      <sheetName val="4__VOs_summary2"/>
      <sheetName val="일위대가56-1_2"/>
      <sheetName val="일위대가71-1_2"/>
      <sheetName val="일위대가74-1_2"/>
      <sheetName val="일위대가76-1_2"/>
      <sheetName val="일위대가77-1_2"/>
      <sheetName val="일위대가78-1_2"/>
      <sheetName val="_소방공사_산출근거2"/>
      <sheetName val="토공_토적표2"/>
      <sheetName val="변경명신물량_(2)2"/>
      <sheetName val="전사_(2)2"/>
      <sheetName val="BA_(2)2"/>
      <sheetName val="CP_(2)2"/>
      <sheetName val="Bảng_mã_VT2"/>
      <sheetName val="Chiet_tinh_dz352"/>
      <sheetName val="기존단가_(2)2"/>
      <sheetName val="Elec_LG"/>
      <sheetName val="ESTI_"/>
      <sheetName val="D_&amp;_W_sizes"/>
      <sheetName val="Gia_vat_tu"/>
      <sheetName val="dtct_cong"/>
      <sheetName val="DATA_LISTS"/>
      <sheetName val="ptvt"/>
      <sheetName val="SCOPE_OF_WORK"/>
      <sheetName val="배수로집계"/>
      <sheetName val="대차대조표"/>
      <sheetName val="손익계산서"/>
      <sheetName val="이익잉여금"/>
      <sheetName val="상세손익"/>
      <sheetName val="[입찰안.xls][입찰안.xls][입찰안.xls]B_28"/>
      <sheetName val="[입찰안.xls][입찰안.xls][입찰안.xls]B_32"/>
      <sheetName val="[입찰안.xls][입찰안.xls][입찰안.xls]B_29"/>
      <sheetName val="[입찰안.xls][입찰안.xls][입찰안.xls]B_30"/>
      <sheetName val="참고자료"/>
      <sheetName val="수량산출서집´_x0000_Ԁ_x0000_耀֜䌛"/>
      <sheetName val="자재대"/>
      <sheetName val="입상내역"/>
      <sheetName val="정리계槜〚"/>
      <sheetName val="1,2,3,4_x0005_"/>
      <sheetName val="10공-"/>
      <sheetName val="design_crit"/>
      <sheetName val="손익차9월頀"/>
      <sheetName val="[입찰안.xls][입찰안.xls][입찰안.xls]B_31"/>
      <sheetName val="[입찰안.xls][입찰안.xls][입찰안.xls]B_37"/>
      <sheetName val="[입찰안.xls][입찰안.xls][입찰안.xls]B_36"/>
      <sheetName val="[입찰안.xls][입찰안.xls][입찰안.xls]B_35"/>
      <sheetName val="[입찰안.xls][입찰안.xls][입찰안.xls]B_40"/>
      <sheetName val="[입찰안.xls][입찰안.xls][입찰안.xls]B_39"/>
      <sheetName val="[입찰안.xls][입찰안.xls][입찰안.xls]B_38"/>
      <sheetName val="[입찰안.xls][입찰안.xls][입찰안.xls]B_41"/>
      <sheetName val="본사업"/>
      <sheetName val="총투자비"/>
      <sheetName val="일위총괄표"/>
      <sheetName val="조도계산서Å"/>
      <sheetName val="plan&amp;section_of_"/>
      <sheetName val="소포내역"/>
      <sheetName val="pile_bearing_capa_&amp;_¬웰ﾕ"/>
      <sheetName val="조경내역서"/>
      <sheetName val="pile_bearing_ca怀꿟세_x0000_䘀뤙_x0000__x0000_Ԁ_x0000_"/>
      <sheetName val="노무비계"/>
      <sheetName val="EXCHANGE RATE"/>
      <sheetName val="적용비율"/>
      <sheetName val="[입찰안.xls][입찰안.xls][입찰안.xls]B_45"/>
      <sheetName val="[입찰안.xls][입찰안.xls][입찰안.xls]B_48"/>
      <sheetName val="[입찰안.xls][입찰안.xls][입찰안.xls]B_46"/>
      <sheetName val="[입찰안.xls][입찰안.xls][입찰안.xls]B_42"/>
      <sheetName val="[입찰안.xls][입찰안.xls][입찰안.xls]B_43"/>
      <sheetName val="각종단가"/>
      <sheetName val="시운전壒》"/>
      <sheetName val="[입찰안.xls][입찰안.xls][입찰안.xls]B_44"/>
      <sheetName val="[입찰안.xls][입찰안.xls][입찰안.xls]B_47"/>
      <sheetName val="[입찰안.xls][입찰안.xls][입찰안.xls]B_49"/>
      <sheetName val="거래처CODE"/>
      <sheetName val="ጵ_x0000__x0000_Ոጶ_x0000__x0000_sጷ_x0000__x0000_״ጸ_x0000__x0000_ ጿ_x0000__x0000_¬ጿ_x0000__x0000_׭ጊ"/>
      <sheetName val="ጲ_x0000__x0000_Ոፍ_x0000__x0000_sጳ_x0000__x0000_1ጳ_x0000__x0000_᬴ጴ_x0000__x0000_෠ጳ_x0000__x0000_ග"/>
      <sheetName val="ጳ_x0000__x0000_Ոጴ_x0000__x0000_sጳ_x0000__x0000_aጳ_x0000__x0000_iጴ_x0000__x0000_cጵ_x0000__x0000_k"/>
      <sheetName val="ጳ_x0000__x0000_Ոጳ_x0000__x0000_sጴ_x0000__x0000_sጳ_x0000__x0000_ ጳ_x0000__x0000_tጴ_x0000__x0000_a"/>
      <sheetName val="ጳ_x0000__x0000_Ոጳ_x0000__x0000_sጴ_x0000__x0000_~ጳ_x0000__x0000_ఄጳ_x0000__x0000_᪅ጴ_x0000__x0000_)"/>
      <sheetName val="ፋ_x0000__x0000_Ոፌ_x0000__x0000_sጿ_x0000__x0000_೵ጿ_x0000__x0000_ኸጊ_x0000__x0000_೨ጱ_x0000__x0000_°ጲ"/>
      <sheetName val="ጴ_x0000__x0000_Ոጳ_x0000__x0000_sጳ_x0000__x0000_°ጴ_x0000__x0000_ࠄጵ_x0000__x0000__ጶ_x0000__x0000_)"/>
      <sheetName val="ጿ_x0000__x0000_Ոጊ_x0000__x0000_sጱ_x0000__x0000_°ጲ_x0000__x0000_ࠄፍ_x0000__x0000__ጳ_x0000__x0000_ࠄጳ"/>
      <sheetName val="ጱ_x0000__x0000_Ոጼ_x0000__x0000_sፍ_x0000__x0000_°ጳ_x0000__x0000_ࠄጳ_x0000__x0000__ጴ_x0000__x0000_.ጳ_x0000_"/>
      <sheetName val="ጴ_x0000__x0000_Ոጳ_x0000__x0000_sጳ_x0000__x0000_°ጴ_x0000__x0000_ࠄጵ_x0000__x0000__ጶ_x0000__x0000_"/>
      <sheetName val="ጷ_x0000__x0000_Ոጸ_x0000__x0000_sጿ_x0000__x0000_°ጿ_x0000__x0000_ࠄጊ간선_서관)"/>
      <sheetName val="ጿ_x0000__x0000_Ոጿ_x0000__x0000_sጊ_x0000__x0000_״ጱ_x0000__x0000__ጲ_x0000__x0000_¬ፍ_x0000__x0000_׭ጳ"/>
      <sheetName val="ጵ_x0000__x0000_Ոጶ_x0000__x0000_sጷ_x0000__x0000_aጸ_x0000__x0000_iጿ_x0000__x0000_cጿ_x0000__x0000_k"/>
      <sheetName val="ጿ_x0000__x0000_Ոጊ_x0000__x0000_sጊ_x0000__x0000_sጱ_x0000__x0000__ጲ_x0000__x0000_tፍ_x0000__x0000_a"/>
      <sheetName val="ጳ_x0000__x0000_Ոጳ_x0000__x0000_sጴ_x0000__x0000_nጵ_x0000__x0000_uጶ_x0000__x0000_aጷ_x0000__x0000_u"/>
      <sheetName val="ጳ_x0000__x0000_Ոጳ_x0000__x0000_sጴ_x0000__x0000_gጴ_x0000__x0000_eፊ_x0000__x0000_Gጵ_x0000__x0000_C"/>
      <sheetName val="ጳ_x0000__x0000_Ոጴ_x0000__x0000_sጳ_x0000__x0000_Tጳ_x0000__x0000_ ጴ_x0000__x0000_Oጵ_x0000__x0000_"/>
      <sheetName val="ጵ_x0000__x0000_Ոፋ_x0000__x0000_sፌ_x0000__x0000_ ጿ_x0000__x0000_᦬ጿ_x0000__x0000_eጊ_x0000__x0000_"/>
      <sheetName val="ጻ_x0000__x0000_Ոጻ_x0000__x0000_sጱ_x0000__x0000_൭ጲ_x0000__x0000_᧌ድ_x0000__x0000_(ጳ_x0000__x0000_"/>
      <sheetName val="ጿ_x0000__x0000_Ոጿ_x0000__x0000_sጊ_x0000__x0000_tጊ_x0000__x0000_የጱ_x0000__x0000_៉ጲ_x0000__x0000_"/>
      <sheetName val="ጴ_x0000__x0000_Ոጾ_x0000__x0000_sጶ_x0000__x0000_״ጷ_x0000__x0000__ፓ_x0000__x0000_¬ፔ_x0000__x0000_׭ፔ_x0000_"/>
      <sheetName val="ጴ_x0000__x0000_Ոጳ_x0000__x0000_sጳ_x0000__x0000_°ጴ_x0000__x0000_ࠄጴ_x0000__x0000__ፊ_x0000__x0000__ጵ_x0000_"/>
      <sheetName val="ጶ_x0000__x0000_Ոጷ_x0000__x0000_sጸ_x0000__x0000_aጿ_x0000__x0000_iጿ_x0000__x0000_cጊ_x0000__x0000_kጊ"/>
      <sheetName val="ጳ_x0000__x0000_Ոጳ_x0000__x0000_sጴ_x0000__x0000_sጳ_x0000__x0000__ጳ_x0000__x0000_tጴ_x0000__x0000_aጵ"/>
      <sheetName val="ጊ_x0000__x0000_Ոጊ_x0000__x0000_sጊ_x0000__x0000_1ጱ_x0000__x0000_᬴ጲ_x0000__x0000_෠ድ_x0000__x0000_ග"/>
      <sheetName val="ጸ_x0000__x0000_Ոጿ_x0000__x0000_sጿ_x0000__x0000_೵ጊ_x0000__x0000_ኸጊ_x0000__x0000_೨ጱ_x0000__x0000_°ጲ"/>
      <sheetName val="ጳ_x0000__x0000_Ոጳ_x0000__x0000_sጴ_x0000__x0000_sጵ_x0000__x0000_eጶ_x0000__x0000_aጷ_x0000__x0000_aጸ"/>
      <sheetName val="ጴ_x0000__x0000_Ոጵ_x0000__x0000_sጶ_x0000__x0000_.ጷ_x0000__x0000_bጸ_x0000__x0000_zጿ_x0000__x0000_oጿ"/>
      <sheetName val="ፍ_x0000__x0000_Ոጳ_x0000__x0000_sጳ_x0000__x0000__ጴ_x0000__x0000_bጳ_x0000__x0000_zጳ_x0000__x0000_oጴ"/>
      <sheetName val="ጊ_x0000__x0000_Ոጱ_x0000__x0000_sጼ_x0000__x0000__ፐ_x0000__x0000_᦬ፑ_x0000__x0000_eፑ_x0000__x0000_"/>
      <sheetName val="ጳ_x0000__x0000_Ոጴ_x0000__x0000_sጵ_x0000__x0000_Tጶ_x0000__x0000__ጷ_x0000__x0000_Oጸ_x0000__x0000_"/>
      <sheetName val="ጊ_x0000__x0000_Ոጊ_x0000__x0000_sጱ_x0000__x0000_Sጲ_x0000__x0000_Aፍ_x0000__x0000_rጳ_x0000__x0000_uጳ_x0000_"/>
      <sheetName val="ጊ_x0000__x0000_Ոጊ_x0000__x0000_sጊ_x0000__x0000_ ጊ_x0000__x0000_ ጱ_x0000__x0000_mጲ_x0000__x0000_"/>
      <sheetName val="ጿ_x0000__x0000_Ոጊ_x0000__x0000_sጱ_x0000__x0000_᯸ጲ_x0000__x0000_Vፍ_x0000__x0000_kጳ_x0000__x0000_"/>
      <sheetName val="ጳ_x0000__x0000_Ոጴ_x0000__x0000_sጵ_x0000__x0000_൭ጶ_x0000__x0000_᧌ጷ_x0000__x0000_(ጸ_x0000__x0000_"/>
      <sheetName val="ጳ_x0000__x0000_Ոጴ_x0000__x0000_sጵ_x0000__x0000_tጶ_x0000__x0000_የጷ_x0000__x0000_៉ጸ_x0000__x0000_"/>
      <sheetName val="ጊ_x0000__x0000_Ոጱ_x0000__x0000_sጲ_x0000__x0000_״ፍ_x0000__x0000__ጳ_x0000__x0000_¬ጳ_x0000__x0000_׭ጴ_x0000_"/>
      <sheetName val="ጴ_x0000__x0000_Ոጵ_x0000__x0000_sጶ_x0000__x0000_aጷ_x0000__x0000_iጸ_x0000__x0000_cጿ_x0000__x0000_kጿ"/>
      <sheetName val="ጱ_x0000__x0000_Ոጲ_x0000__x0000_sፍ_x0000__x0000_sጳ_x0000__x0000__ጳ_x0000__x0000_tጴ_x0000__x0000_aጳ"/>
      <sheetName val="ጵ_x0000__x0000_Ոጶ_x0000__x0000_sጷ_x0000__x0000_1ጸ_x0000__x0000_᬴ጿ_x0000__x0000_෠ጿ_x0000__x0000_ගጊ"/>
      <sheetName val="ጊ_x0000__x0000_Ոጱ_x0000__x0000_sጲ_x0000__x0000_೵ፍ_x0000__x0000_ኸጳ_x0000__x0000_೨ጳ_x0000__x0000_°ጴ_x0000_"/>
      <sheetName val="ጱ_x0000__x0000_Ոጲ_x0000__x0000_sፍ_x0000__x0000_sጳ_x0000__x0000_eጳ_x0000__x0000_aጴ_x0000__x0000_aጳ_x0000_"/>
      <sheetName val="ጲ_x0000__x0000_Ոፍ_x0000__x0000_sጳ_x0000__x0000_ެጳ_x0000__x0000_2ጴ_x0000__x0000__ጳ_x0000__x0000_"/>
      <sheetName val="ጴ_x0000__x0000_Ոጳ_x0000__x0000_sጳ_x0000__x0000_Tጴ_x0000__x0000__ጵ_x0000__x0000_Oጶ_x0000__x0000_1"/>
      <sheetName val="ጵ_x0000__x0000_Ոፋ_x0000__x0000_sፌ_x0000__x0000__ጿ_x0000__x0000_᦬ጿ_x0000__x0000_eጊ_x0000__x0000_1"/>
      <sheetName val="ጴ_x0000__x0000_Ոፊ_x0000__x0000_sጵ_x0000__x0000__ፋ_x0000__x0000_bፌ_x0000__x0000_zጿ_x0000__x0000_oጿ_x0000_"/>
      <sheetName val="ጊ_x0000__x0000_Ոጱ_x0000__x0000_sጲ_x0000__x0000_nድ_x0000__x0000_uጳ_x0000__x0000_aጳ_x0000__x0000_u"/>
      <sheetName val="ድ_x0000__x0000_Ոጳ_x0000__x0000_sጳ_x0000__x0000_gጴ_x0000__x0000_eጳ_x0000__x0000_Gጳ_x0000__x0000_C"/>
      <sheetName val="ጳ_x0000__x0000_Ոጳ_x0000__x0000_sጴ_x0000__x0000_iጳ_x0000__x0000_tጳ_x0000__x0000_ ጴ_x0000__x0000_5"/>
      <sheetName val="ፊ_x0000__x0000_Ոጵ_x0000__x0000_sፋ_x0000__x0000_൭ፌ_x0000__x0000_᧌ጿ_x0000__x0000_(ጿ_x0000__x0000_"/>
      <sheetName val="ጳ_x0000__x0000_Ոጳ_x0000__x0000_sጴ_x0000__x0000_tጴ_x0000__x0000_የፊ_x0000__x0000_៉ጵ_x0000__x0000_"/>
      <sheetName val="ጳ_x0000__x0000_Ոጴ_x0000__x0000_sጳ_x0000__x0000_״ጳ_x0000__x0000__ጴ_x0000__x0000_¬ጴ_x0000__x0000_׭ፊ_x0000_"/>
      <sheetName val="ጳ_x0000__x0000_Ոጳ_x0000__x0000_sጴ_x0000__x0000_1ጳ_x0000__x0000_᬴ጳ_x0000__x0000_෠ጴ_x0000__x0000_ගጵ"/>
      <sheetName val="ፌ_x0000__x0000_Ոጿ_x0000__x0000_sጿ_x0000__x0000_aጊ_x0000__x0000_iጱ_x0000__x0000_cጲ_x0000__x0000_kድ"/>
      <sheetName val="ፌ_x0000__x0000_Ոጿ_x0000__x0000_sጿ_x0000__x0000_sጊ_x0000__x0000__ጊ_x0000__x0000_tጊ_x0000__x0000_aጱ"/>
      <sheetName val="ጴ_x0000__x0000_Ոጴ_x0000__x0000_sፊ_x0000__x0000_೵ጵ_x0000__x0000_ኸፋ_x0000__x0000_೨ፌ_x0000__x0000_°ጿ_x0000_"/>
      <sheetName val="ጸ_x0000__x0000_Ոጿ_x0000__x0000_sጿ_x0000__x0000_sጊ_x0000__x0000_eጊ_x0000__x0000_aጊ_x0000__x0000_aጊ_x0000_"/>
      <sheetName val="ጿ_x0000__x0000_Ոጿ_x0000__x0000_sጊ_x0000__x0000_ެጊ_x0000__x0000_2ጊ_x0000__x0000__ጱ_x0000__x0000_"/>
      <sheetName val="ጊ_x0000__x0000_Ոጊ_x0000__x0000_sጊ_x0000__x0000_Tጱ_x0000__x0000__ጲ_x0000__x0000_Oድ_x0000__x0000_2"/>
      <sheetName val="ጿ_x0000__x0000_Ոጊ_x0000__x0000_sጊ_x0000__x0000__ጊ_x0000__x0000_᦬ጊ_x0000__x0000_eጱ_x0000__x0000_2"/>
      <sheetName val="ጳ_x0000__x0000_Ոጴ_x0000__x0000_sጳ_x0000__x0000_nጳ_x0000__x0000_uጴ_x0000__x0000_aጵ_x0000__x0000_uጶ"/>
      <sheetName val="ጴ_x0000__x0000_Ոጳ_x0000__x0000_sጳ_x0000__x0000_gጴ_x0000__x0000_eጴ_x0000__x0000_Gፊ_x0000__x0000_Cጵ"/>
      <sheetName val="ጿ_x0000__x0000_Ոጿ_x0000__x0000_sጊ_x0000__x0000__ጊ_x0000__x0000_bጊ_x0000__x0000_zጊ_x0000__x0000_oጱ_x0000_"/>
      <sheetName val="ፋ_x0000__x0000_Ոፌ_x0000__x0000_sጿ_x0000__x0000_᳀ጿ_x0000__x0000_৑ጊ_x0000__x0000_᳴ጱ_x0000__x0000_"/>
      <sheetName val="ድ_x0000__x0000_Ոጳ_x0000__x0000_sጳ_x0000__x0000__ጴ_x0000__x0000__ጳ_x0000__x0000_mጳ_x0000__x0000_"/>
      <sheetName val="ጵ_x0000__x0000_Ոፋ_x0000__x0000_sፌ_x0000__x0000_iጿ_x0000__x0000_tጿ_x0000__x0000__ጊ_x0000__x0000_5"/>
      <sheetName val="ጿ_x0000__x0000_Ոጊ_x0000__x0000_sጊ_x0000__x0000_൭ጊ_x0000__x0000_᧌ጱ_x0000__x0000_(ጲ_x0000__x0000_"/>
      <sheetName val="ጊ_x0000__x0000_Ոጊ_x0000__x0000_sጱ_x0000__x0000_tጲ_x0000__x0000_የድ_x0000__x0000_៉ጳ_x0000__x0000_"/>
      <sheetName val="ጲ_x0000__x0000_Ոድ_x0000__x0000_sጳ_x0000__x0000_״ጳ_x0000__x0000__ጴ_x0000__x0000_¬ጳ_x0000__x0000_׭ጳ_x0000_"/>
      <sheetName val="ጱ_x0000__x0000_Ոጲ_x0000__x0000_sድ_x0000__x0000_1ጳ_x0000__x0000_᬴ጳ_x0000__x0000_෠ጴ_x0000__x0000_ගጳ"/>
      <sheetName val="ጳ_x0000__x0000_Ոጴ_x0000__x0000_sጴ_x0000__x0000_aፊ_x0000__x0000_iጵ_x0000__x0000_cፋ_x0000__x0000_kፌ"/>
      <sheetName val="ጴ_x0000__x0000_Ոጳ_x0000__x0000_sጳ_x0000__x0000_sጴ_x0000__x0000__ጴ_x0000__x0000_tፊ_x0000__x0000_aጵ"/>
      <sheetName val="ጳ_x0000__x0000_Ոጴ_x0000__x0000_sጳ_x0000__x0000_೵ጳ_x0000__x0000_ኸጴ_x0000__x0000_೨ጴ_x0000__x0000_°ፊ_x0000_"/>
      <sheetName val="ጳ_x0000__x0000_Ոጳ_x0000__x0000_sጴ_x0000__x0000_sጳ_x0000__x0000_eጳ_x0000__x0000_aጴ_x0000__x0000_aጴ_x0000_"/>
      <sheetName val="ፋ_x0000__x0000_Ոፌ_x0000__x0000_sጿ_x0000__x0000_ެጿ_x0000__x0000_2ጊ_x0000__x0000__ጊ_x0000__x0000_"/>
      <sheetName val="ጳ_x0000__x0000_Ոጴ_x0000__x0000_sጵ_x0000__x0000_Tጶ_x0000__x0000__ጷ_x0000__x0000_Oጸ_x0000__x0000_3"/>
      <sheetName val="ጊ_x0000__x0000_Ոጊ_x0000__x0000_sጱ_x0000__x0000__ጲ_x0000__x0000_᦬ድ_x0000__x0000_eጳ_x0000__x0000_3"/>
      <sheetName val="ጵ_x0000__x0000_Ոጶ_x0000__x0000_sጷ_x0000__x0000_nጸ_x0000__x0000_uጿ_x0000__x0000_aጿ_x0000__x0000_uጊ"/>
      <sheetName val="ጷ_x0000__x0000_Ոጸ_x0000__x0000_sጿ_x0000__x0000_gጿ_x0000__x0000_eጊ_x0000__x0000_Gጱ_x0000__x0000_Cጲ"/>
      <sheetName val="ጊ_x0000__x0000_Ոጱ_x0000__x0000_sጲ_x0000__x0000__ድ_x0000__x0000_bጳ_x0000__x0000_zጳ_x0000__x0000_oጴ_x0000_"/>
      <sheetName val="ጴ_x0000__x0000_Ոጵ_x0000__x0000_sጶ_x0000__x0000_᳀ጷ_x0000__x0000_৑ጸ_x0000__x0000_᳴ጿ_x0000__x0000_"/>
      <sheetName val="ጿ_x0000__x0000_Ոጊ_x0000__x0000_sጊ_x0000__x0000_oጱ_x0000__x0000_tጲ_x0000__x0000_iድ_x0000__x0000_"/>
      <sheetName val="ጶ_x0000__x0000_Ոጷ_x0000__x0000_sጸ_x0000__x0000__ጿ_x0000__x0000__ጿ_x0000__x0000_mጊ_x0000__x0000_1"/>
      <sheetName val="ድ_x0000__x0000_Ոጳ_x0000__x0000_sጳ_x0000__x0000_iጴ_x0000__x0000_tጳ_x0000__x0000__ጳ_x0000__x0000_5ጴ"/>
      <sheetName val="ጳ_x0000__x0000_Ոጴ_x0000__x0000_sጵ_x0000__x0000_0ጶ_x0000__x0000_Ýጷ_x0000__x0000_ޥጸ_x0000__x0000_"/>
      <sheetName val="ጳ_x0000__x0000_Ոጳ_x0000__x0000_sጴ_x0000__x0000_0ጵ_x0000__x0000_Ýጶ_x0000__x0000_ޥጷ_x0000__x0000_"/>
      <sheetName val="ጴ_x0000__x0000_Ոጳ_x0000__x0000_sጳ_x0000__x0000_tጴ_x0000__x0000_Cጵ_x0000__x0000_Cጶ_x0000__x0000_rጷ"/>
      <sheetName val="Dầm 1"/>
      <sheetName val="Gia VLNCMTC"/>
      <sheetName val="BIDDING-SUM"/>
      <sheetName val="Xunit_(단위환산)1"/>
      <sheetName val="아파트_1"/>
      <sheetName val="장비코드표_0506011"/>
      <sheetName val="2007년_생산1부장비1"/>
      <sheetName val="2008년_생산부전장비코드1"/>
      <sheetName val="DDB부_장비_관리현황1"/>
      <sheetName val="DGCT_(01)"/>
      <sheetName val="Chi_tiet"/>
      <sheetName val="01__DATA"/>
      <sheetName val="nhôm_1,2mm"/>
      <sheetName val="nhôm_1,4mm"/>
      <sheetName val="Sàn T1"/>
      <sheetName val="Lỗ thông gió"/>
      <sheetName val="Sàn tầng 01 ( old )"/>
      <sheetName val="KTCK"/>
      <sheetName val="제품마스터"/>
      <sheetName val="chitiet"/>
      <sheetName val="Config"/>
      <sheetName val="Chiet tinh don gia CM"/>
      <sheetName val="THKP"/>
      <sheetName val="DAF-2"/>
      <sheetName val="ጵ"/>
      <sheetName val="ጲ"/>
      <sheetName val="ጳ"/>
      <sheetName val="ፋ"/>
      <sheetName val="ጴ"/>
      <sheetName val="ጿ"/>
      <sheetName val="ጱ"/>
      <sheetName val="ጷ"/>
      <sheetName val="ጻ"/>
      <sheetName val="ጶ"/>
      <sheetName val="ጊ"/>
      <sheetName val="ጸ"/>
      <sheetName val="ፍ"/>
      <sheetName val="ድ"/>
      <sheetName val="ፊ"/>
      <sheetName val="ፌ"/>
      <sheetName val="PS-Labour_M"/>
      <sheetName val="FD"/>
      <sheetName val="GI"/>
      <sheetName val="EE (3)"/>
      <sheetName val="PAVEMENT"/>
      <sheetName val="TRAFFIC"/>
      <sheetName val="Ts"/>
      <sheetName val="General2"/>
      <sheetName val="Measure 1306"/>
      <sheetName val="Pag_hal"/>
      <sheetName val="DNTT"/>
      <sheetName val="실행내역서 "/>
      <sheetName val="재학생"/>
      <sheetName val="일위대가갂窹"/>
      <sheetName val="일위대가_x0000__x0000_렀"/>
      <sheetName val="일위대가耀쾑_x0000_"/>
      <sheetName val="을지"/>
      <sheetName val="TOWER 12TON"/>
      <sheetName val="plan&amp;section_of勉_x0010__x0000__x0000__x0000__x0000__x0000__x0001_Ԁ_x0000__xdc00_"/>
      <sheetName val="중강당 내역"/>
      <sheetName val="갑지_을지1"/>
      <sheetName val="2-2_매출분석1"/>
      <sheetName val="유효폭의_계산1"/>
      <sheetName val="미납품_현황1"/>
      <sheetName val="표지_(2)1"/>
      <sheetName val="STEEL_BOX_단면설계(SEC_8)1"/>
      <sheetName val="설명서_1"/>
      <sheetName val="2_단면가정_(양곡1교)1"/>
      <sheetName val="갑지_설계_내역서1"/>
      <sheetName val="1_내역(청_하역장전등)1"/>
      <sheetName val="자격_땡겨오기1"/>
      <sheetName val="단양_00_아파트-세부내역1"/>
      <sheetName val="2000_05"/>
      <sheetName val="05년_상1"/>
      <sheetName val="영흥TL(UP,DOWN)_1"/>
      <sheetName val="8_PILE__(돌출)1"/>
      <sheetName val="ITB_COST1"/>
      <sheetName val="6_산출닑⾱"/>
      <sheetName val="1,2,3,4"/>
      <sheetName val="4_2_1_마루높이_검토1"/>
      <sheetName val="TABLE_DB"/>
      <sheetName val="쌍용_data_base"/>
      <sheetName val="_견적서1"/>
      <sheetName val="수량산출서_갑지1"/>
      <sheetName val="품셈_"/>
      <sheetName val="M-EMS_GP-570(BIT)"/>
      <sheetName val="19_07월_세_계"/>
      <sheetName val="19_07항목별(시트복사금지100번쓰기)"/>
      <sheetName val="19_05월"/>
      <sheetName val="내역서_제출1"/>
      <sheetName val="_FURNACE현설"/>
      <sheetName val="97_사업추정(WEKI)"/>
      <sheetName val="[입찰안_xls]직접뀀鞖/"/>
      <sheetName val="[입찰안_xls][입찰안_xls]직접뀀鞖/"/>
      <sheetName val="자재기성_신청서_xlsx"/>
      <sheetName val="plan&amp;section_of_冰﹢Ƚ"/>
      <sheetName val="중기조종사_단위단가"/>
      <sheetName val="pile_bearing_capa_&amp;_¬웰ﾕ쀀"/>
      <sheetName val="pile_bearing_capa_&amp;_¬웰ﾕﳪ"/>
      <sheetName val="8_설치품셈"/>
      <sheetName val="0_목록1"/>
      <sheetName val="[입찰안_xls][입찰안_xls][입찰안_xls]___2"/>
      <sheetName val="내역(인테리어_실내)(도급)"/>
      <sheetName val="내역(인테리어_실외)(도급)"/>
      <sheetName val="[입찰안.xls][입찰안.xls][입찰안.xls]___3"/>
      <sheetName val="[입찰안.xls][입찰안.xls][입찰안.xls]_100"/>
      <sheetName val="[입찰안.xls][입찰안.xls][입찰안.xls]B_98"/>
      <sheetName val="[입찰안.xls][입찰안.xls][입찰안.xls]B_99"/>
      <sheetName val="할증 "/>
      <sheetName val="eq_data"/>
      <sheetName val="간접비 총괄표"/>
      <sheetName val="조경수볰"/>
      <sheetName val="NP-총정리"/>
      <sheetName val="[입찰안.xls][입찰안.xls][입찰안.xls]B_50"/>
      <sheetName val="[입찰안.xls][입찰안.xls][입찰안.xls]B_51"/>
      <sheetName val="총괄집계표"/>
      <sheetName val="[입찰안.xls][입찰안.xls][입찰안.xls]B_54"/>
      <sheetName val="[입찰안.xls][입찰안.xls][입찰안.xls]B_53"/>
      <sheetName val="[입찰안.xls][입찰안.xls][입찰안.xls]B_52"/>
      <sheetName val="[입찰안.xls][입찰안.xls][입찰안.xls]B_55"/>
      <sheetName val="[입찰안.xls][입찰안.xls][입찰안.xls]B_57"/>
      <sheetName val="[입찰안.xls][입찰안.xls][입찰안.xls]B_58"/>
      <sheetName val="[입찰안.xls][입찰안.xls][입찰안.xls]B_56"/>
      <sheetName val="전기혼잡제경⻉ⴋԯ_x0000_缀"/>
      <sheetName val="Tiepdia"/>
      <sheetName val="DG"/>
      <sheetName val="기계경비산출기준"/>
      <sheetName val="테이블"/>
      <sheetName val="공사투입계획(변경결의)19.9"/>
      <sheetName val="노무비 월별지급현황19.9"/>
      <sheetName val="갑지(외주기성)19.9"/>
      <sheetName val="5호광장_(만점)6"/>
      <sheetName val="인천국제_(만점)_(2)6"/>
      <sheetName val="Total_단위경유량집계6"/>
      <sheetName val="준검_내역서6"/>
      <sheetName val="토공유동표(전체_당초)6"/>
      <sheetName val="1_수인터널6"/>
      <sheetName val="11_산출(전열)6"/>
      <sheetName val="6_산출(동력)6"/>
      <sheetName val="7_산출(TRAY)6"/>
      <sheetName val="5_산출(전력)5"/>
      <sheetName val="표__지6"/>
      <sheetName val="4_전기6"/>
      <sheetName val="BH-1_(2)6"/>
      <sheetName val="1_설계조건6"/>
      <sheetName val="조도계산서_(도서)6"/>
      <sheetName val="I_설계조건6"/>
      <sheetName val="앉음벽_(2)6"/>
      <sheetName val="노원열병합__건축공사기성내역서6"/>
      <sheetName val="수량산출서(전력간선_지하D_C)5"/>
      <sheetName val="소포내역_(2)6"/>
      <sheetName val="MSS_26"/>
      <sheetName val="우수관매설및_우수받이6"/>
      <sheetName val="11_우각부_보강6"/>
      <sheetName val="제출내역_(2)6"/>
      <sheetName val="A_견적5"/>
      <sheetName val="3련_BOX6"/>
      <sheetName val="2_1__노무비_평균단가산출5"/>
      <sheetName val="내역_ver1_06"/>
      <sheetName val="보고서_기기리스트5"/>
      <sheetName val="7__현장관리비_6"/>
      <sheetName val="6__안전관리비6"/>
      <sheetName val="_HIT__HMC_견적_3900_6"/>
      <sheetName val="plan&amp;section_of_foundation6"/>
      <sheetName val="pile_bearing_capa_&amp;_arrenge6"/>
      <sheetName val="working_load_at_the_btm_ft_6"/>
      <sheetName val="stability_check6"/>
      <sheetName val="design_criteria6"/>
      <sheetName val="배수공_시멘트_및_골재량_산출5"/>
      <sheetName val="배수내역_(2)5"/>
      <sheetName val="내___역5"/>
      <sheetName val="_HIT-&gt;HMC_견적(3900)5"/>
      <sheetName val="6PILE__(돌출)5"/>
      <sheetName val="SHEET_PILE단가5"/>
      <sheetName val="플랜트_설치5"/>
      <sheetName val="spc_배관견적5"/>
      <sheetName val="1_취수장5"/>
      <sheetName val="3_1공사현황_공정표5"/>
      <sheetName val="Customer_Databas5"/>
      <sheetName val="화재_탐지_설비5"/>
      <sheetName val="2차전체변경예정_(2)5"/>
      <sheetName val="전_기5"/>
      <sheetName val="설_계5"/>
      <sheetName val="목차_5"/>
      <sheetName val="unit_45"/>
      <sheetName val="노임_단가5"/>
      <sheetName val="귀래_설계_공내역서5"/>
      <sheetName val="BH_1__2_5"/>
      <sheetName val="세골재__T2_변경_현황5"/>
      <sheetName val="1_설계기준5"/>
      <sheetName val="집_계_표5"/>
      <sheetName val="참조_(2)4"/>
      <sheetName val="도담구내_개소별_명세5"/>
      <sheetName val="Cash_Flow-15"/>
      <sheetName val="8_현장관리비5"/>
      <sheetName val="7_안전관리비5"/>
      <sheetName val="개인별_순위표5"/>
      <sheetName val="별표_5"/>
      <sheetName val="내역서_5"/>
      <sheetName val="노임단가_(2)5"/>
      <sheetName val="제수변_수량집계표(보통)4"/>
      <sheetName val="投标材料清单_5"/>
      <sheetName val="3_공통공사대비5"/>
      <sheetName val="단가_및_재료비5"/>
      <sheetName val="RETAIL_(ABOVE)5"/>
      <sheetName val="5__현장관리비(new)_5"/>
      <sheetName val="장비비_명세서15"/>
      <sheetName val="단___산4"/>
      <sheetName val="실____단4"/>
      <sheetName val="암거_제원표4"/>
      <sheetName val="7_공정표5"/>
      <sheetName val="단면_(2)5"/>
      <sheetName val="2_대외공문5"/>
      <sheetName val="Eq__Mobilization5"/>
      <sheetName val="노무비_근거4"/>
      <sheetName val="전선_및_전선관4"/>
      <sheetName val="3BL공동구_수량4"/>
      <sheetName val="내역서1999_8최종4"/>
      <sheetName val="Sheet1_(2)4"/>
      <sheetName val="_갑지4"/>
      <sheetName val="5_동별횡주관경4"/>
      <sheetName val="CM_14"/>
      <sheetName val="6__수량산출서4"/>
      <sheetName val="장비_(2)4"/>
      <sheetName val="수량산출서_(2)3"/>
      <sheetName val="토공_total3"/>
      <sheetName val="기성(1차)_3"/>
      <sheetName val="일위대가_4"/>
      <sheetName val="4_LINE4"/>
      <sheetName val="7_th4"/>
      <sheetName val="습식및_셀프레벨링4"/>
      <sheetName val="1차_내역서4"/>
      <sheetName val="BSD_(2)3"/>
      <sheetName val="바_한일양산3"/>
      <sheetName val="Project_Brief3"/>
      <sheetName val="영업_일13"/>
      <sheetName val="기기_내역서3"/>
      <sheetName val="아파트_2"/>
      <sheetName val="1_CB3"/>
      <sheetName val="_소방공사_산출근거3"/>
      <sheetName val="일위대가56-1_3"/>
      <sheetName val="일위대가71-1_3"/>
      <sheetName val="일위대가74-1_3"/>
      <sheetName val="일위대가76-1_3"/>
      <sheetName val="일위대가77-1_3"/>
      <sheetName val="일위대가78-1_3"/>
      <sheetName val="전사_(2)3"/>
      <sheetName val="BA_(2)3"/>
      <sheetName val="CP_(2)3"/>
      <sheetName val="토공_토적표3"/>
      <sheetName val="변경명신물량_(2)3"/>
      <sheetName val="기존단가_(2)3"/>
      <sheetName val="유효폭의_계산2"/>
      <sheetName val="2-2_매출분석2"/>
      <sheetName val="2_단면가정_(양곡1교)2"/>
      <sheetName val="갑지_을지2"/>
      <sheetName val="설명서_2"/>
      <sheetName val="STEEL_BOX_단면설계(SEC_8)2"/>
      <sheetName val="미납품_현황2"/>
      <sheetName val="도담구내_개소별_명柖4"/>
      <sheetName val="danh_muc_vat_tu4"/>
      <sheetName val="Register-BG_NCC4"/>
      <sheetName val="Data_24"/>
      <sheetName val="TB_chính4"/>
      <sheetName val="Steel_pipe4"/>
      <sheetName val="Ref_pipe+Ins4"/>
      <sheetName val="Plastic_pipe4"/>
      <sheetName val="Air_Grilles4"/>
      <sheetName val="Cost_bd-&quot;A&quot;4"/>
      <sheetName val="갑지_설계_내역서2"/>
      <sheetName val="1_내역(청_하역장전등)2"/>
      <sheetName val="표지_(2)2"/>
      <sheetName val="자격_땡겨오기2"/>
      <sheetName val="단양_00_아파트-세부내역2"/>
      <sheetName val="2000_051"/>
      <sheetName val="05년_상2"/>
      <sheetName val="영흥TL(UP,DOWN)_2"/>
      <sheetName val="8_PILE__(돌출)2"/>
      <sheetName val="ITB_COST2"/>
      <sheetName val="수량산출서_갑지2"/>
      <sheetName val="품셈_1"/>
      <sheetName val="M-EMS_GP-570(BIT)1"/>
      <sheetName val="4_2_1_마루높이_검토2"/>
      <sheetName val="_견적서2"/>
      <sheetName val="4__VOs_summary3"/>
      <sheetName val="Chiet_tinh_dz353"/>
      <sheetName val="19_07월_세_계1"/>
      <sheetName val="19_07항목별(시트복사금지100번쓰기)1"/>
      <sheetName val="19_05월1"/>
      <sheetName val="DATA_LISTS1"/>
      <sheetName val="_FURNACE현설1"/>
      <sheetName val="97_사업추정(WEKI)1"/>
      <sheetName val="8_설치품셈1"/>
      <sheetName val="내역서_제출2"/>
      <sheetName val="TABLE_DB1"/>
      <sheetName val="쌍용_data_base1"/>
      <sheetName val="Bảng_mã_VT3"/>
      <sheetName val="중기조종사_단위단가1"/>
      <sheetName val="자재기성_신청서_xlsx1"/>
      <sheetName val="0_목록11"/>
      <sheetName val="Elec_LG1"/>
      <sheetName val="ESTI_1"/>
      <sheetName val="[입찰안_xls][입찰안_xls][입찰안_xls]___1"/>
      <sheetName val="내역(인테리어_실내)(도급)1"/>
      <sheetName val="내역(인테리어_실외)(도급)1"/>
      <sheetName val="D_&amp;_W_sizes1"/>
      <sheetName val="Gia_vat_tu1"/>
      <sheetName val="dtct_cong1"/>
      <sheetName val="So_sanh"/>
      <sheetName val="단"/>
      <sheetName val="[입찰안_xls][입찰안_xls][입찰안_xls]B__2"/>
      <sheetName val="[입찰안_xls][입찰안_xls][입찰안_xls]B__3"/>
      <sheetName val="PROJ__DATA"/>
      <sheetName val="_Beams_Sched_"/>
      <sheetName val="수량산출서집계("/>
      <sheetName val="수량산출서집계(瞀"/>
      <sheetName val="5호광장_(만점)7"/>
      <sheetName val="인천국제_(만점)_(2)7"/>
      <sheetName val="Total_단위경유량집계7"/>
      <sheetName val="준검_내역서7"/>
      <sheetName val="토공유동표(전체_당초)7"/>
      <sheetName val="1_수인터널7"/>
      <sheetName val="11_산출(전열)7"/>
      <sheetName val="6_산출(동력)7"/>
      <sheetName val="7_산출(TRAY)7"/>
      <sheetName val="5_산출(전력)6"/>
      <sheetName val="표__지7"/>
      <sheetName val="4_전기7"/>
      <sheetName val="BH-1_(2)7"/>
      <sheetName val="1_설계조건7"/>
      <sheetName val="조도계산서_(도서)7"/>
      <sheetName val="I_설계조건7"/>
      <sheetName val="앉음벽_(2)7"/>
      <sheetName val="노원열병합__건축공사기성내역서7"/>
      <sheetName val="수량산출서(전력간선_지하D_C)6"/>
      <sheetName val="소포내역_(2)7"/>
      <sheetName val="MSS_27"/>
      <sheetName val="우수관매설및_우수받이7"/>
      <sheetName val="11_우각부_보강7"/>
      <sheetName val="제출내역_(2)7"/>
      <sheetName val="A_견적6"/>
      <sheetName val="3련_BOX7"/>
      <sheetName val="2_1__노무비_평균단가산출6"/>
      <sheetName val="내역_ver1_07"/>
      <sheetName val="보고서_기기리스트6"/>
      <sheetName val="7__현장관리비_7"/>
      <sheetName val="6__안전관리비7"/>
      <sheetName val="_HIT__HMC_견적_3900_7"/>
      <sheetName val="plan&amp;section_of_foundation7"/>
      <sheetName val="pile_bearing_capa_&amp;_arrenge7"/>
      <sheetName val="working_load_at_the_btm_ft_7"/>
      <sheetName val="stability_check7"/>
      <sheetName val="design_criteria7"/>
      <sheetName val="배수공_시멘트_및_골재량_산출6"/>
      <sheetName val="배수내역_(2)6"/>
      <sheetName val="내___역6"/>
      <sheetName val="_HIT-&gt;HMC_견적(3900)6"/>
      <sheetName val="6PILE__(돌출)6"/>
      <sheetName val="SHEET_PILE단가6"/>
      <sheetName val="플랜트_설치6"/>
      <sheetName val="spc_배관견적6"/>
      <sheetName val="1_취수장6"/>
      <sheetName val="3_1공사현황_공정표6"/>
      <sheetName val="Customer_Databas6"/>
      <sheetName val="화재_탐지_설비6"/>
      <sheetName val="2차전체변경예정_(2)6"/>
      <sheetName val="전_기6"/>
      <sheetName val="설_계6"/>
      <sheetName val="목차_6"/>
      <sheetName val="unit_46"/>
      <sheetName val="노임_단가6"/>
      <sheetName val="귀래_설계_공내역서6"/>
      <sheetName val="BH_1__2_6"/>
      <sheetName val="세골재__T2_변경_현황6"/>
      <sheetName val="1_설계기준6"/>
      <sheetName val="집_계_표6"/>
      <sheetName val="참조_(2)5"/>
      <sheetName val="도담구내_개소별_명세6"/>
      <sheetName val="Cash_Flow-16"/>
      <sheetName val="8_현장관리비6"/>
      <sheetName val="7_안전관리비6"/>
      <sheetName val="개인별_순위표6"/>
      <sheetName val="별표_6"/>
      <sheetName val="내역서_6"/>
      <sheetName val="노임단가_(2)6"/>
      <sheetName val="제수변_수량집계표(보통)5"/>
      <sheetName val="投标材料清单_6"/>
      <sheetName val="3_공통공사대비6"/>
      <sheetName val="단가_및_재료비6"/>
      <sheetName val="RETAIL_(ABOVE)6"/>
      <sheetName val="5__현장관리비(new)_6"/>
      <sheetName val="장비비_명세서16"/>
      <sheetName val="단___산5"/>
      <sheetName val="실____단5"/>
      <sheetName val="암거_제원표5"/>
      <sheetName val="7_공정표6"/>
      <sheetName val="단면_(2)6"/>
      <sheetName val="2_대외공문6"/>
      <sheetName val="Eq__Mobilization6"/>
      <sheetName val="노무비_근거5"/>
      <sheetName val="전선_및_전선관5"/>
      <sheetName val="3BL공동구_수량5"/>
      <sheetName val="내역서1999_8최종5"/>
      <sheetName val="Sheet1_(2)5"/>
      <sheetName val="_갑지5"/>
      <sheetName val="5_동별횡주관경5"/>
      <sheetName val="CM_15"/>
      <sheetName val="6__수량산출서5"/>
      <sheetName val="장비_(2)5"/>
      <sheetName val="수량산출서_(2)4"/>
      <sheetName val="토공_total4"/>
      <sheetName val="기성(1차)_4"/>
      <sheetName val="일위대가_5"/>
      <sheetName val="4_LINE5"/>
      <sheetName val="7_th5"/>
      <sheetName val="습식및_셀프레벨링5"/>
      <sheetName val="1차_내역서5"/>
      <sheetName val="BSD_(2)4"/>
      <sheetName val="바_한일양산4"/>
      <sheetName val="Project_Brief4"/>
      <sheetName val="영업_일14"/>
      <sheetName val="기기_내역서4"/>
      <sheetName val="아파트_3"/>
      <sheetName val="1_CB4"/>
      <sheetName val="_소방공사_산출근거4"/>
      <sheetName val="일위대가56-1_4"/>
      <sheetName val="일위대가71-1_4"/>
      <sheetName val="일위대가74-1_4"/>
      <sheetName val="일위대가76-1_4"/>
      <sheetName val="일위대가77-1_4"/>
      <sheetName val="일위대가78-1_4"/>
      <sheetName val="전사_(2)4"/>
      <sheetName val="BA_(2)4"/>
      <sheetName val="CP_(2)4"/>
      <sheetName val="토공_토적표4"/>
      <sheetName val="변경명신물량_(2)4"/>
      <sheetName val="기존단가_(2)4"/>
      <sheetName val="유효폭의_계산3"/>
      <sheetName val="2-2_매출분석3"/>
      <sheetName val="2_단면가정_(양곡1교)3"/>
      <sheetName val="갑지_을지3"/>
      <sheetName val="설명서_3"/>
      <sheetName val="STEEL_BOX_단면설계(SEC_8)3"/>
      <sheetName val="미납품_현황3"/>
      <sheetName val="도담구내_개소별_명柖5"/>
      <sheetName val="danh_muc_vat_tu5"/>
      <sheetName val="Register-BG_NCC5"/>
      <sheetName val="Data_25"/>
      <sheetName val="TB_chính5"/>
      <sheetName val="Steel_pipe5"/>
      <sheetName val="Ref_pipe+Ins5"/>
      <sheetName val="Plastic_pipe5"/>
      <sheetName val="Air_Grilles5"/>
      <sheetName val="Cost_bd-&quot;A&quot;5"/>
      <sheetName val="갑지_설계_내역서3"/>
      <sheetName val="1_내역(청_하역장전등)3"/>
      <sheetName val="표지_(2)3"/>
      <sheetName val="자격_땡겨오기3"/>
      <sheetName val="단양_00_아파트-세부내역3"/>
      <sheetName val="2000_052"/>
      <sheetName val="05년_상3"/>
      <sheetName val="영흥TL(UP,DOWN)_3"/>
      <sheetName val="8_PILE__(돌출)3"/>
      <sheetName val="ITB_COST3"/>
      <sheetName val="수량산출서_갑지3"/>
      <sheetName val="품셈_2"/>
      <sheetName val="M-EMS_GP-570(BIT)2"/>
      <sheetName val="4_2_1_마루높이_검토3"/>
      <sheetName val="_견적서3"/>
      <sheetName val="4__VOs_summary4"/>
      <sheetName val="Chiet_tinh_dz354"/>
      <sheetName val="장비코드표_0506012"/>
      <sheetName val="2007년_생산1부장비2"/>
      <sheetName val="2008년_생산부전장비코드2"/>
      <sheetName val="DDB부_장비_관리현황2"/>
      <sheetName val="Xunit_(단위환산)2"/>
      <sheetName val="19_07월_세_계2"/>
      <sheetName val="19_07항목별(시트복사금지100번쓰기)2"/>
      <sheetName val="19_05월2"/>
      <sheetName val="DATA_LISTS2"/>
      <sheetName val="_FURNACE현설2"/>
      <sheetName val="97_사업추정(WEKI)2"/>
      <sheetName val="8_설치품셈2"/>
      <sheetName val="내역서_제출3"/>
      <sheetName val="TABLE_DB2"/>
      <sheetName val="쌍용_data_base2"/>
      <sheetName val="Bảng_mã_VT4"/>
      <sheetName val="중기조종사_단위단가2"/>
      <sheetName val="자재기성_신청서_xlsx2"/>
      <sheetName val="0_목록12"/>
      <sheetName val="Elec_LG2"/>
      <sheetName val="ESTI_2"/>
      <sheetName val="[입찰안_xls][입찰안_xls][입찰안_xls]___3"/>
      <sheetName val="내역(인테리어_실내)(도급)2"/>
      <sheetName val="내역(인테리어_실외)(도급)2"/>
      <sheetName val="D_&amp;_W_sizes2"/>
      <sheetName val="Gia_vat_tu2"/>
      <sheetName val="dtct_cong2"/>
      <sheetName val="DGCT_(01)1"/>
      <sheetName val="SCOPE_OF_WORK1"/>
      <sheetName val="Chi_tiet1"/>
      <sheetName val="nhôm_1,2mm1"/>
      <sheetName val="nhôm_1,4mm1"/>
      <sheetName val="01__DATA1"/>
      <sheetName val="So_sanh1"/>
      <sheetName val="[입찰안_xls][입찰안_xls][입찰안_xls]B__1"/>
      <sheetName val="[입찰안_xls][입찰안_xls][입찰안_xls]B__4"/>
      <sheetName val="PROJ__DATA1"/>
      <sheetName val="_Beams_Sched_1"/>
      <sheetName val="단면ⲴǾ"/>
      <sheetName val="[입찰안.xls][입찰안.xls][입찰안.xls]B_59"/>
      <sheetName val="공사착공계"/>
      <sheetName val="조도계산서Ì_x0000_Ԁ_x0000_耀"/>
      <sheetName val="[입찰안.xls][입찰안.xls][입찰안.xls]B_60"/>
      <sheetName val="[입찰안.xls][입찰안.xls][입찰안.xls]B_61"/>
      <sheetName val="[입찰안.xls][입찰안.xls][입찰안.xls]B_62"/>
      <sheetName val="[입찰안.xls][입찰안.xls][입찰안.xls]B_63"/>
      <sheetName val="[입찰안.xls][입찰안.xls][입찰안.xls]B_64"/>
      <sheetName val="[입찰안.xls][입찰안.xls][입찰안.xls]B_70"/>
      <sheetName val="[입찰안.xls][입찰안.xls][입찰안.xls]B_65"/>
      <sheetName val="[입찰안.xls][입찰안.xls][입찰안.xls]B_66"/>
      <sheetName val="[입찰안.xls][입찰안.xls][입찰안.xls]B_67"/>
      <sheetName val="[입찰안.xls][입찰안.xls][입찰안.xls]B_71"/>
      <sheetName val="[입찰안.xls][입찰안.xls][입찰안.xls]B_69"/>
      <sheetName val="[입찰안.xls][입찰안.xls][입찰안.xls]B_68"/>
      <sheetName val="RAB AR&amp;STR"/>
      <sheetName val="Isolasi Luar Dalam"/>
      <sheetName val="Isolasi Luar"/>
      <sheetName val="Cọc_nhồi"/>
      <sheetName val="Dầm_1"/>
      <sheetName val="Div26 - Elect"/>
      <sheetName val="Phan_tich_ca_may"/>
      <sheetName val="Chenh_lech_ca_may"/>
      <sheetName val="TLg_CN&amp;Laixe"/>
      <sheetName val="TLg_CN&amp;Laixe_(2)"/>
      <sheetName val="TLg_Laitau"/>
      <sheetName val="TLg_Laitau_(2)"/>
      <sheetName val="ጵՈጶsጷ״ጸ_ጿ¬ጿ׭ጊ"/>
      <sheetName val="ጳՈጳsጴsጳ_ጳtጴa"/>
      <sheetName val="ጱՈጼsፍ°ጳࠄጳ_ጴ_ጳ"/>
      <sheetName val="ጳՈጴsጳTጳ_ጴOጵ"/>
      <sheetName val="ጵՈፋsፌ_ጿ᦬ጿeጊ"/>
      <sheetName val="ጴՈጵsጶ_ጷbጸzጿoጿ"/>
      <sheetName val="ጊՈጊsጊ_ጊ_ጱmጲ"/>
      <sheetName val="ጳՈጳsጴiጳtጳ_ጴ5"/>
      <sheetName val="Gia_VLNCMTC"/>
      <sheetName val="Sàn_T1"/>
      <sheetName val="Lỗ_thông_gió"/>
      <sheetName val="Sàn_tầng_01_(_old_)"/>
      <sheetName val="Chiet_tinh_don_gia_CM"/>
      <sheetName val="Measure_1306"/>
      <sheetName val="EE_(3)"/>
      <sheetName val="일위대㐀븁_x005f_x0000__x005f_x0000_退"/>
      <sheetName val="일위대_x005f_x0000__x005f_x0000_Ԁ_x005f_x0000_䀀"/>
      <sheetName val="공기압舓⿫_x005f_x0005_"/>
      <sheetName val="I_설계조_x005f_x0000_"/>
      <sheetName val="조도계산서_(도서_x005f_x0000_"/>
      <sheetName val="주bea_x005f_xdcf0_"/>
      <sheetName val="대_x005f_x0000__x005f_x0000_"/>
      <sheetName val="U.P_Breakdown"/>
      <sheetName val="B-B"/>
      <sheetName val="計算条件"/>
      <sheetName val="8521"/>
      <sheetName val="SITE-E"/>
      <sheetName val="諸経費"/>
      <sheetName val="清水計算営業税率関連"/>
      <sheetName val="General"/>
      <sheetName val="장悱_x0017_"/>
      <sheetName val="GC산출"/>
      <sheetName val="PTDGDT"/>
      <sheetName val="산출0"/>
      <sheetName val="일위대??Ԁ?䀀"/>
      <sheetName val="일위대㐀븁??退"/>
      <sheetName val="I_설계조?"/>
      <sheetName val="조도계산서_(도서?"/>
      <sheetName val="대??"/>
      <sheetName val="Cong"/>
      <sheetName val="VCV-BE-TONG"/>
      <sheetName val="Dulieu"/>
      <sheetName val="BOQ"/>
      <sheetName val="1.R18 BF"/>
      <sheetName val="A"/>
      <sheetName val="G"/>
      <sheetName val="F-B"/>
      <sheetName val="H-J"/>
      <sheetName val="6.External works-R18"/>
      <sheetName val="Bill 01 - CTN"/>
      <sheetName val="TEMP"/>
      <sheetName val="Gia"/>
      <sheetName val="020.235.2363"/>
      <sheetName val="GAEYO"/>
      <sheetName val="직접뀀鞖_"/>
      <sheetName val="CHITIET VL-NC-TT1p"/>
      <sheetName val="Project Infor"/>
      <sheetName val="Data input"/>
      <sheetName val="[입찰안.xls][입찰안.xls][입찰안.xls]B_72"/>
      <sheetName val="[입찰안.xls][입찰안.xls][입찰안.xls]B_73"/>
      <sheetName val="[입찰안.xls][입찰안.xls][입찰안.xls]B_97"/>
      <sheetName val="[입찰안.xls][입찰안.xls][입찰안.xls]B_96"/>
      <sheetName val="[입찰안.xls][입찰안.xls][입찰안.xls]B_95"/>
      <sheetName val="특수선일위대가"/>
      <sheetName val="노임단가 및 기계경비"/>
      <sheetName val="노.표-조"/>
      <sheetName val="표준차도부연장집계-ASP"/>
      <sheetName val="노임변ᡆ콞"/>
      <sheetName val="1-7(재가공내역)"/>
      <sheetName val="[입찰안.xls][입찰안.xls][입찰안.xls]B_76"/>
      <sheetName val="[입찰안.xls][입찰안.xls][입찰안.xls]B_75"/>
      <sheetName val="[입찰안.xls][입찰안.xls][입찰안.xls]B_74"/>
      <sheetName val="[입찰안.xls][입찰안.xls][입찰안.xls]B_77"/>
      <sheetName val="[입찰안.xls][입찰안.xls][입찰안.xls]B_81"/>
      <sheetName val="[입찰안.xls][입찰안.xls][입찰안.xls]B_79"/>
      <sheetName val="[입찰안.xls][입찰안.xls][입찰안.xls]B_78"/>
      <sheetName val="[입찰안.xls][입찰안.xls][입찰안.xls]B_80"/>
      <sheetName val="[입찰안.xls][입찰안.xls][입찰안.xls]B_85"/>
      <sheetName val="[입찰안.xls][입찰안.xls][입찰안.xls]B_82"/>
      <sheetName val="[입찰안.xls][입찰안.xls][입찰안.xls]B_83"/>
      <sheetName val="[입찰안.xls][입찰안.xls][입찰안.xls]B_87"/>
      <sheetName val="[입찰안.xls][입찰안.xls][입찰안.xls]B_88"/>
      <sheetName val="[입찰안.xls][입찰안.xls][입찰안.xls]B_84"/>
      <sheetName val="[입찰안.xls][입찰안.xls][입찰안.xls]B_86"/>
      <sheetName val="[입찰안.xls][입찰안.xls][입찰안.xls]B_90"/>
      <sheetName val="[입찰안.xls][입찰안.xls][입찰안.xls]B_89"/>
      <sheetName val="[입찰안.xls][입찰안.xls][입찰안.xls]B_92"/>
      <sheetName val="[입찰안.xls][입찰안.xls][입찰안.xls]B_91"/>
      <sheetName val="[입찰안.xls][입찰안.xls][입찰안.xls]B_94"/>
      <sheetName val="[입찰안.xls][입찰안.xls][입찰안.xls]B_93"/>
      <sheetName val="토공수량산출"/>
      <sheetName val="토적계산서"/>
      <sheetName val="6-1.보오링(1)"/>
      <sheetName val="심사계산"/>
      <sheetName val="일위대가목록(ems)"/>
      <sheetName val="설명"/>
      <sheetName val="[입찰안.xls][입찰안.xls][입찰안.xls]_102"/>
      <sheetName val="[입찰안.xls][입찰안.xls][입찰안.xls]_110"/>
      <sheetName val="[입찰안.xls][입찰안.xls][입찰안.xls]_107"/>
      <sheetName val="[입찰안.xls][입찰안.xls][입찰안.xls]_101"/>
      <sheetName val="[입찰안.xls][입찰안.xls][입찰안.xls]_104"/>
      <sheetName val="[입찰안.xls][입찰안.xls][입찰안.xls]_103"/>
      <sheetName val="[입찰안.xls][입찰안.xls][입찰안.xls]_106"/>
      <sheetName val="[입찰안.xls][입찰안.xls][입찰안.xls]_105"/>
      <sheetName val="[입찰안.xls][입찰안.xls][입찰안.xls]_108"/>
      <sheetName val="[입찰안.xls][입찰안.xls][입찰안.xls]_109"/>
      <sheetName val="[입찰안.xls][입찰안.xls][입찰안.xls]_111"/>
      <sheetName val="[입찰안.xls][입찰안.xls][입찰안.xls]_118"/>
      <sheetName val="[입찰안.xls][입찰안.xls][입찰안.xls]_115"/>
      <sheetName val="[입찰안.xls][입찰안.xls][입찰안.xls]_116"/>
      <sheetName val="의견양식"/>
      <sheetName val="중기가격"/>
      <sheetName val="[입찰안.xls][입찰안.xls][입찰안.xls]_112"/>
      <sheetName val="PL98"/>
      <sheetName val="bs"/>
      <sheetName val="BSM9601"/>
      <sheetName val="노원열병합__건축공사기성내역_x0000_"/>
      <sheetName val="[입찰안.xls][입찰안.xls][입찰안.xls]_113"/>
      <sheetName val="[입찰안.xls][입찰안.xls][입찰안.xls]_114"/>
      <sheetName val="[입찰안.xls][입찰안.xls][입찰안.xls]_117"/>
      <sheetName val="[입찰안.xls][입찰안.xls][입찰안.xls]_124"/>
      <sheetName val="[입찰안.xls][입찰안.xls][입찰안.xls]_120"/>
      <sheetName val="[입찰안.xls][입찰안.xls][입찰안.xls]_123"/>
      <sheetName val="[입찰안.xls][입찰안.xls][입찰안.xls]_119"/>
      <sheetName val="[입찰안.xls][입찰안.xls][입찰안.xls]_121"/>
      <sheetName val="[입찰안.xls][입찰안.xls][입찰안.xls]_122"/>
      <sheetName val="[입찰안.xls][입찰안.xls][입찰안.xls]_125"/>
      <sheetName val="[입찰안.xls][입찰안.xls][입찰안.xls]_126"/>
      <sheetName val="[입찰안.xls][입찰안.xls][입찰안.xls]_127"/>
      <sheetName val="[입찰안.xls][입찰안.xls][입찰안.xls]_131"/>
      <sheetName val="[입찰안.xls][입찰안.xls][입찰안.xls]_132"/>
      <sheetName val="[입찰안.xls][입찰안.xls][입찰안.xls]_128"/>
      <sheetName val="[입찰안.xls][입찰안.xls][입찰안.xls]_129"/>
      <sheetName val="[입찰안.xls][입찰안.xls][입찰안.xls]_130"/>
      <sheetName val="[입찰안.xls][입찰안.xls][입찰안.xls]_237"/>
      <sheetName val="[입찰안.xls][입찰안.xls][입찰안.xls]_235"/>
      <sheetName val="[입찰안.xls][입찰안.xls][입찰안.xls]_236"/>
      <sheetName val="집계장(뀀ﰡ 縞悧縳"/>
      <sheetName val="집계장(뀀ﰡ_x0000_䀰"/>
      <sheetName val="정리계槜で"/>
      <sheetName val="공기압¬"/>
      <sheetName val="수량산출서집계("/>
      <sheetName val="매각(6)"/>
      <sheetName val="신우"/>
      <sheetName val="집계장(Â_x0000_蠀1_x0000__x0000_"/>
      <sheetName val="내역서(삼호)"/>
      <sheetName val="일위대가ꤥ"/>
      <sheetName val="Requirement(Work Crew)"/>
      <sheetName val="[입찰안.xls][입찰안.xls][입찰안.xls]_154"/>
      <sheetName val="[입찰안.xls][입찰안.xls][입찰안.xls]_150"/>
      <sheetName val="[입찰안.xls][입찰안.xls][입찰안.xls]_138"/>
      <sheetName val="[입찰안.xls][입찰안.xls][입찰안.xls]_139"/>
      <sheetName val="수량산출서집´"/>
      <sheetName val="노임단가(일반)"/>
      <sheetName val="원본자재"/>
      <sheetName val="예산"/>
      <sheetName val="POL6차-PIPÁ_x0000_Ԁ"/>
      <sheetName val="POL6차-PIPⶌ쌈"/>
      <sheetName val="General Data"/>
      <sheetName val="[입찰안.xls][입찰안.xls][입찰안.xls]_134"/>
      <sheetName val="[입찰안.xls][입찰안.xls][입찰안.xls]_137"/>
      <sheetName val="[입찰안.xls][입찰안.xls][입찰안.xls]_136"/>
      <sheetName val="[입찰안.xls][입찰안.xls][입찰안.xls]_133"/>
      <sheetName val="[입찰안.xls][입찰안.xls][입찰안.xls]_135"/>
      <sheetName val="[입찰안.xls][입찰안.xls][입찰안.xls]_140"/>
      <sheetName val="[입찰안.xls][입찰안.xls][입찰안.xls]_141"/>
      <sheetName val="[입찰안.xls][입찰안.xls][입찰안.xls]_143"/>
      <sheetName val="[입찰안.xls][입찰안.xls][입찰안.xls]_142"/>
      <sheetName val="[입찰안.xls][입찰안.xls][입찰안.xls]_147"/>
      <sheetName val="[입찰안.xls][입찰안.xls][입찰안.xls]_144"/>
      <sheetName val="[입찰안.xls][입찰안.xls][입찰안.xls]_145"/>
      <sheetName val="[입찰안.xls][입찰안.xls][입찰안.xls]_146"/>
      <sheetName val="[입찰안.xls][입찰안.xls][입찰안.xls]_148"/>
      <sheetName val="[입찰안.xls][입찰안.xls][입찰안.xls]_149"/>
      <sheetName val="[입찰안.xls][입찰안.xls][입찰안.xls]_160"/>
      <sheetName val="[입찰안.xls][입찰안.xls][입찰안.xls]_157"/>
      <sheetName val="[입찰안.xls][입찰안.xls][입찰안.xls]_151"/>
      <sheetName val="[입찰안.xls][입찰안.xls][입찰안.xls]_152"/>
      <sheetName val="[입찰안.xls][입찰안.xls][입찰안.xls]_153"/>
      <sheetName val="[입찰안.xls][입찰안.xls][입찰안.xls]_155"/>
      <sheetName val="[입찰안.xls][입찰안.xls][입찰안.xls]_156"/>
      <sheetName val="[입찰안.xls][입찰안.xls][입찰안.xls]_158"/>
      <sheetName val="[입찰안.xls][입찰안.xls][입찰안.xls]_159"/>
      <sheetName val="[입찰안.xls][입찰안.xls][입찰안.xls]_168"/>
      <sheetName val="[입찰안.xls][입찰안.xls][입찰안.xls]_161"/>
      <sheetName val="[입찰안.xls][입찰안.xls][입찰안.xls]_162"/>
      <sheetName val="[입찰안.xls][입찰안.xls][입찰안.xls]_163"/>
      <sheetName val="[입찰안.xls][입찰안.xls][입찰안.xls]_164"/>
      <sheetName val="[입찰안.xls][입찰안.xls][입찰안.xls]_165"/>
      <sheetName val="[입찰안.xls][입찰안.xls][입찰안.xls]_166"/>
      <sheetName val="[입찰안.xls][입찰안.xls][입찰안.xls]_167"/>
      <sheetName val="[입찰안.xls][입찰안.xls][입찰안.xls]_170"/>
      <sheetName val="[입찰안.xls][입찰안.xls][입찰안.xls]_169"/>
      <sheetName val="특별땅고르기"/>
      <sheetName val="3련_BÈ_x0000_"/>
      <sheetName val="[입찰안.xls][입찰안.xls][입찰안.xls]_179"/>
      <sheetName val="[입찰안.xls][입찰안.xls][입찰안.xls]_182"/>
      <sheetName val="[입찰안.xls][입찰안.xls][입찰안.xls]_176"/>
      <sheetName val="[입찰안.xls][입찰안.xls][입찰안.xls]_177"/>
      <sheetName val="[입찰안.xls][입찰안.xls][입찰안.xls]_171"/>
      <sheetName val="[입찰안.xls][입찰안.xls][입찰안.xls]_172"/>
      <sheetName val="[입찰안.xls][입찰안.xls][입찰안.xls]_173"/>
      <sheetName val="[입찰안.xls][입찰안.xls][입찰안.xls]_174"/>
      <sheetName val="[입찰안.xls][입찰안.xls][입찰안.xls]_175"/>
      <sheetName val="[입찰안.xls][입찰안.xls][입찰안.xls]_178"/>
      <sheetName val="[입찰안.xls][입찰안.xls][입찰안.xls]_183"/>
      <sheetName val="[입찰안.xls][입찰안.xls][입찰안.xls]_180"/>
      <sheetName val="[입찰안.xls][입찰안.xls][입찰안.xls]_181"/>
      <sheetName val="[입찰안.xls][입찰안.xls][입찰안.xls]_185"/>
      <sheetName val="[입찰안.xls][입찰안.xls][입찰안.xls]_184"/>
      <sheetName val="[입찰안.xls][입찰안.xls][입찰안.xls]_186"/>
      <sheetName val="45,46"/>
      <sheetName val="수지½_x0000_"/>
      <sheetName val="[입찰안.xls][입찰안.xls][입찰안.xls]_187"/>
      <sheetName val="Mc1"/>
      <sheetName val="영창26"/>
      <sheetName val="[입찰안.xls][입찰안.xls][입찰안.xls]_188"/>
      <sheetName val="[입찰안.xls][입찰안.xls][입찰안.xls]_190"/>
      <sheetName val="[입찰안.xls][입찰안.xls][입찰안.xls]_189"/>
      <sheetName val="[입찰안.xls][입찰안.xls][입찰안.xls]_193"/>
      <sheetName val="[입찰안.xls][입찰안.xls][입찰안.xls]_192"/>
      <sheetName val="[입찰안.xls][입찰안.xls][입찰안.xls]_191"/>
      <sheetName val="[입찰안.xls][입찰안.xls][입찰안.xls]_216"/>
      <sheetName val="[입찰안.xls][입찰안.xls][입찰안.xls]_215"/>
      <sheetName val="[입찰안.xls][입찰안.xls][입찰안.xls]_195"/>
      <sheetName val="[입찰안.xls][입찰안.xls][입찰안.xls]_194"/>
      <sheetName val="[입찰안.xls][입찰안.xls][입찰안.xls]_196"/>
      <sheetName val="[입찰안.xls][입찰안.xls][입찰안.xls]_202"/>
      <sheetName val="[입찰안.xls][입찰안.xls][입찰안.xls]_201"/>
      <sheetName val="[입찰안.xls][입찰안.xls][입찰안.xls]_200"/>
      <sheetName val="[입찰안.xls][입찰안.xls][입찰안.xls]_197"/>
      <sheetName val="[입찰안.xls][입찰안.xls][입찰안.xls]_198"/>
      <sheetName val="[입찰안.xls][입찰안.xls][입찰안.xls]_199"/>
      <sheetName val="[입찰안.xls][입찰안.xls][입찰안.xls]_203"/>
      <sheetName val="[입찰안.xls][입찰안.xls][입찰안.xls]_204"/>
      <sheetName val="[입찰안.xls][입찰안.xls][입찰안.xls]_205"/>
      <sheetName val="[입찰안.xls][입찰안.xls][입찰안.xls]_206"/>
      <sheetName val="[입찰안.xls][입찰안.xls][입찰안.xls]_207"/>
      <sheetName val="[입찰안.xls][입찰안.xls][입찰안.xls]_212"/>
      <sheetName val="[입찰안.xls][입찰안.xls][입찰안.xls]_213"/>
      <sheetName val="[입찰안.xls][입찰안.xls][입찰안.xls]_208"/>
      <sheetName val="[입찰안.xls][입찰안.xls][입찰안.xls]_209"/>
      <sheetName val="[입찰안.xls][입찰안.xls][입찰안.xls]_210"/>
      <sheetName val="[입찰안.xls][입찰안.xls][입찰안.xls]_211"/>
      <sheetName val="[입찰안.xls][입찰안.xls][입찰안.xls]_214"/>
      <sheetName val="[입찰안.xls][입찰안.xls][입찰안.xls]_219"/>
      <sheetName val="[입찰안.xls][입찰안.xls][입찰안.xls]_222"/>
      <sheetName val="[입찰안.xls][입찰안.xls][입찰안.xls]_220"/>
      <sheetName val="[입찰안.xls][입찰안.xls][입찰안.xls]_217"/>
      <sheetName val="[입찰안.xls][입찰안.xls][입찰안.xls]_218"/>
      <sheetName val="[입찰안.xls][입찰안.xls][입찰안.xls]_223"/>
      <sheetName val="[입찰안.xls][입찰안.xls][입찰안.xls]_224"/>
      <sheetName val="[입찰안.xls][입찰안.xls][입찰안.xls]_221"/>
      <sheetName val="[입찰안.xls][입찰안.xls][입찰안.xls]_225"/>
      <sheetName val="[입찰안.xls][입찰안.xls][입찰안.xls]_227"/>
      <sheetName val="[입찰안.xls][입찰안.xls][입찰안.xls]_226"/>
      <sheetName val="[입찰안.xls][입찰안.xls][입찰안.xls]_228"/>
      <sheetName val="[입찰안.xls][입찰안.xls][입찰안.xls]_229"/>
      <sheetName val="[입찰안.xls][입찰안.xls][입찰안.xls]_230"/>
      <sheetName val="[입찰안.xls][입찰안.xls][입찰안.xls]_234"/>
      <sheetName val="[입찰안.xls][입찰안.xls][입찰안.xls]_232"/>
      <sheetName val="[입찰안.xls][입찰안.xls][입찰안.xls]_231"/>
      <sheetName val="[입찰안.xls][입찰안.xls][입찰안.xls]_233"/>
      <sheetName val="원본(갑지)"/>
      <sheetName val="전신"/>
      <sheetName val="외주정비"/>
      <sheetName val="A LINE"/>
      <sheetName val="비용"/>
      <sheetName val="Cable임피던스"/>
      <sheetName val="전사계"/>
      <sheetName val="휴가비,급량비"/>
      <sheetName val="AS접수관리"/>
      <sheetName val="장_x0000__x0000_Ԁ"/>
      <sheetName val="MATRLDATA"/>
      <sheetName val="정리계槜〩_x0000__x0000_８"/>
      <sheetName val="사  업  비  수  지  예  산  서"/>
      <sheetName val="[입찰안.xls][입찰안.xls][입찰안.xls]___4"/>
      <sheetName val="O＆P"/>
      <sheetName val="0001new"/>
      <sheetName val="design_c_x0000__x0000_Ȑꙭî_x0000_"/>
      <sheetName val="[입찰안.xls][입찰안.xls][입찰안.xls]_249"/>
      <sheetName val="판매시설"/>
      <sheetName val="급여대장(입력용)"/>
      <sheetName val="성명데이터"/>
      <sheetName val="[입찰안.xls][입찰안.xls][입찰안.xls]_238"/>
      <sheetName val="[입찰안.xls][입찰안.xls][입찰안.xls]_239"/>
      <sheetName val="[입찰안.xls][입찰안.xls][입찰안.xls]_241"/>
      <sheetName val="[입찰안.xls][입찰안.xls][입찰안.xls]_240"/>
      <sheetName val="[입찰안.xls][입찰안.xls][입찰안.xls]_243"/>
      <sheetName val="[입찰안.xls][입찰안.xls][입찰안.xls]_242"/>
      <sheetName val="[입찰안.xls][입찰안.xls][입찰안.xls]_244"/>
      <sheetName val="[입찰안.xls][입찰안.xls][입찰안.xls]_245"/>
      <sheetName val="[입찰안.xls][입찰안.xls][입찰안.xls]_246"/>
      <sheetName val="[입찰안.xls][입찰안.xls][입찰안.xls]_247"/>
      <sheetName val="[입찰안.xls][입찰안.xls][입찰안.xls]_248"/>
      <sheetName val="[입찰안.xls][입찰안.xls][입찰안.xls]_251"/>
      <sheetName val="[입찰안.xls][입찰안.xls][입찰안.xls]_252"/>
      <sheetName val="[입찰안.xls][입찰안.xls][입찰안.xls]_250"/>
      <sheetName val="[입찰안.xls][입찰안.xls][입찰안.xls]_253"/>
      <sheetName val="[입찰안.xls][입찰안.xls][입찰안.xls]_254"/>
      <sheetName val="[입찰안.xls][입찰안.xls][입찰안.xls]_255"/>
      <sheetName val="[입찰안.xls][입찰안.xls][입찰안.xls]_256"/>
      <sheetName val="[입찰안.xls][입찰안.xls][입찰안.xls]_257"/>
      <sheetName val="[입찰안.xls][입찰안.xls][입찰안.xls]_277"/>
      <sheetName val="[입찰안.xls][입찰안.xls][입찰안.xls]_276"/>
      <sheetName val="[입찰안.xls][입찰안.xls][입찰안.xls]_260"/>
      <sheetName val="[입찰안.xls][입찰안.xls][입찰안.xls]_258"/>
      <sheetName val="[입찰안.xls][입찰안.xls][입찰안.xls]_259"/>
      <sheetName val="[입찰안.xls][입찰안.xls][입찰안.xls]_273"/>
      <sheetName val="[입찰안.xls][입찰안.xls][입찰안.xls]_275"/>
      <sheetName val="[입찰안.xls][입찰안.xls][입찰안.xls]_274"/>
      <sheetName val="[입찰안.xls][입찰안.xls][입찰안.xls]_261"/>
      <sheetName val="공기압᪬቙԰"/>
      <sheetName val="[입찰안.xls][입찰안.xls][입찰안.xls]_265"/>
      <sheetName val="[입찰안.xls][입찰안.xls][입찰안.xls]_267"/>
      <sheetName val="기계경비시간당손료목록"/>
      <sheetName val="내역_ver1_"/>
      <sheetName val="내역_ver1_뀀"/>
      <sheetName val="POL6차-PIPÁ"/>
      <sheetName val="Sheet2 (2)"/>
      <sheetName val="[입찰안.xls][입찰안.xls][입찰안.xls]_262"/>
      <sheetName val="stability_xdc00_䘢䠂檱䠛檳"/>
      <sheetName val="[입찰안.xls][입찰안.xls][입찰안.xls]_263"/>
      <sheetName val="[입찰안.xls][입찰안.xls][입찰안.xls]_264"/>
      <sheetName val="[입찰안.xls][입찰안.xls][입찰안.xls]_266"/>
      <sheetName val="[입찰안.xls][입찰안.xls][입찰안.xls]_268"/>
      <sheetName val="[입찰안.xls][입찰안.xls][입찰안.xls]_269"/>
      <sheetName val="[입찰안.xls][입찰안.xls][입찰안.xls]_271"/>
      <sheetName val="[입찰안.xls][입찰안.xls][입찰안.xls]_270"/>
      <sheetName val="[입찰안.xls][입찰안.xls][입찰안.xls]_272"/>
      <sheetName val="본실행경비"/>
      <sheetName val="일위대가(집계刀"/>
      <sheetName val="교대(A1-A2)"/>
      <sheetName val="Sheet15"/>
      <sheetName val="[입찰안.xls][입찰안.xls][입찰안.xls]_279"/>
      <sheetName val="[입찰안.xls][입찰안.xls][입찰안.xls]_278"/>
      <sheetName val="경서-통신"/>
      <sheetName val="정산변경"/>
      <sheetName val="홈용접표"/>
      <sheetName val="cov-estimate"/>
      <sheetName val="BMS"/>
      <sheetName val="入力作成表"/>
      <sheetName val="_입찰안.xls_직접뀀鞖_"/>
      <sheetName val="_입찰안.xls__입찰안.xls_직접뀀鞖_"/>
      <sheetName val="결재_x005f_x0000_"/>
      <sheetName val="Btra"/>
      <sheetName val="bang TH"/>
      <sheetName val="전기혼잡제경⻉ⴋԯ"/>
      <sheetName val="pile_bearing_ca怀꿟세"/>
      <sheetName val="[입찰안.xls][입찰안.xls][입찰안.xls]_282"/>
      <sheetName val="[입찰안.xls][입찰안.xls][입찰안.xls]_280"/>
      <sheetName val="정리계㑸4鉨M槜"/>
      <sheetName val="[입찰안.xls][입찰안.xls][입찰안.xls]_281"/>
      <sheetName val="[입찰안.xls][입찰안.xls][입찰안.xls]_283"/>
      <sheetName val="[입찰안.xls][입찰안.xls][입찰안.xls]_285"/>
      <sheetName val="[입찰안.xls][입찰안.xls][입찰안.xls]_286"/>
      <sheetName val="[입찰안.xls][입찰안.xls][입찰안.xls]_284"/>
      <sheetName val="[입찰안.xls][입찰안.xls][입찰안.xls]_287"/>
      <sheetName val="[입찰안.xls][입찰안.xls][입찰안.xls]_288"/>
      <sheetName val="[입찰안.xls][입찰안.xls][입찰안.xls]_289"/>
      <sheetName val="401"/>
      <sheetName val="[입찰안.xls][입찰안.xls][입찰안.xls]_290"/>
      <sheetName val="[입찰안.xls][입찰안.xls][입찰안.xls]_292"/>
      <sheetName val="[입찰안.xls][입찰안.xls][입찰안.xls]_291"/>
      <sheetName val="[입찰안.xls][입찰안.xls][입찰안.xls]_293"/>
      <sheetName val="[입찰안.xls][입찰안.xls][입찰안.xls]_295"/>
      <sheetName val="[입찰안.xls][입찰안.xls][입찰안.xls]_294"/>
      <sheetName val="표준항목"/>
      <sheetName val="[입찰안.xls][입찰안.xls][입찰안.xls]_296"/>
      <sheetName val="[입찰안.xls][입찰안.xls][입찰안.xls]_317"/>
      <sheetName val="[입찰안.xls][입찰안.xls][입찰안.xls]_316"/>
      <sheetName val="[입찰안.xls][입찰안.xls][입찰안.xls]_303"/>
      <sheetName val="SORCE1"/>
      <sheetName val="[입찰안.xls][입찰안.xls][입찰안.xls]_297"/>
      <sheetName val="[입찰안.xls][입찰안.xls][입찰안.xls]_298"/>
      <sheetName val="[입찰안.xls][입찰안.xls][입찰안.xls]_300"/>
      <sheetName val="[입찰안.xls][입찰안.xls][입찰안.xls]_299"/>
      <sheetName val="[입찰안.xls][입찰안.xls][입찰안.xls]___5"/>
      <sheetName val="[입찰안.xls][입찰안.xls][입찰안.xls]___6"/>
      <sheetName val="[입찰안.xls][입찰안_xls]직접뀀鞖/"/>
      <sheetName val="[입찰안.xls][입찰안_xls][입찰안_xls]___2"/>
      <sheetName val="[입찰안.xls][입찰안.xls][입찰안.xls]_301"/>
      <sheetName val="[입찰안.xls][입찰안.xls][입찰안.xls]_302"/>
      <sheetName val="[입찰안.xls][입찰안.xls][입찰안.xls]_315"/>
      <sheetName val="[입찰안.xls][입찰안.xls][입찰안.xls]_314"/>
      <sheetName val="[입찰안.xls][입찰안.xls][입찰안.xls]_311"/>
      <sheetName val="[입찰안.xls][입찰안.xls][입찰안.xls]_309"/>
      <sheetName val="_HIT__HMC_견_x0000__x0000__x0005__x0000_ꉀ펔ɠ"/>
      <sheetName val="[입찰안.xls][입찰안.xls][입찰안.xls]_305"/>
      <sheetName val="[입찰안.xls][입찰안.xls][입찰안.xls]_304"/>
      <sheetName val="[입찰안.xls][입찰안.xls][입찰안.xls]_306"/>
      <sheetName val="[입찰안.xls][입찰안.xls][입찰안.xls]_307"/>
      <sheetName val="[입찰안.xls][입찰안.xls][입찰안.xls]_308"/>
      <sheetName val="[입찰안.xls][입찰안.xls][입찰안.xls]_310"/>
      <sheetName val="[입찰안.xls][입찰안.xls][입찰안.xls]_312"/>
      <sheetName val="[입찰안.xls][입찰안.xls][입찰안.xls]_313"/>
      <sheetName val="[입찰안.xls][입찰안.xls][입찰안.xls]_327"/>
      <sheetName val="[입찰안.xls][입찰안.xls][입찰안.xls]_318"/>
      <sheetName val="[입찰안.xls][입찰안.xls][입찰안.xls]_319"/>
      <sheetName val="[입찰안.xls][입찰안.xls][입찰안.xls]_320"/>
      <sheetName val="[입찰안.xls][입찰안.xls][입찰안.xls]_321"/>
      <sheetName val="[입찰안.xls][입찰안.xls][입찰안.xls]_322"/>
      <sheetName val="[입찰안.xls][입찰안.xls][입찰안.xls]_323"/>
      <sheetName val="[입찰안.xls][입찰안.xls][입찰안.xls]_324"/>
      <sheetName val="[입찰안.xls][입찰안.xls][입찰안.xls]_325"/>
      <sheetName val="[입찰안.xls][입찰안.xls][입찰안.xls]_326"/>
      <sheetName val="[입찰안.xls][입찰안.xls][입찰안.xls]_328"/>
      <sheetName val="자가"/>
      <sheetName val="정리계_x0000__x0000__x0005__x0000_앀"/>
      <sheetName val="정리계_x0000__x0000__x0005__x0000__xde00_"/>
      <sheetName val="정리계_x0000__x0000__x0005__x0000_"/>
      <sheetName val="공기압淀퍦"/>
      <sheetName val="골재"/>
      <sheetName val="원도_x0000_"/>
      <sheetName val="공통உ"/>
      <sheetName val="Phan tho"/>
      <sheetName val="Data-year2001i"/>
      <sheetName val="Tien Thuong"/>
      <sheetName val="NC XL 6T cuoi 01 CTy"/>
      <sheetName val="Data -6T dau"/>
      <sheetName val="Cong 6T"/>
      <sheetName val="SUMMARY"/>
      <sheetName val="운반비(시흥)"/>
      <sheetName val="600(3)a"/>
      <sheetName val="인건비(환율)"/>
      <sheetName val="기계경비"/>
      <sheetName val="リスト"/>
      <sheetName val="절대지우지말것"/>
      <sheetName val="1안98Billing"/>
      <sheetName val="VL"/>
      <sheetName val="정리계槜〽_x0000__x0000_ｐ"/>
      <sheetName val="F_D SEC. PROP"/>
      <sheetName val="새로이 설치할 정비기반시설 조서 나번 (2)"/>
      <sheetName val="소화"/>
      <sheetName val="구조물집계"/>
      <sheetName val="토공집계"/>
      <sheetName val="한³_x0000__x0000_"/>
      <sheetName val="공사직종별노임"/>
      <sheetName val="[입찰안.xls][입찰안.xls][입찰안.xls]_331"/>
      <sheetName val="[입찰안.xls][입찰안.xls][입찰안.xls]_329"/>
      <sheetName val="[입찰안.xls][입찰안.xls][입찰안.xls]_330"/>
      <sheetName val="조도계산서Ì"/>
      <sheetName val="plan&amp;section_of勉_x0010_"/>
      <sheetName val="54಺潭"/>
      <sheetName val="서울대규장각(가시설흙막이)"/>
      <sheetName val="주소"/>
      <sheetName val="판"/>
      <sheetName val="[입찰안.xls][입찰안.xls][입찰안.xls]_332"/>
      <sheetName val="[입찰안.xls][입찰안.xls][입찰안.xls]_336"/>
      <sheetName val="[입찰안.xls][입찰안.xls][입찰안.xls]_333"/>
      <sheetName val="[입찰안.xls][입찰안.xls][입찰안.xls]_334"/>
      <sheetName val="[입찰안.xls][입찰안.xls][입찰안.xls]_335"/>
      <sheetName val="[입찰안.xls][입찰안.xls][입찰안.xls]_338"/>
      <sheetName val="[입찰안.xls][입찰안.xls][입찰안.xls]_337"/>
      <sheetName val="[입찰안.xls][입찰안.xls][입찰안.xls]_339"/>
      <sheetName val="[입찰안.xls][입찰안.xls][입찰안.xls]_340"/>
      <sheetName val="[입찰안.xls][입찰안.xls][입찰안.xls]_341"/>
      <sheetName val="[입찰안.xls][입찰안.xls][입찰안.xls]_346"/>
      <sheetName val="[입찰안.xls][입찰안.xls][입찰안.xls]_342"/>
      <sheetName val="[입찰안.xls][입찰안.xls][입찰안.xls]_343"/>
      <sheetName val="[입찰안.xls][입찰안.xls][입찰안.xls]_344"/>
      <sheetName val="[입찰안.xls][입찰안.xls][입찰안.xls]_345"/>
      <sheetName val="[입찰안.xls][입찰안.xls][입찰안.xls]_386"/>
      <sheetName val="[입찰안.xls][입찰안.xls][입찰안.xls]_387"/>
      <sheetName val="[입찰안.xls][입찰안.xls][입찰안.xls]_388"/>
      <sheetName val="3련_B胔Ẩ"/>
      <sheetName val="3련_B˔_x0000_"/>
      <sheetName val="3련_B㷔₼"/>
      <sheetName val="3련_B㷔嚼"/>
      <sheetName val="[입찰안_xls][입찰안_xls][입찰안_xls]B_17"/>
      <sheetName val="[입찰안_xls][입찰안_xls][입찰안_xls]B__5"/>
      <sheetName val="[입찰안_xls][입찰안_xls][입찰안_xls]B__8"/>
      <sheetName val="[입찰안_xls][입찰안_xls][입찰안_xls]B__6"/>
      <sheetName val="[입찰안_xls][입찰안_xls][입찰안_xls]B_23"/>
      <sheetName val="[입찰안_xls][입찰안_xls][입찰안_xls]B__7"/>
      <sheetName val="[입찰안_xls][입찰안_xls][입찰안_xls]B__9"/>
      <sheetName val="[입찰안_xls][입찰안_xls][입찰안_xls]B_10"/>
      <sheetName val="[입찰안_xls][입찰안_xls][입찰안_xls]B_11"/>
      <sheetName val="[입찰안_xls][입찰안_xls][입찰안_xls]B_12"/>
      <sheetName val="[입찰안_xls][입찰안_xls][입찰안_xls]B_13"/>
      <sheetName val="[입찰안_xls][입찰안_xls][입찰안_xls]B_14"/>
      <sheetName val="[입찰안_xls][입찰안_xls][입찰안_xls]B_15"/>
      <sheetName val="[입찰안_xls][입찰안_xls][입찰안_xls]B_16"/>
      <sheetName val="[입찰안_xls][입찰안_xls][입찰안_xls]B_18"/>
      <sheetName val="[입찰안_xls][입찰안_xls][입찰안_xls]B_19"/>
      <sheetName val="[입찰안_xls][입찰안_xls][입찰안_xls]B_20"/>
      <sheetName val="[입찰안_xls][입찰안_xls][입찰안_xls]B_21"/>
      <sheetName val="[입찰안_xls][입찰안_xls][입찰안_xls]B_22"/>
      <sheetName val="[입찰안_xls][입찰안_xls][입찰안_xls]B_25"/>
      <sheetName val="[입찰안_xls][입찰안_xls][입찰안_xls]B_24"/>
      <sheetName val="[입찰안_xls][입찰안_xls][입찰안_xls]B_26"/>
      <sheetName val="[입찰안_xls][입찰안_xls][입찰안_xls]B_27"/>
      <sheetName val="콘크리트"/>
      <sheetName val="토공분배표"/>
      <sheetName val="preface"/>
      <sheetName val="SCH"/>
      <sheetName val="#2 노임단가"/>
      <sheetName val="엔지니어링"/>
      <sheetName val="공기압郀傲2"/>
      <sheetName val="KH-Q1,Q2,01"/>
      <sheetName val="KC-moi"/>
      <sheetName val="Areas"/>
      <sheetName val="BQ-E20-02(Rp)"/>
      <sheetName val="Khoi luong"/>
      <sheetName val="XL4Poppy"/>
      <sheetName val="조달단가"/>
      <sheetName val="금강견적"/>
      <sheetName val="6__안전관_x0000__x0000_"/>
      <sheetName val="B__2"/>
      <sheetName val="B__3"/>
      <sheetName val="___2"/>
      <sheetName val="B__4"/>
      <sheetName val="B__5"/>
      <sheetName val="B__6"/>
      <sheetName val="B__7"/>
      <sheetName val="B__8"/>
      <sheetName val="B_14"/>
      <sheetName val="B__9"/>
      <sheetName val="B_10"/>
      <sheetName val="B_11"/>
      <sheetName val="B_12"/>
      <sheetName val="B_13"/>
      <sheetName val="B_15"/>
      <sheetName val="B_16"/>
      <sheetName val="B_17"/>
      <sheetName val="B_18"/>
      <sheetName val="B_23"/>
      <sheetName val="B_19"/>
      <sheetName val="B_20"/>
      <sheetName val="B_21"/>
      <sheetName val="B_22"/>
      <sheetName val="B_25"/>
      <sheetName val="B_24"/>
      <sheetName val="B_26"/>
      <sheetName val="B_27"/>
      <sheetName val="___3"/>
      <sheetName val="B_60"/>
      <sheetName val="B_54"/>
      <sheetName val="B_53"/>
      <sheetName val="B_44"/>
      <sheetName val="B_33"/>
      <sheetName val="B_31"/>
      <sheetName val="B_30"/>
      <sheetName val="B_29"/>
      <sheetName val="B_28"/>
      <sheetName val="B_35"/>
      <sheetName val="B_32"/>
      <sheetName val="B_40"/>
      <sheetName val="B_34"/>
      <sheetName val="B_41"/>
      <sheetName val="B_36"/>
      <sheetName val="B_37"/>
      <sheetName val="B_42"/>
      <sheetName val="B_38"/>
      <sheetName val="B_39"/>
      <sheetName val="B_43"/>
      <sheetName val="B_47"/>
      <sheetName val="B_45"/>
      <sheetName val="B_48"/>
      <sheetName val="B_46"/>
      <sheetName val="B_51"/>
      <sheetName val="B_50"/>
      <sheetName val="B_49"/>
      <sheetName val="B_52"/>
      <sheetName val="B_55"/>
      <sheetName val="B_57"/>
      <sheetName val="B_58"/>
      <sheetName val="B_56"/>
      <sheetName val="B_59"/>
      <sheetName val="B_62"/>
      <sheetName val="B_61"/>
      <sheetName val="B_63"/>
      <sheetName val="B_64"/>
      <sheetName val="B_65"/>
      <sheetName val="B_66"/>
      <sheetName val="RD제품개발투자비(매가)"/>
      <sheetName val="전체수량집계"/>
      <sheetName val="co-no.2"/>
      <sheetName val="건ꗝ"/>
      <sheetName val="건Ȍ"/>
      <sheetName val="조경수_x0000_"/>
      <sheetName val="DTICH (Full)"/>
      <sheetName val="DGG"/>
      <sheetName val="DTICH(FDC)"/>
      <sheetName val="_입찰안.xls__입찰안.xls__입찰안.xls____2"/>
      <sheetName val="_입찰안.xls__입찰안.xls__입찰안.xls____3"/>
      <sheetName val="일위대__Ԁ_䀀"/>
      <sheetName val="일위대㐀븁__退"/>
      <sheetName val="I_설계조_"/>
      <sheetName val="조도계산서_(도서_"/>
      <sheetName val="대__"/>
      <sheetName val="Girder"/>
      <sheetName val="ctTBA"/>
      <sheetName val="escon"/>
      <sheetName val="총원가계산서(요율)"/>
      <sheetName val="Data_Store"/>
      <sheetName val="Master"/>
      <sheetName val="TinhGiaNC"/>
      <sheetName val="Cost factor"/>
      <sheetName val="Info"/>
      <sheetName val="Item list"/>
      <sheetName val="Sheet Template Empty"/>
      <sheetName val="TSO_CHUNG"/>
      <sheetName val="COST SUMMARY"/>
      <sheetName val="P"/>
      <sheetName val="5호광장_(만점)8"/>
      <sheetName val="인천국제_(만점)_(2)8"/>
      <sheetName val="Total_단위경유량집계8"/>
      <sheetName val="BH-1_(2)8"/>
      <sheetName val="표__지8"/>
      <sheetName val="준검_내역서8"/>
      <sheetName val="토공유동표(전체_당초)8"/>
      <sheetName val="1_수인터널8"/>
      <sheetName val="앉음벽_(2)8"/>
      <sheetName val="_HIT__HMC_견적_3900_8"/>
      <sheetName val="I_설계조건8"/>
      <sheetName val="4_전기8"/>
      <sheetName val="1_설계조건8"/>
      <sheetName val="소포내역_(2)8"/>
      <sheetName val="7__현장관리비_8"/>
      <sheetName val="6__안전관리비8"/>
      <sheetName val="노원열병합__건축공사기성내역서8"/>
      <sheetName val="조도계산서_(도서)8"/>
      <sheetName val="3련_BOX8"/>
      <sheetName val="11_산출(전열)8"/>
      <sheetName val="6_산출(동력)8"/>
      <sheetName val="7_산출(TRAY)8"/>
      <sheetName val="5_산출(전력)7"/>
      <sheetName val="수량산출서(전력간선_지하D_C)7"/>
      <sheetName val="MSS_28"/>
      <sheetName val="우수관매설및_우수받이8"/>
      <sheetName val="11_우각부_보강8"/>
      <sheetName val="제출내역_(2)8"/>
      <sheetName val="플랜트_설치7"/>
      <sheetName val="보고서_기기리스트7"/>
      <sheetName val="2_1__노무비_평균단가산출7"/>
      <sheetName val="내역_ver1_08"/>
      <sheetName val="내___역7"/>
      <sheetName val="plan&amp;section_of_foundation8"/>
      <sheetName val="pile_bearing_capa_&amp;_arrenge8"/>
      <sheetName val="working_load_at_the_btm_ft_8"/>
      <sheetName val="stability_check8"/>
      <sheetName val="design_criteria8"/>
      <sheetName val="배수내역_(2)7"/>
      <sheetName val="배수공_시멘트_및_골재량_산출7"/>
      <sheetName val="A_견적7"/>
      <sheetName val="BH_1__2_7"/>
      <sheetName val="8_현장관리비7"/>
      <sheetName val="7_안전관리비7"/>
      <sheetName val="SHEET_PILE단가7"/>
      <sheetName val="_HIT-&gt;HMC_견적(3900)7"/>
      <sheetName val="6PILE__(돌출)7"/>
      <sheetName val="세골재__T2_변경_현황7"/>
      <sheetName val="전_기7"/>
      <sheetName val="spc_배관견적7"/>
      <sheetName val="목차_7"/>
      <sheetName val="화재_탐지_설비7"/>
      <sheetName val="1_설계기준7"/>
      <sheetName val="귀래_설계_공내역서7"/>
      <sheetName val="unit_47"/>
      <sheetName val="Customer_Databas7"/>
      <sheetName val="1_취수장7"/>
      <sheetName val="2차전체변경예정_(2)7"/>
      <sheetName val="개인별_순위표7"/>
      <sheetName val="도담구내_개소별_명세7"/>
      <sheetName val="설_계7"/>
      <sheetName val="Cash_Flow-17"/>
      <sheetName val="3_1공사현황_공정표7"/>
      <sheetName val="노임_단가7"/>
      <sheetName val="投标材料清单_7"/>
      <sheetName val="내역서_7"/>
      <sheetName val="집_계_표7"/>
      <sheetName val="별표_7"/>
      <sheetName val="3_공통공사대비7"/>
      <sheetName val="6__수량산출서6"/>
      <sheetName val="노임단가_(2)7"/>
      <sheetName val="단___산6"/>
      <sheetName val="실____단6"/>
      <sheetName val="단가_및_재료비7"/>
      <sheetName val="7_공정표7"/>
      <sheetName val="단면_(2)7"/>
      <sheetName val="장비비_명세서17"/>
      <sheetName val="노무비_근거6"/>
      <sheetName val="RETAIL_(ABOVE)7"/>
      <sheetName val="5__현장관리비(new)_7"/>
      <sheetName val="제수변_수량집계표(보통)6"/>
      <sheetName val="2_대외공문7"/>
      <sheetName val="_갑지6"/>
      <sheetName val="5_동별횡주관경6"/>
      <sheetName val="장비_(2)6"/>
      <sheetName val="전선_및_전선관6"/>
      <sheetName val="3BL공동구_수량6"/>
      <sheetName val="기성(1차)_5"/>
      <sheetName val="Eq__Mobilization7"/>
      <sheetName val="Sheet1_(2)6"/>
      <sheetName val="습식및_셀프레벨링6"/>
      <sheetName val="1차_내역서6"/>
      <sheetName val="BSD_(2)5"/>
      <sheetName val="바_한일양산5"/>
      <sheetName val="Project_Brief5"/>
      <sheetName val="영업_일15"/>
      <sheetName val="기기_내역서5"/>
      <sheetName val="CM_16"/>
      <sheetName val="일위대가56-1_5"/>
      <sheetName val="일위대가71-1_5"/>
      <sheetName val="일위대가74-1_5"/>
      <sheetName val="일위대가76-1_5"/>
      <sheetName val="일위대가77-1_5"/>
      <sheetName val="일위대가78-1_5"/>
      <sheetName val="_소방공사_산출근거5"/>
      <sheetName val="내역서1999_8최종6"/>
      <sheetName val="전사_(2)5"/>
      <sheetName val="BA_(2)5"/>
      <sheetName val="CP_(2)5"/>
      <sheetName val="암거_제원표6"/>
      <sheetName val="수량산출서_(2)5"/>
      <sheetName val="토공_total5"/>
      <sheetName val="참조_(2)6"/>
      <sheetName val="일위대가_6"/>
      <sheetName val="4_LINE6"/>
      <sheetName val="7_th6"/>
      <sheetName val="1_CB5"/>
      <sheetName val="변경명신물량_(2)5"/>
      <sheetName val="기존단가_(2)5"/>
      <sheetName val="토공_토적표5"/>
      <sheetName val="아파트_4"/>
      <sheetName val="갑지_을지4"/>
      <sheetName val="유효폭의_계산4"/>
      <sheetName val="도담구내_개소별_명柖6"/>
      <sheetName val="danh_muc_vat_tu6"/>
      <sheetName val="Register-BG_NCC6"/>
      <sheetName val="Data_26"/>
      <sheetName val="TB_chính6"/>
      <sheetName val="Steel_pipe6"/>
      <sheetName val="Ref_pipe+Ins6"/>
      <sheetName val="Plastic_pipe6"/>
      <sheetName val="Air_Grilles6"/>
      <sheetName val="Cost_bd-&quot;A&quot;6"/>
      <sheetName val="2-2_매출분석4"/>
      <sheetName val="표지_(2)4"/>
      <sheetName val="미납품_현황4"/>
      <sheetName val="STEEL_BOX_단면설계(SEC_8)4"/>
      <sheetName val="갑지_설계_내역서4"/>
      <sheetName val="2_단면가정_(양곡1교)4"/>
      <sheetName val="1_내역(청_하역장전등)4"/>
      <sheetName val="자격_땡겨오기4"/>
      <sheetName val="설명서_4"/>
      <sheetName val="05년_상4"/>
      <sheetName val="영흥TL(UP,DOWN)_4"/>
      <sheetName val="_견적서4"/>
      <sheetName val="단양_00_아파트-세부내역4"/>
      <sheetName val="ITB_COST4"/>
      <sheetName val="4_2_1_마루높이_검토4"/>
      <sheetName val="8_PILE__(돌출)4"/>
      <sheetName val="4__VOs_summary5"/>
      <sheetName val="Chiet_tinh_dz355"/>
      <sheetName val="자재기성_신청서_xlsx3"/>
      <sheetName val="내역(인테리어_실내)(도급)3"/>
      <sheetName val="내역(인테리어_실외)(도급)3"/>
      <sheetName val="2000_053"/>
      <sheetName val="장비코드표_0506013"/>
      <sheetName val="2007년_생산1부장비3"/>
      <sheetName val="2008년_생산부전장비코드3"/>
      <sheetName val="DDB부_장비_관리현황3"/>
      <sheetName val="Xunit_(단위환산)3"/>
      <sheetName val="수량산출서_갑지4"/>
      <sheetName val="_FURNACE현설3"/>
      <sheetName val="97_사업추정(WEKI)3"/>
      <sheetName val="TABLE_DB3"/>
      <sheetName val="쌍용_data_base3"/>
      <sheetName val="8_설치품셈3"/>
      <sheetName val="DATA_LISTS3"/>
      <sheetName val="19_07월_세_계3"/>
      <sheetName val="19_07항목별(시트복사금지100번쓰기)3"/>
      <sheetName val="19_05월3"/>
      <sheetName val="품셈_3"/>
      <sheetName val="M-EMS_GP-570(BIT)3"/>
      <sheetName val="내역서_제출4"/>
      <sheetName val="0_목록13"/>
      <sheetName val="Bảng_mã_VT5"/>
      <sheetName val="중기조종사_단위단가3"/>
      <sheetName val="Elec_LG3"/>
      <sheetName val="ESTI_3"/>
      <sheetName val="D_&amp;_W_sizes3"/>
      <sheetName val="Gia_vat_tu3"/>
      <sheetName val="dtct_cong3"/>
      <sheetName val="DGCT_(01)2"/>
      <sheetName val="SCOPE_OF_WORK2"/>
      <sheetName val="Chi_tiet2"/>
      <sheetName val="nhôm_1,2mm2"/>
      <sheetName val="nhôm_1,4mm2"/>
      <sheetName val="01__DATA2"/>
      <sheetName val="So_sanh2"/>
      <sheetName val="[입찰안_xls][입찰안_xls][입찰안_xls]B_28"/>
      <sheetName val="[입찰안_xls][입찰안_xls][입찰안_xls]B_29"/>
      <sheetName val="[입찰안_xls][입찰안_xls][입찰안_xls]B_30"/>
      <sheetName val="Phan_tich_ca_may1"/>
      <sheetName val="Chenh_lech_ca_may1"/>
      <sheetName val="TLg_CN&amp;Laixe1"/>
      <sheetName val="TLg_CN&amp;Laixe_(2)1"/>
      <sheetName val="TLg_Laitau1"/>
      <sheetName val="TLg_Laitau_(2)1"/>
      <sheetName val="Cọc_nhồi1"/>
      <sheetName val="Dầm_11"/>
      <sheetName val="Gia_VLNCMTC1"/>
      <sheetName val="Sàn_T11"/>
      <sheetName val="Lỗ_thông_gió1"/>
      <sheetName val="Sàn_tầng_01_(_old_)1"/>
      <sheetName val="Chiet_tinh_don_gia_CM1"/>
      <sheetName val="EE_(3)1"/>
      <sheetName val="Measure_13061"/>
      <sheetName val="RAB_AR&amp;STR"/>
      <sheetName val="Isolasi_Luar_Dalam"/>
      <sheetName val="Isolasi_Luar"/>
      <sheetName val="Div26_-_Elect"/>
      <sheetName val="U_P_Breakdown"/>
      <sheetName val="장悱"/>
      <sheetName val="PROJ__DATA2"/>
      <sheetName val="_Beams_Sched_2"/>
      <sheetName val="[입찰안_xls][입찰안_xls][입찰안_xls]___4"/>
      <sheetName val="중강당_내역"/>
      <sheetName val="[입찰안_xls][입찰안_xls][입찰안_xls]B_46"/>
      <sheetName val="[입찰안_xls][입찰안_xls][입찰안_xls]B_45"/>
      <sheetName val="[입찰안_xls][입찰안_xls][입찰안_xls]B_44"/>
      <sheetName val="[입찰안_xls][입찰안_xls][입찰안_xls]B_33"/>
      <sheetName val="[입찰안_xls][입찰안_xls][입찰안_xls]B_31"/>
      <sheetName val="[입찰안_xls][입찰안_xls][입찰안_xls]B_32"/>
      <sheetName val="[입찰안_xls][입찰안_xls][입찰안_xls]B_34"/>
      <sheetName val="[입찰안_xls][입찰안_xls][입찰안_xls]B_35"/>
      <sheetName val="[입찰안_xls][입찰안_xls][입찰안_xls]B_36"/>
      <sheetName val="[입찰안_xls][입찰안_xls][입찰안_xls]B_37"/>
      <sheetName val="[입찰안_xls][입찰안_xls][입찰안_xls]B_40"/>
      <sheetName val="[입찰안_xls][입찰안_xls][입찰안_xls]B_38"/>
      <sheetName val="[입찰안_xls][입찰안_xls][입찰안_xls]B_41"/>
      <sheetName val="[입찰안_xls][입찰안_xls][입찰안_xls]B_39"/>
      <sheetName val="[입찰안_xls][입찰안_xls][입찰안_xls]B_42"/>
      <sheetName val="[입찰안_xls][입찰안_xls][입찰안_xls]B_43"/>
      <sheetName val="[입찰안_xls][입찰안_xls][입찰안_xls]B_47"/>
      <sheetName val="[입찰안_xls][입찰안_xls][입찰안_xls]B_48"/>
      <sheetName val="[입찰안_xls][입찰안_xls][입찰안_xls]B_49"/>
      <sheetName val="[입찰안_xls][입찰안_xls][입찰안_xls]B_54"/>
      <sheetName val="[입찰안_xls][입찰안_xls][입찰안_xls]B_53"/>
      <sheetName val="[입찰안_xls][입찰안_xls][입찰안_xls]B_50"/>
      <sheetName val="[입찰안_xls][입찰안_xls][입찰안_xls]B_51"/>
      <sheetName val="[입찰안_xls][입찰안_xls][입찰안_xls]B_52"/>
      <sheetName val="[입찰안_xls][입찰안_xls][입찰안_xls]B_55"/>
      <sheetName val="[입찰안_xls][입찰안_xls][입찰안_xls]B_56"/>
      <sheetName val="[입찰안_xls][입찰안_xls][입찰안_xls]B_57"/>
      <sheetName val="[입찰안_xls][입찰안_xls][입찰안_xls]B_58"/>
      <sheetName val="[입찰안_xls][입찰안_xls][입찰안_xls]B_59"/>
      <sheetName val="[입찰안_xls][입찰안_xls][입찰안_xls]B_60"/>
      <sheetName val="[입찰안_xls][입찰안_xls][입찰안_xls]B_61"/>
      <sheetName val="[입찰안_xls][입찰안_xls][입찰안_xls]B_62"/>
      <sheetName val="[입찰안_xls][입찰안_xls][입찰안_xls]B_63"/>
      <sheetName val="견적비교표_(2)"/>
      <sheetName val="결재방(지우지_마세요)"/>
      <sheetName val="[입찰안_xls][입찰안_xls][입찰안_xls]___5"/>
      <sheetName val="6-1_보오링(1)"/>
      <sheetName val="EXCHANGE_RATE"/>
      <sheetName val="할증_"/>
      <sheetName val="간접비_총괄표"/>
      <sheetName val="TOWER_12TON"/>
      <sheetName val="공사투입계획(변경결의)19_9"/>
      <sheetName val="노무비_월별지급현황19_9"/>
      <sheetName val="갑지(외주기성)19_9"/>
      <sheetName val="노임단가_및_기계경비"/>
      <sheetName val="[입찰안_xls][입찰안_xls][입찰안_xls]B_64"/>
      <sheetName val="실행내역서_"/>
      <sheetName val="[입찰안_xls][입찰안_xls][입찰안_xls]_103"/>
      <sheetName val="[입찰안_xls][입찰안_xls][입찰안_xls]B_68"/>
      <sheetName val="[입찰안_xls][입찰안_xls][입찰안_xls]B_79"/>
      <sheetName val="[입찰안_xls][입찰안_xls][입찰안_xls]B_80"/>
      <sheetName val="[입찰안_xls][입찰안_xls][입찰안_xls]B_66"/>
      <sheetName val="[입찰안_xls][입찰안_xls][입찰안_xls]B_67"/>
      <sheetName val="[입찰안_xls][입찰안_xls][입찰안_xls]B_65"/>
      <sheetName val="[입찰안_xls][입찰안_xls][입찰안_xls]B_69"/>
      <sheetName val="[입찰안_xls][입찰안_xls][입찰안_xls]B_70"/>
      <sheetName val="[입찰안_xls][입찰안_xls][입찰안_xls]B_71"/>
      <sheetName val="[입찰안_xls][입찰안_xls][입찰안_xls]B_73"/>
      <sheetName val="[입찰안_xls][입찰안_xls][입찰안_xls]B_74"/>
      <sheetName val="[입찰안_xls][입찰안_xls][입찰안_xls]B_72"/>
      <sheetName val="[입찰안_xls][입찰안_xls][입찰안_xls]B_75"/>
      <sheetName val="[입찰안_xls][입찰안_xls][입찰안_xls]B_76"/>
      <sheetName val="[입찰안_xls][입찰안_xls][입찰안_xls]B_77"/>
      <sheetName val="[입찰안_xls][입찰안_xls][입찰안_xls]B_78"/>
      <sheetName val="[입찰안_xls][입찰안_xls][입찰안_xls]B_81"/>
      <sheetName val="[입찰안_xls][입찰안_xls][입찰안_xls]B_82"/>
      <sheetName val="[입찰안_xls][입찰안_xls][입찰안_xls]B_83"/>
      <sheetName val="[입찰안_xls][입찰안_xls][입찰안_xls]B_93"/>
      <sheetName val="[입찰안_xls][입찰안_xls][입찰안_xls]B_96"/>
      <sheetName val="[입찰안_xls][입찰안_xls][입찰안_xls]B_86"/>
      <sheetName val="[입찰안_xls][입찰안_xls][입찰안_xls]B_87"/>
      <sheetName val="[입찰안_xls][입찰안_xls][입찰안_xls]B_84"/>
      <sheetName val="[입찰안_xls][입찰안_xls][입찰안_xls]B_85"/>
      <sheetName val="[입찰안_xls][입찰안_xls][입찰안_xls]B_88"/>
      <sheetName val="[입찰안_xls][입찰안_xls][입찰안_xls]B_89"/>
      <sheetName val="[입찰안_xls][입찰안_xls][입찰안_xls]B_90"/>
      <sheetName val="[입찰안_xls][입찰안_xls][입찰안_xls]B_91"/>
      <sheetName val="[입찰안_xls][입찰안_xls][입찰안_xls]B_92"/>
      <sheetName val="[입찰안_xls][입찰안_xls][입찰안_xls]B_94"/>
      <sheetName val="[입찰안_xls][입찰안_xls][입찰안_xls]B_95"/>
      <sheetName val="[입찰안_xls][입찰안_xls][입찰안_xls]B_97"/>
      <sheetName val="[입찰안_xls][입찰안_xls][입찰안_xls]B_98"/>
      <sheetName val="[입찰안_xls][입찰안_xls][입찰안_xls]B_99"/>
      <sheetName val="[입찰안_xls][입찰안_xls][입찰안_xls]B100"/>
      <sheetName val="[입찰안_xls][입찰안_xls][입찰안_xls]B101"/>
      <sheetName val="[입찰안_xls][입찰안_xls][입찰안_xls]_100"/>
      <sheetName val="[입찰안_xls][입찰안_xls][입찰안_xls]B102"/>
      <sheetName val="[입찰안_xls][입찰안_xls][입찰안_xls]_101"/>
      <sheetName val="[입찰안_xls][입찰안_xls][입찰안_xls]_102"/>
      <sheetName val="[입찰안.xls][입찰안.xls][입찰안.xls]_374"/>
      <sheetName val="[입찰안.xls][입찰안.xls][입찰안.xls]_348"/>
      <sheetName val="[입찰안.xls][입찰안.xls][입찰안.xls]_351"/>
      <sheetName val="[입찰안.xls][입찰안.xls][입찰안.xls]_347"/>
      <sheetName val="[입찰안.xls][입찰안.xls][입찰안.xls]_349"/>
      <sheetName val="[입찰안.xls][입찰안.xls][입찰안.xls]_350"/>
      <sheetName val="[입찰안.xls][입찰안.xls][입찰안.xls]_352"/>
      <sheetName val="[입찰안.xls][입찰안.xls][입찰안.xls]_359"/>
      <sheetName val="[입찰안.xls][입찰안.xls][입찰안.xls]_368"/>
      <sheetName val="[입찰안.xls][입찰안.xls][입찰안.xls]_369"/>
      <sheetName val="전신환매도율"/>
      <sheetName val="공량산출근거서"/>
      <sheetName val="SLAB&quot;1&quot;"/>
      <sheetName val="침하계"/>
      <sheetName val="DFA"/>
      <sheetName val="[입찰안.xls][입찰안.xls][입찰안.xls]_353"/>
      <sheetName val="[입찰안.xls][입찰안.xls][입찰안.xls]_354"/>
      <sheetName val="[입찰안.xls][입찰안.xls][입찰안.xls]_355"/>
      <sheetName val="[입찰안.xls][입찰안.xls][입찰안.xls]_356"/>
      <sheetName val="[입찰안.xls][입찰안.xls][입찰안.xls]_357"/>
      <sheetName val="[입찰안.xls][입찰안.xls][입찰안.xls]_358"/>
      <sheetName val="[입찰안.xls][입찰안.xls][입찰안.xls]_363"/>
      <sheetName val="[입찰안.xls][입찰안.xls][입찰안.xls]_364"/>
      <sheetName val="[입찰안.xls][입찰안.xls][입찰안.xls]_360"/>
      <sheetName val="[입찰안.xls][입찰안.xls][입찰안.xls]_361"/>
      <sheetName val="[입찰안.xls][입찰안.xls][입찰안.xls]_362"/>
      <sheetName val="[입찰안.xls][입찰안.xls][입찰안.xls]_365"/>
      <sheetName val="[입찰안.xls][입찰안.xls][입찰안.xls]_366"/>
      <sheetName val="[입찰안.xls][입찰안.xls][입찰안.xls]_367"/>
      <sheetName val="[입찰안.xls][입찰안.xls][입찰안.xls]_370"/>
      <sheetName val="[입찰안.xls][입찰안.xls][입찰안.xls]_371"/>
      <sheetName val="[입찰안.xls][입찰안.xls][입찰안.xls]_372"/>
      <sheetName val="[입찰안.xls][입찰안.xls][입찰안.xls]_373"/>
      <sheetName val="[입찰안.xls][입찰안.xls][입찰안.xls]_375"/>
      <sheetName val="[입찰안.xls][입찰안.xls][입찰안.xls]_376"/>
      <sheetName val="[입찰안.xls][입찰안.xls][입찰안.xls]_377"/>
      <sheetName val="[입찰안.xls][입찰안.xls][입찰안.xls]_378"/>
      <sheetName val="[입찰안.xls][입찰안.xls][입찰안.xls]_379"/>
      <sheetName val="[입찰안.xls][입찰안.xls][입찰안.xls]_380"/>
      <sheetName val="[입찰안.xls][입찰안.xls][입찰안.xls]_382"/>
      <sheetName val="[입찰안.xls][입찰안.xls][입찰안.xls]_381"/>
      <sheetName val="[입찰안.xls][입찰안.xls][입찰안.xls]_385"/>
      <sheetName val="[입찰안.xls][입찰안.xls][입찰안.xls]_383"/>
      <sheetName val="[입찰안.xls][입찰안.xls][입찰안.xls]_384"/>
      <sheetName val="남양시작동자105노65기1.3화1.2"/>
      <sheetName val="산수배수"/>
      <sheetName val="유림콘도"/>
      <sheetName val="배명(단가)"/>
      <sheetName val="Dayworks"/>
      <sheetName val="500(1)g"/>
      <sheetName val="GRAND SUM"/>
      <sheetName val="plan&amp;section_of__x0000__x0000_Ā_x0000__x0005__x0000_翹_x0000_조ꤟ"/>
      <sheetName val="___1"/>
      <sheetName val="B__1"/>
      <sheetName val="B_67"/>
      <sheetName val="B_68"/>
      <sheetName val="기본데이터"/>
      <sheetName val="실적관리"/>
      <sheetName val="C_DATA"/>
      <sheetName val="[입찰안.xls][입찰안.xls][입찰안.xls]_479"/>
      <sheetName val="[입찰안.xls][입찰안.xls][입찰안.xls]_478"/>
      <sheetName val="[입찰안.xls][입찰안.xls][입찰안.xls]___7"/>
      <sheetName val="[입찰안.xls][입찰안_xls][입찰안_xls]___3"/>
      <sheetName val="[입찰안.xls][입찰안.xls][입찰안_xls]___2"/>
      <sheetName val="[입찰안.xls][입찰안.xls][입찰안.xls]_452"/>
      <sheetName val="[입찰안.xls][입찰안.xls][입찰안.xls]_389"/>
      <sheetName val="[입찰안.xls][입찰안.xls][입찰안.xls]_390"/>
      <sheetName val="[입찰안.xls][입찰안.xls][입찰안.xls]_394"/>
      <sheetName val="[입찰안.xls][입찰안.xls][입찰안.xls]_419"/>
      <sheetName val="[입찰안.xls][입찰안.xls][입찰안.xls]_395"/>
      <sheetName val="[입찰안.xls][입찰안.xls][입찰안.xls]_391"/>
      <sheetName val="[입찰안.xls][입찰안.xls][입찰안.xls]_392"/>
      <sheetName val="Macro(전_x0005__x0003_"/>
      <sheetName val="Ԁ̀Ā܀਀Ѐ̀̀ЀЀ"/>
      <sheetName val="[입찰안.xls][입찰안.xls][입찰안.xls]_393"/>
      <sheetName val="[입찰안.xls][입찰안.xls][입찰안.xls]_396"/>
      <sheetName val="[입찰안.xls][입찰안.xls][입찰안.xls]_409"/>
      <sheetName val="[입찰안.xls][입찰안.xls][입찰안.xls]_408"/>
      <sheetName val="[입찰안.xls][입찰안.xls][입찰안.xls]_399"/>
      <sheetName val="[입찰안.xls][입찰안.xls][입찰안.xls]_398"/>
      <sheetName val="[입찰안.xls][입찰안.xls][입찰안.xls]_397"/>
      <sheetName val="[입찰안.xls][입찰안.xls][입찰안.xls]_400"/>
      <sheetName val="[입찰안.xls][입찰안.xls][입찰안.xls]_401"/>
      <sheetName val="[입찰안.xls][입찰안.xls][입찰안.xls]_402"/>
      <sheetName val="[입찰안.xls][입찰안.xls][입찰안.xls]_403"/>
      <sheetName val="[입찰안.xls][입찰안.xls][입찰안.xls]_404"/>
      <sheetName val="[입찰안.xls][입찰안.xls][입찰안.xls]_405"/>
      <sheetName val="[입찰안.xls][입찰안.xls][입찰안.xls]_406"/>
      <sheetName val="[입찰안.xls][입찰안.xls][입찰안.xls]_407"/>
      <sheetName val="[입찰안.xls][입찰안.xls][입찰안.xls]_410"/>
      <sheetName val="[입찰안.xls][입찰안.xls][입찰안.xls]_411"/>
      <sheetName val="[입찰안.xls][입찰안.xls][입찰안.xls]_412"/>
      <sheetName val="[입찰안.xls][입찰안.xls][입찰안.xls]_439"/>
      <sheetName val="[입찰안.xls][입찰안.xls][입찰안.xls]_421"/>
      <sheetName val="[입찰안.xls][입찰안.xls][입찰안.xls]_413"/>
      <sheetName val="[입찰안.xls][입찰안.xls][입찰안.xls]_414"/>
      <sheetName val="[입찰안.xls][입찰안.xls][입찰안.xls]_415"/>
      <sheetName val="[입찰안.xls][입찰안.xls][입찰안.xls]_416"/>
      <sheetName val="[입찰안.xls][입찰안.xls][입찰안.xls]_417"/>
      <sheetName val="[입찰안.xls][입찰안.xls][입찰안.xls]_418"/>
      <sheetName val="[입찰안.xls][입찰안.xls][입찰안.xls]_420"/>
      <sheetName val="[입찰안.xls][입찰안.xls][입찰안.xls]_435"/>
      <sheetName val="[입찰안.xls][입찰안.xls][입찰안.xls]_430"/>
      <sheetName val="[입찰안.xls][입찰안.xls][입찰안.xls]_425"/>
      <sheetName val="[입찰안.xls][입찰안.xls][입찰안.xls]_422"/>
      <sheetName val="[입찰안.xls][입찰안.xls][입찰안.xls]_423"/>
      <sheetName val="[입찰안.xls][입찰안.xls][입찰안.xls]_424"/>
      <sheetName val="[입찰안.xls][입찰안.xls][입찰안.xls]_426"/>
      <sheetName val="[입찰안.xls][입찰안.xls][입찰안.xls]_427"/>
      <sheetName val="[입찰안.xls][입찰안.xls][입찰안.xls]_428"/>
      <sheetName val="[입찰안.xls][입찰안.xls][입찰안.xls]_429"/>
      <sheetName val="[입찰안.xls][입찰안.xls][입찰안.xls]_431"/>
      <sheetName val="[입찰안.xls][입찰안.xls][입찰안.xls]_432"/>
      <sheetName val="[입찰안.xls][입찰안.xls][입찰안.xls]_438"/>
      <sheetName val="[입찰안.xls][입찰안.xls][입찰안.xls]_433"/>
      <sheetName val="[입찰안.xls][입찰안.xls][입찰안.xls]_434"/>
      <sheetName val="[입찰안.xls][입찰안.xls][입찰안.xls]_436"/>
      <sheetName val="[입찰안.xls][입찰안.xls][입찰안.xls]_437"/>
      <sheetName val="[입찰안.xls][입찰안.xls][입찰안.xls]_451"/>
      <sheetName val="[입찰안.xls][입찰안.xls][입찰안.xls]_440"/>
      <sheetName val="[입찰안.xls][입찰안.xls][입찰안.xls]_445"/>
      <sheetName val="[입찰안.xls][입찰안.xls][입찰안.xls]_441"/>
      <sheetName val="[입찰안.xls][입찰안.xls][입찰안.xls]_442"/>
      <sheetName val="[입찰안.xls][입찰안.xls][입찰안.xls]_446"/>
      <sheetName val="[입찰안.xls][입찰안.xls][입찰안.xls]_443"/>
      <sheetName val="[입찰안.xls][입찰안.xls][입찰안.xls]_444"/>
      <sheetName val="[입찰안.xls][입찰안.xls][입찰안.xls]_447"/>
      <sheetName val="[입찰안.xls][입찰안.xls][입찰안.xls]_449"/>
      <sheetName val="[입찰안.xls][입찰안.xls][입찰안.xls]_448"/>
      <sheetName val="[입찰안.xls][입찰안.xls][입찰안.xls]_450"/>
      <sheetName val="[입찰안.xls][입찰안.xls][입찰안.xls]_456"/>
      <sheetName val="[입찰안.xls][입찰안.xls][입찰안.xls]_455"/>
      <sheetName val="[입찰안.xls][입찰안.xls][입찰안.xls]_454"/>
      <sheetName val="[입찰안.xls][입찰안.xls][입찰안.xls]_453"/>
      <sheetName val="[입찰안.xls][입찰안.xls][입찰안.xls]_457"/>
      <sheetName val="[입찰안.xls][입찰안.xls][입찰안.xls]_461"/>
      <sheetName val="[입찰안.xls][입찰안.xls][입찰안.xls]_458"/>
      <sheetName val="[입찰안.xls][입찰안.xls][입찰안.xls]_459"/>
      <sheetName val="[입찰안.xls][입찰안.xls][입찰안.xls]_460"/>
      <sheetName val="원가계산서(변경)"/>
      <sheetName val="3련_B£_x0000_"/>
      <sheetName val="Code 02"/>
      <sheetName val="Code 03"/>
      <sheetName val="Code 04"/>
      <sheetName val="Code 05"/>
      <sheetName val="Code 06"/>
      <sheetName val="Code 07"/>
      <sheetName val="Code 09"/>
      <sheetName val="[입찰안.xls][입찰안.xls][입찰안.xls]_464"/>
      <sheetName val="[입찰안.xls][입찰안.xls][입찰안.xls]_463"/>
      <sheetName val="[입찰안.xls][입찰안.xls][입찰안.xls]_462"/>
      <sheetName val="[입찰안.xls][입찰안.xls][입찰안.xls]_466"/>
      <sheetName val="[입찰안.xls][입찰안.xls][입찰안.xls]_465"/>
      <sheetName val="[입찰안.xls][입찰안.xls][입찰안.xls]_473"/>
      <sheetName val="[입찰안.xls][입찰안.xls][입찰안.xls]_472"/>
      <sheetName val="[입찰안.xls][입찰안.xls][입찰안.xls]_468"/>
      <sheetName val="[입찰안.xls][입찰안.xls][입찰안.xls]_467"/>
      <sheetName val="[입찰안.xls][입찰안.xls][입찰안.xls]_471"/>
      <sheetName val="[입찰안.xls][입찰안.xls][입찰안.xls]_469"/>
      <sheetName val="[입찰안.xls][입찰안.xls][입찰안.xls]_470"/>
      <sheetName val="[입찰안.xls][입찰안.xls][입찰안.xls]_476"/>
      <sheetName val="[입찰안.xls][입찰안.xls][입찰안.xls]_474"/>
      <sheetName val="노원열병합___x0000__x0000__x0005__x0000_츀ɮ_x0000__x0000__x0000_"/>
      <sheetName val="전기내역서"/>
      <sheetName val="4_전_x0000_"/>
      <sheetName val="4_전ᄐ"/>
      <sheetName val="TH-Dien"/>
      <sheetName val="VIN_Index"/>
      <sheetName val="TTTram"/>
      <sheetName val="Names"/>
      <sheetName val="ND"/>
      <sheetName val="Xuly Data"/>
      <sheetName val="TL rieng"/>
      <sheetName val="Thuc thanh"/>
      <sheetName val="THVT"/>
      <sheetName val="Sum"/>
      <sheetName val="_입찰안.xls__입찰안.xls__입찰안.xls_B__2"/>
      <sheetName val="_입찰안.xls__입찰안.xls__입찰안.xls_B__3"/>
      <sheetName val="_입찰안.xls__입찰안.xls__입찰안.xls_B__6"/>
      <sheetName val="_입찰안.xls__입찰안.xls__입찰안.xls_B__5"/>
      <sheetName val="_입찰안.xls__입찰안.xls__입찰안.xls_B__4"/>
      <sheetName val="_입찰안.xls__입찰안.xls__입찰안.xls_B_11"/>
      <sheetName val="_입찰안.xls__입찰안.xls__입찰안.xls_B__7"/>
      <sheetName val="_입찰안.xls__입찰안.xls__입찰안.xls_B__8"/>
      <sheetName val="_입찰안.xls__입찰안.xls__입찰안.xls_B__9"/>
      <sheetName val="_입찰안.xls__입찰안.xls__입찰안.xls_B_10"/>
      <sheetName val="_입찰안.xls__입찰안.xls__입찰안.xls_B_13"/>
      <sheetName val="_입찰안.xls__입찰안.xls__입찰안.xls_B_12"/>
      <sheetName val="_입찰안.xls__입찰안.xls__입찰안.xls_B_14"/>
      <sheetName val="_입찰안.xls__입찰안.xls__입찰안.xls_B_15"/>
      <sheetName val="_입찰안.xls__입찰안.xls__입찰안.xls_B_16"/>
      <sheetName val="_입찰안.xls__입찰안.xls__입찰안.xls_B_17"/>
      <sheetName val="_입찰안.xls__입찰안.xls__입찰안.xls_B_23"/>
      <sheetName val="_입찰안.xls__입찰안.xls__입찰안.xls_B_18"/>
      <sheetName val="_입찰안.xls__입찰안.xls__입찰안.xls_B_19"/>
      <sheetName val="_입찰안.xls__입찰안.xls__입찰안.xls_B_20"/>
      <sheetName val="_입찰안.xls__입찰안.xls__입찰안.xls_B_21"/>
      <sheetName val="_입찰안.xls__입찰안.xls__입찰안.xls_B_22"/>
      <sheetName val="_입찰안.xls__입찰안.xls__입찰안.xls_B_25"/>
      <sheetName val="_입찰안.xls__입찰안.xls__입찰안.xls_B_24"/>
      <sheetName val="_입찰안.xls__입찰안.xls__입찰안.xls_B_26"/>
      <sheetName val="_입찰안.xls__입찰안.xls__입찰안.xls_B_27"/>
      <sheetName val="_입찰안.xls__입찰안.xls__입찰안.xls_B_29"/>
      <sheetName val="_입찰안.xls__입찰안.xls__입찰안.xls_B_28"/>
      <sheetName val="자바라1"/>
      <sheetName val="(1)2002년 매출목표 산출"/>
      <sheetName val="원료비2(2000.10-09)"/>
      <sheetName val="수익성분석2"/>
      <sheetName val="외화환산(2분기)"/>
      <sheetName val="X68"/>
      <sheetName val="미지급급여"/>
      <sheetName val="경영지표"/>
      <sheetName val="제품코드"/>
      <sheetName val="부문99-2"/>
      <sheetName val="정산표"/>
      <sheetName val="전기혼잡제경비(45_x0016_"/>
      <sheetName val="3련_B裉ۿ"/>
      <sheetName val="[입찰안.xls][입찰안.xls][입찰안.xls]_475"/>
      <sheetName val="[입찰안.xls][입찰안.xls][입찰안.xls]_477"/>
      <sheetName val="[입찰안.xls][입찰안.xls][입찰안.xls]_484"/>
      <sheetName val="[입찰안.xls][입찰안.xls][입찰안.xls]_483"/>
      <sheetName val="design_c"/>
      <sheetName val="장"/>
      <sheetName val="정리계槜〩"/>
      <sheetName val="집계장(뀀ﰡ"/>
      <sheetName val="정리계"/>
      <sheetName val="집계장(Â"/>
      <sheetName val="정리계槜〽"/>
      <sheetName val="신광초조도계선사업"/>
      <sheetName val="건濐"/>
      <sheetName val="명세"/>
      <sheetName val="[입찰안_xls]직접뀀鞖/1"/>
      <sheetName val="1_R18_BF"/>
      <sheetName val="6_External_works-R18"/>
      <sheetName val="020_235_2363"/>
      <sheetName val="Bill_01_-_CTN"/>
      <sheetName val="CHITIET_VL-NC-TT1p"/>
      <sheetName val="Project_Infor"/>
      <sheetName val="Data_input"/>
      <sheetName val="_입찰안_xls_직접뀀鞖_"/>
      <sheetName val="_입찰안_xls__입찰안_xls_직접뀀鞖_"/>
      <sheetName val="[입찰안_xls][입찰안_xls]직접뀀鞖/1"/>
      <sheetName val="Phan_tho"/>
      <sheetName val="Tien_Thuong"/>
      <sheetName val="NC_XL_6T_cuoi_01_CTy"/>
      <sheetName val="Data_-6T_dau"/>
      <sheetName val="Cong_6T"/>
      <sheetName val="bang_TH"/>
      <sheetName val="Xunit_(단위환산)4"/>
      <sheetName val="장비코드표_0506014"/>
      <sheetName val="2007년_생산1부장비4"/>
      <sheetName val="2008년_생산부전장비코드4"/>
      <sheetName val="DDB부_장비_관리현황4"/>
      <sheetName val="DGCT_(01)3"/>
      <sheetName val="Chi_tiet3"/>
      <sheetName val="SCOPE_OF_WORK3"/>
      <sheetName val="01__DATA3"/>
      <sheetName val="nhôm_1,2mm3"/>
      <sheetName val="nhôm_1,4mm3"/>
      <sheetName val="Phan_tich_ca_may2"/>
      <sheetName val="Chenh_lech_ca_may2"/>
      <sheetName val="TLg_CN&amp;Laixe2"/>
      <sheetName val="TLg_CN&amp;Laixe_(2)2"/>
      <sheetName val="TLg_Laitau2"/>
      <sheetName val="TLg_Laitau_(2)2"/>
      <sheetName val="Cọc_nhồi2"/>
      <sheetName val="Dầm_12"/>
      <sheetName val="Gia_VLNCMTC2"/>
      <sheetName val="Chiet_tinh_don_gia_CM2"/>
      <sheetName val="Sàn_T12"/>
      <sheetName val="Lỗ_thông_gió2"/>
      <sheetName val="Sàn_tầng_01_(_old_)2"/>
      <sheetName val="Measure_13062"/>
      <sheetName val="EE_(3)2"/>
      <sheetName val="RAB_AR&amp;STR1"/>
      <sheetName val="Isolasi_Luar_Dalam1"/>
      <sheetName val="Isolasi_Luar1"/>
      <sheetName val="Div26_-_Elect1"/>
      <sheetName val="[입찰안_xls]직접뀀鞖/2"/>
      <sheetName val="U_P_Breakdown1"/>
      <sheetName val="1_R18_BF1"/>
      <sheetName val="6_External_works-R181"/>
      <sheetName val="020_235_23631"/>
      <sheetName val="Bill_01_-_CTN1"/>
      <sheetName val="CHITIET_VL-NC-TT1p1"/>
      <sheetName val="Project_Infor1"/>
      <sheetName val="Data_input1"/>
      <sheetName val="_입찰안_xls_직접뀀鞖_1"/>
      <sheetName val="_입찰안_xls__입찰안_xls_직접뀀鞖_1"/>
      <sheetName val="[입찰안_xls][입찰안_xls]직접뀀鞖/2"/>
      <sheetName val="Phan_tho1"/>
      <sheetName val="Tien_Thuong1"/>
      <sheetName val="NC_XL_6T_cuoi_01_CTy1"/>
      <sheetName val="Data_-6T_dau1"/>
      <sheetName val="Cong_6T1"/>
      <sheetName val="할증_1"/>
      <sheetName val="간접비_총괄표1"/>
      <sheetName val="bang_TH1"/>
      <sheetName val="집계장(Â_x0000_Ԁ_x0000_怀㲨"/>
      <sheetName val="[입찰안.xls][입찰안.xls][입찰안.xls]___8"/>
      <sheetName val="[입찰안.xls][입찰안_xls][입찰안_xls]___4"/>
      <sheetName val="[입찰안.xls][입찰안.xls][입찰안_xls]___3"/>
      <sheetName val="내역서을"/>
      <sheetName val="[입찰안.xls][입찰안.xls][입찰안.xls]_480"/>
      <sheetName val="[입찰안.xls][입찰안.xls][입찰안.xls]_481"/>
      <sheetName val="[입찰안.xls][입찰안.xls][입찰안.xls]_482"/>
      <sheetName val="[입찰안.xls][입찰안.xls][입찰안.xls]_485"/>
      <sheetName val="[입찰안.xls][입찰안.xls][입찰안.xls]_486"/>
      <sheetName val="[입찰안.xls][입찰안.xls][입찰안.xls]_488"/>
      <sheetName val="[입찰안.xls][입찰안.xls][입찰안.xls]_487"/>
      <sheetName val="[입찰안.xls][입찰안.xls][입찰안.xls]_490"/>
      <sheetName val="[입찰안.xls][입찰안.xls][입찰안.xls]_491"/>
      <sheetName val="[입찰안.xls][입찰안.xls][입찰안.xls]_489"/>
      <sheetName val="[입찰안.xls][입찰안.xls][입찰안.xls]_493"/>
      <sheetName val="[입찰안.xls][입찰안.xls][입찰안.xls]_492"/>
      <sheetName val="[입찰안.xls][입찰안.xls][입찰안.xls]_494"/>
      <sheetName val="[입찰안.xls][입찰안.xls][입찰안.xls]_497"/>
      <sheetName val="[입찰안.xls][입찰안.xls][입찰안.xls]_495"/>
      <sheetName val="[입찰안.xls][입찰안.xls][입찰안.xls]_496"/>
      <sheetName val="[입찰안.xls][입찰안.xls][입찰안.xls]_501"/>
      <sheetName val="[입찰안.xls][입찰안.xls][입찰안.xls]_498"/>
      <sheetName val="[입찰안.xls][입찰안.xls][입찰안.xls]_499"/>
      <sheetName val="[입찰안.xls][입찰안.xls][입찰안.xls]_500"/>
      <sheetName val="[입찰안.xls][입찰안.xls][입찰안.xls]_782"/>
      <sheetName val="[입찰안.xls][입찰안.xls][입찰안.xls]_783"/>
      <sheetName val="중뀀"/>
      <sheetName val="사업소득자세수추계"/>
      <sheetName val="[입찰안.xls][입찰안.xls][입찰안.xls]_779"/>
      <sheetName val="[입찰안.xls][입찰안.xls][입찰안.xls]_781"/>
      <sheetName val="[입찰안.xls][입찰안.xls][입찰안.xls]_778"/>
      <sheetName val="[입찰안.xls][입찰안.xls][입찰안.xls]_774"/>
      <sheetName val="[입찰안.xls][입찰안.xls][입찰안.xls]_775"/>
      <sheetName val="[입찰안.xls][입찰안.xls][입찰안.xls]_527"/>
      <sheetName val="[입찰안.xls][입찰안.xls][입찰안.xls]_521"/>
      <sheetName val="[입찰안.xls][입찰안.xls][입찰안.xls]_512"/>
      <sheetName val="[입찰안.xls][입찰안.xls][입찰안.xls]_502"/>
      <sheetName val="[입찰안.xls][입찰안.xls][입찰안.xls]_504"/>
      <sheetName val="[입찰안.xls][입찰안.xls][입찰안.xls]_503"/>
      <sheetName val="[입찰안.xls][입찰안.xls][입찰안.xls]_505"/>
      <sheetName val="[입찰안.xls][입찰안.xls][입찰안.xls]_508"/>
      <sheetName val="[입찰안.xls][입찰안.xls][입찰안.xls]_506"/>
      <sheetName val="[입찰안.xls][입찰안.xls][입찰안.xls]_507"/>
      <sheetName val="[입찰안.xls][입찰안.xls][입찰안.xls]_509"/>
      <sheetName val="[입찰안.xls][입찰안.xls][입찰안.xls]_511"/>
      <sheetName val="[입찰안.xls][입찰안.xls][입찰안.xls]_510"/>
      <sheetName val="[입찰안.xls][입찰안.xls][입찰안.xls]_514"/>
      <sheetName val="[입찰안.xls][입찰안.xls][입찰안.xls]_513"/>
      <sheetName val="[입찰안.xls][입찰안.xls][입찰안.xls]_515"/>
      <sheetName val="[입찰안.xls][입찰안.xls][입찰안.xls]_517"/>
      <sheetName val="[입찰안.xls][입찰안.xls][입찰안.xls]_516"/>
      <sheetName val="[입찰안.xls][입찰안.xls][입찰안.xls]_518"/>
      <sheetName val="[입찰안.xls][입찰안.xls][입찰안.xls]_520"/>
      <sheetName val="[입찰안.xls][입찰안.xls][입찰안.xls]_519"/>
      <sheetName val="[입찰안.xls][입찰안.xls][입찰안.xls]_526"/>
      <sheetName val="[입찰안.xls][입찰안.xls][입찰안.xls]_523"/>
      <sheetName val="[입찰안.xls][입찰안.xls][입찰안.xls]_522"/>
      <sheetName val="[입찰안.xls][입찰안.xls][입찰안.xls]_524"/>
      <sheetName val="[입찰안.xls][입찰안.xls][입찰안.xls]_525"/>
      <sheetName val="[입찰안.xls][입찰안.xls][입찰안.xls]_533"/>
      <sheetName val="[입찰안.xls][입찰안.xls][입찰안.xls]_529"/>
      <sheetName val="[입찰안.xls][입찰안.xls][입찰안.xls]_528"/>
      <sheetName val="[입찰안.xls][입찰안.xls][입찰안.xls]_530"/>
      <sheetName val="[입찰안.xls][입찰안.xls][입찰안.xls]_531"/>
      <sheetName val="[입찰안.xls][입찰안.xls][입찰안.xls]_562"/>
      <sheetName val="[입찰안.xls][입찰안.xls][입찰안.xls]_532"/>
      <sheetName val="[입찰안.xls][입찰안.xls][입찰안.xls]_574"/>
      <sheetName val="[입찰안.xls][입찰안.xls][입찰안.xls]_535"/>
      <sheetName val="[입찰안.xls][입찰안.xls][입찰안.xls]_534"/>
      <sheetName val="[입찰안.xls][입찰안.xls][입찰안.xls]_536"/>
      <sheetName val="[입찰안.xls][입찰안.xls][입찰안.xls]_537"/>
      <sheetName val="[입찰안.xls][입찰안.xls][입찰안.xls]_538"/>
      <sheetName val="[입찰안.xls][입찰안.xls][입찰안.xls]_539"/>
      <sheetName val="[입찰안.xls][입찰안.xls][입찰안.xls]_541"/>
      <sheetName val="[입찰안.xls][입찰안.xls][입찰안.xls]_540"/>
      <sheetName val="[입찰안.xls][입찰안.xls][입찰안.xls]_542"/>
      <sheetName val="[입찰안.xls][입찰안.xls][입찰안.xls]_543"/>
      <sheetName val="[입찰안.xls][입찰안.xls][입찰안.xls]_544"/>
      <sheetName val="[입찰안.xls][입찰안.xls][입찰안.xls]_546"/>
      <sheetName val="[입찰안.xls][입찰안.xls][입찰안.xls]_545"/>
      <sheetName val="[입찰안.xls][입찰안.xls][입찰안.xls]_547"/>
      <sheetName val="[입찰안.xls][입찰안.xls][입찰안.xls]_548"/>
      <sheetName val="[입찰안.xls][입찰안.xls][입찰안.xls]_549"/>
      <sheetName val="[입찰안.xls][입찰안.xls][입찰안.xls]_551"/>
      <sheetName val="[입찰안.xls][입찰안.xls][입찰안.xls]_550"/>
      <sheetName val="[입찰안.xls][입찰안.xls][입찰안.xls]_554"/>
      <sheetName val="[입찰안.xls][입찰안.xls][입찰안.xls]_552"/>
      <sheetName val="[입찰안.xls][입찰안.xls][입찰안.xls]_553"/>
      <sheetName val="[입찰안.xls][입찰안.xls][입찰안.xls]_556"/>
      <sheetName val="[입찰안.xls][입찰안.xls][입찰안.xls]_555"/>
      <sheetName val="[입찰안.xls][입찰안.xls][입찰안.xls]_559"/>
      <sheetName val="[입찰안.xls][입찰안.xls][입찰안.xls]_557"/>
      <sheetName val="[입찰안.xls][입찰안.xls][입찰안.xls]_558"/>
      <sheetName val="[입찰안.xls][입찰안.xls][입찰안.xls]_561"/>
      <sheetName val="[입찰안.xls][입찰안.xls][입찰안.xls]_560"/>
      <sheetName val="[입찰안.xls][입찰안.xls][입찰안.xls]_563"/>
      <sheetName val="[입찰안.xls][입찰안.xls][입찰안.xls]_564"/>
      <sheetName val="[입찰안.xls][입찰안.xls][입찰안.xls]_575"/>
      <sheetName val="[입찰안.xls][입찰안.xls][입찰안.xls]_566"/>
      <sheetName val="[입찰안.xls][입찰안.xls][입찰안.xls]_565"/>
      <sheetName val="[입찰안.xls][입찰안.xls][입찰안.xls]_567"/>
      <sheetName val="[입찰안.xls][입찰안.xls][입찰안.xls]_568"/>
      <sheetName val="[입찰안.xls][입찰안.xls][입찰안.xls]_569"/>
      <sheetName val="[입찰안.xls][입찰안.xls][입찰안.xls]_570"/>
      <sheetName val="[입찰안.xls][입찰안.xls][입찰안.xls]_571"/>
      <sheetName val="[입찰안.xls][입찰안.xls][입찰안.xls]_572"/>
      <sheetName val="[입찰안.xls][입찰안.xls][입찰안.xls]_573"/>
      <sheetName val="[입찰안.xls][입찰안.xls][입찰안.xls]_576"/>
      <sheetName val="[입찰안.xls][입찰안.xls][입찰안.xls]_585"/>
      <sheetName val="[입찰안.xls][입찰안.xls][입찰안.xls]_577"/>
      <sheetName val="[입찰안.xls][입찰안.xls][입찰안.xls]_578"/>
      <sheetName val="[입찰안.xls][입찰안.xls][입찰안.xls]_579"/>
      <sheetName val="[입찰안.xls][입찰안.xls][입찰안.xls]_580"/>
      <sheetName val="[입찰안.xls][입찰안.xls][입찰안.xls]_581"/>
      <sheetName val="[입찰안.xls][입찰안.xls][입찰안.xls]_582"/>
      <sheetName val="[입찰안.xls][입찰안.xls][입찰안.xls]_583"/>
      <sheetName val="[입찰안.xls][입찰안.xls][입찰안.xls]_584"/>
      <sheetName val="[입찰안.xls][입찰안.xls][입찰안.xls]_589"/>
      <sheetName val="[입찰안.xls][입찰안.xls][입찰안.xls]_590"/>
      <sheetName val="[입찰안.xls][입찰안.xls][입찰안.xls]_586"/>
      <sheetName val="[입찰안.xls][입찰안.xls][입찰안.xls]_587"/>
      <sheetName val="[입찰안.xls][입찰안.xls][입찰안.xls]_588"/>
      <sheetName val="[입찰안.xls][입찰안.xls][입찰안.xls]_591"/>
      <sheetName val="[입찰안.xls][입찰안.xls][입찰안.xls]_597"/>
      <sheetName val="[입찰안.xls][입찰안.xls][입찰안.xls]_596"/>
      <sheetName val="[입찰안.xls][입찰안.xls][입찰안.xls]_593"/>
      <sheetName val="[입찰안.xls][입찰안.xls][입찰안.xls]_592"/>
      <sheetName val="[입찰안.xls][입찰안.xls][입찰안.xls]_594"/>
      <sheetName val="[입찰안.xls][입찰안.xls][입찰안.xls]_595"/>
      <sheetName val="[입찰안.xls][입찰안.xls][입찰안.xls]_614"/>
      <sheetName val="[입찰안.xls][입찰안.xls][입찰안.xls]_598"/>
      <sheetName val="[입찰안.xls][입찰안.xls][입찰안.xls]_599"/>
      <sheetName val="[입찰안.xls][입찰안.xls][입찰안.xls]_600"/>
      <sheetName val="[입찰안.xls][입찰안.xls][입찰안.xls]_628"/>
      <sheetName val="[입찰안.xls][입찰안.xls][입찰안.xls]_601"/>
      <sheetName val="[입찰안.xls][입찰안.xls][입찰안.xls]_602"/>
      <sheetName val="[입찰안.xls][입찰안.xls][입찰안.xls]_606"/>
      <sheetName val="[입찰안.xls][입찰안.xls][입찰안.xls]_603"/>
      <sheetName val="[입찰안.xls][입찰안.xls][입찰안.xls]_604"/>
      <sheetName val="[입찰안.xls][입찰안.xls][입찰안.xls]_605"/>
      <sheetName val="[입찰안.xls][입찰안.xls][입찰안.xls]_607"/>
      <sheetName val="[입찰안.xls][입찰안.xls][입찰안.xls]_608"/>
      <sheetName val="[입찰안.xls][입찰안.xls][입찰안.xls]_609"/>
      <sheetName val="[입찰안.xls][입찰안.xls][입찰안.xls]_610"/>
      <sheetName val="[입찰안.xls][입찰안.xls][입찰안.xls]_613"/>
      <sheetName val="[입찰안.xls][입찰안.xls][입찰안.xls]_611"/>
      <sheetName val="[입찰안.xls][입찰안.xls][입찰안.xls]_612"/>
      <sheetName val="[입찰안.xls][입찰안.xls][입찰안.xls]_615"/>
      <sheetName val="[입찰안.xls][입찰안.xls][입찰안.xls]_616"/>
      <sheetName val="[입찰안.xls][입찰안.xls][입찰안.xls]_617"/>
      <sheetName val="[입찰안.xls][입찰안.xls][입찰안.xls]_618"/>
      <sheetName val="[입찰안.xls][입찰안.xls][입찰안.xls]_619"/>
      <sheetName val="[입찰안.xls][입찰안.xls][입찰안.xls]_620"/>
      <sheetName val="[입찰안.xls][입찰안.xls][입찰안.xls]_621"/>
      <sheetName val="[입찰안.xls][입찰안.xls][입찰안.xls]_622"/>
      <sheetName val="[입찰안.xls][입찰안.xls][입찰안.xls]_623"/>
      <sheetName val="[입찰안.xls][입찰안.xls][입찰안.xls]_624"/>
      <sheetName val="[입찰안.xls][입찰안.xls][입찰안.xls]_625"/>
      <sheetName val="[입찰안.xls][입찰안.xls][입찰안.xls]_626"/>
      <sheetName val="[입찰안.xls][입찰안.xls][입찰안.xls]_627"/>
      <sheetName val="[입찰안.xls][입찰안.xls][입찰안.xls]_635"/>
      <sheetName val="[입찰안.xls][입찰안.xls][입찰안.xls]_629"/>
      <sheetName val="[입찰안.xls][입찰안.xls][입찰안.xls]_630"/>
      <sheetName val="[입찰안.xls][입찰안.xls][입찰안.xls]_631"/>
      <sheetName val="[입찰안.xls][입찰안.xls][입찰안.xls]_632"/>
      <sheetName val="[입찰안.xls][입찰안.xls][입찰안.xls]_633"/>
      <sheetName val="[입찰안.xls][입찰안.xls][입찰안.xls]_634"/>
      <sheetName val="[입찰안.xls][입찰안.xls][입찰안.xls]_639"/>
      <sheetName val="[입찰안.xls][입찰안.xls][입찰안.xls]_636"/>
      <sheetName val="[입찰안.xls][입찰안.xls][입찰안.xls]_638"/>
      <sheetName val="[입찰안.xls][입찰안.xls][입찰안.xls]_637"/>
      <sheetName val="[입찰안.xls][입찰안.xls][입찰안.xls]_640"/>
      <sheetName val="[입찰안.xls][입찰안.xls][입찰안.xls]_641"/>
      <sheetName val="[입찰안.xls][입찰안.xls][입찰안.xls]_644"/>
      <sheetName val="[입찰안.xls][입찰안.xls][입찰안.xls]_642"/>
      <sheetName val="[입찰안.xls][입찰안.xls][입찰안.xls]_643"/>
      <sheetName val="[입찰안.xls][입찰안.xls][입찰안.xls]_647"/>
      <sheetName val="[입찰안.xls][입찰안.xls][입찰안.xls]_645"/>
      <sheetName val="[입찰안.xls][입찰안.xls][입찰안.xls]_646"/>
      <sheetName val="[입찰안.xls][입찰안.xls][입찰안.xls]_667"/>
      <sheetName val="[입찰안.xls][입찰안.xls][입찰안.xls]_651"/>
      <sheetName val="[입찰안.xls][입찰안.xls][입찰안.xls]_649"/>
      <sheetName val="[입찰안.xls][입찰안.xls][입찰안.xls]_648"/>
      <sheetName val="[입찰안.xls][입찰안.xls][입찰안.xls]_650"/>
      <sheetName val="[입찰안.xls][입찰안.xls][입찰안.xls]_652"/>
      <sheetName val="[입찰안.xls][입찰안.xls][입찰안.xls]_654"/>
      <sheetName val="[입찰안.xls][입찰안.xls][입찰안.xls]_653"/>
      <sheetName val="[입찰안.xls][입찰안.xls][입찰안.xls]_672"/>
      <sheetName val="[입찰안.xls][입찰안.xls][입찰안.xls]_655"/>
      <sheetName val="[입찰안.xls][입찰안.xls][입찰안.xls]_656"/>
      <sheetName val="[입찰안.xls][입찰안.xls][입찰안.xls]_657"/>
      <sheetName val="[입찰안.xls][입찰안.xls][입찰안.xls]_658"/>
      <sheetName val="[입찰안.xls][입찰안.xls][입찰안.xls]_660"/>
      <sheetName val="[입찰안.xls][입찰안.xls][입찰안.xls]_659"/>
      <sheetName val="[입찰안.xls][입찰안.xls][입찰안.xls]_661"/>
      <sheetName val="[입찰안.xls][입찰안.xls][입찰안.xls]_662"/>
      <sheetName val="[입찰안.xls][입찰안.xls][입찰안.xls]_663"/>
      <sheetName val="[입찰안.xls][입찰안.xls][입찰안.xls]_664"/>
      <sheetName val="[입찰안.xls][입찰안.xls][입찰안.xls]_666"/>
      <sheetName val="[입찰안.xls][입찰안.xls][입찰안.xls]_665"/>
      <sheetName val="[입찰안.xls][입찰안.xls][입찰안.xls]_684"/>
      <sheetName val="[입찰안.xls][입찰안.xls][입찰안.xls]_668"/>
      <sheetName val="[입찰안.xls][입찰안.xls][입찰안.xls]_669"/>
      <sheetName val="[입찰안.xls][입찰안.xls][입찰안.xls]_670"/>
      <sheetName val="[입찰안.xls][입찰안.xls][입찰안.xls]_671"/>
      <sheetName val="[입찰안.xls][입찰안.xls][입찰안.xls]_674"/>
      <sheetName val="[입찰안.xls][입찰안.xls][입찰안.xls]_673"/>
      <sheetName val="[입찰안.xls][입찰안.xls][입찰안.xls]_675"/>
      <sheetName val="[입찰안.xls][입찰안.xls][입찰안.xls]_693"/>
      <sheetName val="[입찰안.xls][입찰안.xls][입찰안.xls]_676"/>
      <sheetName val="[입찰안.xls][입찰안.xls][입찰안.xls]_678"/>
      <sheetName val="[입찰안.xls][입찰안.xls][입찰안.xls]_677"/>
      <sheetName val="[입찰안.xls][입찰안.xls][입찰안.xls]_679"/>
      <sheetName val="[입찰안.xls][입찰안.xls][입찰안.xls]_680"/>
      <sheetName val="[입찰안.xls][입찰안.xls][입찰안.xls]_681"/>
      <sheetName val="[입찰안.xls][입찰안.xls][입찰안.xls]_682"/>
      <sheetName val="[입찰안.xls][입찰안.xls][입찰안.xls]_683"/>
      <sheetName val="[입찰안.xls][입찰안.xls][입찰안.xls]_685"/>
      <sheetName val="[입찰안.xls][입찰안.xls][입찰안.xls]_686"/>
      <sheetName val="[입찰안.xls][입찰안.xls][입찰안.xls]_687"/>
      <sheetName val="[입찰안.xls][입찰안.xls][입찰안.xls]_688"/>
      <sheetName val="[입찰안.xls][입찰안.xls][입찰안.xls]_692"/>
      <sheetName val="[입찰안.xls][입찰안.xls][입찰안.xls]_689"/>
      <sheetName val="[입찰안.xls][입찰안.xls][입찰안.xls]_690"/>
      <sheetName val="[입찰안.xls][입찰안.xls][입찰안.xls]_691"/>
      <sheetName val="[입찰안.xls][입찰안.xls][입찰안.xls]_699"/>
      <sheetName val="[입찰안.xls][입찰안.xls][입찰안.xls]_694"/>
      <sheetName val="[입찰안.xls][입찰안.xls][입찰안.xls]_695"/>
      <sheetName val="[입찰안.xls][입찰안.xls][입찰안.xls]_698"/>
      <sheetName val="[입찰안.xls][입찰안.xls][입찰안.xls]_696"/>
      <sheetName val="[입찰안.xls][입찰안.xls][입찰안.xls]_697"/>
      <sheetName val="[입찰안.xls][입찰안.xls][입찰안.xls]_718"/>
      <sheetName val="[입찰안.xls][입찰안.xls][입찰안.xls]_704"/>
      <sheetName val="[입찰안.xls][입찰안.xls][입찰안.xls]_700"/>
      <sheetName val="[입찰안.xls][입찰안.xls][입찰안.xls]_701"/>
      <sheetName val="[입찰안.xls][입찰안.xls][입찰안.xls]_702"/>
      <sheetName val="[입찰안.xls][입찰안.xls][입찰안.xls]_703"/>
      <sheetName val="[입찰안.xls][입찰안.xls][입찰안.xls]_705"/>
      <sheetName val="[입찰안.xls][입찰안.xls][입찰안.xls]_706"/>
      <sheetName val="[입찰안.xls][입찰안.xls][입찰안.xls]_707"/>
      <sheetName val="[입찰안.xls][입찰안.xls][입찰안.xls]_708"/>
      <sheetName val="[입찰안.xls][입찰안.xls][입찰안.xls]_728"/>
      <sheetName val="[입찰안.xls][입찰안.xls][입찰안.xls]_710"/>
      <sheetName val="[입찰안.xls][입찰안.xls][입찰안.xls]_709"/>
      <sheetName val="[입찰안.xls][입찰안.xls][입찰안.xls]_711"/>
      <sheetName val="[입찰안.xls][입찰안.xls][입찰안.xls]_712"/>
      <sheetName val="[입찰안.xls][입찰안.xls][입찰안.xls]_713"/>
      <sheetName val="[입찰안.xls][입찰안.xls][입찰안.xls]_715"/>
      <sheetName val="[입찰안.xls][입찰안.xls][입찰안.xls]_714"/>
      <sheetName val="[입찰안.xls][입찰안.xls][입찰안.xls]_716"/>
      <sheetName val="[입찰안.xls][입찰안.xls][입찰안.xls]_717"/>
      <sheetName val="[입찰안.xls][입찰안.xls][입찰안.xls]_720"/>
      <sheetName val="[입찰안.xls][입찰안.xls][입찰안.xls]_719"/>
      <sheetName val="[입찰안.xls][입찰안.xls][입찰안.xls]_721"/>
      <sheetName val="[입찰안.xls][입찰안.xls][입찰안.xls]_722"/>
      <sheetName val="[입찰안.xls][입찰안.xls][입찰안.xls]_723"/>
      <sheetName val="[입찰안.xls][입찰안.xls][입찰안.xls]_724"/>
      <sheetName val="[입찰안.xls][입찰안.xls][입찰안.xls]_725"/>
      <sheetName val="[입찰안.xls][입찰안.xls][입찰안.xls]_726"/>
      <sheetName val="[입찰안.xls][입찰안.xls][입찰안.xls]_727"/>
      <sheetName val="[입찰안.xls][입찰안.xls][입찰안.xls]_729"/>
      <sheetName val="[입찰안.xls][입찰안.xls][입찰안.xls]_730"/>
      <sheetName val="[입찰안.xls][입찰안.xls][입찰안.xls]_732"/>
      <sheetName val="[입찰안.xls][입찰안.xls][입찰안.xls]_731"/>
      <sheetName val="[입찰안.xls][입찰안.xls][입찰안.xls]_746"/>
      <sheetName val="[입찰안.xls][입찰안.xls][입찰안.xls]_733"/>
      <sheetName val="[입찰안.xls][입찰안.xls][입찰안.xls]_734"/>
      <sheetName val="[입찰안.xls][입찰안.xls][입찰안.xls]_735"/>
      <sheetName val="[입찰안.xls][입찰안.xls][입찰안.xls]_736"/>
      <sheetName val="[입찰안.xls][입찰안.xls][입찰안.xls]_737"/>
      <sheetName val="[입찰안.xls][입찰안.xls][입찰안.xls]_738"/>
      <sheetName val="[입찰안.xls][입찰안.xls][입찰안.xls]_739"/>
      <sheetName val="[입찰안.xls][입찰안.xls][입찰안.xls]_740"/>
      <sheetName val="[입찰안.xls][입찰안.xls][입찰안.xls]_741"/>
      <sheetName val="[입찰안.xls][입찰안.xls][입찰안.xls]_742"/>
      <sheetName val="[입찰안.xls][입찰안.xls][입찰안.xls]_743"/>
      <sheetName val="[입찰안.xls][입찰안.xls][입찰안.xls]_744"/>
      <sheetName val="[입찰안.xls][입찰안.xls][입찰안.xls]_745"/>
      <sheetName val="[입찰안.xls][입찰안.xls][입찰안.xls]_747"/>
      <sheetName val="[입찰안.xls][입찰안.xls][입찰안.xls]_752"/>
      <sheetName val="[입찰안.xls][입찰안.xls][입찰안.xls]_748"/>
      <sheetName val="[입찰안.xls][입찰안.xls][입찰안.xls]_749"/>
      <sheetName val="[입찰안.xls][입찰안.xls][입찰안.xls]_750"/>
      <sheetName val="[입찰안.xls][입찰안.xls][입찰안.xls]_751"/>
      <sheetName val="[입찰안.xls][입찰안.xls][입찰안.xls]_763"/>
      <sheetName val="[입찰안.xls][입찰안.xls][입찰안.xls]_754"/>
      <sheetName val="[입찰안.xls][입찰안.xls][입찰안.xls]_753"/>
      <sheetName val="[입찰안.xls][입찰안.xls][입찰안.xls]_755"/>
      <sheetName val="[입찰안.xls][입찰안.xls][입찰안.xls]_756"/>
      <sheetName val="[입찰안.xls][입찰안.xls][입찰안.xls]_757"/>
      <sheetName val="[입찰안.xls][입찰안.xls][입찰안.xls]_758"/>
      <sheetName val="[입찰안.xls][입찰안.xls][입찰안.xls]_761"/>
      <sheetName val="[입찰안.xls][입찰안.xls][입찰안.xls]_759"/>
      <sheetName val="[입찰안.xls][입찰안.xls][입찰안.xls]_760"/>
      <sheetName val="[입찰안.xls][입찰안.xls][입찰안.xls]_762"/>
      <sheetName val="[입찰안.xls][입찰안.xls][입찰안.xls]_767"/>
      <sheetName val="[입찰안.xls][입찰안.xls][입찰안.xls]_764"/>
      <sheetName val="[입찰안.xls][입찰안.xls][입찰안.xls]_765"/>
      <sheetName val="[입찰안.xls][입찰안.xls][입찰안.xls]_766"/>
      <sheetName val="[입찰안.xls][입찰안.xls][입찰안.xls]_769"/>
      <sheetName val="[입찰안.xls][입찰안.xls][입찰안.xls]_768"/>
      <sheetName val="[입찰안.xls][입찰안.xls][입찰안.xls]_772"/>
      <sheetName val="[입찰안.xls][입찰안.xls][입찰안.xls]_770"/>
      <sheetName val="[입찰안.xls][입찰안.xls][입찰안.xls]_771"/>
      <sheetName val="[입찰안.xls][입찰안.xls][입찰안.xls]_773"/>
      <sheetName val="[입찰안.xls][입찰안.xls][입찰안.xls]_776"/>
      <sheetName val="[입찰안.xls][입찰안.xls][입찰안.xls]_777"/>
      <sheetName val="[입찰안.xls][입찰안.xls][입찰안.xls]_780"/>
      <sheetName val="간 지1"/>
      <sheetName val="공종코드"/>
      <sheetName val="BD"/>
      <sheetName val="로더"/>
      <sheetName val="그레이더"/>
      <sheetName val="제요율표"/>
      <sheetName val="DT"/>
      <sheetName val="롤러"/>
      <sheetName val="BH"/>
      <sheetName val="BD운반거리"/>
      <sheetName val="디젤파일해머"/>
      <sheetName val="인력터파기품"/>
      <sheetName val="+-"/>
      <sheetName val="PA_xdbe6_"/>
      <sheetName val="7._x0000__x0000__x0000_"/>
      <sheetName val="배수개거재"/>
      <sheetName val="공비대비"/>
      <sheetName val="[입찰안.xls][입찰안.xls][입찰안.xls]_784"/>
      <sheetName val="[입찰안.xls][입찰안.xls][입찰안.xls]_788"/>
      <sheetName val="[입찰안.xls][입찰안.xls][입찰안.xls]_790"/>
      <sheetName val="[입찰안.xls][입찰안.xls][입찰안.xls]_789"/>
      <sheetName val="[입찰안.xls][입찰안.xls][입찰안.xls]_785"/>
      <sheetName val="[입찰안.xls][입찰안.xls][입찰안.xls]_786"/>
      <sheetName val="[입찰안.xls][입찰안.xls][입찰안.xls]_787"/>
      <sheetName val="[입찰안.xls][입찰안.xls][입찰안.xls]_998"/>
      <sheetName val="[입찰안.xls][입찰안.xls][입찰안.xls]_994"/>
      <sheetName val="[입찰안.xls][입찰안.xls][입찰안.xls]_986"/>
      <sheetName val="[입찰안.xls][입찰안.xls][입찰안.xls]_987"/>
      <sheetName val="[입찰안.xls][입찰안.xls][입찰안.xls]_988"/>
      <sheetName val="직접ఀ핧蠀兿"/>
      <sheetName val="[입찰안.xls][입찰안.xls][입찰안.xls]_793"/>
      <sheetName val="[입찰안.xls][입찰안.xls][입찰안.xls]_792"/>
      <sheetName val="[입찰안.xls][입찰안.xls][입찰안.xls]_791"/>
      <sheetName val="[입찰안.xls][입찰안.xls][입찰안.xls]_803"/>
      <sheetName val="[입찰안.xls][입찰안.xls][입찰안.xls]_794"/>
      <sheetName val="[입찰안.xls][입찰안.xls][입찰안.xls]_795"/>
      <sheetName val="[입찰안.xls][입찰안.xls][입찰안.xls]_796"/>
      <sheetName val="[입찰안.xls][입찰안.xls][입찰안.xls]_798"/>
      <sheetName val="[입찰안.xls][입찰안.xls][입찰안.xls]_797"/>
      <sheetName val="[입찰안.xls][입찰안.xls][입찰안.xls]_799"/>
      <sheetName val="[입찰안.xls][입찰안.xls][입찰안.xls]_801"/>
      <sheetName val="[입찰안.xls][입찰안.xls][입찰안.xls]_800"/>
      <sheetName val="[입찰안.xls][입찰안.xls][입찰안.xls]_802"/>
      <sheetName val="[입찰안.xls][입찰안.xls][입찰안.xls]_815"/>
      <sheetName val="[입찰안.xls][입찰안.xls][입찰안.xls]_807"/>
      <sheetName val="[입찰안.xls][입찰안.xls][입찰안.xls]_804"/>
      <sheetName val="[입찰안.xls][입찰안.xls][입찰안.xls]_805"/>
      <sheetName val="[입찰안.xls][입찰안.xls][입찰안.xls]_806"/>
      <sheetName val="[입찰안.xls][입찰안.xls][입찰안.xls]_808"/>
      <sheetName val="[입찰안.xls][입찰안.xls][입찰안.xls]_809"/>
      <sheetName val="[입찰안.xls][입찰안.xls][입찰안.xls]_810"/>
      <sheetName val="[입찰안.xls][입찰안.xls][입찰안.xls]_811"/>
      <sheetName val="[입찰안.xls][입찰안.xls][입찰안.xls]_813"/>
      <sheetName val="[입찰안.xls][입찰안.xls][입찰안.xls]_812"/>
      <sheetName val="[입찰안.xls][입찰안.xls][입찰안.xls]_814"/>
      <sheetName val="[입찰안.xls][입찰안.xls][입찰안.xls]_816"/>
      <sheetName val="[입찰안.xls][입찰안.xls][입찰안.xls]_827"/>
      <sheetName val="[입찰안.xls][입찰안.xls][입찰안.xls]_817"/>
      <sheetName val="[입찰안.xls][입찰안.xls][입찰안.xls]_818"/>
      <sheetName val="[입찰안.xls][입찰안.xls][입찰안.xls]_820"/>
      <sheetName val="[입찰안.xls][입찰안.xls][입찰안.xls]_819"/>
      <sheetName val="[입찰안.xls][입찰안.xls][입찰안.xls]_821"/>
      <sheetName val="[입찰안.xls][입찰안.xls][입찰안.xls]_822"/>
      <sheetName val="[입찰안.xls][입찰안.xls][입찰안.xls]_823"/>
      <sheetName val="[입찰안.xls][입찰안.xls][입찰안.xls]_824"/>
      <sheetName val="[입찰안.xls][입찰안.xls][입찰안.xls]_825"/>
      <sheetName val="[입찰안.xls][입찰안.xls][입찰안.xls]_826"/>
      <sheetName val="[입찰안.xls][입찰안.xls][입찰안.xls]_838"/>
      <sheetName val="[입찰안.xls][입찰안.xls][입찰안.xls]_828"/>
      <sheetName val="[입찰안.xls][입찰안.xls][입찰안.xls]_829"/>
      <sheetName val="[입찰안.xls][입찰안.xls][입찰안.xls]_830"/>
      <sheetName val="[입찰안.xls][입찰안.xls][입찰안.xls]_831"/>
      <sheetName val="[입찰안.xls][입찰안.xls][입찰안.xls]_832"/>
      <sheetName val="[입찰안.xls][입찰안.xls][입찰안.xls]_834"/>
      <sheetName val="[입찰안.xls][입찰안.xls][입찰안.xls]_833"/>
      <sheetName val="[입찰안.xls][입찰안.xls][입찰안.xls]_835"/>
      <sheetName val="[입찰안.xls][입찰안.xls][입찰안.xls]_836"/>
      <sheetName val="[입찰안.xls][입찰안.xls][입찰안.xls]_837"/>
      <sheetName val="[입찰안.xls][입찰안.xls][입찰안.xls]_844"/>
      <sheetName val="[입찰안.xls][입찰안.xls][입찰안.xls]_846"/>
      <sheetName val="[입찰안.xls][입찰안.xls][입찰안.xls]_839"/>
      <sheetName val="[입찰안.xls][입찰안.xls][입찰안.xls]_840"/>
      <sheetName val="[입찰안.xls][입찰안.xls][입찰안.xls]_843"/>
      <sheetName val="[입찰안.xls][입찰안.xls][입찰안.xls]_841"/>
      <sheetName val="[입찰안.xls][입찰안.xls][입찰안.xls]_842"/>
      <sheetName val="[입찰안.xls][입찰안.xls][입찰안.xls]_845"/>
      <sheetName val="[입찰안.xls][입찰안.xls][입찰안.xls]_860"/>
      <sheetName val="[입찰안.xls][입찰안.xls][입찰안.xls]_847"/>
      <sheetName val="[입찰안.xls][입찰안.xls][입찰안.xls]_848"/>
      <sheetName val="[입찰안.xls][입찰안.xls][입찰안.xls]_850"/>
      <sheetName val="[입찰안.xls][입찰안.xls][입찰안.xls]_849"/>
      <sheetName val="[입찰안.xls][입찰안.xls][입찰안.xls]_851"/>
      <sheetName val="[입찰안.xls][입찰안.xls][입찰안.xls]_852"/>
      <sheetName val="[입찰안.xls][입찰안.xls][입찰안.xls]_854"/>
      <sheetName val="[입찰안.xls][입찰안.xls][입찰안.xls]_853"/>
      <sheetName val="[입찰안.xls][입찰안.xls][입찰안.xls]_855"/>
      <sheetName val="[입찰안.xls][입찰안.xls][입찰안.xls]_856"/>
      <sheetName val="[입찰안.xls][입찰안.xls][입찰안.xls]_857"/>
      <sheetName val="[입찰안.xls][입찰안.xls][입찰안.xls]_859"/>
      <sheetName val="[입찰안.xls][입찰안.xls][입찰안.xls]_858"/>
      <sheetName val="[입찰안.xls][입찰안.xls][입찰안.xls]_861"/>
      <sheetName val="[입찰안.xls][입찰안.xls][입찰안.xls]_886"/>
      <sheetName val="[입찰안.xls][입찰안.xls][입찰안.xls]_862"/>
      <sheetName val="[입찰안.xls][입찰안.xls][입찰안.xls]_863"/>
      <sheetName val="[입찰안.xls][입찰안.xls][입찰안.xls]_864"/>
      <sheetName val="[입찰안.xls][입찰안.xls][입찰안.xls]_865"/>
      <sheetName val="[입찰안.xls][입찰안.xls][입찰안.xls]_866"/>
      <sheetName val="[입찰안.xls][입찰안.xls][입찰안.xls]_867"/>
      <sheetName val="[입찰안.xls][입찰안.xls][입찰안.xls]_868"/>
      <sheetName val="[입찰안.xls][입찰안.xls][입찰안.xls]_869"/>
      <sheetName val="[입찰안.xls][입찰안.xls][입찰안.xls]_870"/>
      <sheetName val="[입찰안.xls][입찰안.xls][입찰안.xls]_871"/>
      <sheetName val="[입찰안.xls][입찰안.xls][입찰안.xls]_872"/>
      <sheetName val="[입찰안.xls][입찰안.xls][입찰안.xls]_873"/>
      <sheetName val="[입찰안.xls][입찰안.xls][입찰안.xls]_874"/>
      <sheetName val="[입찰안.xls][입찰안.xls][입찰안.xls]_895"/>
      <sheetName val="[입찰안.xls][입찰안.xls][입찰안.xls]_894"/>
      <sheetName val="[입찰안.xls][입찰안.xls][입찰안.xls]_875"/>
      <sheetName val="[입찰안.xls][입찰안.xls][입찰안.xls]_876"/>
      <sheetName val="[입찰안.xls][입찰안.xls][입찰안.xls]_877"/>
      <sheetName val="[입찰안.xls][입찰안.xls][입찰안.xls]_878"/>
      <sheetName val="[입찰안.xls][입찰안.xls][입찰안.xls]_879"/>
      <sheetName val="[입찰안.xls][입찰안.xls][입찰안.xls]_880"/>
      <sheetName val="[입찰안.xls][입찰안.xls][입찰안.xls]_881"/>
      <sheetName val="[입찰안.xls][입찰안.xls][입찰안.xls]_882"/>
      <sheetName val="[입찰안.xls][입찰안.xls][입찰안.xls]_883"/>
      <sheetName val="[입찰안.xls][입찰안.xls][입찰안.xls]_884"/>
      <sheetName val="[입찰안.xls][입찰안.xls][입찰안.xls]_885"/>
      <sheetName val="[입찰안.xls][입찰안.xls][입찰안.xls]_887"/>
      <sheetName val="[입찰안.xls][입찰안.xls][입찰안.xls]_889"/>
      <sheetName val="[입찰안.xls][입찰안.xls][입찰안.xls]_888"/>
      <sheetName val="[입찰안.xls][입찰안.xls][입찰안.xls]_890"/>
      <sheetName val="[입찰안.xls][입찰안.xls][입찰안.xls]_891"/>
      <sheetName val="[입찰안.xls][입찰안.xls][입찰안.xls]_892"/>
      <sheetName val="[입찰안.xls][입찰안.xls][입찰안.xls]_893"/>
      <sheetName val="[입찰안.xls][입찰안.xls][입찰안.xls]_908"/>
      <sheetName val="[입찰안.xls][입찰안.xls][입찰안.xls]_899"/>
      <sheetName val="[입찰안.xls][입찰안.xls][입찰안.xls]_896"/>
      <sheetName val="[입찰안.xls][입찰안.xls][입찰안.xls]_897"/>
      <sheetName val="[입찰안.xls][입찰안.xls][입찰안.xls]_898"/>
      <sheetName val="[입찰안.xls][입찰안.xls][입찰안.xls]_959"/>
      <sheetName val="[입찰안.xls][입찰안.xls][입찰안.xls]_950"/>
      <sheetName val="[입찰안.xls][입찰안.xls][입찰안.xls]_900"/>
      <sheetName val="[입찰안.xls][입찰안.xls][입찰안.xls]_902"/>
      <sheetName val="[입찰안.xls][입찰안.xls][입찰안.xls]_901"/>
      <sheetName val="[입찰안.xls][입찰안.xls][입찰안.xls]_906"/>
      <sheetName val="[입찰안.xls][입찰안.xls][입찰안.xls]_905"/>
      <sheetName val="[입찰안.xls][입찰안.xls][입찰안.xls]_903"/>
      <sheetName val="[입찰안.xls][입찰안.xls][입찰안.xls]_904"/>
      <sheetName val="[입찰안.xls][입찰안.xls][입찰안.xls]_907"/>
      <sheetName val="[입찰안.xls][입찰안.xls][입찰안.xls]_939"/>
      <sheetName val="[입찰안.xls][입찰안.xls][입찰안.xls]_921"/>
      <sheetName val="[입찰안.xls][입찰안.xls][입찰안.xls]_912"/>
      <sheetName val="[입찰안.xls][입찰안.xls][입찰안.xls]_911"/>
      <sheetName val="[입찰안.xls][입찰안.xls][입찰안.xls]_909"/>
      <sheetName val="[입찰안.xls][입찰안.xls][입찰안.xls]_910"/>
      <sheetName val="[입찰안.xls][입찰안.xls][입찰안.xls]_914"/>
      <sheetName val="[입찰안.xls][입찰안.xls][입찰안.xls]_913"/>
      <sheetName val="[입찰안.xls][입찰안.xls][입찰안.xls]_915"/>
      <sheetName val="[입찰안.xls][입찰안.xls][입찰안.xls]_916"/>
      <sheetName val="[입찰안.xls][입찰안.xls][입찰안.xls]_917"/>
      <sheetName val="[입찰안.xls][입찰안.xls][입찰안.xls]_918"/>
      <sheetName val="[입찰안.xls][입찰안.xls][입찰안.xls]_919"/>
      <sheetName val="[입찰안.xls][입찰안.xls][입찰안.xls]_920"/>
      <sheetName val="[입찰안.xls][입찰안.xls][입찰안.xls]_922"/>
      <sheetName val="[입찰안.xls][입찰안.xls][입찰안.xls]_928"/>
      <sheetName val="[입찰안.xls][입찰안.xls][입찰안.xls]_926"/>
      <sheetName val="[입찰안.xls][입찰안.xls][입찰안.xls]_924"/>
      <sheetName val="[입찰안.xls][입찰안.xls][입찰안.xls]_923"/>
      <sheetName val="[입찰안.xls][입찰안.xls][입찰안.xls]_925"/>
      <sheetName val="[입찰안.xls][입찰안.xls][입찰안.xls]_927"/>
      <sheetName val="[입찰안.xls][입찰안.xls][입찰안.xls]_929"/>
      <sheetName val="[입찰안.xls][입찰안.xls][입찰안.xls]_930"/>
      <sheetName val="[입찰안.xls][입찰안.xls][입찰안.xls]_933"/>
      <sheetName val="[입찰안.xls][입찰안.xls][입찰안.xls]_931"/>
      <sheetName val="[입찰안.xls][입찰안.xls][입찰안.xls]_932"/>
      <sheetName val="[입찰안.xls][입찰안.xls][입찰안.xls]_934"/>
      <sheetName val="[입찰안.xls][입찰안.xls][입찰안.xls]_937"/>
      <sheetName val="[입찰안.xls][입찰안.xls][입찰안.xls]_935"/>
      <sheetName val="[입찰안.xls][입찰안.xls][입찰안.xls]_936"/>
      <sheetName val="[입찰안.xls][입찰안.xls][입찰안.xls]_938"/>
      <sheetName val="[입찰안.xls][입찰안.xls][입찰안.xls]_940"/>
      <sheetName val="[입찰안.xls][입찰안.xls][입찰안.xls]_941"/>
      <sheetName val="[입찰안.xls][입찰안.xls][입찰안.xls]_942"/>
      <sheetName val="[입찰안.xls][입찰안.xls][입찰안.xls]_944"/>
      <sheetName val="[입찰안.xls][입찰안.xls][입찰안.xls]_943"/>
      <sheetName val="[입찰안.xls][입찰안.xls][입찰안.xls]_945"/>
      <sheetName val="[입찰안.xls][입찰안.xls][입찰안.xls]_946"/>
      <sheetName val="[입찰안.xls][입찰안.xls][입찰안.xls]_947"/>
      <sheetName val="[입찰안.xls][입찰안.xls][입찰안.xls]_948"/>
      <sheetName val="[입찰안.xls][입찰안.xls][입찰안.xls]_949"/>
      <sheetName val="[입찰안.xls][입찰안.xls][입찰안.xls]_954"/>
      <sheetName val="[입찰안.xls][입찰안.xls][입찰안.xls]_953"/>
      <sheetName val="[입찰안.xls][입찰안.xls][입찰안.xls]_952"/>
      <sheetName val="[입찰안.xls][입찰안.xls][입찰안.xls]_951"/>
      <sheetName val="[입찰안.xls][입찰안.xls][입찰안.xls]_956"/>
      <sheetName val="[입찰안.xls][입찰안.xls][입찰안.xls]_955"/>
      <sheetName val="[입찰안.xls][입찰안.xls][입찰안.xls]_957"/>
      <sheetName val="[입찰안.xls][입찰안.xls][입찰안.xls]_958"/>
      <sheetName val="[입찰안.xls][입찰안.xls][입찰안.xls]_962"/>
      <sheetName val="[입찰안.xls][입찰안.xls][입찰안.xls]_969"/>
      <sheetName val="[입찰안.xls][입찰안.xls][입찰안.xls]_960"/>
      <sheetName val="[입찰안.xls][입찰안.xls][입찰안.xls]_961"/>
      <sheetName val="[입찰안.xls][입찰안.xls][입찰안.xls]_963"/>
      <sheetName val="[입찰안.xls][입찰안.xls][입찰안.xls]_972"/>
      <sheetName val="[입찰안.xls][입찰안.xls][입찰안.xls]_964"/>
      <sheetName val="[입찰안.xls][입찰안.xls][입찰안.xls]_965"/>
      <sheetName val="[입찰안.xls][입찰안.xls][입찰안.xls]_967"/>
      <sheetName val="[입찰안.xls][입찰안.xls][입찰안.xls]_966"/>
      <sheetName val="[입찰안.xls][입찰안.xls][입찰안.xls]_968"/>
      <sheetName val="[입찰안.xls][입찰안.xls][입찰안.xls]_975"/>
      <sheetName val="[입찰안.xls][입찰안.xls][입찰안.xls]_976"/>
      <sheetName val="[입찰안.xls][입찰안.xls][입찰안.xls]_970"/>
      <sheetName val="[입찰안.xls][입찰안.xls][입찰안.xls]_971"/>
      <sheetName val="[입찰안.xls][입찰안.xls][입찰안.xls]_973"/>
      <sheetName val="[입찰안.xls][입찰안.xls][입찰안.xls]_974"/>
      <sheetName val="[입찰안.xls][입찰안.xls][입찰안.xls]_978"/>
      <sheetName val="[입찰안.xls][입찰안.xls][입찰안.xls]_977"/>
      <sheetName val="[입찰안.xls][입찰안.xls][입찰안.xls]_980"/>
      <sheetName val="[입찰안.xls][입찰안.xls][입찰안.xls]_979"/>
      <sheetName val="[입찰안.xls][입찰안.xls][입찰안.xls]_981"/>
      <sheetName val="[입찰안.xls][입찰안.xls][입찰안.xls]_982"/>
      <sheetName val="[입찰안.xls][입찰안.xls][입찰안.xls]_985"/>
      <sheetName val="[입찰안.xls][입찰안.xls][입찰안.xls]_983"/>
      <sheetName val="[입찰안.xls][입찰안.xls][입찰안.xls]_984"/>
      <sheetName val="[입찰안.xls][입찰안.xls][입찰안.xls]_989"/>
      <sheetName val="[입찰안.xls][입찰안.xls][입찰안.xls]_990"/>
      <sheetName val="[입찰안.xls][입찰안.xls][입찰안.xls]_991"/>
      <sheetName val="[입찰안.xls][입찰안.xls][입찰안.xls]_992"/>
      <sheetName val="[입찰안.xls][입찰안.xls][입찰안.xls]_993"/>
      <sheetName val="[입찰안.xls][입찰안.xls][입찰안.xls]_996"/>
      <sheetName val="[입찰안.xls][입찰안.xls][입찰안.xls]_995"/>
      <sheetName val="[입찰안.xls][입찰안.xls][입찰안.xls]_997"/>
      <sheetName val="[입찰안.xls][입찰안.xls]_____xls_1000"/>
      <sheetName val="[입찰안.xls][입찰안.xls][입찰안.xls]_999"/>
      <sheetName val="[입찰안.xls][입찰안.xls]_____xls_1004"/>
      <sheetName val="[입찰안.xls][입찰안.xls]_____xls_1002"/>
      <sheetName val="[입찰안.xls][입찰안.xls]_____xls_1001"/>
      <sheetName val="[입찰안.xls][입찰안.xls]_____xls_1003"/>
      <sheetName val="[입찰안.xls][입찰안.xls]_____xls_1006"/>
      <sheetName val="[입찰안.xls][입찰안.xls]_____xls_1005"/>
      <sheetName val="[입찰안.xls][입찰안.xls]_____xls_1007"/>
      <sheetName val="[입찰안.xls][입찰안.xls]_____xls_1024"/>
      <sheetName val="[입찰안.xls][입찰안.xls]_____xls_1030"/>
      <sheetName val="[입찰안.xls][입찰안.xls]_____xls_1012"/>
      <sheetName val="[입찰안.xls][입찰안.xls]_____xls_1008"/>
      <sheetName val="[입찰안.xls][입찰안.xls]_____xls_1016"/>
      <sheetName val="_HIT__HMC_견"/>
      <sheetName val="[입찰안.xls][입찰안.xls]_____xls_1009"/>
      <sheetName val="[입찰안.xls][입찰안.xls]_____xls_1010"/>
      <sheetName val="[입찰안.xls][입찰안.xls]_____xls_1011"/>
      <sheetName val="[입찰안.xls][입찰안.xls]_____xls_1014"/>
      <sheetName val="[입찰안.xls][입찰안.xls]_____xls_1013"/>
      <sheetName val="[입찰안.xls][입찰안.xls]_____xls_1017"/>
      <sheetName val="[입찰안.xls][입찰안.xls]_____xls_1019"/>
      <sheetName val="[입찰안.xls][입찰안.xls]_____xls_1015"/>
      <sheetName val="[입찰안.xls][입찰안.xls]_____xls_1018"/>
      <sheetName val="[입찰안.xls][입찰안.xls]_____xls_1020"/>
      <sheetName val="[입찰안.xls][입찰안.xls]_____xls_1021"/>
      <sheetName val="[입찰안.xls][입찰안.xls]_____xls_1022"/>
      <sheetName val="[입찰안.xls][입찰안.xls]_____xls_1023"/>
      <sheetName val="[입찰안.xls][입찰안.xls]_____xls_1025"/>
      <sheetName val="[입찰안.xls][입찰안.xls]_____xls_1026"/>
      <sheetName val="[입찰안.xls][입찰안.xls]_____xls_1027"/>
      <sheetName val="[입찰안.xls][입찰안.xls]_____xls_1028"/>
      <sheetName val="[입찰안.xls][입찰안.xls]_____xls_1029"/>
      <sheetName val="M-EQPT-Z"/>
      <sheetName val="세부내역(직접인건비)"/>
      <sheetName val="세부내역(직접경비)"/>
      <sheetName val="[입찰안.xls][입찰안.xls]_____xls_1031"/>
      <sheetName val="[입찰안.xls][입찰안.xls]_____xls_1032"/>
      <sheetName val="[입찰안.xls][입찰안.xls]_____xls_1232"/>
      <sheetName val="[입찰안.xls][입찰안.xls]_____xls_1236"/>
      <sheetName val="[입찰안.xls][입찰안.xls]_____xls_1233"/>
      <sheetName val="이름표"/>
      <sheetName val="물건조서"/>
      <sheetName val="콤보박스와 리스트박스의 연결"/>
      <sheetName val="ITEM_W"/>
      <sheetName val="Thoat nuoc"/>
      <sheetName val="DU_LIEU"/>
      <sheetName val="CPK"/>
      <sheetName val="매부"/>
      <sheetName val="1. Dashboard"/>
      <sheetName val="BAG-2"/>
      <sheetName val="SAP"/>
      <sheetName val="PHU LUC 01"/>
      <sheetName val="Đầu vào"/>
      <sheetName val="기본DATA"/>
      <sheetName val="Bill 02 INF"/>
      <sheetName val="1_설계_x0000_건3"/>
      <sheetName val="CM_x0000__x0000__x0000_"/>
      <sheetName val="단가_및_재_x0000_비3"/>
      <sheetName val="[입찰안.xls]___2"/>
      <sheetName val="[입찰안.xls]___3"/>
      <sheetName val="[입찰안.xls]B__2"/>
      <sheetName val="[입찰안.xls]B__3"/>
      <sheetName val="1_설계"/>
      <sheetName val="단가_및_재"/>
      <sheetName val="II손익관리"/>
      <sheetName val="수문일위1"/>
      <sheetName val="6-1.Summary Of Cost"/>
      <sheetName val="6-2.In-Direct Cost"/>
      <sheetName val="6-3.EQ Cost"/>
      <sheetName val="6-4-1.MP Status(107,125,12)"/>
      <sheetName val="6-4-2.MP Status(144)"/>
      <sheetName val="6-5-1.EQ Status(107,125,12)"/>
      <sheetName val="6-5-2.EQ Status(144)"/>
      <sheetName val="6-6.Agree.Other&amp;Expanse.(Att.1)"/>
      <sheetName val="6-7.EQ Apply"/>
      <sheetName val="제출&lt;--------&gt;참조"/>
      <sheetName val="MP U107,125,12"/>
      <sheetName val="MP U144"/>
      <sheetName val="EQ U107,125,12"/>
      <sheetName val="EQ U144"/>
      <sheetName val="Agrement Day W.Cost"/>
      <sheetName val="Agrement Day EQ Cost"/>
      <sheetName val="Indirect Cost"/>
      <sheetName val="(1)본선수량집ው"/>
      <sheetName val="이폴리머공장"/>
      <sheetName val="4_전痠"/>
      <sheetName val="4_전矰"/>
      <sheetName val="[입찰안.xls][입찰안.xls]_____xls_1227"/>
      <sheetName val="[입찰안.xls][입찰안.xls]_____xls_1229"/>
      <sheetName val="[입찰안.xls][입찰안.xls]_____xls_1228"/>
      <sheetName val="[입찰안.xls][입찰안.xls]_____xls_1221"/>
      <sheetName val="[입찰안.xls][입찰안.xls]_____xls_1054"/>
      <sheetName val="[입찰안.xls][입찰안.xls]_____xls_1056"/>
      <sheetName val="[입찰안.xls][입찰안.xls]_____xls_1055"/>
      <sheetName val="[입찰안.xls][입찰안.xls]_____xls_1037"/>
      <sheetName val="[입찰안.xls][입찰안.xls]_____xls_1033"/>
      <sheetName val="[입찰안.xls][입찰안.xls]_____xls_1036"/>
      <sheetName val="[입찰안.xls][입찰안.xls]_____xls_1034"/>
      <sheetName val="[입찰안.xls][입찰안.xls]_____xls_1035"/>
      <sheetName val="[입찰안.xls][입찰안.xls]_____xls_1049"/>
      <sheetName val="[입찰안.xls][입찰안.xls]_____xls_1038"/>
      <sheetName val="[입찰안.xls][입찰안.xls]_____xls_1050"/>
      <sheetName val="[입찰안.xls][입찰안.xls]_____xls_1039"/>
      <sheetName val="[입찰안.xls][입찰안.xls]_____xls_1042"/>
      <sheetName val="[입찰안.xls][입찰안.xls]_____xls_1040"/>
      <sheetName val="[입찰안.xls][입찰안.xls]_____xls_1041"/>
      <sheetName val="[입찰안.xls][입찰안.xls]_____xls_1045"/>
      <sheetName val="[입찰안.xls][입찰안.xls]_____xls_1043"/>
      <sheetName val="[입찰안.xls][입찰안.xls]_____xls_1044"/>
      <sheetName val="[입찰안.xls][입찰안.xls]_____xls_1046"/>
      <sheetName val="[입찰안.xls][입찰안.xls]_____xls_1047"/>
      <sheetName val="[입찰안.xls][입찰안.xls]_____xls_1048"/>
      <sheetName val="[입찰안.xls][입찰안.xls]_____xls_1053"/>
      <sheetName val="[입찰안.xls][입찰안.xls]_____xls_1052"/>
      <sheetName val="[입찰안.xls][입찰안.xls]_____xls_1051"/>
      <sheetName val="[입찰안.xls][입찰안.xls]_____xls_1058"/>
      <sheetName val="[입찰안.xls][입찰안.xls]_____xls_1060"/>
      <sheetName val="[입찰안.xls][입찰안.xls]_____xls_1059"/>
      <sheetName val="[입찰안.xls][입찰안.xls]_____xls_1057"/>
      <sheetName val="[입찰안.xls][입찰안.xls]_____xls_1061"/>
      <sheetName val="[입찰안.xls][입찰안.xls]_____xls_1216"/>
      <sheetName val="[입찰안.xls][입찰안.xls]_____xls_1218"/>
      <sheetName val="[입찰안.xls][입찰안.xls]_____xls_1217"/>
      <sheetName val="[입찰안.xls][입찰안.xls]_____xls_1063"/>
      <sheetName val="[입찰안.xls][입찰안.xls]_____xls_1062"/>
      <sheetName val="[입찰안.xls][입찰안.xls]_____xls_1066"/>
      <sheetName val="[입찰안.xls][입찰안.xls]_____xls_1064"/>
      <sheetName val="[입찰안.xls][입찰안.xls]_____xls_1065"/>
      <sheetName val="[입찰안.xls][입찰안.xls]_____xls_1068"/>
      <sheetName val="[입찰안.xls][입찰안.xls]_____xls_1094"/>
      <sheetName val="[입찰안.xls][입찰안.xls]_____xls_1067"/>
      <sheetName val="[입찰안.xls][입찰안.xls]_____xls_1069"/>
      <sheetName val="[입찰안.xls][입찰안.xls]_____xls_1072"/>
      <sheetName val="[입찰안.xls][입찰안.xls]_____xls_1071"/>
      <sheetName val="[입찰안.xls][입찰안.xls]_____xls_1070"/>
      <sheetName val="[입찰안.xls][입찰안.xls]_____xls_1074"/>
      <sheetName val="[입찰안.xls][입찰안.xls]_____xls_1073"/>
      <sheetName val="[입찰안.xls][입찰안.xls]_____xls_1075"/>
      <sheetName val="[입찰안.xls][입찰안.xls]_____xls_1076"/>
      <sheetName val="[입찰안.xls][입찰안.xls]_____xls_1079"/>
      <sheetName val="[입찰안.xls][입찰안.xls]_____xls_1078"/>
      <sheetName val="[입찰안.xls][입찰안.xls]_____xls_1077"/>
      <sheetName val="[입찰안.xls][입찰안.xls]_____xls_1080"/>
      <sheetName val="[입찰안.xls][입찰안.xls]_____xls_1081"/>
      <sheetName val="[입찰안.xls][입찰안.xls]_____xls_1083"/>
      <sheetName val="[입찰안.xls][입찰안.xls]_____xls_1082"/>
      <sheetName val="[입찰안.xls][입찰안.xls]_____xls_1086"/>
      <sheetName val="[입찰안.xls][입찰안.xls]_____xls_1084"/>
      <sheetName val="[입찰안.xls][입찰안.xls]_____xls_1085"/>
      <sheetName val="[입찰안.xls][입찰안.xls]_____xls_1088"/>
      <sheetName val="[입찰안.xls][입찰안.xls]_____xls_1089"/>
      <sheetName val="[입찰안.xls][입찰안.xls]_____xls_1087"/>
      <sheetName val="[입찰안.xls][입찰안.xls]_____xls_1095"/>
      <sheetName val="[입찰안.xls][입찰안.xls]_____xls_1090"/>
      <sheetName val="[입찰안.xls][입찰안.xls]_____xls_1091"/>
      <sheetName val="[입찰안.xls][입찰안.xls]_____xls_1092"/>
      <sheetName val="[입찰안.xls][입찰안.xls]_____xls_1093"/>
      <sheetName val="[입찰안.xls][입찰안.xls]_____xls_1115"/>
      <sheetName val="[입찰안.xls][입찰안.xls]_____xls_1096"/>
      <sheetName val="[입찰안.xls][입찰안.xls]_____xls_1097"/>
      <sheetName val="[입찰안.xls][입찰안.xls]_____xls_1098"/>
      <sheetName val="[입찰안.xls][입찰안.xls]_____xls_1099"/>
      <sheetName val="[입찰안.xls][입찰안.xls]_____xls_1100"/>
      <sheetName val="[입찰안.xls][입찰안.xls]_____xls_1101"/>
      <sheetName val="[입찰안.xls][입찰안.xls]_____xls_1102"/>
      <sheetName val="[입찰안.xls][입찰안.xls]_____xls_1103"/>
      <sheetName val="[입찰안.xls][입찰안.xls]_____xls_1104"/>
      <sheetName val="[입찰안.xls][입찰안.xls]_____xls_1105"/>
      <sheetName val="[입찰안.xls][입찰안.xls]_____xls_1106"/>
      <sheetName val="[입찰안.xls][입찰안.xls]_____xls_1107"/>
      <sheetName val="[입찰안.xls][입찰안.xls]_____xls_1112"/>
      <sheetName val="[입찰안.xls][입찰안.xls]_____xls_1108"/>
      <sheetName val="[입찰안.xls][입찰안.xls]_____xls_1110"/>
      <sheetName val="[입찰안.xls][입찰안.xls]_____xls_1109"/>
      <sheetName val="[입찰안.xls][입찰안.xls]_____xls_1111"/>
      <sheetName val="[입찰안.xls][입찰안.xls]_____xls_1113"/>
      <sheetName val="[입찰안.xls][입찰안.xls]_____xls_1114"/>
      <sheetName val="[입찰안.xls][입찰안.xls]_____xls_1147"/>
      <sheetName val="[입찰안.xls][입찰안.xls]_____xls_1135"/>
      <sheetName val="[입찰안.xls][입찰안.xls]_____xls_1130"/>
      <sheetName val="[입찰안.xls][입찰안.xls]_____xls_1118"/>
      <sheetName val="[입찰안.xls][입찰안.xls]_____xls_1116"/>
      <sheetName val="[입찰안.xls][입찰안.xls]_____xls_1117"/>
      <sheetName val="[입찰안.xls][입찰안.xls]_____xls_1119"/>
      <sheetName val="[입찰안.xls][입찰안.xls]_____xls_1120"/>
      <sheetName val="[입찰안.xls][입찰안.xls]_____xls_1121"/>
      <sheetName val="[입찰안.xls][입찰안.xls]_____xls_1122"/>
      <sheetName val="[입찰안.xls][입찰안.xls]_____xls_1123"/>
      <sheetName val="[입찰안.xls][입찰안.xls]_____xls_1124"/>
      <sheetName val="[입찰안.xls][입찰안.xls]_____xls_1125"/>
      <sheetName val="[입찰안.xls][입찰안.xls]_____xls_1126"/>
      <sheetName val="[입찰안.xls][입찰안.xls]_____xls_1127"/>
      <sheetName val="[입찰안.xls][입찰안.xls]_____xls_1128"/>
      <sheetName val="[입찰안.xls][입찰안.xls]_____xls_1129"/>
      <sheetName val="[입찰안.xls][입찰안.xls]_____xls_1131"/>
      <sheetName val="[입찰안.xls][입찰안.xls]_____xls_1132"/>
      <sheetName val="[입찰안.xls][입찰안.xls]_____xls_1134"/>
      <sheetName val="[입찰안.xls][입찰안.xls]_____xls_1133"/>
      <sheetName val="[입찰안.xls][입찰안.xls]_____xls_1146"/>
      <sheetName val="[입찰안.xls][입찰안.xls]_____xls_1140"/>
      <sheetName val="[입찰안.xls][입찰안.xls]_____xls_1136"/>
      <sheetName val="[입찰안.xls][입찰안.xls]_____xls_1137"/>
      <sheetName val="[입찰안.xls][입찰안.xls]_____xls_1138"/>
      <sheetName val="[입찰안.xls][입찰안.xls]_____xls_1139"/>
      <sheetName val="[입찰안.xls][입찰안.xls]_____xls_1141"/>
      <sheetName val="[입찰안.xls][입찰안.xls]_____xls_1142"/>
      <sheetName val="[입찰안.xls][입찰안.xls]_____xls_1143"/>
      <sheetName val="[입찰안.xls][입찰안.xls]_____xls_1144"/>
      <sheetName val="[입찰안.xls][입찰안.xls]_____xls_1145"/>
      <sheetName val="[입찰안.xls][입찰안.xls]_____xls_1166"/>
      <sheetName val="[입찰안.xls][입찰안.xls]_____xls_1149"/>
      <sheetName val="[입찰안.xls][입찰안.xls]_____xls_1148"/>
      <sheetName val="[입찰안.xls][입찰안.xls]_____xls_1154"/>
      <sheetName val="[입찰안.xls][입찰안.xls]_____xls_1150"/>
      <sheetName val="[입찰안.xls][입찰안.xls]_____xls_1152"/>
      <sheetName val="[입찰안.xls][입찰안.xls]_____xls_1151"/>
      <sheetName val="[입찰안.xls][입찰안.xls]_____xls_1153"/>
      <sheetName val="[입찰안.xls][입찰안.xls]_____xls_1155"/>
      <sheetName val="[입찰안.xls][입찰안.xls]_____xls_1156"/>
      <sheetName val="[입찰안.xls][입찰안.xls]_____xls_1157"/>
      <sheetName val="[입찰안.xls][입찰안.xls]_____xls_1158"/>
      <sheetName val="[입찰안.xls][입찰안.xls]_____xls_1159"/>
      <sheetName val="[입찰안.xls][입찰안.xls]_____xls_1162"/>
      <sheetName val="[입찰안.xls][입찰안.xls]_____xls_1160"/>
      <sheetName val="[입찰안.xls][입찰안.xls]_____xls_1161"/>
      <sheetName val="[입찰안.xls][입찰안.xls]_____xls_1165"/>
      <sheetName val="[입찰안.xls][입찰안.xls]_____xls_1163"/>
      <sheetName val="[입찰안.xls][입찰안.xls]_____xls_1164"/>
      <sheetName val="[입찰안.xls][입찰안.xls]_____xls_1184"/>
      <sheetName val="[입찰안.xls][입찰안.xls]_____xls_1168"/>
      <sheetName val="[입찰안.xls][입찰안.xls]_____xls_1167"/>
      <sheetName val="[입찰안.xls][입찰안.xls]_____xls_1169"/>
      <sheetName val="[입찰안.xls][입찰안.xls]_____xls_1170"/>
      <sheetName val="[입찰안.xls][입찰안.xls]_____xls_1171"/>
      <sheetName val="[입찰안.xls][입찰안.xls]_____xls_1176"/>
      <sheetName val="[입찰안.xls][입찰안.xls]_____xls_1172"/>
      <sheetName val="[입찰안.xls][입찰안.xls]_____xls_1173"/>
      <sheetName val="[입찰안.xls][입찰안.xls]_____xls_1174"/>
      <sheetName val="[입찰안.xls][입찰안.xls]_____xls_1175"/>
      <sheetName val="[입찰안.xls][입찰안.xls]_____xls_1177"/>
      <sheetName val="[입찰안.xls][입찰안.xls]_____xls_1179"/>
      <sheetName val="[입찰안.xls][입찰안.xls]_____xls_1178"/>
      <sheetName val="[입찰안.xls][입찰안.xls]_____xls_1191"/>
      <sheetName val="[입찰안.xls][입찰안.xls]_____xls_1182"/>
      <sheetName val="[입찰안.xls][입찰안.xls]_____xls_1180"/>
      <sheetName val="[입찰안.xls][입찰안.xls]_____xls_1181"/>
      <sheetName val="[입찰안.xls][입찰안.xls]_____xls_1183"/>
      <sheetName val="[입찰안.xls][입찰안.xls]_____xls_1185"/>
      <sheetName val="[입찰안.xls][입찰안.xls]_____xls_1186"/>
      <sheetName val="[입찰안.xls][입찰안.xls]_____xls_1187"/>
      <sheetName val="[입찰안.xls][입찰안.xls]_____xls_1190"/>
      <sheetName val="[입찰안.xls][입찰안.xls]_____xls_1188"/>
      <sheetName val="[입찰안.xls][입찰안.xls]_____xls_1189"/>
      <sheetName val="[입찰안.xls][입찰안.xls]_____xls_1195"/>
      <sheetName val="[입찰안.xls][입찰안.xls]_____xls_1194"/>
      <sheetName val="[입찰안.xls][입찰안.xls]_____xls_1192"/>
      <sheetName val="[입찰안.xls][입찰안.xls]_____xls_1193"/>
      <sheetName val="[입찰안.xls][입찰안.xls]_____xls_1196"/>
      <sheetName val="[입찰안.xls][입찰안.xls]_____xls_1200"/>
      <sheetName val="[입찰안.xls][입찰안.xls]_____xls_1199"/>
      <sheetName val="[입찰안.xls][입찰안.xls]_____xls_1197"/>
      <sheetName val="[입찰안.xls][입찰안.xls]_____xls_1198"/>
      <sheetName val="[입찰안.xls][입찰안.xls]_____xls_1206"/>
      <sheetName val="[입찰안.xls][입찰안.xls]_____xls_1203"/>
      <sheetName val="[입찰안.xls][입찰안.xls]_____xls_1201"/>
      <sheetName val="[입찰안.xls][입찰안.xls]_____xls_1202"/>
      <sheetName val="[입찰안.xls][입찰안.xls]_____xls_1204"/>
      <sheetName val="[입찰안.xls][입찰안.xls]_____xls_1205"/>
      <sheetName val="[입찰안.xls][입찰안.xls]_____xls_1214"/>
      <sheetName val="[입찰안.xls][입찰안.xls]_____xls_1209"/>
      <sheetName val="[입찰안.xls][입찰안.xls]_____xls_1207"/>
      <sheetName val="[입찰안.xls][입찰안.xls]_____xls_1208"/>
      <sheetName val="[입찰안.xls][입찰안.xls]_____xls_1210"/>
      <sheetName val="[입찰안.xls][입찰안.xls]_____xls_1211"/>
      <sheetName val="[입찰안.xls][입찰안.xls]_____xls_1212"/>
      <sheetName val="[입찰안.xls][입찰안.xls]_____xls_1213"/>
      <sheetName val="[입찰안.xls][입찰안.xls]_____xls_1215"/>
      <sheetName val="[입찰안.xls][입찰안.xls]_____xls_1219"/>
      <sheetName val="[입찰안.xls][입찰안.xls]_____xls_1220"/>
      <sheetName val="[입찰안.xls][입찰안.xls]_____xls_1223"/>
      <sheetName val="[입찰안.xls][입찰안.xls]_____xls_1222"/>
      <sheetName val="[입찰안.xls][입찰안.xls]_____xls_1224"/>
      <sheetName val="[입찰안.xls][입찰안.xls]_____xls_1226"/>
      <sheetName val="[입찰안.xls][입찰안.xls]_____xls_1225"/>
      <sheetName val="양배수장"/>
      <sheetName val="MAIN GATE HOUSE"/>
      <sheetName val="5F 계약단가"/>
      <sheetName val="chiet tinh"/>
      <sheetName val="CT Thang Mo"/>
      <sheetName val="Main_Mech"/>
      <sheetName val="Sub_Mech"/>
      <sheetName val="KLDT DIEN"/>
      <sheetName val="Duc_bk"/>
      <sheetName val="8-31-98"/>
      <sheetName val="worksheet inchican"/>
      <sheetName val="combined 9-30"/>
      <sheetName val="적용토목"/>
      <sheetName val="[입찰안.xls][입찰안.xls]_____xls_1230"/>
      <sheetName val="[입찰안.xls][입찰안.xls]_____xls_1231"/>
      <sheetName val="[입찰안.xls][입찰안.xls]_____xls_1234"/>
      <sheetName val="[입찰안.xls][입찰안.xls]_____xls_1235"/>
      <sheetName val="[입찰안.xls][입찰안.xls]_____xls_1237"/>
      <sheetName val="[입찰안.xls][입찰안.xls]_____xls_1238"/>
      <sheetName val="[입찰안.xls][입찰안.xls]_____xls_1249"/>
      <sheetName val="[입찰안.xls][입찰안.xls]_____xls_1244"/>
      <sheetName val="[입찰안.xls][입찰안.xls]_____xls_1239"/>
      <sheetName val="[입찰안.xls][입찰안.xls]_____xls_1240"/>
      <sheetName val="[입찰안.xls][입찰안.xls]_____xls_1241"/>
      <sheetName val="[입찰안.xls][입찰안.xls]_____xls_1272"/>
      <sheetName val="[입찰안.xls][입찰안.xls]_____xls_1242"/>
      <sheetName val="[입찰안.xls][입찰안.xls]_____xls_1243"/>
      <sheetName val="[입찰안.xls][입찰안.xls]_____xls_1275"/>
      <sheetName val="[입찰안.xls][입찰안.xls]_____xls_1245"/>
      <sheetName val="[입찰안.xls][입찰안.xls]_____xls_1248"/>
      <sheetName val="[입찰안.xls][입찰안.xls]_____xls_1246"/>
      <sheetName val="[입찰안.xls][입찰안.xls]_____xls_1247"/>
      <sheetName val="[입찰안.xls][입찰안.xls]_____xls_1250"/>
      <sheetName val="[입찰안.xls][입찰안.xls]_____xls_1254"/>
      <sheetName val="[입찰안.xls][입찰안.xls]_____xls_1260"/>
      <sheetName val="[입찰안.xls][입찰안.xls]_____xls_1261"/>
      <sheetName val="[입찰안.xls][입찰안.xls]_____xls_1253"/>
      <sheetName val="[입찰안.xls][입찰안.xls]_____xls_1252"/>
      <sheetName val="[입찰안.xls][입찰안.xls]_____xls_1251"/>
      <sheetName val="[입찰안.xls][입찰안.xls]_____xls_1255"/>
      <sheetName val="[입찰안.xls][입찰안.xls]_____xls_1256"/>
      <sheetName val="[입찰안.xls][입찰안.xls]_____xls_1257"/>
      <sheetName val="[입찰안.xls][입찰안.xls]_____xls_1258"/>
      <sheetName val="[입찰안.xls][입찰안.xls]_____xls_1259"/>
      <sheetName val="[입찰안.xls][입찰안.xls]_____xls_1262"/>
      <sheetName val="[입찰안.xls][입찰안.xls]_____xls_1264"/>
      <sheetName val="[입찰안.xls][입찰안.xls]_____xls_1263"/>
      <sheetName val="[입찰안.xls][입찰안.xls]_____xls_1267"/>
      <sheetName val="[입찰안.xls][입찰안.xls]_____xls_1265"/>
      <sheetName val="[입찰안.xls][입찰안.xls]_____xls_1266"/>
      <sheetName val="[입찰안.xls][입찰안.xls]_____xls_1269"/>
      <sheetName val="[입찰안.xls][입찰안.xls]_____xls_1268"/>
      <sheetName val="[입찰안.xls][입찰안.xls]_____xls_1271"/>
      <sheetName val="[입찰안.xls][입찰안.xls]_____xls_1270"/>
      <sheetName val="[입찰안.xls][입찰안.xls]_____xls_1273"/>
      <sheetName val="[입찰안.xls][입찰안.xls]_____xls_1288"/>
      <sheetName val="[입찰안.xls][입찰안.xls]_____xls_1274"/>
      <sheetName val="[입찰안.xls][입찰안.xls]_____xls_1276"/>
      <sheetName val="[입찰안.xls][입찰안.xls]_____xls_1277"/>
      <sheetName val="[입찰안.xls][입찰안.xls]_____xls_1278"/>
      <sheetName val="[입찰안.xls][입찰안.xls]_____xls_1279"/>
      <sheetName val="[입찰안.xls][입찰안.xls]_____xls_1290"/>
      <sheetName val="[입찰안.xls][입찰안.xls]_____xls_1280"/>
      <sheetName val="[입찰안.xls][입찰안.xls]_____xls_1281"/>
      <sheetName val="[입찰안.xls][입찰안.xls]_____xls_1282"/>
      <sheetName val="[입찰안.xls][입찰안.xls]_____xls_1283"/>
      <sheetName val="[입찰안.xls][입찰안.xls]_____xls_1284"/>
      <sheetName val="[입찰안.xls][입찰안.xls]_____xls_1285"/>
      <sheetName val="[입찰안.xls][입찰안.xls]_____xls_1286"/>
      <sheetName val="[입찰안.xls][입찰안.xls]_____xls_1287"/>
      <sheetName val="[입찰안.xls][입찰안.xls]_____xls_1293"/>
      <sheetName val="[입찰안.xls][입찰안.xls]_____xls_1291"/>
      <sheetName val="철콘"/>
      <sheetName val="보링"/>
      <sheetName val="철물"/>
      <sheetName val="철강재"/>
      <sheetName val="견적내역"/>
      <sheetName val="포장"/>
      <sheetName val="기초단가(03,상반기)"/>
      <sheetName val="노임(03,상반기)"/>
      <sheetName val="중기손료(03,상반기)"/>
      <sheetName val="중기가격(03)"/>
      <sheetName val="경비단가(02)"/>
      <sheetName val="신복2"/>
      <sheetName val="평균터파기고(1-2,ASP)"/>
      <sheetName val="원가계산"/>
      <sheetName val="토공사"/>
      <sheetName val="6월 출고 일일보고"/>
      <sheetName val="[입찰안.xls][입찰안.xls]_____xls_1289"/>
      <sheetName val="DM_BBNT"/>
      <sheetName val="TCVN"/>
      <sheetName val="[입찰안.xls]B_17"/>
      <sheetName val="[입찰안.xls]B__5"/>
      <sheetName val="[입찰안.xls]B__4"/>
      <sheetName val="[입찰안.xls]B__8"/>
      <sheetName val="[입찰안.xls]B__6"/>
      <sheetName val="[입찰안.xls]B_23"/>
      <sheetName val="[입찰안.xls]B__7"/>
      <sheetName val="[입찰안.xls]B__9"/>
      <sheetName val="[입찰안.xls]B_10"/>
      <sheetName val="[입찰안.xls]B_11"/>
      <sheetName val="[입찰안.xls]B_12"/>
      <sheetName val="[입찰안.xls]B_13"/>
      <sheetName val="[입찰안.xls]B_14"/>
      <sheetName val="[입찰안.xls]B_15"/>
      <sheetName val="[입찰안.xls]B_16"/>
      <sheetName val="[입찰안.xls]B_18"/>
      <sheetName val="[입찰안.xls]B_19"/>
      <sheetName val="[입찰안.xls]B_20"/>
      <sheetName val="[입찰안.xls]B_21"/>
      <sheetName val="[입찰안.xls]B_22"/>
      <sheetName val="[입찰안.xls]B_25"/>
      <sheetName val="[입찰안.xls]B_24"/>
      <sheetName val="[입찰안.xls]B_26"/>
      <sheetName val="[입찰안.xls]B_27"/>
      <sheetName val="[입찰안_xls]___2"/>
      <sheetName val="[입찰안_xls]___1"/>
      <sheetName val="[입찰안_xls]B__2"/>
      <sheetName val="[입찰안_xls]B__3"/>
      <sheetName val="[입찰안_xls]___3"/>
      <sheetName val="[입찰안_xls]B__1"/>
      <sheetName val="[입찰안_xls]B__4"/>
      <sheetName val="[입찰안.xls]B_28"/>
      <sheetName val="[입찰안.xls]B_46"/>
      <sheetName val="[입찰안.xls]B_45"/>
      <sheetName val="[입찰안.xls]B_44"/>
      <sheetName val="[입찰안.xls]B_33"/>
      <sheetName val="[입찰안.xls]B_31"/>
      <sheetName val="[입찰안.xls]B_30"/>
      <sheetName val="[입찰안.xls]B_29"/>
      <sheetName val="[입찰안.xls]B_35"/>
      <sheetName val="[입찰안.xls]B_32"/>
      <sheetName val="[입찰안.xls]B_40"/>
      <sheetName val="[입찰안.xls]B_34"/>
      <sheetName val="[입찰안.xls]B_41"/>
      <sheetName val="[입찰안.xls]B_36"/>
      <sheetName val="[입찰안.xls]B_37"/>
      <sheetName val="[입찰안.xls]B_42"/>
      <sheetName val="[입찰안.xls]B_38"/>
      <sheetName val="[입찰안.xls]B_39"/>
      <sheetName val="[입찰안.xls]B_43"/>
      <sheetName val="[입찰안.xls]B_54"/>
      <sheetName val="[입찰안.xls]B_53"/>
      <sheetName val="[입찰안.xls]B_47"/>
      <sheetName val="[입찰안.xls]B_48"/>
      <sheetName val="[입찰안.xls]B_51"/>
      <sheetName val="[입찰안.xls]B_50"/>
      <sheetName val="[입찰안.xls]B_49"/>
      <sheetName val="[입찰안.xls]B_52"/>
      <sheetName val="[입찰안.xls]B_55"/>
      <sheetName val="[입찰안.xls]B_56"/>
      <sheetName val="[입찰안.xls]B_57"/>
      <sheetName val="[입찰안.xls]B_60"/>
      <sheetName val="[입찰안.xls]B_59"/>
      <sheetName val="[입찰안.xls]B_58"/>
      <sheetName val="조건표 (2)"/>
      <sheetName val="[입찰안.xls][입찰안.xls]_____xls_1292"/>
      <sheetName val="[입찰안.xls][입찰안.xls]_____xls_1294"/>
      <sheetName val="[입찰안.xls][입찰안.xls]_____xls_1295"/>
      <sheetName val="[입찰안.xls][입찰안.xls]_____xls_1296"/>
      <sheetName val="[입찰안.xls][입찰안.xls]_____xls_1297"/>
      <sheetName val="[입찰안.xls][입찰안.xls]_____xls_1300"/>
      <sheetName val="[입찰안.xls][입찰안.xls]_____xls_1298"/>
      <sheetName val="[입찰안.xls][입찰안.xls]_____xls_1299"/>
      <sheetName val="[입찰안.xls][입찰안.xls]_____xls_1305"/>
      <sheetName val="[입찰안.xls][입찰안.xls]_____xls_1302"/>
      <sheetName val="[입찰안.xls][입찰안.xls]_____xls_1301"/>
      <sheetName val="[입찰안.xls][입찰안.xls]_____xls_1304"/>
      <sheetName val="Cash"/>
      <sheetName val="기초데이타"/>
      <sheetName val="[입찰안.xls][입찰안.xls]_____xls_1303"/>
      <sheetName val="[입찰안.xls][입찰안.xls]_____xls_1315"/>
      <sheetName val="[입찰안.xls][입찰안.xls]_____xls_1306"/>
      <sheetName val="[입찰안.xls][입찰안.xls]_____xls_1307"/>
      <sheetName val="[입찰안.xls][입찰안.xls]_____xls_1308"/>
      <sheetName val="[입찰안.xls][입찰안.xls]_____xls_1309"/>
      <sheetName val="[입찰안.xls][입찰안.xls]_____xls_1310"/>
      <sheetName val="[입찰안.xls][입찰안.xls]_____xls_1311"/>
      <sheetName val="[입찰안.xls][입찰안.xls]_____xls_1312"/>
      <sheetName val="[입찰안.xls][입찰안.xls]_____xls_1313"/>
      <sheetName val="[입찰안.xls][입찰안.xls]_____xls_1314"/>
      <sheetName val="[입찰안.xls][입찰안.xls]_____xls_1316"/>
      <sheetName val="[입찰안.xls][입찰안.xls]_____xls_1319"/>
      <sheetName val="[입찰안.xls][입찰안.xls]_____xls_1317"/>
      <sheetName val="[입찰안.xls][입찰안.xls]_____xls_1318"/>
      <sheetName val="[입찰안.xls][입찰안.xls]_____xls_1320"/>
      <sheetName val="[입찰안.xls][입찰안.xls]_____xls_1322"/>
      <sheetName val="[입찰안.xls][입찰안.xls]_____xls_1321"/>
      <sheetName val="[입찰안.xls][입찰안.xls]_____xls_1323"/>
      <sheetName val="B:\입찰안_xls"/>
      <sheetName val="[입찰안_xls][입찰안_xls]B:\입찰안_xls"/>
      <sheetName val="[입찰안_xls]B:\입찰안_xls"/>
      <sheetName val="plan&amp;section_of勉Ԁ"/>
      <sheetName val="노_표-조"/>
      <sheetName val="[입찰안_xls][입찰안_xls][입찰안_xls]_201"/>
      <sheetName val="[입찰안_xls][입찰안_xls][입찰안_xls]_199"/>
      <sheetName val="[입찰안_xls][입찰안_xls][입찰안_xls]_200"/>
      <sheetName val="General_Data"/>
      <sheetName val="Requirement(Work_Crew)"/>
      <sheetName val="[입찰안_xls][입찰안_xls][입찰안_xls]_140"/>
      <sheetName val="[입찰안_xls][입찰안_xls][입찰안_xls]_117"/>
      <sheetName val="[입찰안_xls][입찰안_xls][입찰안_xls]_112"/>
      <sheetName val="[입찰안_xls][입찰안_xls][입찰안_xls]_104"/>
      <sheetName val="[입찰안_xls][입찰안_xls][입찰안_xls]_109"/>
      <sheetName val="[입찰안_xls][입찰안_xls][입찰안_xls]_106"/>
      <sheetName val="[입찰안_xls][입찰안_xls][입찰안_xls]_107"/>
      <sheetName val="[입찰안_xls][입찰안_xls][입찰안_xls]_105"/>
      <sheetName val="[입찰안_xls][입찰안_xls][입찰안_xls]_108"/>
      <sheetName val="[입찰안_xls][입찰안_xls][입찰안_xls]_110"/>
      <sheetName val="[입찰안_xls][입찰안_xls][입찰안_xls]_111"/>
      <sheetName val="[입찰안_xls][입찰안_xls][입찰안_xls]_113"/>
      <sheetName val="[입찰안_xls][입찰안_xls][입찰안_xls]_114"/>
      <sheetName val="[입찰안_xls][입찰안_xls][입찰안_xls]_116"/>
      <sheetName val="[입찰안_xls][입찰안_xls][입찰안_xls]_115"/>
      <sheetName val="[입찰안_xls][입찰안_xls][입찰안_xls]_118"/>
      <sheetName val="[입찰안_xls][입찰안_xls][입찰안_xls]_119"/>
      <sheetName val="[입찰안_xls][입찰안_xls][입찰안_xls]_123"/>
      <sheetName val="[입찰안_xls][입찰안_xls][입찰안_xls]_120"/>
      <sheetName val="[입찰안_xls][입찰안_xls][입찰안_xls]_121"/>
      <sheetName val="[입찰안_xls][입찰안_xls][입찰안_xls]_122"/>
      <sheetName val="[입찰안_xls][입찰안_xls][입찰안_xls]_125"/>
      <sheetName val="[입찰안_xls][입찰안_xls][입찰안_xls]_124"/>
      <sheetName val="[입찰안_xls][입찰안_xls][입찰안_xls]_138"/>
      <sheetName val="[입찰안_xls][입찰안_xls][입찰안_xls]_129"/>
      <sheetName val="[입찰안_xls][입찰안_xls][입찰안_xls]_127"/>
      <sheetName val="[입찰안_xls][입찰안_xls][입찰안_xls]_132"/>
      <sheetName val="[입찰안_xls][입찰안_xls][입찰안_xls]_126"/>
      <sheetName val="[입찰안_xls][입찰안_xls][입찰안_xls]_134"/>
      <sheetName val="[입찰안_xls][입찰안_xls][입찰안_xls]_128"/>
      <sheetName val="[입찰안_xls][입찰안_xls][입찰안_xls]_131"/>
      <sheetName val="[입찰안_xls][입찰안_xls][입찰안_xls]_130"/>
      <sheetName val="[입찰안_xls][입찰안_xls][입찰안_xls]_133"/>
      <sheetName val="[입찰안_xls][입찰안_xls][입찰안_xls]_135"/>
      <sheetName val="[입찰안_xls][입찰안_xls][입찰안_xls]_137"/>
      <sheetName val="[입찰안_xls][입찰안_xls][입찰안_xls]_136"/>
      <sheetName val="[입찰안_xls][입찰안_xls][입찰안_xls]_139"/>
      <sheetName val="stability䘢䠂檱䠛檳"/>
      <sheetName val="[입찰안_xls][입찰안_xls][입찰안_xls]_143"/>
      <sheetName val="[입찰안_xls][입찰안_xls][입찰안_xls]_141"/>
      <sheetName val="[입찰안_xls][입찰안_xls][입찰안_xls]_142"/>
      <sheetName val="[입찰안_xls][입찰안_xls][입찰안_xls]_146"/>
      <sheetName val="[입찰안_xls][입찰안_xls][입찰안_xls]_145"/>
      <sheetName val="[입찰안_xls][입찰안_xls][입찰안_xls]_144"/>
      <sheetName val="[입찰안_xls][입찰안_xls][입찰안_xls]___6"/>
      <sheetName val="[입찰안_xls][입찰안_xls][입찰안_xls]_161"/>
      <sheetName val="[입찰안_xls][입찰안_xls][입찰안_xls]_162"/>
      <sheetName val="[입찰안_xls][입찰안_xls][입찰안_xls]_163"/>
      <sheetName val="사__업__비__수__지__예__산__서"/>
      <sheetName val="[입찰안_xls][입찰안_xls][입찰안_xls]_147"/>
      <sheetName val="[입찰안_xls][입찰안_xls][입찰안_xls]_158"/>
      <sheetName val="[입찰안_xls][입찰안_xls][입찰안_xls]_152"/>
      <sheetName val="[입찰안_xls][입찰안_xls][입찰안_xls]_151"/>
      <sheetName val="[입찰안_xls][입찰안_xls][입찰안_xls]_149"/>
      <sheetName val="[입찰안_xls][입찰안_xls][입찰안_xls]_148"/>
      <sheetName val="[입찰안_xls][입찰안_xls][입찰안_xls]_150"/>
      <sheetName val="[입찰안_xls][입찰안_xls][입찰안_xls]_157"/>
      <sheetName val="[입찰안_xls][입찰안_xls][입찰안_xls]_153"/>
      <sheetName val="[입찰안_xls][입찰안_xls][입찰안_xls]_154"/>
      <sheetName val="[입찰안_xls][입찰안_xls][입찰안_xls]_155"/>
      <sheetName val="[입찰안_xls][입찰안_xls][입찰안_xls]_156"/>
      <sheetName val="[입찰안_xls][입찰안_xls][입찰안_xls]_159"/>
      <sheetName val="[입찰안_xls][입찰안_xls][입찰안_xls]_160"/>
      <sheetName val="[입찰안_xls][입찰안_xls][입찰안_xls]_166"/>
      <sheetName val="[입찰안_xls][입찰안_xls][입찰안_xls]_167"/>
      <sheetName val="[입찰안_xls][입찰안_xls][입찰안_xls]_164"/>
      <sheetName val="[입찰안_xls][입찰안_xls][입찰안_xls]_165"/>
      <sheetName val="[입찰안_xls][입찰안_xls][입찰안_xls]_168"/>
      <sheetName val="[입찰안_xls][입찰안_xls][입찰안_xls]_169"/>
      <sheetName val="[입찰안_xls][입찰안_xls][입찰안_xls]_171"/>
      <sheetName val="[입찰안_xls][입찰안_xls][입찰안_xls]_170"/>
      <sheetName val="Sheet2_(2)"/>
      <sheetName val="[입찰안_xls][입찰안_xls][입찰안_xls]___7"/>
      <sheetName val="[입찰안_xls][입찰안_xls][입찰안_xls]_172"/>
      <sheetName val="[입찰안_xls][입찰안_xls][입찰안_xls]_173"/>
      <sheetName val="[입찰안_xls][입찰안_xls][입찰안_xls]_174"/>
      <sheetName val="[입찰안_xls][입찰안_xls][입찰안_xls]_175"/>
      <sheetName val="[입찰안_xls][입찰안_xls][입찰안_xls]_192"/>
      <sheetName val="[입찰안_xls][입찰안_xls][입찰안_xls]_190"/>
      <sheetName val="[입찰안_xls][입찰안_xls][입찰안_xls]_184"/>
      <sheetName val="[입찰안_xls][입찰안_xls][입찰안_xls]_183"/>
      <sheetName val="[입찰안_xls][입찰안_xls][입찰안_xls]_176"/>
      <sheetName val="[입찰안_xls][입찰안_xls][입찰안_xls]_178"/>
      <sheetName val="[입찰안_xls][입찰안_xls][입찰안_xls]_177"/>
      <sheetName val="[입찰안_xls][입찰안_xls][입찰안_xls]_179"/>
      <sheetName val="[입찰안_xls][입찰안_xls][입찰안_xls]_182"/>
      <sheetName val="[입찰안_xls][입찰안_xls][입찰안_xls]_181"/>
      <sheetName val="[입찰안_xls][입찰안_xls][입찰안_xls]_180"/>
      <sheetName val="[입찰안_xls][입찰안_xls][입찰안_xls]_187"/>
      <sheetName val="[입찰안_xls][입찰안_xls][입찰안_xls]_186"/>
      <sheetName val="[입찰안_xls][입찰안_xls][입찰안_xls]_185"/>
      <sheetName val="[입찰안_xls][입찰안_xls][입찰안_xls]_188"/>
      <sheetName val="[입찰안_xls][입찰안_xls][입찰안_xls]_189"/>
      <sheetName val="[입찰안_xls][입찰안_xls][입찰안_xls]_191"/>
      <sheetName val="[입찰안_xls][입찰안_xls][입찰안_xls]_193"/>
      <sheetName val="[입찰안_xls][입찰안_xls][입찰안_xls]_194"/>
      <sheetName val="[입찰안_xls][입찰안_xls][입찰안_xls]_198"/>
      <sheetName val="[입찰안_xls][입찰안_xls][입찰안_xls]_197"/>
      <sheetName val="[입찰안_xls][입찰안_xls][입찰안_xls]_196"/>
      <sheetName val="[입찰안_xls][입찰안_xls][입찰안_xls]_195"/>
      <sheetName val="[입찰안_xls][입찰안_xls][입찰안_xls]___8"/>
      <sheetName val="[입찰안_xls][입찰안_xls][입찰안_xls]___9"/>
      <sheetName val="[입찰안_xls][입찰안_xls][입찰안_xls]_207"/>
      <sheetName val="[입찰안_xls][입찰안_xls][입찰안_xls]_204"/>
      <sheetName val="[입찰안_xls][입찰안_xls][입찰안_xls]_202"/>
      <sheetName val="[입찰안_xls][입찰안_xls][입찰안_xls]_203"/>
      <sheetName val="[입찰안_xls][입찰안_xls][입찰안_xls]_206"/>
      <sheetName val="[입찰안_xls][입찰안_xls][입찰안_xls]_205"/>
      <sheetName val="A_LINE"/>
      <sheetName val="[입찰안_xls][입찰안_xls][입찰안_xls]_208"/>
      <sheetName val="[입찰안_xls][입찰안_xls][입찰안_xls]_212"/>
      <sheetName val="[입찰안_xls][입찰안_xls][입찰안_xls]_211"/>
      <sheetName val="[입찰안_xls][입찰안_xls][입찰안_xls]_209"/>
      <sheetName val="[입찰안_xls][입찰안_xls][입찰안_xls]_210"/>
      <sheetName val="[입찰안_xls][입찰안_xls][입찰안_xls]_213"/>
      <sheetName val="[입찰안_xls][입찰안_xls][입찰안_xls]_215"/>
      <sheetName val="[입찰안_xls][입찰안_xls][입찰안_xls]_214"/>
      <sheetName val="[입찰안_xls][입찰안_xls][입찰안_xls]_222"/>
      <sheetName val="[입찰안_xls][입찰안_xls][입찰안_xls]_225"/>
      <sheetName val="[입찰안_xls][입찰안_xls][입찰안_xls]_224"/>
      <sheetName val="[입찰안_xls][입찰안_xls][입찰안_xls]_216"/>
      <sheetName val="[입찰안_xls][입찰안_xls][입찰안_xls]_217"/>
      <sheetName val="[입찰안_xls][입찰안_xls][입찰안_xls]_218"/>
      <sheetName val="[입찰안_xls][입찰안_xls][입찰안_xls]_219"/>
      <sheetName val="[입찰안_xls][입찰안_xls][입찰안_xls]_220"/>
      <sheetName val="[입찰안_xls][입찰안_xls][입찰안_xls]_221"/>
      <sheetName val="[입찰안_xls][입찰안_xls][입찰안_xls]_223"/>
      <sheetName val="[입찰안_xls][입찰안_xls][입찰안_xls]_230"/>
      <sheetName val="[입찰안_xls][입찰안_xls][입찰안_xls]_226"/>
      <sheetName val="[입찰안_xls][입찰안_xls][입찰안_xls]_227"/>
      <sheetName val="[입찰안_xls][입찰안_xls][입찰안_xls]_228"/>
      <sheetName val="[입찰안_xls][입찰안_xls][입찰안_xls]_229"/>
      <sheetName val="[입찰안_xls][입찰안_xls][입찰안_xls]_236"/>
      <sheetName val="[입찰안_xls][입찰안_xls][입찰안_xls]_233"/>
      <sheetName val="[입찰안_xls][입찰안_xls][입찰안_xls]_232"/>
      <sheetName val="[입찰안_xls][입찰안_xls][입찰안_xls]_231"/>
      <sheetName val="[입찰안_xls][입찰안_xls][입찰안_xls]_234"/>
      <sheetName val="[입찰안_xls][입찰안_xls][입찰안_xls]_241"/>
      <sheetName val="[입찰안_xls][입찰안_xls][입찰안_xls]_238"/>
      <sheetName val="[입찰안_xls][입찰안_xls][입찰안_xls]_235"/>
      <sheetName val="[입찰안_xls][입찰안_xls][입찰안_xls]_237"/>
      <sheetName val="[입찰안_xls][입찰안_xls][입찰안_xls]_239"/>
      <sheetName val="[입찰안_xls][입찰안_xls][입찰안_xls]_240"/>
      <sheetName val="[입찰안_xls][입찰안_xls][입찰안_xls]_242"/>
      <sheetName val="[입찰안_xls][입찰안_xls][입찰안_xls]_243"/>
      <sheetName val="[입찰안_xls][입찰안_xls][입찰안_xls]_244"/>
      <sheetName val="[입찰안_xls][입찰안_xls][입찰안_xls]_252"/>
      <sheetName val="[입찰안_xls][입찰안_xls][입찰안_xls]_245"/>
      <sheetName val="[입찰안_xls][입찰안_xls][입찰안_xls]_249"/>
      <sheetName val="[입찰안_xls][입찰안_xls][입찰안_xls]_246"/>
      <sheetName val="[입찰안_xls][입찰안_xls][입찰안_xls]_247"/>
      <sheetName val="[입찰안_xls][입찰안_xls][입찰안_xls]_248"/>
      <sheetName val="[입찰안_xls][입찰안_xls][입찰안_xls]_250"/>
      <sheetName val="[입찰안_xls][입찰안_xls][입찰안_xls]_251"/>
      <sheetName val="[입찰안_xls][입찰안_xls][입찰안_xls]_253"/>
      <sheetName val="[입찰안_xls][입찰안_xls][입찰안_xls]_254"/>
      <sheetName val="평가표"/>
      <sheetName val="[입찰안.xls][입찰안.xls]_____xls_1324"/>
      <sheetName val="[입찰안.xls][입찰안.xls]_____xls_1339"/>
      <sheetName val="[입찰안.xls][입찰안.xls]_____xls_1337"/>
      <sheetName val="[입찰안.xls][입찰안.xls]_____xls_1326"/>
      <sheetName val="[입찰안.xls][입찰안.xls]_____xls_1327"/>
      <sheetName val="[입찰안.xls][입찰안.xls]_____xls_1325"/>
      <sheetName val="[입찰안.xls][입찰안.xls]_____xls_1329"/>
      <sheetName val="[입찰안.xls][입찰안.xls]_____xls_1331"/>
      <sheetName val="[입찰안.xls][입찰안.xls]_____xls_1328"/>
      <sheetName val="[입찰안.xls][입찰안.xls]_____xls_1333"/>
      <sheetName val="항목등록"/>
      <sheetName val="負荷集計（断熱不燃）"/>
      <sheetName val="xe"/>
      <sheetName val="DMKH"/>
      <sheetName val="DmChitiet"/>
      <sheetName val="Nhatky"/>
      <sheetName val="음료실행"/>
      <sheetName val="견적을지"/>
      <sheetName val="제조원가"/>
      <sheetName val="Khoi_luong"/>
      <sheetName val="_입찰안_xls__입찰안_xls__입찰안_xls____2"/>
      <sheetName val="_입찰안_xls__입찰안_xls__입찰안_xls____3"/>
      <sheetName val="DTICH_(Full)"/>
      <sheetName val="5호광장_(만점)9"/>
      <sheetName val="인천국제_(만점)_(2)9"/>
      <sheetName val="Total_단위경유량집계9"/>
      <sheetName val="BH-1_(2)9"/>
      <sheetName val="표__지9"/>
      <sheetName val="준검_내역서9"/>
      <sheetName val="토공유동표(전체_당초)9"/>
      <sheetName val="1_수인터널9"/>
      <sheetName val="앉음벽_(2)9"/>
      <sheetName val="I_설계조건9"/>
      <sheetName val="4_전기9"/>
      <sheetName val="7__현장관리비_9"/>
      <sheetName val="6__안전관리비9"/>
      <sheetName val="_HIT__HMC_견적_3900_9"/>
      <sheetName val="1_설계조건9"/>
      <sheetName val="소포내역_(2)9"/>
      <sheetName val="노원열병합__건축공사기성내역서9"/>
      <sheetName val="조도계산서_(도서)9"/>
      <sheetName val="MSS_29"/>
      <sheetName val="보고서_기기리스트8"/>
      <sheetName val="11_산출(전열)9"/>
      <sheetName val="6_산출(동력)9"/>
      <sheetName val="7_산출(TRAY)9"/>
      <sheetName val="5_산출(전력)8"/>
      <sheetName val="수량산출서(전력간선_지하D_C)8"/>
      <sheetName val="우수관매설및_우수받이9"/>
      <sheetName val="11_우각부_보강9"/>
      <sheetName val="제출내역_(2)9"/>
      <sheetName val="3련_BOX9"/>
      <sheetName val="플랜트_설치8"/>
      <sheetName val="2_1__노무비_평균단가산출8"/>
      <sheetName val="내역_ver1_09"/>
      <sheetName val="내___역8"/>
      <sheetName val="plan&amp;section_of_foundation9"/>
      <sheetName val="pile_bearing_capa_&amp;_arrenge9"/>
      <sheetName val="working_load_at_the_btm_ft_9"/>
      <sheetName val="stability_check9"/>
      <sheetName val="design_criteria9"/>
      <sheetName val="배수내역_(2)8"/>
      <sheetName val="배수공_시멘트_및_골재량_산출8"/>
      <sheetName val="A_견적8"/>
      <sheetName val="Customer_Databas8"/>
      <sheetName val="목차_8"/>
      <sheetName val="6PILE__(돌출)8"/>
      <sheetName val="_HIT-&gt;HMC_견적(3900)8"/>
      <sheetName val="전_기8"/>
      <sheetName val="spc_배관견적8"/>
      <sheetName val="SHEET_PILE단가8"/>
      <sheetName val="unit_48"/>
      <sheetName val="BH_1__2_8"/>
      <sheetName val="개인별_순위표8"/>
      <sheetName val="화재_탐지_설비8"/>
      <sheetName val="귀래_설계_공내역서8"/>
      <sheetName val="8_현장관리비8"/>
      <sheetName val="7_안전관리비8"/>
      <sheetName val="1_설계기준8"/>
      <sheetName val="1_취수장8"/>
      <sheetName val="2차전체변경예정_(2)8"/>
      <sheetName val="세골재__T2_변경_현황8"/>
      <sheetName val="도담구내_개소별_명세8"/>
      <sheetName val="설_계8"/>
      <sheetName val="Cash_Flow-18"/>
      <sheetName val="3_1공사현황_공정표8"/>
      <sheetName val="노임_단가8"/>
      <sheetName val="投标材料清单_8"/>
      <sheetName val="집_계_표8"/>
      <sheetName val="내역서_8"/>
      <sheetName val="별표_8"/>
      <sheetName val="노임단가_(2)8"/>
      <sheetName val="3_공통공사대비8"/>
      <sheetName val="단가_및_재료비8"/>
      <sheetName val="단___산7"/>
      <sheetName val="실____단7"/>
      <sheetName val="6__수량산출서7"/>
      <sheetName val="7_공정표8"/>
      <sheetName val="단면_(2)8"/>
      <sheetName val="장비비_명세서18"/>
      <sheetName val="RETAIL_(ABOVE)8"/>
      <sheetName val="5__현장관리비(new)_8"/>
      <sheetName val="장비_(2)7"/>
      <sheetName val="제수변_수량집계표(보통)7"/>
      <sheetName val="2_대외공문8"/>
      <sheetName val="노무비_근거7"/>
      <sheetName val="일위대가56-1_6"/>
      <sheetName val="일위대가71-1_6"/>
      <sheetName val="일위대가74-1_6"/>
      <sheetName val="일위대가76-1_6"/>
      <sheetName val="일위대가77-1_6"/>
      <sheetName val="일위대가78-1_6"/>
      <sheetName val="_소방공사_산출근거6"/>
      <sheetName val="CM_17"/>
      <sheetName val="5_동별횡주관경7"/>
      <sheetName val="_갑지7"/>
      <sheetName val="Eq__Mobilization8"/>
      <sheetName val="전선_및_전선관7"/>
      <sheetName val="3BL공동구_수량7"/>
      <sheetName val="Sheet1_(2)7"/>
      <sheetName val="암거_제원표7"/>
      <sheetName val="기성(1차)_6"/>
      <sheetName val="일위대가_7"/>
      <sheetName val="4_LINE7"/>
      <sheetName val="7_th7"/>
      <sheetName val="내역서1999_8최종7"/>
      <sheetName val="참조_(2)7"/>
      <sheetName val="습식및_셀프레벨링7"/>
      <sheetName val="1차_내역서7"/>
      <sheetName val="BSD_(2)6"/>
      <sheetName val="바_한일양산6"/>
      <sheetName val="Project_Brief6"/>
      <sheetName val="영업_일16"/>
      <sheetName val="기기_내역서6"/>
      <sheetName val="수량산출서_(2)6"/>
      <sheetName val="기존단가_(2)6"/>
      <sheetName val="전사_(2)6"/>
      <sheetName val="BA_(2)6"/>
      <sheetName val="CP_(2)6"/>
      <sheetName val="토공_total6"/>
      <sheetName val="1_CB6"/>
      <sheetName val="변경명신물량_(2)6"/>
      <sheetName val="토공_토적표6"/>
      <sheetName val="미납품_현황5"/>
      <sheetName val="아파트_5"/>
      <sheetName val="유효폭의_계산5"/>
      <sheetName val="갑지_을지5"/>
      <sheetName val="_견적서5"/>
      <sheetName val="2-2_매출분석5"/>
      <sheetName val="자격_땡겨오기5"/>
      <sheetName val="도담구내_개소별_명柖7"/>
      <sheetName val="danh_muc_vat_tu7"/>
      <sheetName val="Register-BG_NCC7"/>
      <sheetName val="Data_27"/>
      <sheetName val="TB_chính7"/>
      <sheetName val="Steel_pipe7"/>
      <sheetName val="Ref_pipe+Ins7"/>
      <sheetName val="Plastic_pipe7"/>
      <sheetName val="Air_Grilles7"/>
      <sheetName val="Cost_bd-&quot;A&quot;7"/>
      <sheetName val="표지_(2)5"/>
      <sheetName val="STEEL_BOX_단면설계(SEC_8)5"/>
      <sheetName val="갑지_설계_내역서5"/>
      <sheetName val="2_단면가정_(양곡1교)5"/>
      <sheetName val="1_내역(청_하역장전등)5"/>
      <sheetName val="설명서_5"/>
      <sheetName val="4__VOs_summary6"/>
      <sheetName val="Chiet_tinh_dz356"/>
      <sheetName val="2000_054"/>
      <sheetName val="ITB_COST5"/>
      <sheetName val="05년_상5"/>
      <sheetName val="영흥TL(UP,DOWN)_5"/>
      <sheetName val="단양_00_아파트-세부내역5"/>
      <sheetName val="8_PILE__(돌출)5"/>
      <sheetName val="4_2_1_마루높이_검토5"/>
      <sheetName val="수량산출서_갑지5"/>
      <sheetName val="_FURNACE현설4"/>
      <sheetName val="97_사업추정(WEKI)4"/>
      <sheetName val="자재기성_신청서_xlsx4"/>
      <sheetName val="TABLE_DB4"/>
      <sheetName val="쌍용_data_base4"/>
      <sheetName val="내역(인테리어_실내)(도급)4"/>
      <sheetName val="내역(인테리어_실외)(도급)4"/>
      <sheetName val="장비코드표_0506015"/>
      <sheetName val="2007년_생산1부장비5"/>
      <sheetName val="2008년_생산부전장비코드5"/>
      <sheetName val="DDB부_장비_관리현황5"/>
      <sheetName val="Xunit_(단위환산)5"/>
      <sheetName val="8_설치품셈4"/>
      <sheetName val="품셈_4"/>
      <sheetName val="M-EMS_GP-570(BIT)4"/>
      <sheetName val="내역서_제출5"/>
      <sheetName val="DATA_LISTS4"/>
      <sheetName val="19_07월_세_계4"/>
      <sheetName val="19_07항목별(시트복사금지100번쓰기)4"/>
      <sheetName val="19_05월4"/>
      <sheetName val="Bảng_mã_VT6"/>
      <sheetName val="중기조종사_단위단가4"/>
      <sheetName val="PROJ__DATA3"/>
      <sheetName val="_Beams_Sched_3"/>
      <sheetName val="Elec_LG4"/>
      <sheetName val="ESTI_4"/>
      <sheetName val="D_&amp;_W_sizes4"/>
      <sheetName val="Gia_vat_tu4"/>
      <sheetName val="dtct_cong4"/>
      <sheetName val="[입찰안_xls][입찰안_xls][입찰안_xls]B103"/>
      <sheetName val="[입찰안_xls][입찰안_xls][입찰안_xls]B104"/>
      <sheetName val="[입찰안_xls][입찰안_xls][입찰안_xls]B105"/>
      <sheetName val="[입찰안_xls][입찰안_xls][입찰안_xls]B106"/>
      <sheetName val="[입찰안_xls][입찰안_xls][입찰안_xls]B107"/>
      <sheetName val="[입찰안_xls][입찰안_xls][입찰안_xls]B108"/>
      <sheetName val="[입찰안_xls][입찰안_xls][입찰안_xls]B109"/>
      <sheetName val="[입찰안_xls][입찰안_xls][입찰안_xls]B110"/>
      <sheetName val="0_목록14"/>
      <sheetName val="01__DATA4"/>
      <sheetName val="SCOPE_OF_WORK4"/>
      <sheetName val="DGCT_(01)4"/>
      <sheetName val="Chi_tiet4"/>
      <sheetName val="nhôm_1,2mm4"/>
      <sheetName val="nhôm_1,4mm4"/>
      <sheetName val="[입찰안_xls][입찰안_xls][입찰안_xls]B111"/>
      <sheetName val="[입찰안_xls][입찰안_xls][입찰안_xls]B112"/>
      <sheetName val="[입찰안_xls][입찰안_xls][입찰안_xls]B113"/>
      <sheetName val="[입찰안_xls][입찰안_xls][입찰안_xls]B114"/>
      <sheetName val="[입찰안_xls][입찰안_xls][입찰안_xls]B115"/>
      <sheetName val="[입찰안_xls][입찰안_xls][입찰안_xls]B116"/>
      <sheetName val="[입찰안_xls][입찰안_xls][입찰안_xls]B117"/>
      <sheetName val="[입찰안_xls][입찰안_xls][입찰안_xls]B118"/>
      <sheetName val="[입찰안_xls][입찰안_xls][입찰안_xls]B119"/>
      <sheetName val="[입찰안_xls][입찰안_xls][입찰안_xls]B120"/>
      <sheetName val="[입찰안_xls][입찰안_xls][입찰안_xls]B121"/>
      <sheetName val="[입찰안_xls][입찰안_xls][입찰안_xls]B122"/>
      <sheetName val="[입찰안_xls][입찰안_xls][입찰안_xls]B123"/>
      <sheetName val="[입찰안_xls][입찰안_xls][입찰안_xls]B124"/>
      <sheetName val="[입찰안_xls][입찰안_xls][입찰안_xls]B125"/>
      <sheetName val="[입찰안_xls][입찰안_xls][입찰안_xls]B126"/>
      <sheetName val="[입찰안_xls][입찰안_xls][입찰안_xls]B127"/>
      <sheetName val="[입찰안_xls][입찰안_xls][입찰안_xls]B128"/>
      <sheetName val="So_sanh3"/>
      <sheetName val="[입찰안_xls][입찰안_xls][입찰안_xls]B129"/>
      <sheetName val="Phan_tich_ca_may3"/>
      <sheetName val="Chenh_lech_ca_may3"/>
      <sheetName val="TLg_CN&amp;Laixe3"/>
      <sheetName val="TLg_CN&amp;Laixe_(2)3"/>
      <sheetName val="TLg_Laitau3"/>
      <sheetName val="TLg_Laitau_(2)3"/>
      <sheetName val="Cọc_nhồi3"/>
      <sheetName val="Gia_VLNCMTC3"/>
      <sheetName val="Dầm_13"/>
      <sheetName val="Chiet_tinh_don_gia_CM3"/>
      <sheetName val="[입찰안_xls][입찰안_xls][입찰안_xls]B130"/>
      <sheetName val="[입찰안_xls][입찰안_xls][입찰안_xls]B131"/>
      <sheetName val="[입찰안_xls][입찰안_xls][입찰안_xls]B132"/>
      <sheetName val="[입찰안_xls][입찰안_xls][입찰안_xls]B133"/>
      <sheetName val="[입찰안_xls][입찰안_xls][입찰안_xls]B134"/>
      <sheetName val="[입찰안_xls][입찰안_xls][입찰안_xls]B135"/>
      <sheetName val="[입찰안_xls][입찰안_xls][입찰안_xls]B136"/>
      <sheetName val="[입찰안_xls][입찰안_xls][입찰안_xls]B137"/>
      <sheetName val="6-1_보오링(1)1"/>
      <sheetName val="Sàn_T13"/>
      <sheetName val="Lỗ_thông_gió3"/>
      <sheetName val="Sàn_tầng_01_(_old_)3"/>
      <sheetName val="Measure_13063"/>
      <sheetName val="EE_(3)3"/>
      <sheetName val="Div26_-_Elect2"/>
      <sheetName val="RAB_AR&amp;STR2"/>
      <sheetName val="Isolasi_Luar_Dalam2"/>
      <sheetName val="Isolasi_Luar2"/>
      <sheetName val="U_P_Breakdown2"/>
      <sheetName val="[입찰안_xls][입찰안_xls][입찰안_xls]B138"/>
      <sheetName val="[입찰안_xls][입찰안_xls][입찰안_xls]B139"/>
      <sheetName val="[입찰안_xls][입찰안_xls][입찰안_xls]B140"/>
      <sheetName val="[입찰안_xls][입찰안_xls][입찰안_xls]B141"/>
      <sheetName val="[입찰안_xls][입찰안_xls][입찰안_xls]B142"/>
      <sheetName val="[입찰안_xls][입찰안_xls][입찰안_xls]B143"/>
      <sheetName val="[입찰안_xls][입찰안_xls][입찰안_xls]B144"/>
      <sheetName val="[입찰안_xls][입찰안_xls][입찰안_xls]B145"/>
      <sheetName val="[입찰안_xls][입찰안_xls][입찰안_xls]B146"/>
      <sheetName val="[입찰안_xls][입찰안_xls][입찰안_xls]B147"/>
      <sheetName val="[입찰안_xls][입찰안_xls][입찰안_xls]B148"/>
      <sheetName val="[입찰안_xls][입찰안_xls][입찰안_xls]B149"/>
      <sheetName val="[입찰안_xls][입찰안_xls][입찰안_xls]B150"/>
      <sheetName val="[입찰안_xls][입찰안_xls][입찰안_xls]B151"/>
      <sheetName val="실행내역서_1"/>
      <sheetName val="[입찰안_xls][입찰안_xls][입찰안_xls]B152"/>
      <sheetName val="[입찰안_xls][입찰안_xls][입찰안_xls]B153"/>
      <sheetName val="[입찰안_xls][입찰안_xls][입찰안_xls]B154"/>
      <sheetName val="[입찰안_xls][입찰안_xls][입찰안_xls]B155"/>
      <sheetName val="[입찰안_xls][입찰안_xls][입찰안_xls]B156"/>
      <sheetName val="[입찰안_xls][입찰안_xls][입찰안_xls]B157"/>
      <sheetName val="[입찰안_xls][입찰안_xls][입찰안_xls]B158"/>
      <sheetName val="[입찰안_xls][입찰안_xls][입찰안_xls]B159"/>
      <sheetName val="[입찰안_xls][입찰안_xls][입찰안_xls]B160"/>
      <sheetName val="[입찰안_xls][입찰안_xls][입찰안_xls]B161"/>
      <sheetName val="[입찰안_xls][입찰안_xls][입찰안_xls]B162"/>
      <sheetName val="[입찰안_xls][입찰안_xls][입찰안_xls]B163"/>
      <sheetName val="[입찰안_xls][입찰안_xls][입찰안_xls]B164"/>
      <sheetName val="[입찰안_xls][입찰안_xls][입찰안_xls]B165"/>
      <sheetName val="[입찰안_xls][입찰안_xls][입찰안_xls]B166"/>
      <sheetName val="[입찰안_xls][입찰안_xls][입찰안_xls]B167"/>
      <sheetName val="[입찰안_xls][입찰안_xls][입찰안_xls]B168"/>
      <sheetName val="[입찰안_xls][입찰안_xls][입찰안_xls]B169"/>
      <sheetName val="[입찰안_xls][입찰안_xls][입찰안_xls]B170"/>
      <sheetName val="[입찰안_xls][입찰안_xls][입찰안_xls]B171"/>
      <sheetName val="견적비교표_(2)1"/>
      <sheetName val="결재방(지우지_마세요)1"/>
      <sheetName val="[입찰안_xls][입찰안_xls][입찰안_xls]B172"/>
      <sheetName val="[입찰안_xls][입찰안_xls][입찰안_xls]B173"/>
      <sheetName val="[입찰안_xls][입찰안_xls][입찰안_xls]B174"/>
      <sheetName val="[입찰안_xls][입찰안_xls][입찰안_xls]B175"/>
      <sheetName val="[입찰안_xls][입찰안_xls][입찰안_xls]B176"/>
      <sheetName val="[입찰안_xls][입찰안_xls][입찰안_xls]B177"/>
      <sheetName val="[입찰안_xls][입찰안_xls][입찰안_xls]B178"/>
      <sheetName val="[입찰안_xls][입찰안_xls][입찰안_xls]B179"/>
      <sheetName val="[입찰안_xls][입찰안_xls][입찰안_xls]B180"/>
      <sheetName val="[입찰안_xls][입찰안_xls][입찰안_xls]B181"/>
      <sheetName val="[입찰안_xls][입찰안_xls][입찰안_xls]B182"/>
      <sheetName val="[입찰안_xls][입찰안_xls][입찰안_xls]B183"/>
      <sheetName val="[입찰안_xls][입찰안_xls][입찰안_xls]B184"/>
      <sheetName val="[입찰안_xls][입찰안_xls][입찰안_xls]B185"/>
      <sheetName val="[입찰안_xls][입찰안_xls][입찰안_xls]B186"/>
      <sheetName val="[입찰안_xls][입찰안_xls][입찰안_xls]B187"/>
      <sheetName val="[입찰안_xls][입찰안_xls][입찰안_xls]B188"/>
      <sheetName val="[입찰안_xls][입찰안_xls][입찰안_xls]B189"/>
      <sheetName val="[입찰안_xls][입찰안_xls][입찰안_xls]B190"/>
      <sheetName val="[입찰안_xls][입찰안_xls][입찰안_xls]B191"/>
      <sheetName val="[입찰안_xls][입찰안_xls][입찰안_xls]B192"/>
      <sheetName val="[입찰안_xls][입찰안_xls][입찰안_xls]B193"/>
      <sheetName val="[입찰안_xls][입찰안_xls][입찰안_xls]B194"/>
      <sheetName val="[입찰안_xls][입찰안_xls][입찰안_xls]B195"/>
      <sheetName val="[입찰안_xls][입찰안_xls][입찰안_xls]B196"/>
      <sheetName val="[입찰안_xls][입찰안_xls][입찰안_xls]B197"/>
      <sheetName val="[입찰안_xls][입찰안_xls][입찰안_xls]B198"/>
      <sheetName val="[입찰안_xls][입찰안_xls][입찰안_xls]B199"/>
      <sheetName val="[입찰안_xls][입찰안_xls][입찰안_xls]B200"/>
      <sheetName val="노임단가_및_기계경비1"/>
      <sheetName val="EXCHANGE_RATE1"/>
      <sheetName val="할증_2"/>
      <sheetName val="간접비_총괄표2"/>
      <sheetName val="중강당_내역1"/>
      <sheetName val="TOWER_12TON1"/>
      <sheetName val="공사투입계획(변경결의)19_91"/>
      <sheetName val="노무비_월별지급현황19_91"/>
      <sheetName val="갑지(외주기성)19_91"/>
      <sheetName val="1_R18_BF2"/>
      <sheetName val="6_External_works-R182"/>
      <sheetName val="Bill_01_-_CTN2"/>
      <sheetName val="020_235_23632"/>
      <sheetName val="CHITIET_VL-NC-TT1p2"/>
      <sheetName val="Project_Infor2"/>
      <sheetName val="Data_input2"/>
      <sheetName val="_입찰안_xls_직접뀀鞖_2"/>
      <sheetName val="_입찰안_xls__입찰안_xls_직접뀀鞖_2"/>
      <sheetName val="bang_TH2"/>
      <sheetName val="[입찰안_xls][입찰안_xls][입찰안_xls]__10"/>
      <sheetName val="[입찰안_xls][입찰안_xls]직접뀀鞖/3"/>
      <sheetName val="[입찰안_xls][입찰안_xls][입찰안_xls]__11"/>
      <sheetName val="[입찰안_xls][입찰안_xls][입찰안_xls]_256"/>
      <sheetName val="[입찰안_xls][입찰안_xls][입찰안_xls]_257"/>
      <sheetName val="[입찰안_xls][입찰안_xls][입찰안_xls]_255"/>
      <sheetName val="[입찰안_xls][입찰안_xls][입찰안_xls]_258"/>
      <sheetName val="[입찰안_xls][입찰안_xls][입찰안_xls]_259"/>
      <sheetName val="[입찰안_xls][입찰안_xls][입찰안_xls]_260"/>
      <sheetName val="[입찰안_xls][입찰안_xls][입찰안_xls]_261"/>
      <sheetName val="[입찰안_xls][입찰안_xls][입찰안_xls]_262"/>
      <sheetName val="[입찰안_xls][입찰안_xls][입찰안_xls]_263"/>
      <sheetName val="[입찰안_xls][입찰안_xls][입찰안_xls]_264"/>
      <sheetName val="Phan_tho2"/>
      <sheetName val="Tien_Thuong2"/>
      <sheetName val="NC_XL_6T_cuoi_01_CTy2"/>
      <sheetName val="Data_-6T_dau2"/>
      <sheetName val="Cong_6T2"/>
      <sheetName val="[입찰안_xls][입찰안_xls][입찰안_xls]_265"/>
      <sheetName val="[입찰안_xls][입찰안_xls][입찰안_xls]_266"/>
      <sheetName val="[입찰안_xls][입찰안_xls][입찰안_xls]_267"/>
      <sheetName val="[입찰안_xls][입찰안_xls][입찰안_xls]_268"/>
      <sheetName val="[입찰안_xls][입찰안_xls][입찰안_xls]_269"/>
      <sheetName val="[입찰안_xls][입찰안_xls][입찰안_xls]_270"/>
      <sheetName val="[입찰안_xls][입찰안_xls][입찰안_xls]_271"/>
      <sheetName val="[입찰안_xls][입찰안_xls][입찰안_xls]_272"/>
      <sheetName val="[입찰안_xls][입찰안_xls][입찰안_xls]_273"/>
      <sheetName val="[입찰안_xls][입찰안_xls][입찰안_xls]_274"/>
      <sheetName val="[입찰안_xls][입찰안_xls][입찰안_xls]_275"/>
      <sheetName val="[입찰안_xls][입찰안_xls][입찰안_xls]_276"/>
      <sheetName val="[입찰안_xls][입찰안_xls][입찰안_xls]_277"/>
      <sheetName val="[입찰안_xls][입찰안_xls][입찰안_xls]_291"/>
      <sheetName val="[입찰안_xls][입찰안_xls][입찰안_xls]_290"/>
      <sheetName val="_HIT__HMC_견ꉀ펔ɠ"/>
      <sheetName val="[입찰안_xls][입찰안_xls][입찰안_xls]_289"/>
      <sheetName val="새로이_설치할_정비기반시설_조서_나번_(2)"/>
      <sheetName val="정리계앀"/>
      <sheetName val="정리계"/>
      <sheetName val="plan&amp;section_of勉"/>
      <sheetName val="[입찰안_xls][입찰안_xls][입찰안_xls]_278"/>
      <sheetName val="[입찰안_xls][입찰안_xls][입찰안_xls]_279"/>
      <sheetName val="[입찰안_xls][입찰안_xls][입찰안_xls]_280"/>
      <sheetName val="[입찰안_xls][입찰안_xls][입찰안_xls]_288"/>
      <sheetName val="[입찰안_xls][입찰안_xls][입찰안_xls]_287"/>
      <sheetName val="[입찰안_xls][입찰안_xls][입찰안_xls]_286"/>
      <sheetName val="[입찰안_xls][입찰안_xls][입찰안_xls]_285"/>
      <sheetName val="[입찰안_xls][입찰안_xls][입찰안_xls]_284"/>
      <sheetName val="[입찰안_xls][입찰안_xls][입찰안_xls]_281"/>
      <sheetName val="[입찰안_xls][입찰안_xls][입찰안_xls]_282"/>
      <sheetName val="[입찰안_xls][입찰안_xls][입찰안_xls]_283"/>
      <sheetName val="[입찰안_xls][입찰안_xls][입찰안_xls]_292"/>
      <sheetName val="[입찰안_xls][입찰안_xls][입찰안_xls]_293"/>
      <sheetName val="[입찰안_xls][입찰안_xls][입찰안_xls]_294"/>
      <sheetName val="[입찰안_xls][입찰안_xls][입찰안_xls]_295"/>
      <sheetName val="co-no_2"/>
      <sheetName val="(1)2002년_매출목표_산출"/>
      <sheetName val="[입찰안_xls][입찰안_xls][입찰안_xls]_296"/>
      <sheetName val="[입찰안_xls][입찰안_xls][입찰안_xls]_297"/>
      <sheetName val="[입찰안_xls][입찰안_xls][입찰안_xls]_298"/>
      <sheetName val="[입찰안_xls][입찰안_xls][입찰안_xls]_299"/>
      <sheetName val="[입찰안_xls][입찰안_xls][입찰안_xls]_300"/>
      <sheetName val="[입찰안_xls][입찰안_xls][입찰안_xls]_301"/>
      <sheetName val="[입찰안_xls][입찰안_xls][입찰안_xls]_302"/>
      <sheetName val="[입찰안_xls][입찰안_xls][입찰안_xls]_303"/>
      <sheetName val="[입찰안_xls][입찰안_xls][입찰안_xls]_304"/>
      <sheetName val="[입찰안_xls][입찰안_xls][입찰안_xls]_305"/>
      <sheetName val="[입찰안_xls][입찰안_xls][입찰안_xls]_306"/>
      <sheetName val="[입찰안_xls][입찰안_xls][입찰안_xls]_307"/>
      <sheetName val="[입찰안_xls][입찰안_xls][입찰안_xls]_308"/>
      <sheetName val="[입찰안_xls][입찰안_xls][입찰안_xls]_309"/>
      <sheetName val="[입찰안_xls][입찰안_xls][입찰안_xls]_310"/>
      <sheetName val="[입찰안_xls][입찰안_xls][입찰안_xls]_311"/>
      <sheetName val="[입찰안_xls][입찰안_xls][입찰안_xls]_312"/>
      <sheetName val="[입찰안_xls][입찰안_xls][입찰안_xls]_347"/>
      <sheetName val="[입찰안_xls][입찰안_xls][입찰안_xls]_313"/>
      <sheetName val="[입찰안_xls][입찰안_xls][입찰안_xls]_314"/>
      <sheetName val="[입찰안_xls][입찰안_xls][입찰안_xls]_315"/>
      <sheetName val="[입찰안_xls][입찰안_xls][입찰안_xls]_316"/>
      <sheetName val="[입찰안_xls][입찰안_xls][입찰안_xls]_317"/>
      <sheetName val="[입찰안_xls][입찰안_xls][입찰안_xls]_318"/>
      <sheetName val="[입찰안_xls][입찰안_xls][입찰안_xls]_319"/>
      <sheetName val="[입찰안_xls][입찰안_xls][입찰안_xls]_320"/>
      <sheetName val="[입찰안_xls][입찰안_xls][입찰안_xls]_321"/>
      <sheetName val="[입찰안_xls][입찰안_xls][입찰안_xls]_322"/>
      <sheetName val="[입찰안_xls][입찰안_xls][입찰안_xls]_323"/>
      <sheetName val="[입찰안_xls][입찰안_xls][입찰안_xls]_324"/>
      <sheetName val="[입찰안_xls][입찰안_xls][입찰안_xls]_325"/>
      <sheetName val="[입찰안_xls][입찰안_xls][입찰안_xls]_326"/>
      <sheetName val="[입찰안_xls][입찰안_xls][입찰안_xls]_327"/>
      <sheetName val="[입찰안_xls][입찰안_xls][입찰안_xls]_328"/>
      <sheetName val="F_D_SEC__PROP"/>
      <sheetName val="[입찰안_xls][입찰안_xls][입찰안_xls]_329"/>
      <sheetName val="[입찰안_xls][입찰안_xls][입찰안_xls]_330"/>
      <sheetName val="[입찰안_xls][입찰안_xls][입찰안_xls]_331"/>
      <sheetName val="[입찰안_xls][입찰안_xls][입찰안_xls]_332"/>
      <sheetName val="[입찰안_xls][입찰안_xls][입찰안_xls]_333"/>
      <sheetName val="[입찰안_xls][입찰안_xls][입찰안_xls]_334"/>
      <sheetName val="[입찰안_xls][입찰안_xls][입찰안_xls]_335"/>
      <sheetName val="[입찰안_xls][입찰안_xls][입찰안_xls]_336"/>
      <sheetName val="[입찰안_xls][입찰안_xls][입찰안_xls]_337"/>
      <sheetName val="[입찰안_xls][입찰안_xls][입찰안_xls]_338"/>
      <sheetName val="[입찰안_xls][입찰안_xls][입찰안_xls]_339"/>
      <sheetName val="[입찰안_xls][입찰안_xls][입찰안_xls]_340"/>
      <sheetName val="[입찰안_xls][입찰안_xls][입찰안_xls]_341"/>
      <sheetName val="[입찰안_xls][입찰안_xls][입찰안_xls]_342"/>
      <sheetName val="[입찰안_xls][입찰안_xls][입찰안_xls]_343"/>
      <sheetName val="[입찰안_xls][입찰안_xls][입찰안_xls]_344"/>
      <sheetName val="[입찰안_xls][입찰안_xls][입찰안_xls]_345"/>
      <sheetName val="[입찰안_xls][입찰안_xls][입찰안_xls]_346"/>
      <sheetName val="[입찰안_xls][입찰안_xls][입찰안_xls]_348"/>
      <sheetName val="[입찰안_xls][입찰안_xls][입찰안_xls]_349"/>
      <sheetName val="[입찰안_xls][입찰안_xls][입찰안_xls]_350"/>
      <sheetName val="[입찰안_xls][입찰안_xls][입찰안_xls]_351"/>
      <sheetName val="[입찰안_xls][입찰안_xls][입찰안_xls]_352"/>
      <sheetName val="[입찰안_xls][입찰안_xls][입찰안_xls]_353"/>
      <sheetName val="GRAND_SUM"/>
      <sheetName val="[입찰안_xls][입찰안_xls][입찰안_xls]_354"/>
      <sheetName val="[입찰안_xls][입찰안_xls][입찰안_xls]_355"/>
      <sheetName val="[입찰안_xls][입찰안_xls][입찰안_xls]_356"/>
      <sheetName val="[입찰안_xls][입찰안_xls][입찰안_xls]_357"/>
      <sheetName val="[입찰안_xls][입찰안_xls][입찰안_xls]_395"/>
      <sheetName val="[입찰안_xls][입찰안_xls][입찰안_xls]_396"/>
      <sheetName val="[입찰안_xls][입찰안_xls][입찰안_xls]_397"/>
      <sheetName val="PA"/>
      <sheetName val="[입찰안_xls][입찰안_xls][입찰안_xls]_385"/>
      <sheetName val="[입찰안_xls][입찰안_xls][입찰안_xls]_386"/>
      <sheetName val="[입찰안_xls][입찰안_xls][입찰안_xls]_391"/>
      <sheetName val="[입찰안_xls][입찰안_xls][입찰안_xls]_361"/>
      <sheetName val="[입찰안_xls][입찰안_xls][입찰안_xls]_358"/>
      <sheetName val="[입찰안_xls][입찰안_xls][입찰안_xls]_359"/>
      <sheetName val="[입찰안_xls][입찰안_xls][입찰안_xls]_360"/>
      <sheetName val="[입찰안_xls][입찰안_xls][입찰안_xls]_362"/>
      <sheetName val="[입찰안_xls][입찰안_xls][입찰안_xls]_363"/>
      <sheetName val="[입찰안_xls][입찰안_xls][입찰안_xls]_364"/>
      <sheetName val="[입찰안_xls][입찰안_xls][입찰안_xls]_365"/>
      <sheetName val="[입찰안_xls][입찰안_xls][입찰안_xls]_366"/>
      <sheetName val="[입찰안_xls][입찰안_xls][입찰안_xls]_367"/>
      <sheetName val="[입찰안_xls][입찰안_xls][입찰안_xls]_368"/>
      <sheetName val="[입찰안_xls][입찰안_xls][입찰안_xls]_369"/>
      <sheetName val="[입찰안_xls][입찰안_xls][입찰안_xls]_370"/>
      <sheetName val="[입찰안_xls][입찰안_xls][입찰안_xls]_371"/>
      <sheetName val="[입찰안_xls][입찰안_xls][입찰안_xls]_372"/>
      <sheetName val="[입찰안_xls][입찰안_xls][입찰안_xls]_374"/>
      <sheetName val="[입찰안_xls][입찰안_xls][입찰안_xls]_373"/>
      <sheetName val="[입찰안_xls][입찰안_xls][입찰안_xls]_375"/>
      <sheetName val="[입찰안_xls][입찰안_xls][입찰안_xls]_376"/>
      <sheetName val="[입찰안_xls][입찰안_xls][입찰안_xls]_377"/>
      <sheetName val="[입찰안_xls][입찰안_xls][입찰안_xls]_378"/>
      <sheetName val="[입찰안_xls][입찰안_xls][입찰안_xls]_379"/>
      <sheetName val="[입찰안_xls][입찰안_xls][입찰안_xls]_380"/>
      <sheetName val="[입찰안_xls][입찰안_xls][입찰안_xls]_381"/>
      <sheetName val="[입찰안_xls][입찰안_xls][입찰안_xls]_382"/>
      <sheetName val="[입찰안_xls][입찰안_xls][입찰안_xls]_383"/>
      <sheetName val="[입찰안_xls][입찰안_xls][입찰안_xls]_384"/>
      <sheetName val="[입찰안_xls][입찰안_xls][입찰안_xls]_387"/>
      <sheetName val="[입찰안_xls][입찰안_xls][입찰안_xls]_388"/>
      <sheetName val="[입찰안_xls][입찰안_xls][입찰안_xls]_389"/>
      <sheetName val="[입찰안_xls][입찰안_xls][입찰안_xls]_390"/>
      <sheetName val="[입찰안_xls][입찰안_xls][입찰안_xls]_392"/>
      <sheetName val="[입찰안_xls][입찰안_xls][입찰안_xls]_393"/>
      <sheetName val="[입찰안_xls][입찰안_xls][입찰안_xls]_394"/>
      <sheetName val="[입찰안_xls][입찰안_xls][입찰안_xls]_398"/>
      <sheetName val="[입찰안_xls][입찰안_xls][입찰안_xls]_399"/>
      <sheetName val="[입찰안_xls][입찰안_xls][입찰안_xls]_400"/>
      <sheetName val="[입찰안_xls][입찰안_xls][입찰안_xls]_401"/>
      <sheetName val="[입찰안_xls][입찰안_xls][입찰안_xls]_402"/>
      <sheetName val="[입찰안_xls][입찰안_xls][입찰안_xls]_420"/>
      <sheetName val="[입찰안_xls][입찰안_xls][입찰안_xls]_413"/>
      <sheetName val="[입찰안_xls][입찰안_xls][입찰안_xls]_414"/>
      <sheetName val="[입찰안_xls][입찰안_xls][입찰안_xls]_410"/>
      <sheetName val="[입찰안_xls][입찰안_xls][입찰안_xls]_411"/>
      <sheetName val="[입찰안_xls][입찰안_xls][입찰안_xls]_407"/>
      <sheetName val="[입찰안_xls][입찰안_xls][입찰안_xls]_409"/>
      <sheetName val="[입찰안_xls][입찰안_xls][입찰안_xls]_408"/>
      <sheetName val="COST_SUMMARY"/>
      <sheetName val="Xuly_Data"/>
      <sheetName val="TL_rieng"/>
      <sheetName val="Thuc_thanh"/>
      <sheetName val="Cost_factor"/>
      <sheetName val="Item_list"/>
      <sheetName val="Sheet_Template_Empty"/>
      <sheetName val="[입찰안_xls][입찰안_xls][입찰안_xls]_403"/>
      <sheetName val="[입찰안_xls][입찰안_xls][입찰안_xls]_404"/>
      <sheetName val="[입찰안_xls][입찰안_xls][입찰안_xls]_405"/>
      <sheetName val="[입찰안_xls][입찰안_xls][입찰안_xls]_406"/>
      <sheetName val="[입찰안_xls][입찰안_xls][입찰안_xls]_412"/>
      <sheetName val="[입찰안_xls][입찰안_xls][입찰안_xls]_415"/>
      <sheetName val="[입찰안_xls][입찰안_xls][입찰안_xls]_416"/>
      <sheetName val="[입찰안_xls][입찰안_xls][입찰안_xls]_417"/>
      <sheetName val="[입찰안_xls][입찰안_xls][입찰안_xls]_418"/>
      <sheetName val="[입찰안_xls][입찰안_xls][입찰안_xls]_419"/>
      <sheetName val="[입찰안_xls][입찰안_xls][입찰안_xls]_421"/>
      <sheetName val="[입찰안_xls][입찰안_xls][입찰안_xls]_422"/>
      <sheetName val="[입찰안_xls][입찰안_xls][입찰안_xls]_423"/>
      <sheetName val="[입찰안_xls][입찰안_xls][입찰안_xls]_424"/>
      <sheetName val="[입찰안_xls][입찰안_xls][입찰안_xls]_425"/>
      <sheetName val="[입찰안_xls][입찰안_xls][입찰안_xls]_426"/>
      <sheetName val="[입찰안_xls][입찰안_xls][입찰안_xls]_427"/>
      <sheetName val="[입찰안_xls][입찰안_xls][입찰안_xls]_428"/>
      <sheetName val="[입찰안_xls][입찰안_xls][입찰안_xls]_429"/>
      <sheetName val="[입찰안_xls][입찰안_xls][입찰안_xls]_430"/>
      <sheetName val="[입찰안_xls][입찰안_xls][입찰안_xls]_431"/>
      <sheetName val="[입찰안_xls][입찰안_xls][입찰안_xls]_432"/>
      <sheetName val="[입찰안_xls][입찰안_xls][입찰안_xls]_433"/>
      <sheetName val="[입찰안_xls][입찰안_xls][입찰안_xls]_434"/>
      <sheetName val="[입찰안_xls][입찰안_xls][입찰안_xls]_435"/>
      <sheetName val="[입찰안_xls][입찰안_xls][입찰안_xls]_436"/>
      <sheetName val="[입찰안_xls][입찰안_xls][입찰안_xls]_437"/>
      <sheetName val="[입찰안_xls][입찰안_xls][입찰안_xls]_438"/>
      <sheetName val="[입찰안_xls][입찰안_xls][입찰안_xls]_439"/>
      <sheetName val="[입찰안_xls][입찰안_xls][입찰안_xls]_440"/>
      <sheetName val="[입찰안_xls][입찰안_xls][입찰안_xls]_441"/>
      <sheetName val="[입찰안_xls][입찰안_xls][입찰안_xls]_442"/>
      <sheetName val="[입찰안_xls][입찰안_xls][입찰안_xls]_443"/>
      <sheetName val="Macro(전"/>
      <sheetName val="[입찰안_xls][입찰안_xls][입찰안_xls]_444"/>
      <sheetName val="[입찰안_xls][입찰안_xls][입찰안_xls]_445"/>
      <sheetName val="[입찰안_xls][입찰안_xls][입찰안_xls]_446"/>
      <sheetName val="[입찰안_xls][입찰안_xls][입찰안_xls]_447"/>
      <sheetName val="[입찰안_xls][입찰안_xls][입찰안_xls]_448"/>
      <sheetName val="[입찰안_xls][입찰안_xls][입찰안_xls]_449"/>
      <sheetName val="[입찰안_xls][입찰안_xls][입찰안_xls]_450"/>
      <sheetName val="[입찰안_xls][입찰안_xls][입찰안_xls]_451"/>
      <sheetName val="[입찰안_xls][입찰안_xls][입찰안_xls]_452"/>
      <sheetName val="[입찰안_xls][입찰안_xls][입찰안_xls]_453"/>
      <sheetName val="[입찰안_xls][입찰안_xls][입찰안_xls]_454"/>
      <sheetName val="[입찰안_xls][입찰안_xls][입찰안_xls]_455"/>
      <sheetName val="[입찰안_xls][입찰안_xls][입찰안_xls]_456"/>
      <sheetName val="[입찰안_xls][입찰안_xls][입찰안_xls]_457"/>
      <sheetName val="[입찰안_xls][입찰안_xls][입찰안_xls]_458"/>
      <sheetName val="[입찰안_xls][입찰안_xls][입찰안_xls]_459"/>
      <sheetName val="[입찰안_xls][입찰안_xls][입찰안_xls]_460"/>
      <sheetName val="[입찰안_xls][입찰안_xls][입찰안_xls]_461"/>
      <sheetName val="[입찰안_xls][입찰안_xls][입찰안_xls]_462"/>
      <sheetName val="Code_02"/>
      <sheetName val="Code_03"/>
      <sheetName val="Code_04"/>
      <sheetName val="Code_05"/>
      <sheetName val="Code_06"/>
      <sheetName val="Code_07"/>
      <sheetName val="Code_09"/>
      <sheetName val="[입찰안_xls][입찰안_xls][입찰안_xls]_463"/>
      <sheetName val="[입찰안_xls][입찰안_xls][입찰안_xls]_464"/>
      <sheetName val="[입찰안_xls][입찰안_xls][입찰안_xls]_465"/>
      <sheetName val="[입찰안_xls][입찰안_xls][입찰안_xls]_466"/>
      <sheetName val="[입찰안_xls][입찰안_xls][입찰안_xls]_467"/>
      <sheetName val="[입찰안_xls][입찰안_xls][입찰안_xls]_468"/>
      <sheetName val="[입찰안_xls][입찰안_xls][입찰안_xls]_469"/>
      <sheetName val="해평견적"/>
      <sheetName val="[입찰안.xls][입찰안.xls]_____xls_1336"/>
      <sheetName val="[입찰안.xls][입찰안.xls]_____xls_1330"/>
      <sheetName val="[입찰안.xls][입찰안.xls]_____xls_1332"/>
      <sheetName val="[입찰안.xls][입찰안.xls]_____xls_1335"/>
      <sheetName val="[입찰안.xls][입찰안.xls]_____xls_1334"/>
      <sheetName val="[입찰안.xls][입찰안.xls]_____xls_1338"/>
      <sheetName val="[입찰안.xls][입찰안.xls]_____xls_1992"/>
      <sheetName val="[입찰안.xls][입찰안.xls]_____xls_1995"/>
      <sheetName val="[입찰안.xls][입찰안.xls]_____xls_1996"/>
      <sheetName val="sh1"/>
      <sheetName val="Sens&amp;Anal"/>
      <sheetName val="실행예산"/>
      <sheetName val="[입찰안.xls][입찰안.xls]_입___xls_1000"/>
      <sheetName val="SS"/>
      <sheetName val="[입찰안.xls][입찰안.xls]_____xls_1989"/>
      <sheetName val="0226"/>
      <sheetName val="XXXXXX"/>
      <sheetName val="6__안전_x0000_䶁_x0000_"/>
      <sheetName val="작업일보"/>
      <sheetName val="패널"/>
      <sheetName val="기안문"/>
      <sheetName val="장비단"/>
      <sheetName val="코_x005f_x0000_"/>
      <sheetName val="7_산출(⠀榅弁䘿_x005f_x0000_"/>
      <sheetName val="10공-_x005f_x0000_Ԁ"/>
      <sheetName val="1,2,3,4_x005f_x0000__x005f_x0000_界Þ多⽬"/>
      <sheetName val="제잡비 산출내역(실적공사비)"/>
      <sheetName val="산출서"/>
      <sheetName val="위치도"/>
      <sheetName val="토공집계(rp)"/>
      <sheetName val="협가표"/>
      <sheetName val="pile_bearing_capa_&amp;_¬_x0000_Ԁ_x0000_　촖蹻"/>
      <sheetName val="pile_bearing_capa_&amp;_¬_x0000_Ԁ_x0000_瀀濓蹮"/>
      <sheetName val="pile_bearing_capa_&amp;_¬_x0000_Ԁ_x0000_팉蹨"/>
      <sheetName val="pile_bearing_capa_&amp;_¬_x0000_Ԁ_x0000_瀀竒蹩"/>
      <sheetName val="pile_bearing_capa_&amp;_¬_x0000_Ԁ_x0000_뀀蹭"/>
      <sheetName val="pile_bearing_capa_&amp;_¬_x0000_Ԁ_x0000_℘撦"/>
      <sheetName val="[입찰안.xls][입찰안.xls]_입___xls_1002"/>
      <sheetName val="[입찰안.xls][입찰안.xls]_입___xls_1001"/>
      <sheetName val="equip"/>
      <sheetName val="[입찰안.xls][입찰안.xls]_____xls_1973"/>
      <sheetName val="[입찰안.xls][입찰안.xls]_____xls_1975"/>
      <sheetName val="[입찰안.xls][입찰안.xls]_____xls_1974"/>
      <sheetName val="1.일위"/>
      <sheetName val="[입찰안.xls][입찰안.xls]_____xls_1360"/>
      <sheetName val="[입찰안.xls][입찰안.xls]_____xls_1348"/>
      <sheetName val="[입찰안.xls][입찰안.xls]_____xls_1340"/>
      <sheetName val="[입찰안.xls][입찰안.xls]_____xls_1345"/>
      <sheetName val="[입찰안.xls][입찰안.xls]_____xls_1342"/>
      <sheetName val="[입찰안.xls][입찰안.xls]_____xls_1341"/>
      <sheetName val="[입찰안.xls][입찰안.xls]_____xls_1343"/>
      <sheetName val="[입찰안.xls][입찰안.xls]_____xls_1344"/>
      <sheetName val="[입찰안.xls][입찰안.xls]_____xls_1346"/>
      <sheetName val="[입찰안.xls][입찰안.xls]_____xls_1347"/>
      <sheetName val="[입찰안.xls][입찰안.xls]_____xls_1352"/>
      <sheetName val="[입찰안.xls][입찰안.xls]_____xls_1350"/>
      <sheetName val="[입찰안.xls][입찰안.xls]_____xls_1349"/>
      <sheetName val="[입찰안.xls][입찰안.xls]_____xls_1351"/>
      <sheetName val="[입찰안.xls][입찰안.xls]_____xls_1356"/>
      <sheetName val="[입찰안.xls][입찰안.xls]_____xls_1355"/>
      <sheetName val="[입찰안.xls][입찰안.xls]_____xls_1353"/>
      <sheetName val="[입찰안.xls][입찰안.xls]_____xls_1354"/>
      <sheetName val="[입찰안.xls][입찰안.xls]_____xls_1357"/>
      <sheetName val="[입찰안.xls][입찰안.xls]_____xls_1358"/>
      <sheetName val="[입찰안.xls][입찰안.xls]_____xls_1359"/>
      <sheetName val="[입찰안.xls][입찰안.xls]_____xls_1388"/>
      <sheetName val="[입찰안.xls][입찰안.xls]_____xls_1361"/>
      <sheetName val="[입찰안.xls][입찰안.xls]_____xls_1362"/>
      <sheetName val="[입찰안.xls][입찰안.xls]_____xls_1363"/>
      <sheetName val="[입찰안.xls][입찰안.xls]_____xls_1365"/>
      <sheetName val="[입찰안.xls][입찰안.xls]_____xls_1364"/>
      <sheetName val="[입찰안.xls][입찰안.xls]_____xls_1367"/>
      <sheetName val="[입찰안.xls][입찰안.xls]_____xls_1366"/>
      <sheetName val="[입찰안.xls][입찰안.xls]_____xls_1368"/>
      <sheetName val="[입찰안.xls][입찰안.xls]_____xls_1372"/>
      <sheetName val="[입찰안.xls][입찰안.xls]_____xls_1369"/>
      <sheetName val="[입찰안.xls][입찰안.xls]_____xls_1370"/>
      <sheetName val="[입찰안.xls][입찰안.xls]_____xls_1371"/>
      <sheetName val="[입찰안.xls][입찰안.xls]_____xls_1373"/>
      <sheetName val="[입찰안.xls][입찰안.xls]_____xls_1374"/>
      <sheetName val="[입찰안.xls][입찰안.xls]_____xls_1377"/>
      <sheetName val="[입찰안.xls][입찰안.xls]_____xls_1375"/>
      <sheetName val="[입찰안.xls][입찰안.xls]_____xls_1376"/>
      <sheetName val="[입찰안.xls][입찰안.xls]_____xls_1392"/>
      <sheetName val="[입찰안.xls][입찰안.xls]_____xls_1378"/>
      <sheetName val="[입찰안.xls][입찰안.xls]_____xls_1382"/>
      <sheetName val="[입찰안.xls][입찰안.xls]_____xls_1379"/>
      <sheetName val="[입찰안.xls][입찰안.xls]_____xls_1380"/>
      <sheetName val="[입찰안.xls][입찰안.xls]_____xls_1381"/>
      <sheetName val="[입찰안.xls][입찰안.xls]_____xls_1383"/>
      <sheetName val="[입찰안.xls][입찰안.xls]_____xls_1386"/>
      <sheetName val="[입찰안.xls][입찰안.xls]_____xls_1385"/>
      <sheetName val="[입찰안.xls][입찰안.xls]_____xls_1384"/>
      <sheetName val="[입찰안.xls][입찰안.xls]_____xls_1387"/>
      <sheetName val="[입찰안.xls][입찰안.xls]_____xls_1389"/>
      <sheetName val="[입찰안.xls][입찰안.xls]_____xls_1390"/>
      <sheetName val="[입찰안.xls][입찰안.xls]_____xls_1391"/>
      <sheetName val="[입찰안.xls][입찰안.xls]_____xls_1423"/>
      <sheetName val="[입찰안.xls][입찰안.xls]_____xls_1393"/>
      <sheetName val="[입찰안.xls][입찰안.xls]_____xls_1394"/>
      <sheetName val="[입찰안.xls][입찰안.xls]_____xls_1395"/>
      <sheetName val="[입찰안.xls][입찰안.xls]_____xls_1396"/>
      <sheetName val="[입찰안.xls][입찰안.xls]_____xls_1397"/>
      <sheetName val="[입찰안.xls][입찰안.xls]_____xls_1398"/>
      <sheetName val="[입찰안.xls][입찰안.xls]_____xls_1399"/>
      <sheetName val="[입찰안.xls][입찰안.xls]_____xls_1400"/>
      <sheetName val="[입찰안.xls][입찰안.xls]_____xls_1401"/>
      <sheetName val="[입찰안.xls][입찰안.xls]_____xls_1406"/>
      <sheetName val="[입찰안.xls][입찰안.xls]_____xls_1402"/>
      <sheetName val="[입찰안.xls][입찰안.xls]_____xls_1403"/>
      <sheetName val="[입찰안.xls][입찰안.xls]_____xls_1404"/>
      <sheetName val="[입찰안.xls][입찰안.xls]_____xls_1405"/>
      <sheetName val="[입찰안.xls][입찰안.xls]_____xls_1424"/>
      <sheetName val="[입찰안.xls][입찰안.xls]_____xls_1407"/>
      <sheetName val="[입찰안.xls][입찰안.xls]_____xls_1408"/>
      <sheetName val="[입찰안.xls][입찰안.xls]_____xls_1411"/>
      <sheetName val="[입찰안.xls][입찰안.xls]_____xls_1409"/>
      <sheetName val="[입찰안.xls][입찰안.xls]_____xls_1410"/>
      <sheetName val="[입찰안.xls][입찰안.xls]_____xls_1412"/>
      <sheetName val="[입찰안.xls][입찰안.xls]_____xls_1416"/>
      <sheetName val="[입찰안.xls][입찰안.xls]_____xls_1413"/>
      <sheetName val="[입찰안.xls][입찰안.xls]_____xls_1414"/>
      <sheetName val="[입찰안.xls][입찰안.xls]_____xls_1415"/>
      <sheetName val="[입찰안.xls][입찰안.xls]_____xls_1418"/>
      <sheetName val="[입찰안.xls][입찰안.xls]_____xls_1417"/>
      <sheetName val="[입찰안.xls][입찰안.xls]_____xls_1419"/>
      <sheetName val="[입찰안.xls][입찰안.xls]_____xls_1420"/>
      <sheetName val="[입찰안.xls][입찰안.xls]_____xls_1422"/>
      <sheetName val="[입찰안.xls][입찰안.xls]_____xls_1421"/>
      <sheetName val="[입찰안.xls][입찰안.xls]_____xls_1427"/>
      <sheetName val="[입찰안.xls][입찰안.xls]_____xls_1446"/>
      <sheetName val="[입찰안.xls][입찰안.xls]_____xls_1425"/>
      <sheetName val="[입찰안.xls][입찰안.xls]_____xls_1426"/>
      <sheetName val="[입찰안.xls][입찰안.xls]_____xls_1432"/>
      <sheetName val="[입찰안.xls][입찰안.xls]_____xls_1428"/>
      <sheetName val="[입찰안.xls][입찰안.xls]_____xls_1429"/>
      <sheetName val="[입찰안.xls][입찰안.xls]_____xls_1430"/>
      <sheetName val="[입찰안.xls][입찰안.xls]_____xls_1431"/>
      <sheetName val="[입찰안.xls][입찰안.xls]_____xls_1433"/>
      <sheetName val="[입찰안.xls][입찰안.xls]_____xls_1434"/>
      <sheetName val="[입찰안.xls][입찰안.xls]_____xls_1435"/>
      <sheetName val="[입찰안.xls][입찰안.xls]_____xls_1436"/>
      <sheetName val="[입찰안.xls][입찰안.xls]_____xls_1438"/>
      <sheetName val="[입찰안.xls][입찰안.xls]_____xls_1437"/>
      <sheetName val="[입찰안.xls][입찰안.xls]_____xls_1441"/>
      <sheetName val="[입찰안.xls][입찰안.xls]_____xls_1439"/>
      <sheetName val="[입찰안.xls][입찰안.xls]_____xls_1440"/>
      <sheetName val="[입찰안.xls][입찰안.xls]_____xls_1442"/>
      <sheetName val="[입찰안.xls][입찰안.xls]_____xls_1453"/>
      <sheetName val="[입찰안.xls][입찰안.xls]_____xls_1443"/>
      <sheetName val="[입찰안.xls][입찰안.xls]_____xls_1445"/>
      <sheetName val="[입찰안.xls][입찰안.xls]_____xls_1444"/>
      <sheetName val="[입찰안.xls][입찰안.xls]_____xls_1447"/>
      <sheetName val="[입찰안.xls][입찰안.xls]_____xls_1448"/>
      <sheetName val="[입찰안.xls][입찰안.xls]_____xls_1449"/>
      <sheetName val="[입찰안.xls][입찰안.xls]_____xls_1469"/>
      <sheetName val="[입찰안.xls][입찰안.xls]_____xls_1450"/>
      <sheetName val="[입찰안.xls][입찰안.xls]_____xls_1451"/>
      <sheetName val="[입찰안.xls][입찰안.xls]_____xls_1452"/>
      <sheetName val="[입찰안.xls][입찰안.xls]_____xls_1457"/>
      <sheetName val="[입찰안.xls][입찰안.xls]_____xls_1455"/>
      <sheetName val="[입찰안.xls][입찰안.xls]_____xls_1454"/>
      <sheetName val="[입찰안.xls][입찰안.xls]_____xls_1456"/>
      <sheetName val="[입찰안.xls][입찰안.xls]_____xls_1460"/>
      <sheetName val="[입찰안.xls][입찰안.xls]_____xls_1458"/>
      <sheetName val="[입찰안.xls][입찰안.xls]_____xls_1459"/>
      <sheetName val="[입찰안.xls][입찰안.xls]_____xls_1461"/>
      <sheetName val="[입찰안.xls][입찰안.xls]_____xls_1462"/>
      <sheetName val="[입찰안.xls][입찰안.xls]_____xls_1463"/>
      <sheetName val="[입찰안.xls][입찰안.xls]_____xls_1464"/>
      <sheetName val="[입찰안.xls][입찰안.xls]_____xls_1465"/>
      <sheetName val="[입찰안.xls][입찰안.xls]_____xls_1468"/>
      <sheetName val="[입찰안.xls][입찰안.xls]_____xls_1466"/>
      <sheetName val="[입찰안.xls][입찰안.xls]_____xls_1467"/>
      <sheetName val="[입찰안.xls][입찰안.xls]_____xls_1470"/>
      <sheetName val="[입찰안.xls][입찰안.xls]_____xls_1476"/>
      <sheetName val="[입찰안.xls][입찰안.xls]_____xls_1471"/>
      <sheetName val="[입찰안.xls][입찰안.xls]_____xls_1473"/>
      <sheetName val="[입찰안.xls][입찰안.xls]_____xls_1472"/>
      <sheetName val="[입찰안.xls][입찰안.xls]_____xls_1474"/>
      <sheetName val="[입찰안.xls][입찰안.xls]_____xls_1475"/>
      <sheetName val="[입찰안.xls][입찰안.xls]_____xls_1483"/>
      <sheetName val="[입찰안.xls][입찰안.xls]_____xls_1478"/>
      <sheetName val="[입찰안.xls][입찰안.xls]_____xls_1477"/>
      <sheetName val="[입찰안.xls][입찰안.xls]_____xls_1482"/>
      <sheetName val="[입찰안.xls][입찰안.xls]_____xls_1479"/>
      <sheetName val="[입찰안.xls][입찰안.xls]_____xls_1480"/>
      <sheetName val="[입찰안.xls][입찰안.xls]_____xls_1481"/>
      <sheetName val="[입찰안.xls][입찰안.xls]_____xls_1484"/>
      <sheetName val="[입찰안.xls][입찰안.xls]_____xls_1485"/>
      <sheetName val="[입찰안.xls][입찰안.xls]_____xls_1497"/>
      <sheetName val="[입찰안.xls][입찰안.xls]_____xls_1489"/>
      <sheetName val="[입찰안.xls][입찰안.xls]_____xls_1488"/>
      <sheetName val="[입찰안.xls][입찰안.xls]_____xls_1486"/>
      <sheetName val="[입찰안.xls][입찰안.xls]_____xls_1487"/>
      <sheetName val="[입찰안.xls][입찰안.xls]_____xls_1501"/>
      <sheetName val="[입찰안.xls][입찰안.xls]_____xls_1490"/>
      <sheetName val="[입찰안.xls][입찰안.xls]_____xls_1491"/>
      <sheetName val="[입찰안.xls][입찰안.xls]_____xls_1492"/>
      <sheetName val="[입찰안.xls][입찰안.xls]_____xls_1493"/>
      <sheetName val="[입찰안.xls][입찰안.xls]_____xls_1494"/>
      <sheetName val="[입찰안.xls][입찰안.xls]_____xls_1495"/>
      <sheetName val="[입찰안.xls][입찰안.xls]_입_안_xls_1000"/>
      <sheetName val="[입찰안.xls][입찰안.xls]_____xls_1496"/>
      <sheetName val="[입찰안.xls][입찰안.xls]_____xls_1498"/>
      <sheetName val="[입찰안.xls][입찰안.xls]_____xls_1500"/>
      <sheetName val="[입찰안.xls][입찰안.xls]_____xls_1499"/>
      <sheetName val="[입찰안.xls][입찰안.xls]_____xls_1505"/>
      <sheetName val="[입찰안.xls][입찰안.xls]_____xls_1507"/>
      <sheetName val="[입찰안.xls][입찰안.xls]_____xls_1502"/>
      <sheetName val="[입찰안.xls][입찰안.xls]_____xls_1503"/>
      <sheetName val="[입찰안.xls][입찰안.xls]_____xls_1504"/>
      <sheetName val="[입찰안.xls][입찰안.xls]_____xls_1518"/>
      <sheetName val="[입찰안.xls][입찰안.xls]_____xls_1506"/>
      <sheetName val="[입찰안.xls][입찰안.xls]_____xls_1530"/>
      <sheetName val="[입찰안.xls][입찰안.xls]_____xls_1508"/>
      <sheetName val="[입찰안.xls][입찰안.xls]_____xls_1509"/>
      <sheetName val="[입찰안.xls][입찰안.xls]_____xls_1510"/>
      <sheetName val="[입찰안.xls][입찰안.xls]_____xls_1511"/>
      <sheetName val="[입찰안.xls][입찰안.xls]_____xls_1513"/>
      <sheetName val="[입찰안.xls][입찰안.xls]_____xls_1512"/>
      <sheetName val="[입찰안.xls][입찰안.xls]_____xls_1514"/>
      <sheetName val="[입찰안.xls][입찰안.xls]_____xls_1515"/>
      <sheetName val="[입찰안.xls][입찰안.xls]_____xls_1517"/>
      <sheetName val="[입찰안.xls][입찰안.xls]_____xls_1516"/>
      <sheetName val="[입찰안.xls][입찰안.xls]_____xls_1526"/>
      <sheetName val="[입찰안.xls][입찰안.xls]_____xls_1519"/>
      <sheetName val="[입찰안.xls][입찰안.xls]_____xls_1520"/>
      <sheetName val="[입찰안.xls][입찰안.xls]_____xls_1522"/>
      <sheetName val="[입찰안.xls][입찰안.xls]_____xls_1521"/>
      <sheetName val="[입찰안.xls][입찰안.xls]_____xls_1523"/>
      <sheetName val="[입찰안.xls][입찰안.xls]_____xls_1525"/>
      <sheetName val="[입찰안.xls][입찰안.xls]_____xls_1524"/>
      <sheetName val="[입찰안.xls][입찰안.xls]_____xls_1527"/>
      <sheetName val="[입찰안.xls][입찰안.xls]_____xls_1543"/>
      <sheetName val="[입찰안.xls][입찰안.xls]_____xls_1528"/>
      <sheetName val="[입찰안.xls][입찰안.xls]_____xls_1529"/>
      <sheetName val="[입찰안.xls][입찰안.xls]_____xls_1535"/>
      <sheetName val="[입찰안.xls][입찰안.xls]_____xls_1531"/>
      <sheetName val="[입찰안.xls][입찰안.xls]_____xls_1532"/>
      <sheetName val="[입찰안.xls][입찰안.xls]_____xls_1534"/>
      <sheetName val="[입찰안.xls][입찰안.xls]_____xls_1533"/>
      <sheetName val="[입찰안.xls][입찰안.xls]_____xls_1536"/>
      <sheetName val="[입찰안.xls][입찰안.xls]_____xls_1538"/>
      <sheetName val="[입찰안.xls][입찰안.xls]_____xls_1537"/>
      <sheetName val="[입찰안.xls][입찰안.xls]_____xls_1539"/>
      <sheetName val="[입찰안.xls][입찰안.xls]_____xls_1540"/>
      <sheetName val="[입찰안.xls][입찰안.xls]_____xls_1541"/>
      <sheetName val="[입찰안.xls][입찰안.xls]_____xls_1542"/>
      <sheetName val="[입찰안.xls][입찰안.xls]_____xls_1544"/>
      <sheetName val="[입찰안.xls][입찰안.xls]_____xls_1547"/>
      <sheetName val="[입찰안.xls][입찰안.xls]_____xls_1545"/>
      <sheetName val="[입찰안.xls][입찰안.xls]_____xls_1546"/>
      <sheetName val="[입찰안.xls][입찰안.xls]_____xls_1552"/>
      <sheetName val="[입찰안.xls][입찰안.xls]_____xls_1548"/>
      <sheetName val="[입찰안.xls][입찰안.xls]_____xls_1549"/>
      <sheetName val="[입찰안.xls][입찰안.xls]_____xls_1560"/>
      <sheetName val="[입찰안.xls][입찰안.xls]_____xls_1550"/>
      <sheetName val="[입찰안.xls][입찰안.xls]_____xls_1551"/>
      <sheetName val="[입찰안.xls][입찰안.xls]_____xls_1572"/>
      <sheetName val="[입찰안.xls][입찰안.xls]_____xls_1553"/>
      <sheetName val="[입찰안.xls][입찰안.xls]_____xls_1558"/>
      <sheetName val="[입찰안.xls][입찰안.xls]_____xls_1554"/>
      <sheetName val="[입찰안.xls][입찰안.xls]_____xls_1556"/>
      <sheetName val="[입찰안.xls][입찰안.xls]_____xls_1555"/>
      <sheetName val="[입찰안.xls][입찰안.xls]_____xls_1557"/>
      <sheetName val="[입찰안.xls][입찰안.xls]_____xls_1559"/>
      <sheetName val="[입찰안.xls][입찰안.xls]_____xls_1561"/>
      <sheetName val="[입찰안.xls][입찰안.xls]_____xls_1563"/>
      <sheetName val="[입찰안.xls][입찰안.xls]_____xls_1562"/>
      <sheetName val="[입찰안.xls][입찰안.xls]_____xls_1581"/>
      <sheetName val="[입찰안.xls][입찰안.xls]_____xls_1564"/>
      <sheetName val="[입찰안.xls][입찰안.xls]_____xls_1566"/>
      <sheetName val="[입찰안.xls][입찰안.xls]_____xls_1565"/>
      <sheetName val="[입찰안.xls][입찰안.xls]_____xls_1568"/>
      <sheetName val="[입찰안.xls][입찰안.xls]_____xls_1567"/>
      <sheetName val="[입찰안.xls][입찰안.xls]_____xls_1569"/>
      <sheetName val="[입찰안.xls][입찰안.xls]_____xls_1570"/>
      <sheetName val="[입찰안.xls][입찰안.xls]_____xls_1571"/>
      <sheetName val="[입찰안.xls][입찰안.xls]_____xls_1580"/>
      <sheetName val="[입찰안.xls][입찰안.xls]_____xls_1579"/>
      <sheetName val="[입찰안.xls][입찰안.xls]_____xls_1574"/>
      <sheetName val="[입찰안.xls][입찰안.xls]_____xls_1573"/>
      <sheetName val="[입찰안.xls][입찰안.xls]_____xls_1575"/>
      <sheetName val="[입찰안.xls][입찰안.xls]_____xls_1576"/>
      <sheetName val="[입찰안.xls][입찰안.xls]_____xls_1577"/>
      <sheetName val="[입찰안.xls][입찰안.xls]_____xls_1578"/>
      <sheetName val="[입찰안.xls][입찰안.xls]_____xls_1582"/>
      <sheetName val="[입찰안.xls][입찰안.xls]_____xls_1583"/>
      <sheetName val="[입찰안.xls][입찰안.xls]_____xls_1593"/>
      <sheetName val="[입찰안.xls][입찰안.xls]_____xls_1586"/>
      <sheetName val="[입찰안.xls][입찰안.xls]_____xls_1584"/>
      <sheetName val="[입찰안.xls][입찰안.xls]_____xls_1585"/>
      <sheetName val="[입찰안.xls][입찰안.xls]_____xls_1587"/>
      <sheetName val="[입찰안.xls][입찰안.xls]_____xls_1588"/>
      <sheetName val="[입찰안.xls][입찰안.xls]_____xls_1591"/>
      <sheetName val="[입찰안.xls][입찰안.xls]_____xls_1589"/>
      <sheetName val="[입찰안.xls][입찰안.xls]_____xls_1590"/>
      <sheetName val="[입찰안.xls][입찰안.xls]_____xls_1592"/>
      <sheetName val="[입찰안.xls][입찰안.xls]_____xls_1598"/>
      <sheetName val="[입찰안.xls][입찰안.xls]_____xls_1594"/>
      <sheetName val="[입찰안.xls][입찰안.xls]_____xls_1595"/>
      <sheetName val="[입찰안.xls][입찰안.xls]_____xls_1596"/>
      <sheetName val="[입찰안.xls][입찰안.xls]_____xls_1613"/>
      <sheetName val="[입찰안.xls][입찰안.xls]_____xls_1597"/>
      <sheetName val="[입찰안.xls][입찰안.xls]_____xls_1603"/>
      <sheetName val="[입찰안.xls][입찰안.xls]_____xls_1601"/>
      <sheetName val="[입찰안.xls][입찰안.xls]_____xls_1599"/>
      <sheetName val="[입찰안.xls][입찰안.xls]_____xls_1600"/>
      <sheetName val="[입찰안.xls][입찰안.xls]_____xls_1602"/>
      <sheetName val="[입찰안.xls][입찰안.xls]_____xls_1604"/>
      <sheetName val="[입찰안.xls][입찰안.xls]_____xls_1612"/>
      <sheetName val="[입찰안.xls][입찰안.xls]_____xls_1609"/>
      <sheetName val="[입찰안.xls][입찰안.xls]_____xls_1605"/>
      <sheetName val="[입찰안.xls][입찰안.xls]_____xls_1608"/>
      <sheetName val="[입찰안.xls][입찰안.xls]_____xls_1606"/>
      <sheetName val="[입찰안.xls][입찰안.xls]_____xls_1607"/>
      <sheetName val="[입찰안.xls][입찰안.xls]_____xls_1617"/>
      <sheetName val="[입찰안.xls][입찰안.xls]_____xls_1610"/>
      <sheetName val="[입찰안.xls][입찰안.xls]_____xls_1611"/>
      <sheetName val="[입찰안.xls][입찰안.xls]_____xls_1614"/>
      <sheetName val="[입찰안.xls][입찰안.xls]_____xls_1653"/>
      <sheetName val="[입찰안.xls][입찰안.xls]_____xls_1615"/>
      <sheetName val="[입찰안.xls][입찰안.xls]_____xls_1616"/>
      <sheetName val="[입찰안.xls][입찰안.xls]_____xls_1619"/>
      <sheetName val="[입찰안.xls][입찰안.xls]_____xls_1618"/>
      <sheetName val="[입찰안.xls][입찰안.xls]_____xls_1620"/>
      <sheetName val="[입찰안.xls][입찰안.xls]_____xls_1621"/>
      <sheetName val="[입찰안.xls][입찰안.xls]_____xls_1622"/>
      <sheetName val="[입찰안.xls][입찰안.xls]_____xls_1623"/>
      <sheetName val="[입찰안.xls][입찰안.xls]_____xls_1625"/>
      <sheetName val="[입찰안.xls][입찰안.xls]_____xls_1624"/>
      <sheetName val="[입찰안.xls][입찰안.xls]_____xls_1626"/>
      <sheetName val="[입찰안.xls][입찰안.xls]_____xls_1630"/>
      <sheetName val="[입찰안.xls][입찰안.xls]_____xls_1627"/>
      <sheetName val="[입찰안.xls][입찰안.xls]_____xls_1628"/>
      <sheetName val="[입찰안.xls][입찰안.xls]_____xls_1629"/>
      <sheetName val="[입찰안.xls][입찰안.xls]_____xls_1635"/>
      <sheetName val="[입찰안.xls][입찰안.xls]_____xls_1631"/>
      <sheetName val="[입찰안.xls][입찰안.xls]_____xls_1632"/>
      <sheetName val="[입찰안.xls][입찰안.xls]_____xls_1633"/>
      <sheetName val="[입찰안.xls][입찰안.xls]_____xls_1634"/>
      <sheetName val="[입찰안.xls][입찰안.xls]_____xls_1636"/>
      <sheetName val="[입찰안.xls][입찰안.xls]_____xls_1637"/>
      <sheetName val="[입찰안.xls][입찰안.xls]_____xls_1638"/>
      <sheetName val="[입찰안.xls][입찰안.xls]_____xls_1649"/>
      <sheetName val="[입찰안.xls][입찰안.xls]_____xls_1643"/>
      <sheetName val="[입찰안.xls][입찰안.xls]_____xls_1639"/>
      <sheetName val="[입찰안.xls][입찰안.xls]_____xls_1640"/>
      <sheetName val="[입찰안.xls][입찰안.xls]_____xls_1641"/>
      <sheetName val="[입찰안.xls][입찰안.xls]_____xls_1642"/>
      <sheetName val="[입찰안.xls][입찰안.xls]_____xls_1644"/>
      <sheetName val="[입찰안.xls][입찰안.xls]_____xls_1645"/>
      <sheetName val="[입찰안.xls][입찰안.xls]_____xls_1647"/>
      <sheetName val="[입찰안.xls][입찰안.xls]_____xls_1646"/>
      <sheetName val="[입찰안.xls][입찰안.xls]_____xls_1648"/>
      <sheetName val="[입찰안.xls][입찰안.xls]_____xls_1668"/>
      <sheetName val="[입찰안.xls][입찰안.xls]_____xls_1650"/>
      <sheetName val="[입찰안.xls][입찰안.xls]_____xls_1651"/>
      <sheetName val="[입찰안.xls][입찰안.xls]_____xls_1652"/>
      <sheetName val="[입찰안.xls][입찰안.xls]_____xls_1655"/>
      <sheetName val="[입찰안.xls][입찰안.xls]_____xls_1654"/>
      <sheetName val="[입찰안.xls][입찰안.xls]_____xls_1656"/>
      <sheetName val="[입찰안.xls][입찰안.xls]_____xls_1657"/>
      <sheetName val="[입찰안.xls][입찰안.xls]_____xls_1658"/>
      <sheetName val="[입찰안.xls][입찰안.xls]_____xls_1659"/>
      <sheetName val="[입찰안.xls][입찰안.xls]_____xls_1662"/>
      <sheetName val="[입찰안.xls][입찰안.xls]_____xls_1660"/>
      <sheetName val="[입찰안.xls][입찰안.xls]_____xls_1661"/>
      <sheetName val="[입찰안.xls][입찰안.xls]_____xls_1675"/>
      <sheetName val="[입찰안.xls][입찰안.xls]_____xls_1663"/>
      <sheetName val="[입찰안.xls][입찰안.xls]_____xls_1664"/>
      <sheetName val="[입찰안.xls][입찰안.xls]_____xls_1667"/>
      <sheetName val="[입찰안.xls][입찰안.xls]_____xls_1665"/>
      <sheetName val="[입찰안.xls][입찰안.xls]_____xls_1666"/>
      <sheetName val="[입찰안.xls][입찰안.xls]_____xls_1671"/>
      <sheetName val="[입찰안.xls][입찰안.xls]_____xls_1669"/>
      <sheetName val="[입찰안.xls][입찰안.xls]_____xls_1670"/>
      <sheetName val="[입찰안.xls][입찰안.xls]_____xls_1672"/>
      <sheetName val="[입찰안.xls][입찰안.xls]_____xls_1673"/>
      <sheetName val="[입찰안.xls][입찰안.xls]_____xls_1674"/>
      <sheetName val="[입찰안.xls][입찰안.xls]_____xls_1681"/>
      <sheetName val="[입찰안.xls][입찰안.xls]_____xls_1676"/>
      <sheetName val="[입찰안.xls][입찰안.xls]_____xls_1677"/>
      <sheetName val="[입찰안.xls][입찰안.xls]_____xls_1678"/>
      <sheetName val="[입찰안.xls][입찰안.xls]_____xls_1679"/>
      <sheetName val="[입찰안.xls][입찰안.xls]_____xls_1680"/>
      <sheetName val="[입찰안.xls][입찰안.xls]_____xls_1686"/>
      <sheetName val="[입찰안.xls][입찰안.xls]_____xls_1682"/>
      <sheetName val="[입찰안.xls][입찰안.xls]_____xls_1683"/>
      <sheetName val="[입찰안.xls][입찰안.xls]_____xls_1684"/>
      <sheetName val="[입찰안.xls][입찰안.xls]_____xls_1685"/>
      <sheetName val="[입찰안.xls][입찰안.xls]_____xls_1693"/>
      <sheetName val="[입찰안.xls][입찰안.xls]_____xls_1695"/>
      <sheetName val="[입찰안.xls][입찰안.xls]_____xls_1694"/>
      <sheetName val="[입찰안.xls][입찰안.xls]_____xls_1687"/>
      <sheetName val="[입찰안.xls][입찰안.xls]_____xls_1688"/>
      <sheetName val="[입찰안.xls][입찰안.xls]_____xls_1689"/>
      <sheetName val="[입찰안.xls][입찰안.xls]_____xls_1690"/>
      <sheetName val="[입찰안.xls][입찰안.xls]_____xls_1691"/>
      <sheetName val="[입찰안.xls][입찰안.xls]_____xls_1692"/>
      <sheetName val="[입찰안.xls][입찰안.xls]_____xls_1707"/>
      <sheetName val="[입찰안.xls][입찰안.xls]_____xls_1708"/>
      <sheetName val="[입찰안.xls][입찰안.xls]_____xls_1698"/>
      <sheetName val="[입찰안.xls][입찰안.xls]_____xls_1696"/>
      <sheetName val="[입찰안.xls][입찰안.xls]_____xls_1697"/>
      <sheetName val="[입찰안.xls][입찰안.xls]_____xls_1699"/>
      <sheetName val="[입찰안.xls][입찰안.xls]_____xls_1700"/>
      <sheetName val="[입찰안.xls][입찰안.xls]_____xls_1701"/>
      <sheetName val="[입찰안.xls][입찰안.xls]_____xls_1702"/>
      <sheetName val="[입찰안.xls][입찰안.xls]_____xls_1703"/>
      <sheetName val="[입찰안.xls][입찰안.xls]_____xls_1704"/>
      <sheetName val="[입찰안.xls][입찰안.xls]_____xls_1705"/>
      <sheetName val="[입찰안.xls][입찰안.xls]_____xls_1706"/>
      <sheetName val="[입찰안.xls][입찰안.xls]_____xls_1739"/>
      <sheetName val="[입찰안.xls][입찰안.xls]_____xls_1733"/>
      <sheetName val="[입찰안.xls][입찰안.xls]_____xls_1730"/>
      <sheetName val="[입찰안.xls][입찰안.xls]_____xls_1715"/>
      <sheetName val="[입찰안.xls][입찰안.xls]_____xls_1709"/>
      <sheetName val="[입찰안.xls][입찰안.xls]_____xls_1710"/>
      <sheetName val="[입찰안.xls][입찰안.xls]_____xls_1711"/>
      <sheetName val="[입찰안.xls][입찰안.xls]_____xls_1713"/>
      <sheetName val="[입찰안.xls][입찰안.xls]_____xls_1712"/>
      <sheetName val="[입찰안.xls][입찰안.xls]_____xls_1714"/>
      <sheetName val="[입찰안.xls][입찰안.xls]_____xls_1723"/>
      <sheetName val="[입찰안.xls][입찰안.xls]_____xls_1719"/>
      <sheetName val="[입찰안.xls][입찰안.xls]_____xls_1718"/>
      <sheetName val="[입찰안.xls][입찰안.xls]_____xls_1716"/>
      <sheetName val="[입찰안.xls][입찰안.xls]_____xls_1717"/>
      <sheetName val="[입찰안.xls][입찰안.xls]_____xls_1720"/>
      <sheetName val="[입찰안.xls][입찰안.xls]_____xls_1721"/>
      <sheetName val="[입찰안.xls][입찰안.xls]_____xls_1722"/>
      <sheetName val="[입찰안.xls][입찰안.xls]_____xls_1725"/>
      <sheetName val="[입찰안.xls][입찰안.xls]_____xls_1724"/>
      <sheetName val="[입찰안.xls][입찰안.xls]_____xls_1729"/>
      <sheetName val="[입찰안.xls][입찰안.xls]_____xls_1726"/>
      <sheetName val="[입찰안.xls][입찰안.xls]_____xls_1727"/>
      <sheetName val="[입찰안.xls][입찰안.xls]_____xls_1728"/>
      <sheetName val="[입찰안.xls][입찰안.xls]_____xls_1731"/>
      <sheetName val="[입찰안.xls][입찰안.xls]_____xls_1732"/>
      <sheetName val="[입찰안.xls][입찰안.xls]_____xls_1734"/>
      <sheetName val="[입찰안.xls][입찰안.xls]_____xls_1736"/>
      <sheetName val="[입찰안.xls][입찰안.xls]_____xls_1735"/>
      <sheetName val="[입찰안.xls][입찰안.xls]_____xls_1737"/>
      <sheetName val="[입찰안.xls][입찰안.xls]_____xls_1738"/>
      <sheetName val="[입찰안.xls][입찰안.xls]_____xls_1787"/>
      <sheetName val="[입찰안.xls][입찰안.xls]_____xls_1740"/>
      <sheetName val="[입찰안.xls][입찰안.xls]_____xls_1746"/>
      <sheetName val="[입찰안.xls][입찰안.xls]_____xls_1741"/>
      <sheetName val="[입찰안.xls][입찰안.xls]_____xls_1742"/>
      <sheetName val="[입찰안.xls][입찰안.xls]_____xls_1745"/>
      <sheetName val="[입찰안.xls][입찰안.xls]_____xls_1743"/>
      <sheetName val="[입찰안.xls][입찰안.xls]_____xls_1744"/>
      <sheetName val="[입찰안.xls][입찰안.xls]_____xls_1750"/>
      <sheetName val="[입찰안.xls][입찰안.xls]_____xls_1747"/>
      <sheetName val="[입찰안.xls][입찰안.xls]_____xls_1758"/>
      <sheetName val="[입찰안.xls][입찰안.xls]_____xls_1748"/>
      <sheetName val="[입찰안.xls][입찰안.xls]_____xls_1749"/>
      <sheetName val="[입찰안.xls][입찰안.xls]_____xls_1751"/>
      <sheetName val="[입찰안.xls][입찰안.xls]_____xls_1752"/>
      <sheetName val="[입찰안.xls][입찰안.xls]_____xls_1753"/>
      <sheetName val="[입찰안.xls][입찰안.xls]_____xls_1754"/>
      <sheetName val="[입찰안.xls][입찰안.xls]_____xls_1755"/>
      <sheetName val="[입찰안.xls][입찰안.xls]_____xls_1756"/>
      <sheetName val="[입찰안.xls][입찰안.xls]_____xls_1757"/>
      <sheetName val="[입찰안.xls][입찰안.xls]_____xls_1761"/>
      <sheetName val="[입찰안.xls][입찰안.xls]_____xls_1759"/>
      <sheetName val="[입찰안.xls][입찰안.xls]_____xls_1768"/>
      <sheetName val="[입찰안.xls][입찰안.xls]_____xls_1760"/>
      <sheetName val="[입찰안.xls][입찰안.xls]_____xls_1762"/>
      <sheetName val="[입찰안.xls][입찰안.xls]_____xls_1763"/>
      <sheetName val="[입찰안.xls][입찰안.xls]_____xls_1764"/>
      <sheetName val="[입찰안.xls][입찰안.xls]_____xls_1769"/>
      <sheetName val="[입찰안.xls][입찰안.xls]_____xls_1765"/>
      <sheetName val="[입찰안.xls][입찰안.xls]_____xls_1766"/>
      <sheetName val="[입찰안.xls][입찰안.xls]_____xls_1767"/>
      <sheetName val="[입찰안.xls][입찰안.xls]_____xls_1770"/>
      <sheetName val="[입찰안.xls][입찰안.xls]_____xls_1772"/>
      <sheetName val="[입찰안.xls][입찰안.xls]_____xls_1774"/>
      <sheetName val="[입찰안.xls][입찰안.xls]_____xls_1771"/>
      <sheetName val="[입찰안.xls][입찰안.xls]_____xls_1773"/>
      <sheetName val="[입찰안.xls][입찰안.xls]_____xls_1775"/>
      <sheetName val="[입찰안.xls][입찰안.xls]_____xls_1776"/>
      <sheetName val="[입찰안.xls][입찰안.xls]_____xls_1827"/>
      <sheetName val="[입찰안.xls][입찰안.xls]_____xls_1777"/>
      <sheetName val="[입찰안.xls][입찰안.xls]_____xls_1778"/>
      <sheetName val="[입찰안.xls][입찰안.xls]_____xls_1828"/>
      <sheetName val="[입찰안.xls][입찰안.xls]_____xls_1779"/>
      <sheetName val="[입찰안.xls][입찰안.xls]_____xls_1780"/>
      <sheetName val="[입찰안.xls][입찰안.xls]_____xls_1781"/>
      <sheetName val="[입찰안.xls][입찰안.xls]_____xls_1782"/>
      <sheetName val="[입찰안.xls][입찰안.xls]_____xls_1783"/>
      <sheetName val="[입찰안.xls][입찰안.xls]_____xls_1784"/>
      <sheetName val="[입찰안.xls][입찰안.xls]_____xls_1785"/>
      <sheetName val="[입찰안.xls][입찰안.xls]_____xls_1786"/>
      <sheetName val="[입찰안.xls][입찰안.xls]_____xls_1788"/>
      <sheetName val="[입찰안.xls][입찰안.xls]_____xls_1793"/>
      <sheetName val="[입찰안.xls][입찰안.xls]_____xls_1801"/>
      <sheetName val="[입찰안.xls][입찰안.xls]_____xls_1789"/>
      <sheetName val="[입찰안.xls][입찰안.xls]_____xls_1790"/>
      <sheetName val="[입찰안.xls][입찰안.xls]_____xls_1791"/>
      <sheetName val="[입찰안.xls][입찰안.xls]_____xls_1792"/>
      <sheetName val="[입찰안.xls][입찰안.xls]_____xls_1794"/>
      <sheetName val="[입찰안.xls][입찰안.xls]_____xls_1802"/>
      <sheetName val="[입찰안.xls][입찰안.xls]_____xls_1795"/>
      <sheetName val="[입찰안.xls][입찰안.xls]_____xls_1796"/>
      <sheetName val="[입찰안.xls][입찰안.xls]_____xls_1797"/>
      <sheetName val="[입찰안.xls][입찰안.xls]_____xls_1798"/>
      <sheetName val="[입찰안.xls][입찰안.xls]_____xls_1799"/>
      <sheetName val="[입찰안.xls][입찰안.xls]_____xls_1800"/>
      <sheetName val="[입찰안.xls][입찰안.xls]_____xls_1815"/>
      <sheetName val="[입찰안.xls][입찰안.xls]_____xls_1803"/>
      <sheetName val="[입찰안.xls][입찰안.xls]_____xls_1804"/>
      <sheetName val="[입찰안.xls][입찰안.xls]_____xls_1805"/>
      <sheetName val="[입찰안.xls][입찰안.xls]_____xls_1806"/>
      <sheetName val="[입찰안.xls][입찰안.xls]_____xls_1807"/>
      <sheetName val="[입찰안.xls][입찰안.xls]_____xls_1811"/>
      <sheetName val="[입찰안.xls][입찰안.xls]_____xls_1808"/>
      <sheetName val="[입찰안.xls][입찰안.xls]_____xls_1809"/>
      <sheetName val="[입찰안.xls][입찰안.xls]_____xls_1810"/>
      <sheetName val="[입찰안.xls][입찰안.xls]_____xls_1813"/>
      <sheetName val="[입찰안.xls][입찰안.xls]_____xls_1812"/>
      <sheetName val="[입찰안.xls][입찰안.xls]_____xls_1814"/>
      <sheetName val="[입찰안.xls][입찰안.xls]_____xls_1816"/>
      <sheetName val="[입찰안.xls][입찰안.xls]_____xls_1819"/>
      <sheetName val="[입찰안.xls][입찰안.xls]_____xls_1817"/>
      <sheetName val="[입찰안.xls][입찰안.xls]_____xls_1818"/>
      <sheetName val="[입찰안.xls][입찰안.xls]_____xls_1820"/>
      <sheetName val="[입찰안.xls][입찰안.xls]_____xls_1824"/>
      <sheetName val="[입찰안.xls][입찰안.xls]_____xls_1821"/>
      <sheetName val="[입찰안.xls][입찰안.xls]_____xls_1822"/>
      <sheetName val="[입찰안.xls][입찰안.xls]_____xls_1823"/>
      <sheetName val="[입찰안.xls][입찰안.xls]_____xls_1825"/>
      <sheetName val="[입찰안.xls][입찰안.xls]_____xls_1826"/>
      <sheetName val="[입찰안.xls][입찰안.xls]_____xls_1842"/>
      <sheetName val="[입찰안.xls][입찰안.xls]_____xls_1855"/>
      <sheetName val="[입찰안.xls][입찰안.xls]_____xls_1844"/>
      <sheetName val="[입찰안.xls][입찰안.xls]_____xls_1830"/>
      <sheetName val="[입찰안.xls][입찰안.xls]_____xls_1829"/>
      <sheetName val="[입찰안.xls][입찰안.xls]_____xls_1833"/>
      <sheetName val="[입찰안.xls][입찰안.xls]_____xls_1831"/>
      <sheetName val="[입찰안.xls][입찰안.xls]_____xls_1832"/>
      <sheetName val="[입찰안.xls][입찰안.xls]_____xls_1835"/>
      <sheetName val="[입찰안.xls][입찰안.xls]_____xls_1834"/>
      <sheetName val="[입찰안.xls][입찰안.xls]_____xls_1837"/>
      <sheetName val="[입찰안.xls][입찰안.xls]_____xls_1836"/>
      <sheetName val="[입찰안.xls][입찰안.xls]_____xls_1838"/>
      <sheetName val="[입찰안.xls][입찰안.xls]_____xls_1839"/>
      <sheetName val="[입찰안.xls][입찰안.xls]_____xls_1840"/>
      <sheetName val="[입찰안.xls][입찰안.xls]_____xls_1841"/>
      <sheetName val="[입찰안.xls][입찰안.xls]_____xls_1843"/>
      <sheetName val="[입찰안.xls][입찰안.xls]_____xls_1857"/>
      <sheetName val="[입찰안.xls][입찰안.xls]_____xls_1899"/>
      <sheetName val="[입찰안.xls][입찰안.xls]_____xls_1845"/>
      <sheetName val="[입찰안.xls][입찰안.xls]_____xls_1846"/>
      <sheetName val="[입찰안.xls][입찰안.xls]_____xls_1847"/>
      <sheetName val="[입찰안.xls][입찰안.xls]_____xls_1848"/>
      <sheetName val="[입찰안.xls][입찰안.xls]_____xls_1849"/>
      <sheetName val="[입찰안.xls][입찰안.xls]_____xls_1850"/>
      <sheetName val="[입찰안.xls][입찰안.xls]_____xls_1851"/>
      <sheetName val="[입찰안.xls][입찰안.xls]_____xls_1852"/>
      <sheetName val="[입찰안.xls][입찰안.xls]_____xls_1853"/>
      <sheetName val="[입찰안.xls][입찰안.xls]_____xls_1854"/>
      <sheetName val="[입찰안.xls][입찰안.xls]_____xls_1856"/>
      <sheetName val="[입찰안.xls][입찰안.xls]_____xls_1861"/>
      <sheetName val="[입찰안.xls][입찰안.xls]_____xls_1860"/>
      <sheetName val="[입찰안.xls][입찰안.xls]_____xls_1859"/>
      <sheetName val="[입찰안.xls][입찰안.xls]_____xls_1858"/>
      <sheetName val="[입찰안.xls][입찰안.xls]_____xls_1909"/>
      <sheetName val="[입찰안.xls][입찰안.xls]_____xls_1862"/>
      <sheetName val="[입찰안.xls][입찰안.xls]_____xls_1863"/>
      <sheetName val="[입찰안.xls][입찰안.xls]_____xls_1864"/>
      <sheetName val="[입찰안.xls][입찰안.xls]_____xls_1865"/>
      <sheetName val="[입찰안.xls][입찰안.xls]_____xls_1866"/>
      <sheetName val="[입찰안.xls][입찰안.xls]_____xls_1867"/>
      <sheetName val="[입찰안.xls][입찰안.xls]_____xls_1868"/>
      <sheetName val="[입찰안.xls][입찰안.xls]_____xls_1869"/>
      <sheetName val="[입찰안.xls][입찰안.xls]_____xls_1870"/>
      <sheetName val="[입찰안.xls][입찰안.xls]_____xls_1871"/>
      <sheetName val="[입찰안.xls][입찰안.xls]_____xls_1872"/>
      <sheetName val="[입찰안.xls][입찰안.xls]_____xls_1874"/>
      <sheetName val="[입찰안.xls][입찰안.xls]_____xls_1873"/>
      <sheetName val="[입찰안.xls][입찰안.xls]_____xls_1875"/>
      <sheetName val="[입찰안.xls][입찰안.xls]_____xls_1877"/>
      <sheetName val="[입찰안.xls][입찰안.xls]_____xls_1876"/>
      <sheetName val="[입찰안.xls][입찰안.xls]_____xls_1878"/>
      <sheetName val="[입찰안.xls][입찰안.xls]_____xls_1879"/>
      <sheetName val="[입찰안.xls][입찰안.xls]_____xls_1880"/>
      <sheetName val="[입찰안.xls][입찰안.xls]_____xls_1881"/>
      <sheetName val="[입찰안.xls][입찰안.xls]_____xls_1882"/>
      <sheetName val="[입찰안.xls][입찰안.xls]_____xls_1891"/>
      <sheetName val="[입찰안.xls][입찰안.xls]_____xls_1883"/>
      <sheetName val="[입찰안.xls][입찰안.xls]_____xls_1884"/>
      <sheetName val="[입찰안.xls][입찰안.xls]_____xls_1885"/>
      <sheetName val="[입찰안.xls][입찰안.xls]_____xls_1886"/>
      <sheetName val="[입찰안.xls][입찰안.xls]_____xls_1889"/>
      <sheetName val="[입찰안.xls][입찰안.xls]_____xls_1887"/>
      <sheetName val="[입찰안.xls][입찰안.xls]_____xls_1888"/>
      <sheetName val="[입찰안.xls][입찰안.xls]_____xls_1890"/>
      <sheetName val="[입찰안.xls][입찰안.xls]_____xls_1894"/>
      <sheetName val="[입찰안.xls][입찰안.xls]_____xls_1892"/>
      <sheetName val="[입찰안.xls][입찰안.xls]_____xls_1893"/>
      <sheetName val="[입찰안.xls][입찰안.xls]_____xls_1895"/>
      <sheetName val="[입찰안.xls][입찰안.xls]_____xls_1896"/>
      <sheetName val="[입찰안.xls][입찰안.xls]_____xls_1897"/>
      <sheetName val="[입찰안.xls][입찰안.xls]_____xls_1898"/>
      <sheetName val="[입찰안.xls][입찰안.xls]_____xls_1902"/>
      <sheetName val="[입찰안.xls][입찰안.xls]_____xls_1900"/>
      <sheetName val="[입찰안.xls][입찰안.xls]_____xls_1901"/>
      <sheetName val="[입찰안.xls][입찰안.xls]_____xls_1914"/>
      <sheetName val="[입찰안.xls][입찰안.xls]_____xls_1903"/>
      <sheetName val="[입찰안.xls][입찰안.xls]_____xls_1905"/>
      <sheetName val="[입찰안.xls][입찰안.xls]_____xls_1904"/>
      <sheetName val="[입찰안.xls][입찰안.xls]_____xls_1906"/>
      <sheetName val="[입찰안.xls][입찰안.xls]_____xls_1907"/>
      <sheetName val="[입찰안.xls][입찰안.xls]_____xls_1908"/>
      <sheetName val="[입찰안.xls][입찰안.xls]_____xls_1928"/>
      <sheetName val="[입찰안.xls][입찰안.xls]_____xls_1913"/>
      <sheetName val="[입찰안.xls][입찰안.xls]_____xls_1911"/>
      <sheetName val="[입찰안.xls][입찰안.xls]_____xls_1910"/>
      <sheetName val="[입찰안.xls][입찰안.xls]_____xls_1912"/>
      <sheetName val="[입찰안.xls][입찰안.xls]_____xls_1917"/>
      <sheetName val="[입찰안.xls][입찰안.xls]_____xls_1916"/>
      <sheetName val="[입찰안.xls][입찰안.xls]_____xls_1915"/>
      <sheetName val="[입찰안.xls][입찰안.xls]_____xls_1925"/>
      <sheetName val="[입찰안.xls][입찰안.xls]_____xls_1920"/>
      <sheetName val="[입찰안.xls][입찰안.xls]_____xls_1918"/>
      <sheetName val="[입찰안.xls][입찰안.xls]_____xls_1919"/>
      <sheetName val="[입찰안.xls][입찰안.xls]_____xls_1924"/>
      <sheetName val="[입찰안.xls][입찰안.xls]_____xls_1921"/>
      <sheetName val="[입찰안.xls][입찰안.xls]_____xls_1922"/>
      <sheetName val="[입찰안.xls][입찰안.xls]_____xls_1923"/>
      <sheetName val="[입찰안.xls][입찰안.xls]_____xls_1926"/>
      <sheetName val="[입찰안.xls][입찰안.xls]_____xls_1927"/>
      <sheetName val="[입찰안.xls][입찰안.xls]_____xls_1929"/>
      <sheetName val="[입찰안.xls][입찰안.xls]_____xls_1930"/>
      <sheetName val="[입찰안.xls][입찰안.xls]_____xls_1932"/>
      <sheetName val="[입찰안.xls][입찰안.xls]_____xls_1953"/>
      <sheetName val="[입찰안.xls][입찰안.xls]_____xls_1931"/>
      <sheetName val="[입찰안.xls][입찰안.xls]_____xls_1939"/>
      <sheetName val="[입찰안.xls][입찰안.xls]_____xls_1933"/>
      <sheetName val="[입찰안.xls][입찰안.xls]_____xls_1934"/>
      <sheetName val="[입찰안.xls][입찰안.xls]_____xls_1935"/>
      <sheetName val="[입찰안.xls][입찰안.xls]_____xls_1936"/>
      <sheetName val="[입찰안.xls][입찰안.xls]_____xls_1937"/>
      <sheetName val="[입찰안.xls][입찰안.xls]_____xls_1938"/>
      <sheetName val="[입찰안.xls][입찰안.xls]_____xls_1941"/>
      <sheetName val="[입찰안.xls][입찰안.xls]_____xls_1940"/>
      <sheetName val="[입찰안.xls][입찰안.xls]_____xls_1942"/>
      <sheetName val="[입찰안.xls][입찰안.xls]_____xls_1954"/>
      <sheetName val="[입찰안.xls][입찰안.xls]_____xls_1943"/>
      <sheetName val="[입찰안.xls][입찰안.xls]_____xls_1949"/>
      <sheetName val="[입찰안.xls][입찰안.xls]_____xls_1944"/>
      <sheetName val="[입찰안.xls][입찰안.xls]_____xls_1945"/>
      <sheetName val="[입찰안.xls][입찰안.xls]_____xls_1946"/>
      <sheetName val="[입찰안.xls][입찰안.xls]_____xls_1947"/>
      <sheetName val="[입찰안.xls][입찰안.xls]_____xls_1948"/>
      <sheetName val="[입찰안.xls][입찰안.xls]_____xls_1950"/>
      <sheetName val="[입찰안.xls][입찰안.xls]_____xls_1951"/>
      <sheetName val="[입찰안.xls][입찰안.xls]_____xls_1952"/>
      <sheetName val="[입찰안.xls][입찰안.xls]_____xls_1957"/>
      <sheetName val="[입찰안.xls][입찰안.xls]_____xls_1956"/>
      <sheetName val="[입찰안.xls][입찰안.xls]_____xls_1955"/>
      <sheetName val="[입찰안.xls][입찰안.xls]_____xls_1971"/>
      <sheetName val="[입찰안.xls][입찰안.xls]_____xls_1958"/>
      <sheetName val="[입찰안.xls][입찰안.xls]_____xls_1959"/>
      <sheetName val="[입찰안.xls][입찰안.xls]_____xls_1961"/>
      <sheetName val="[입찰안.xls][입찰안.xls]_____xls_1960"/>
      <sheetName val="[입찰안.xls][입찰안.xls]_____xls_1962"/>
      <sheetName val="[입찰안.xls][입찰안.xls]_____xls_1963"/>
      <sheetName val="[입찰안.xls][입찰안.xls]_____xls_1965"/>
      <sheetName val="[입찰안.xls][입찰안.xls]_____xls_1964"/>
      <sheetName val="[입찰안.xls][입찰안.xls]_____xls_1966"/>
      <sheetName val="[입찰안.xls][입찰안.xls]_____xls_1967"/>
      <sheetName val="[입찰안.xls][입찰안.xls]_____xls_1968"/>
      <sheetName val="[입찰안.xls][입찰안.xls]_____xls_1969"/>
      <sheetName val="[입찰안.xls][입찰안.xls]_____xls_1970"/>
      <sheetName val="[입찰안.xls][입찰안.xls]_____xls_1972"/>
      <sheetName val="[입찰안.xls][입찰안.xls]_____xls_1979"/>
      <sheetName val="[입찰안.xls][입찰안.xls]_____xls_1978"/>
      <sheetName val="[입찰안.xls][입찰안.xls]_____xls_1980"/>
      <sheetName val="[입찰안.xls][입찰안.xls]_____xls_1976"/>
      <sheetName val="[입찰안.xls][입찰안.xls]_____xls_1977"/>
      <sheetName val="[입찰안.xls][입찰안.xls]_____xls_1981"/>
      <sheetName val="[입찰안.xls][입찰안.xls]_____xls_1984"/>
      <sheetName val="[입찰안.xls][입찰안.xls]_____xls_1982"/>
      <sheetName val="[입찰안.xls][입찰안.xls]_____xls_1983"/>
      <sheetName val="[입찰안.xls][입찰안.xls]_____xls_1985"/>
      <sheetName val="[입찰안.xls][입찰안.xls]_____xls_1986"/>
      <sheetName val="[입찰안.xls][입찰안.xls]_____xls_1987"/>
      <sheetName val="조선용암면"/>
      <sheetName val="Báo cáo"/>
      <sheetName val="Báo_cáo"/>
      <sheetName val="6MONTHS"/>
      <sheetName val="Cst Pkg-Eden"/>
      <sheetName val="대비표"/>
      <sheetName val="MTP"/>
      <sheetName val="Unt rate SS"/>
      <sheetName val="Báo_cáo1"/>
      <sheetName val="수량산출서집²_x0000_㘀_x0000__x0000__x0000__x0000_"/>
      <sheetName val="덕_x0000_靰"/>
      <sheetName val="[입찰안.xls][입찰안.xls]_____xls_1988"/>
      <sheetName val="[입찰안.xls][입찰안.xls]_____xls_1990"/>
      <sheetName val="[입찰안.xls][입찰안.xls]_____xls_1991"/>
      <sheetName val="[입찰안.xls][입찰안.xls]_____xls_1993"/>
      <sheetName val="[입찰안.xls][입찰안.xls]_____xls_1994"/>
      <sheetName val="[입찰안.xls][입찰안.xls]_____xls_1997"/>
      <sheetName val="[입찰안.xls][입찰안.xls]_____xls_2000"/>
      <sheetName val="[입찰안.xls][입찰안.xls]_____xls_1998"/>
      <sheetName val="[입찰안.xls][입찰안.xls]_____xls_1999"/>
      <sheetName val="[입찰안.xls][입찰안.xls]_____xls_2003"/>
      <sheetName val="[입찰안.xls][입찰안.xls]_____xls_2002"/>
      <sheetName val="[입찰안.xls][입찰안.xls]_____xls_2001"/>
      <sheetName val="[입찰안.xls][입찰안.xls]_____xls_2004"/>
      <sheetName val="[입찰안.xls][입찰안.xls]_____xls_2005"/>
      <sheetName val="[입찰안.xls][입찰안.xls]_____xls_2006"/>
      <sheetName val="확약서"/>
      <sheetName val="_입찰안.xls__입찰안.xls__입찰안.xls_B_30"/>
      <sheetName val="_입찰안.xls__입찰안.xls__입찰안.xls_B_31"/>
      <sheetName val="_입찰안.xls__입찰안.xls__입찰안.xls_B_32"/>
      <sheetName val="_입찰안.xls__입찰안.xls__입찰안.xls_B_47"/>
      <sheetName val="_입찰안.xls__입찰안.xls__입찰안.xls_B_46"/>
      <sheetName val="_입찰안.xls__입찰안.xls__입찰안.xls_B_45"/>
      <sheetName val="_입찰안.xls__입찰안.xls__입찰안.xls_B_33"/>
      <sheetName val="_입찰안.xls__입찰안.xls__입찰안.xls_B_35"/>
      <sheetName val="_입찰안.xls__입찰안.xls__입찰안.xls_B_40"/>
      <sheetName val="_입찰안.xls__입찰안.xls__입찰안.xls_B_34"/>
      <sheetName val="_입찰안.xls__입찰안.xls__입찰안.xls_B_41"/>
      <sheetName val="_입찰안.xls__입찰안.xls__입찰안.xls_B_36"/>
      <sheetName val="_입찰안.xls__입찰안.xls__입찰안.xls_B_37"/>
      <sheetName val="_입찰안.xls__입찰안.xls__입찰안.xls_B_42"/>
      <sheetName val="_입찰안.xls__입찰안.xls__입찰안.xls_B_38"/>
      <sheetName val="_입찰안.xls__입찰안.xls__입찰안.xls_B_39"/>
      <sheetName val="_입찰안.xls__입찰안.xls__입찰안.xls_B_43"/>
      <sheetName val="_입찰안.xls__입찰안.xls__입찰안.xls_B_44"/>
      <sheetName val="_입찰안.xls__입찰안.xls__입찰안.xls_B_48"/>
      <sheetName val="_입찰안_xls__입찰안_xls__입찰안_xls____1"/>
      <sheetName val="_입찰안_xls__입찰안_xls__입찰안_xls_B__2"/>
      <sheetName val="_입찰안_xls__입찰안_xls__입찰안_xls_B__3"/>
      <sheetName val="_입찰안_xls__입찰안_xls__입찰안_xls_B__1"/>
      <sheetName val="_입찰안_xls__입찰안_xls__입찰안_xls_B__4"/>
      <sheetName val="_입찰안.xls__입찰안.xls__입찰안.xls_B_53"/>
      <sheetName val="_입찰안.xls__입찰안.xls__입찰안.xls_B_49"/>
      <sheetName val="_입찰안.xls__입찰안.xls__입찰안.xls_B_50"/>
      <sheetName val="_입찰안.xls__입찰안.xls__입찰안.xls_B_51"/>
      <sheetName val="_입찰안.xls__입찰안.xls__입찰안.xls_B_52"/>
      <sheetName val="_입찰안.xls__입찰안.xls__입찰안.xls_B_54"/>
      <sheetName val="_입찰안.xls__입찰안.xls__입찰안.xls_B_55"/>
      <sheetName val="_입찰안.xls__입찰안.xls__입찰안.xls_B_57"/>
      <sheetName val="_입찰안.xls__입찰안.xls__입찰안.xls_B_58"/>
      <sheetName val="_입찰안.xls__입찰안.xls__입찰안.xls_B_56"/>
      <sheetName val="_입찰안.xls__입찰안.xls__입찰안.xls_B_64"/>
      <sheetName val="_입찰안.xls__입찰안.xls__입찰안.xls_B_63"/>
      <sheetName val="_입찰안.xls__입찰안.xls__입찰안.xls_B_62"/>
      <sheetName val="_입찰안.xls__입찰안.xls__입찰안.xls_B_61"/>
      <sheetName val="_입찰안.xls__입찰안.xls__입찰안.xls_B_60"/>
      <sheetName val="_입찰안.xls__입찰안.xls__입찰안.xls_B_59"/>
      <sheetName val="_입찰안.xls__입찰안.xls__입찰안.xls_B_67"/>
      <sheetName val="_입찰안.xls__입찰안.xls__입찰안.xls_B_66"/>
      <sheetName val="_입찰안.xls__입찰안.xls__입찰안.xls_B_65"/>
      <sheetName val="_입찰안.xls__입찰안.xls__입찰안.xls_B_68"/>
      <sheetName val="_입찰안.xls__입찰안.xls__입찰안.xls_B_70"/>
      <sheetName val="_입찰안.xls__입찰안.xls__입찰안.xls_B_69"/>
      <sheetName val="_입찰안.xls__입찰안.xls__입찰안.xls_B_71"/>
      <sheetName val="_입찰안.xls__입찰안.xls__입찰안.xls_B_84"/>
      <sheetName val="_입찰안.xls__입찰안.xls__입찰안.xls_B_86"/>
      <sheetName val="_입찰안.xls__입찰안.xls__입찰안.xls_B_85"/>
      <sheetName val="_입찰안.xls__입찰안.xls__입찰안.xls_B_82"/>
      <sheetName val="_입찰안.xls__입찰안.xls__입찰안.xls_B_73"/>
      <sheetName val="_입찰안.xls__입찰안.xls__입찰안.xls_B_72"/>
      <sheetName val="_입찰안.xls__입찰안.xls__입찰안.xls_B_77"/>
      <sheetName val="_입찰안.xls__입찰안.xls__입찰안.xls_B_83"/>
      <sheetName val="_입찰안.xls__입찰안.xls__입찰안.xls_B_74"/>
      <sheetName val="_입찰안.xls__입찰안.xls__입찰안.xls_B_75"/>
      <sheetName val="_입찰안.xls__입찰안.xls__입찰안.xls_B_76"/>
      <sheetName val="_입찰안.xls__입찰안.xls__입찰안.xls_B_79"/>
      <sheetName val="_입찰안.xls__입찰안.xls__입찰안.xls_B_78"/>
      <sheetName val="_입찰안.xls__입찰안.xls__입찰안.xls_B_80"/>
      <sheetName val="_입찰안.xls__입찰안.xls__입찰안.xls_B_81"/>
      <sheetName val="_입찰안.xls__입찰안.xls__입찰안.xls_B_88"/>
      <sheetName val="_입찰안.xls__입찰안.xls__입찰안.xls_B_87"/>
      <sheetName val="_입찰안.xls__입찰안.xls__입찰안.xls_B_95"/>
      <sheetName val="_입찰안.xls__입찰안.xls__입찰안.xls_B_97"/>
      <sheetName val="_입찰안.xls__입찰안.xls__입찰안.xls_B_96"/>
      <sheetName val="_입찰안.xls__입찰안.xls__입찰안.xls_B_89"/>
      <sheetName val="_입찰안.xls__입찰안.xls__입찰안.xls_B_90"/>
      <sheetName val="_입찰안.xls__입찰안.xls__입찰안.xls_B_91"/>
      <sheetName val="_입찰안.xls__입찰안.xls__입찰안.xls_B_93"/>
      <sheetName val="_입찰안.xls__입찰안.xls__입찰안.xls_B_92"/>
      <sheetName val="_입찰안.xls__입찰안.xls__입찰안.xls_B_94"/>
      <sheetName val="_입찰안.xls__입찰안.xls__입찰안.xls_B_99"/>
      <sheetName val="_입찰안.xls__입찰안.xls__입찰안.xls__102"/>
      <sheetName val="_입찰안.xls__입찰안.xls__입찰안.xls__101"/>
      <sheetName val="_입찰안.xls__입찰안.xls__입찰안.xls_B_98"/>
      <sheetName val="_입찰안.xls__입찰안.xls__입찰안.xls__103"/>
      <sheetName val="_입찰안.xls__입찰안.xls__입찰안.xls__100"/>
      <sheetName val="_입찰안.xls__입찰안.xls__입찰안.xls__104"/>
      <sheetName val="_입찰안.xls__입찰안.xls__입찰안.xls__105"/>
      <sheetName val="_입찰안.xls__입찰안.xls__입찰안.xls__107"/>
      <sheetName val="_입찰안.xls__입찰안.xls__입찰안.xls__106"/>
      <sheetName val="_입찰안.xls__입찰안.xls__입찰안.xls__108"/>
      <sheetName val="_입찰안.xls__입찰안.xls__입찰안.xls__112"/>
      <sheetName val="_입찰안.xls__입찰안.xls__입찰안.xls__110"/>
      <sheetName val="_입찰안.xls__입찰안.xls__입찰안.xls__109"/>
      <sheetName val="_입찰안.xls__입찰안.xls__입찰안.xls__111"/>
      <sheetName val="1공구원가계산서"/>
      <sheetName val="환율c­_x0000_Ԁ_x0000_쀀"/>
      <sheetName val="_입찰안_xls__입찰안_xls__입찰안_xls_B__6"/>
      <sheetName val="_입찰안_xls__입찰안_xls__입찰안_xls_B__5"/>
      <sheetName val="_입찰안_xls__입찰안_xls__입찰안_xls_B_11"/>
      <sheetName val="_입찰안_xls__입찰안_xls__입찰안_xls_B__7"/>
      <sheetName val="_입찰안_xls__입찰안_xls__입찰안_xls_B__8"/>
      <sheetName val="_입찰안_xls__입찰안_xls__입찰안_xls_B__9"/>
      <sheetName val="_입찰안_xls__입찰안_xls__입찰안_xls_B_10"/>
      <sheetName val="_입찰안_xls__입찰안_xls__입찰안_xls_B_13"/>
      <sheetName val="_입찰안_xls__입찰안_xls__입찰안_xls_B_12"/>
      <sheetName val="_입찰안_xls__입찰안_xls__입찰안_xls_B_14"/>
      <sheetName val="_입찰안_xls__입찰안_xls__입찰안_xls_B_15"/>
      <sheetName val="_입찰안_xls__입찰안_xls__입찰안_xls_B_16"/>
      <sheetName val="_입찰안_xls__입찰안_xls__입찰안_xls_B_17"/>
      <sheetName val="_입찰안_xls__입찰안_xls__입찰안_xls_B_23"/>
      <sheetName val="_입찰안_xls__입찰안_xls__입찰안_xls_B_18"/>
      <sheetName val="_입찰안_xls__입찰안_xls__입찰안_xls_B_19"/>
      <sheetName val="_입찰안_xls__입찰안_xls__입찰안_xls_B_20"/>
      <sheetName val="_입찰안_xls__입찰안_xls__입찰안_xls_B_21"/>
      <sheetName val="_입찰안_xls__입찰안_xls__입찰안_xls_B_22"/>
      <sheetName val="_입찰안_xls__입찰안_xls__입찰안_xls_B_25"/>
      <sheetName val="_입찰안_xls__입찰안_xls__입찰안_xls_B_24"/>
      <sheetName val="_입찰안_xls__입찰안_xls__입찰안_xls_B_26"/>
      <sheetName val="_입찰안_xls__입찰안_xls__입찰안_xls_B_27"/>
      <sheetName val="_입찰안_xls__입찰안_xls__입찰안_xls_B_29"/>
      <sheetName val="_입찰안_xls__입찰안_xls__입찰안_xls_B_28"/>
      <sheetName val="CF"/>
      <sheetName val="(A)내역서"/>
      <sheetName val="인계"/>
      <sheetName val="6__안培¹_x0000__x0000_"/>
      <sheetName val="6__안培ú_x0000__x0000_"/>
      <sheetName val="일위대¼_x0000__x0000__x0000__x0000_"/>
      <sheetName val="TONG HOP GIA TRI"/>
      <sheetName val="CHITIET VL-NC-TT -1p"/>
      <sheetName val="CHITIET VL-NC-TT-3p"/>
      <sheetName val="TONG HOP VL-NC TT"/>
      <sheetName val="TDTKP1"/>
      <sheetName val="KPVC-BD "/>
      <sheetName val="GIAVLIEU"/>
      <sheetName val="단가조견"/>
      <sheetName val="PSCbeam설계"/>
      <sheetName val="재공품(3)"/>
      <sheetName val="표준원가표(2)"/>
      <sheetName val="design_critఀ_x0002_땚"/>
      <sheetName val="노원열병합__건축공사기성내역ၒ"/>
      <sheetName val="노원열병합__"/>
      <sheetName val="Đơn giá theo m2"/>
      <sheetName val="Bill No.1.6"/>
      <sheetName val="Bill No.1.10"/>
      <sheetName val="Bill No.3.3"/>
      <sheetName val="Bill No.1.4"/>
      <sheetName val="Bill No.1.7"/>
      <sheetName val="Summary Bill No. 3"/>
      <sheetName val="VAT duoc khau tru"/>
      <sheetName val="VAT_duoc_khau_tru"/>
      <sheetName val="건물"/>
      <sheetName val="[입찰안_xls][입찰안_xls][입찰안_xls]_830"/>
      <sheetName val="[입찰안_xls][입찰안_xls][입찰안_xls]_832"/>
      <sheetName val="[입찰안_xls][입찰안_xls][입찰안_xls]_831"/>
      <sheetName val="콤보박스와_리스트박스의_연결"/>
      <sheetName val="chiet_tinh"/>
      <sheetName val="남양시작동자105노65기1_3화1_2"/>
      <sheetName val="plan&amp;section_of_Ā翹조ꤟ"/>
      <sheetName val="노원열병합__츀ɮ"/>
      <sheetName val="[입찰안_xls][입찰안_xls][입찰안_xls]_744"/>
      <sheetName val="[입찰안_xls][입찰안_xls][입찰안_xls]_483"/>
      <sheetName val="[입찰안_xls][입찰안_xls][입찰안_xls]_485"/>
      <sheetName val="[입찰안_xls][입찰안_xls][입찰안_xls]_470"/>
      <sheetName val="[입찰안_xls][입찰안_xls][입찰안_xls]_471"/>
      <sheetName val="[입찰안_xls][입찰안_xls][입찰안_xls]_472"/>
      <sheetName val="[입찰안_xls][입찰안_xls][입찰안_xls]_473"/>
      <sheetName val="[입찰안_xls][입찰안_xls][입찰안_xls]_474"/>
      <sheetName val="[입찰안_xls][입찰안_xls][입찰안_xls]_475"/>
      <sheetName val="[입찰안_xls][입찰안_xls][입찰안_xls]_476"/>
      <sheetName val="[입찰안_xls][입찰안_xls][입찰안_xls]_477"/>
      <sheetName val="[입찰안_xls][입찰안_xls][입찰안_xls]_478"/>
      <sheetName val="[입찰안_xls][입찰안_xls][입찰안_xls]_479"/>
      <sheetName val="[입찰안_xls][입찰안_xls][입찰안_xls]_480"/>
      <sheetName val="[입찰안_xls][입찰안_xls][입찰안_xls]_481"/>
      <sheetName val="[입찰안_xls][입찰안_xls][입찰안_xls]_482"/>
      <sheetName val="[입찰안_xls][입찰안_xls][입찰안_xls]_484"/>
      <sheetName val="[입찰안_xls][입찰안_xls][입찰안_xls]_486"/>
      <sheetName val="[입찰안_xls][입찰안_xls][입찰안_xls]_487"/>
      <sheetName val="[입찰안_xls][입찰안_xls][입찰안_xls]_488"/>
      <sheetName val="[입찰안_xls][입찰안_xls][입찰안_xls]_489"/>
      <sheetName val="[입찰안_xls][입찰안_xls][입찰안_xls]_490"/>
      <sheetName val="[입찰안_xls][입찰안_xls][입찰안_xls]_496"/>
      <sheetName val="[입찰안_xls][입찰안_xls][입찰안_xls]_491"/>
      <sheetName val="[입찰안_xls][입찰안_xls][입찰안_xls]_492"/>
      <sheetName val="[입찰안_xls][입찰안_xls][입찰안_xls]_527"/>
      <sheetName val="[입찰안_xls][입찰안_xls][입찰안_xls]_521"/>
      <sheetName val="[입찰안_xls][입찰안_xls][입찰안_xls]_493"/>
      <sheetName val="[입찰안_xls][입찰안_xls][입찰안_xls]_494"/>
      <sheetName val="[입찰안_xls][입찰안_xls][입찰안_xls]_495"/>
      <sheetName val="[입찰안_xls][입찰안_xls][입찰안_xls]_497"/>
      <sheetName val="[입찰안_xls][입찰안_xls][입찰안_xls]_498"/>
      <sheetName val="[입찰안_xls][입찰안_xls][입찰안_xls]_499"/>
      <sheetName val="[입찰안_xls][입찰안_xls][입찰안_xls]_500"/>
      <sheetName val="[입찰안_xls][입찰안_xls][입찰안_xls]_512"/>
      <sheetName val="[입찰안_xls][입찰안_xls][입찰안_xls]_502"/>
      <sheetName val="[입찰안_xls][입찰안_xls][입찰안_xls]_501"/>
      <sheetName val="[입찰안_xls][입찰안_xls][입찰안_xls]_503"/>
      <sheetName val="[입찰안_xls][입찰안_xls][입찰안_xls]_504"/>
      <sheetName val="[입찰안_xls][입찰안_xls][입찰안_xls]_505"/>
      <sheetName val="[입찰안_xls][입찰안_xls][입찰안_xls]_506"/>
      <sheetName val="[입찰안_xls][입찰안_xls][입찰안_xls]_507"/>
      <sheetName val="[입찰안_xls][입찰안_xls][입찰안_xls]_508"/>
      <sheetName val="[입찰안_xls][입찰안_xls][입찰안_xls]_509"/>
      <sheetName val="[입찰안_xls][입찰안_xls][입찰안_xls]_510"/>
      <sheetName val="[입찰안_xls][입찰안_xls][입찰안_xls]_511"/>
      <sheetName val="[입찰안_xls][입찰안_xls][입찰안_xls]_513"/>
      <sheetName val="[입찰안_xls][입찰안_xls][입찰안_xls]_514"/>
      <sheetName val="[입찰안_xls][입찰안_xls][입찰안_xls]_515"/>
      <sheetName val="[입찰안_xls][입찰안_xls][입찰안_xls]_516"/>
      <sheetName val="[입찰안_xls][입찰안_xls][입찰안_xls]_517"/>
      <sheetName val="[입찰안_xls][입찰안_xls][입찰안_xls]_518"/>
      <sheetName val="[입찰안_xls][입찰안_xls][입찰안_xls]_519"/>
      <sheetName val="[입찰안_xls][입찰안_xls][입찰안_xls]_520"/>
      <sheetName val="[입찰안_xls][입찰안_xls][입찰안_xls]_522"/>
      <sheetName val="[입찰안_xls][입찰안_xls][입찰안_xls]_523"/>
      <sheetName val="[입찰안_xls][입찰안_xls][입찰안_xls]_524"/>
      <sheetName val="[입찰안_xls][입찰안_xls][입찰안_xls]_525"/>
      <sheetName val="[입찰안_xls][입찰안_xls][입찰안_xls]_526"/>
      <sheetName val="[입찰안_xls][입찰안_xls][입찰안_xls]_528"/>
      <sheetName val="[입찰안_xls][입찰안_xls][입찰안_xls]_529"/>
      <sheetName val="[입찰안_xls][입찰안_xls][입찰안_xls]_530"/>
      <sheetName val="[입찰안_xls][입찰안_xls][입찰안_xls]_531"/>
      <sheetName val="[입찰안_xls][입찰안_xls][입찰안_xls]_533"/>
      <sheetName val="[입찰안_xls][입찰안_xls][입찰안_xls]_532"/>
      <sheetName val="[입찰안_xls][입찰안_xls][입찰안_xls]_534"/>
      <sheetName val="[입찰안_xls][입찰안_xls][입찰안_xls]_535"/>
      <sheetName val="[입찰안_xls][입찰안_xls][입찰안_xls]_536"/>
      <sheetName val="[입찰안_xls][입찰안_xls][입찰안_xls]_562"/>
      <sheetName val="[입찰안_xls][입찰안_xls][입찰안_xls]_537"/>
      <sheetName val="[입찰안_xls][입찰안_xls][입찰안_xls]_574"/>
      <sheetName val="[입찰안_xls][입찰안_xls][입찰안_xls]_538"/>
      <sheetName val="[입찰안_xls][입찰안_xls][입찰안_xls]_539"/>
      <sheetName val="[입찰안_xls][입찰안_xls][입찰안_xls]_540"/>
      <sheetName val="[입찰안_xls][입찰안_xls][입찰안_xls]_541"/>
      <sheetName val="[입찰안_xls][입찰안_xls][입찰안_xls]_542"/>
      <sheetName val="[입찰안_xls][입찰안_xls][입찰안_xls]_543"/>
      <sheetName val="[입찰안_xls][입찰안_xls][입찰안_xls]_544"/>
      <sheetName val="[입찰안_xls][입찰안_xls][입찰안_xls]_545"/>
      <sheetName val="[입찰안_xls][입찰안_xls][입찰안_xls]_546"/>
      <sheetName val="[입찰안_xls][입찰안_xls][입찰안_xls]_547"/>
      <sheetName val="[입찰안_xls][입찰안_xls][입찰안_xls]_548"/>
      <sheetName val="[입찰안_xls][입찰안_xls][입찰안_xls]_549"/>
      <sheetName val="[입찰안_xls][입찰안_xls][입찰안_xls]_550"/>
      <sheetName val="[입찰안_xls][입찰안_xls][입찰안_xls]_551"/>
      <sheetName val="[입찰안_xls][입찰안_xls][입찰안_xls]_552"/>
      <sheetName val="[입찰안_xls][입찰안_xls][입찰안_xls]_553"/>
      <sheetName val="[입찰안_xls][입찰안_xls][입찰안_xls]_554"/>
      <sheetName val="[입찰안_xls][입찰안_xls][입찰안_xls]_555"/>
      <sheetName val="[입찰안_xls][입찰안_xls][입찰안_xls]_556"/>
      <sheetName val="[입찰안_xls][입찰안_xls][입찰안_xls]_557"/>
      <sheetName val="[입찰안_xls][입찰안_xls][입찰안_xls]_558"/>
      <sheetName val="[입찰안_xls][입찰안_xls][입찰안_xls]_559"/>
      <sheetName val="[입찰안_xls][입찰안_xls][입찰안_xls]_560"/>
      <sheetName val="[입찰안_xls][입찰안_xls][입찰안_xls]_561"/>
      <sheetName val="[입찰안_xls][입찰안_xls][입찰안_xls]_563"/>
      <sheetName val="[입찰안_xls][입찰안_xls][입찰안_xls]_564"/>
      <sheetName val="[입찰안_xls][입찰안_xls][입찰안_xls]_565"/>
      <sheetName val="[입찰안_xls][입찰안_xls][입찰안_xls]_566"/>
      <sheetName val="[입찰안_xls][입찰안_xls][입찰안_xls]_567"/>
      <sheetName val="[입찰안_xls][입찰안_xls][입찰안_xls]_568"/>
      <sheetName val="[입찰안_xls][입찰안_xls][입찰안_xls]_575"/>
      <sheetName val="[입찰안_xls][입찰안_xls][입찰안_xls]_569"/>
      <sheetName val="[입찰안_xls][입찰안_xls][입찰안_xls]_570"/>
      <sheetName val="[입찰안_xls][입찰안_xls][입찰안_xls]_571"/>
      <sheetName val="[입찰안_xls][입찰안_xls][입찰안_xls]_572"/>
      <sheetName val="[입찰안_xls][입찰안_xls][입찰안_xls]_573"/>
      <sheetName val="[입찰안_xls][입찰안_xls][입찰안_xls]_576"/>
      <sheetName val="[입찰안_xls][입찰안_xls][입찰안_xls]_577"/>
      <sheetName val="[입찰안_xls][입찰안_xls][입찰안_xls]_578"/>
      <sheetName val="[입찰안_xls][입찰안_xls][입찰안_xls]_579"/>
      <sheetName val="[입찰안_xls][입찰안_xls][입찰안_xls]_580"/>
      <sheetName val="[입찰안_xls][입찰안_xls][입찰안_xls]_585"/>
      <sheetName val="[입찰안_xls][입찰안_xls][입찰안_xls]_581"/>
      <sheetName val="[입찰안_xls][입찰안_xls][입찰안_xls]_582"/>
      <sheetName val="[입찰안_xls][입찰안_xls][입찰안_xls]_583"/>
      <sheetName val="[입찰안_xls][입찰안_xls][입찰안_xls]_584"/>
      <sheetName val="[입찰안_xls][입찰안_xls][입찰안_xls]_586"/>
      <sheetName val="[입찰안_xls][입찰안_xls][입찰안_xls]_587"/>
      <sheetName val="[입찰안_xls][입찰안_xls][입찰안_xls]_588"/>
      <sheetName val="[입찰안_xls][입찰안_xls][입찰안_xls]_589"/>
      <sheetName val="[입찰안_xls][입찰안_xls][입찰안_xls]_590"/>
      <sheetName val="[입찰안_xls][입찰안_xls][입찰안_xls]_591"/>
      <sheetName val="[입찰안_xls][입찰안_xls][입찰안_xls]_592"/>
      <sheetName val="[입찰안_xls][입찰안_xls][입찰안_xls]_593"/>
      <sheetName val="[입찰안_xls][입찰안_xls][입찰안_xls]_594"/>
      <sheetName val="[입찰안_xls][입찰안_xls][입찰안_xls]_595"/>
      <sheetName val="[입찰안_xls][입찰안_xls][입찰안_xls]_597"/>
      <sheetName val="[입찰안_xls][입찰안_xls][입찰안_xls]_596"/>
      <sheetName val="[입찰안_xls][입찰안_xls][입찰안_xls]_598"/>
      <sheetName val="[입찰안_xls][입찰안_xls][입찰안_xls]_599"/>
      <sheetName val="[입찰안_xls][입찰안_xls][입찰안_xls]_600"/>
      <sheetName val="[입찰안_xls][입찰안_xls][입찰안_xls]_601"/>
      <sheetName val="[입찰안_xls][입찰안_xls][입찰안_xls]_614"/>
      <sheetName val="[입찰안_xls][입찰안_xls][입찰안_xls]_602"/>
      <sheetName val="[입찰안_xls][입찰안_xls][입찰안_xls]_603"/>
      <sheetName val="[입찰안_xls][입찰안_xls][입찰안_xls]_604"/>
      <sheetName val="[입찰안_xls][입찰안_xls][입찰안_xls]_628"/>
      <sheetName val="[입찰안_xls][입찰안_xls][입찰안_xls]_605"/>
      <sheetName val="[입찰안_xls][입찰안_xls][입찰안_xls]_606"/>
      <sheetName val="[입찰안_xls][입찰안_xls][입찰안_xls]_607"/>
      <sheetName val="[입찰안_xls][입찰안_xls][입찰안_xls]_608"/>
      <sheetName val="[입찰안_xls][입찰안_xls][입찰안_xls]_609"/>
      <sheetName val="[입찰안_xls][입찰안_xls][입찰안_xls]_610"/>
      <sheetName val="[입찰안_xls][입찰안_xls][입찰안_xls]_611"/>
      <sheetName val="[입찰안_xls][입찰안_xls][입찰안_xls]_612"/>
      <sheetName val="[입찰안_xls][입찰안_xls][입찰안_xls]_613"/>
      <sheetName val="[입찰안_xls][입찰안_xls][입찰안_xls]_615"/>
      <sheetName val="[입찰안_xls][입찰안_xls][입찰안_xls]_616"/>
      <sheetName val="[입찰안_xls][입찰안_xls][입찰안_xls]_617"/>
      <sheetName val="[입찰안_xls][입찰안_xls][입찰안_xls]_618"/>
      <sheetName val="[입찰안_xls][입찰안_xls][입찰안_xls]_619"/>
      <sheetName val="[입찰안_xls][입찰안_xls][입찰안_xls]_620"/>
      <sheetName val="[입찰안_xls][입찰안_xls][입찰안_xls]_621"/>
      <sheetName val="[입찰안_xls][입찰안_xls][입찰안_xls]_622"/>
      <sheetName val="[입찰안_xls][입찰안_xls][입찰안_xls]_623"/>
      <sheetName val="[입찰안_xls][입찰안_xls][입찰안_xls]_624"/>
      <sheetName val="[입찰안_xls][입찰안_xls][입찰안_xls]_625"/>
      <sheetName val="[입찰안_xls][입찰안_xls][입찰안_xls]_626"/>
      <sheetName val="[입찰안_xls][입찰안_xls][입찰안_xls]_627"/>
      <sheetName val="[입찰안_xls][입찰안_xls][입찰안_xls]_629"/>
      <sheetName val="[입찰안_xls][입찰안_xls][입찰안_xls]_630"/>
      <sheetName val="[입찰안_xls][입찰안_xls][입찰안_xls]_631"/>
      <sheetName val="[입찰안_xls][입찰안_xls][입찰안_xls]_632"/>
      <sheetName val="[입찰안_xls][입찰안_xls][입찰안_xls]_635"/>
      <sheetName val="[입찰안_xls][입찰안_xls][입찰안_xls]_633"/>
      <sheetName val="[입찰안_xls][입찰안_xls][입찰안_xls]_634"/>
      <sheetName val="[입찰안_xls][입찰안_xls][입찰안_xls]_636"/>
      <sheetName val="[입찰안_xls][입찰안_xls][입찰안_xls]_637"/>
      <sheetName val="[입찰안_xls][입찰안_xls][입찰안_xls]_638"/>
      <sheetName val="[입찰안_xls][입찰안_xls][입찰안_xls]_639"/>
      <sheetName val="[입찰안_xls][입찰안_xls][입찰안_xls]_640"/>
      <sheetName val="[입찰안_xls][입찰안_xls][입찰안_xls]_641"/>
      <sheetName val="[입찰안_xls][입찰안_xls][입찰안_xls]_642"/>
      <sheetName val="[입찰안_xls][입찰안_xls][입찰안_xls]_643"/>
      <sheetName val="[입찰안_xls][입찰안_xls][입찰안_xls]_644"/>
      <sheetName val="[입찰안_xls][입찰안_xls][입찰안_xls]_645"/>
      <sheetName val="[입찰안_xls][입찰안_xls][입찰안_xls]_646"/>
      <sheetName val="[입찰안_xls][입찰안_xls][입찰안_xls]_647"/>
      <sheetName val="[입찰안_xls][입찰안_xls][입찰안_xls]_648"/>
      <sheetName val="[입찰안_xls][입찰안_xls][입찰안_xls]_649"/>
      <sheetName val="[입찰안_xls][입찰안_xls][입찰안_xls]_650"/>
      <sheetName val="[입찰안_xls][입찰안_xls][입찰안_xls]_651"/>
      <sheetName val="[입찰안_xls][입찰안_xls][입찰안_xls]_667"/>
      <sheetName val="[입찰안_xls][입찰안_xls][입찰안_xls]_652"/>
      <sheetName val="[입찰안_xls][입찰안_xls][입찰안_xls]_653"/>
      <sheetName val="[입찰안_xls][입찰안_xls][입찰안_xls]_654"/>
      <sheetName val="[입찰안_xls][입찰안_xls][입찰안_xls]_655"/>
      <sheetName val="[입찰안_xls][입찰안_xls][입찰안_xls]_656"/>
      <sheetName val="[입찰안_xls][입찰안_xls][입찰안_xls]_657"/>
      <sheetName val="[입찰안_xls][입찰안_xls][입찰안_xls]_658"/>
      <sheetName val="[입찰안_xls][입찰안_xls][입찰안_xls]_672"/>
      <sheetName val="[입찰안_xls][입찰안_xls][입찰안_xls]_659"/>
      <sheetName val="[입찰안_xls][입찰안_xls][입찰안_xls]_660"/>
      <sheetName val="[입찰안_xls][입찰안_xls][입찰안_xls]_661"/>
      <sheetName val="[입찰안_xls][입찰안_xls][입찰안_xls]_662"/>
      <sheetName val="[입찰안_xls][입찰안_xls][입찰안_xls]_663"/>
      <sheetName val="[입찰안_xls][입찰안_xls][입찰안_xls]_664"/>
      <sheetName val="[입찰안_xls][입찰안_xls][입찰안_xls]_665"/>
      <sheetName val="[입찰안_xls][입찰안_xls][입찰안_xls]_666"/>
      <sheetName val="[입찰안_xls][입찰안_xls][입찰안_xls]_668"/>
      <sheetName val="[입찰안_xls][입찰안_xls][입찰안_xls]_669"/>
      <sheetName val="[입찰안_xls][입찰안_xls][입찰안_xls]_670"/>
      <sheetName val="[입찰안_xls][입찰안_xls][입찰안_xls]_671"/>
      <sheetName val="[입찰안_xls][입찰안_xls][입찰안_xls]_684"/>
      <sheetName val="[입찰안_xls][입찰안_xls][입찰안_xls]_673"/>
      <sheetName val="[입찰안_xls][입찰안_xls][입찰안_xls]_674"/>
      <sheetName val="[입찰안_xls][입찰안_xls][입찰안_xls]_675"/>
      <sheetName val="[입찰안_xls][입찰안_xls][입찰안_xls]_676"/>
      <sheetName val="[입찰안_xls][입찰안_xls][입찰안_xls]_677"/>
      <sheetName val="[입찰안_xls][입찰안_xls][입찰안_xls]_678"/>
      <sheetName val="[입찰안_xls][입찰안_xls][입찰안_xls]_679"/>
      <sheetName val="[입찰안_xls][입찰안_xls][입찰안_xls]_693"/>
      <sheetName val="[입찰안_xls][입찰안_xls][입찰안_xls]_680"/>
      <sheetName val="[입찰안_xls][입찰안_xls][입찰안_xls]_681"/>
      <sheetName val="[입찰안_xls][입찰안_xls][입찰안_xls]_682"/>
      <sheetName val="[입찰안_xls][입찰안_xls][입찰안_xls]_683"/>
      <sheetName val="[입찰안_xls][입찰안_xls][입찰안_xls]_685"/>
      <sheetName val="[입찰안_xls][입찰안_xls][입찰안_xls]_686"/>
      <sheetName val="[입찰안_xls][입찰안_xls][입찰안_xls]_687"/>
      <sheetName val="[입찰안_xls][입찰안_xls][입찰안_xls]_688"/>
      <sheetName val="[입찰안_xls][입찰안_xls][입찰안_xls]_689"/>
      <sheetName val="[입찰안_xls][입찰안_xls][입찰안_xls]_690"/>
      <sheetName val="[입찰안_xls][입찰안_xls][입찰안_xls]_691"/>
      <sheetName val="[입찰안_xls][입찰안_xls][입찰안_xls]_692"/>
      <sheetName val="[입찰안_xls][입찰안_xls][입찰안_xls]_694"/>
      <sheetName val="[입찰안_xls][입찰안_xls][입찰안_xls]_695"/>
      <sheetName val="[입찰안_xls][입찰안_xls][입찰안_xls]_696"/>
      <sheetName val="[입찰안_xls][입찰안_xls][입찰안_xls]_697"/>
      <sheetName val="[입찰안_xls][입찰안_xls][입찰안_xls]_699"/>
      <sheetName val="[입찰안_xls][입찰안_xls][입찰안_xls]_698"/>
      <sheetName val="[입찰안_xls][입찰안_xls][입찰안_xls]_700"/>
      <sheetName val="[입찰안_xls][입찰안_xls][입찰안_xls]_701"/>
      <sheetName val="[입찰안_xls][입찰안_xls][입찰안_xls]_702"/>
      <sheetName val="[입찰안_xls][입찰안_xls][입찰안_xls]_703"/>
      <sheetName val="[입찰안_xls][입찰안_xls][입찰안_xls]_718"/>
      <sheetName val="[입찰안_xls][입찰안_xls][입찰안_xls]_704"/>
      <sheetName val="[입찰안_xls][입찰안_xls][입찰안_xls]_705"/>
      <sheetName val="[입찰안_xls][입찰안_xls][입찰안_xls]_706"/>
      <sheetName val="[입찰안_xls][입찰안_xls][입찰안_xls]_707"/>
      <sheetName val="[입찰안_xls][입찰안_xls][입찰안_xls]_708"/>
      <sheetName val="[입찰안_xls][입찰안_xls][입찰안_xls]_709"/>
      <sheetName val="[입찰안_xls][입찰안_xls][입찰안_xls]_710"/>
      <sheetName val="[입찰안_xls][입찰안_xls][입찰안_xls]_711"/>
      <sheetName val="[입찰안_xls][입찰안_xls][입찰안_xls]_712"/>
      <sheetName val="[입찰안_xls][입찰안_xls][입찰안_xls]_728"/>
      <sheetName val="[입찰안_xls][입찰안_xls][입찰안_xls]_713"/>
      <sheetName val="[입찰안_xls][입찰안_xls][입찰안_xls]_714"/>
      <sheetName val="[입찰안_xls][입찰안_xls][입찰안_xls]_715"/>
      <sheetName val="[입찰안_xls][입찰안_xls][입찰안_xls]_716"/>
      <sheetName val="[입찰안_xls][입찰안_xls][입찰안_xls]_717"/>
      <sheetName val="[입찰안_xls][입찰안_xls][입찰안_xls]_719"/>
      <sheetName val="[입찰안_xls][입찰안_xls][입찰안_xls]_720"/>
      <sheetName val="[입찰안_xls][입찰안_xls][입찰안_xls]_721"/>
      <sheetName val="[입찰안_xls][입찰안_xls][입찰안_xls]_722"/>
      <sheetName val="[입찰안_xls][입찰안_xls][입찰안_xls]_723"/>
      <sheetName val="[입찰안_xls][입찰안_xls][입찰안_xls]_724"/>
      <sheetName val="[입찰안_xls][입찰안_xls][입찰안_xls]_725"/>
      <sheetName val="[입찰안_xls][입찰안_xls][입찰안_xls]_726"/>
      <sheetName val="[입찰안_xls][입찰안_xls][입찰안_xls]_727"/>
      <sheetName val="[입찰안_xls][입찰안_xls][입찰안_xls]_729"/>
      <sheetName val="[입찰안_xls][입찰안_xls][입찰안_xls]_730"/>
      <sheetName val="[입찰안_xls][입찰안_xls][입찰안_xls]_731"/>
      <sheetName val="[입찰안_xls][입찰안_xls][입찰안_xls]_732"/>
      <sheetName val="[입찰안_xls][입찰안_xls][입찰안_xls]_733"/>
      <sheetName val="[입찰안_xls][입찰안_xls][입찰안_xls]_734"/>
      <sheetName val="[입찰안_xls][입찰안_xls][입찰안_xls]_735"/>
      <sheetName val="[입찰안_xls][입찰안_xls][입찰안_xls]_736"/>
      <sheetName val="[입찰안_xls][입찰안_xls][입찰안_xls]_739"/>
      <sheetName val="[입찰안_xls][입찰안_xls][입찰안_xls]_737"/>
      <sheetName val="[입찰안_xls][입찰안_xls][입찰안_xls]_738"/>
      <sheetName val="[입찰안_xls][입찰안_xls][입찰안_xls]_740"/>
      <sheetName val="[입찰안_xls][입찰안_xls][입찰안_xls]_741"/>
      <sheetName val="[입찰안_xls][입찰안_xls][입찰안_xls]_742"/>
      <sheetName val="[입찰안_xls][입찰안_xls][입찰안_xls]_743"/>
      <sheetName val="[입찰안_xls][입찰안_xls][입찰안_xls]_745"/>
      <sheetName val="[입찰안_xls][입찰안_xls][입찰안_xls]_746"/>
      <sheetName val="[입찰안_xls][입찰안_xls][입찰안_xls]_747"/>
      <sheetName val="[입찰안_xls][입찰안_xls][입찰안_xls]_748"/>
      <sheetName val="Thoat_nuoc"/>
      <sheetName val="1__Dashboard"/>
      <sheetName val="PHU_LUC_01"/>
      <sheetName val="Đầu_vào"/>
      <sheetName val="Bill_02_INF"/>
      <sheetName val="7_"/>
      <sheetName val="6-1_Summary_Of_Cost"/>
      <sheetName val="6-2_In-Direct_Cost"/>
      <sheetName val="6-3_EQ_Cost"/>
      <sheetName val="6-4-1_MP_Status(107,125,12)"/>
      <sheetName val="6-4-2_MP_Status(144)"/>
      <sheetName val="6-5-1_EQ_Status(107,125,12)"/>
      <sheetName val="6-5-2_EQ_Status(144)"/>
      <sheetName val="6-6_Agree_Other&amp;Expanse_(Att_1)"/>
      <sheetName val="6-7_EQ_Apply"/>
      <sheetName val="MP_U107,125,12"/>
      <sheetName val="MP_U144"/>
      <sheetName val="EQ_U107,125,12"/>
      <sheetName val="EQ_U144"/>
      <sheetName val="Agrement_Day_W_Cost"/>
      <sheetName val="Agrement_Day_EQ_Cost"/>
      <sheetName val="Indirect_Cost"/>
      <sheetName val="[입찰안_xls][입찰안_xls][입찰안_xls]_752"/>
      <sheetName val="[입찰안_xls][입찰안_xls][입찰안_xls]_749"/>
      <sheetName val="[입찰안_xls][입찰안_xls][입찰안_xls]_750"/>
      <sheetName val="[입찰안_xls][입찰안_xls][입찰안_xls]_751"/>
      <sheetName val="[입찰안_xls][입찰안_xls][입찰안_xls]_753"/>
      <sheetName val="[입찰안_xls][입찰안_xls][입찰안_xls]_754"/>
      <sheetName val="[입찰안_xls][입찰안_xls][입찰안_xls]_755"/>
      <sheetName val="[입찰안_xls][입찰안_xls][입찰안_xls]_756"/>
      <sheetName val="[입찰안_xls][입찰안_xls][입찰안_xls]_757"/>
      <sheetName val="[입찰안_xls][입찰안_xls][입찰안_xls]_758"/>
      <sheetName val="[입찰안_xls][입찰안_xls][입찰안_xls]_759"/>
      <sheetName val="[입찰안_xls][입찰안_xls][입찰안_xls]_760"/>
      <sheetName val="[입찰안_xls][입찰안_xls][입찰안_xls]_761"/>
      <sheetName val="[입찰안_xls][입찰안_xls][입찰안_xls]_762"/>
      <sheetName val="[입찰안_xls][입찰안_xls][입찰안_xls]_763"/>
      <sheetName val="[입찰안_xls][입찰안_xls][입찰안_xls]_764"/>
      <sheetName val="[입찰안_xls][입찰안_xls][입찰안_xls]_765"/>
      <sheetName val="[입찰안_xls][입찰안_xls][입찰안_xls]_766"/>
      <sheetName val="[입찰안_xls][입찰안_xls][입찰안_xls]__12"/>
      <sheetName val="[입찰안_xls][입찰안_xls][입찰안_xls]__13"/>
      <sheetName val="[입찰안_xls][입찰안_xls][입찰안_xls]__14"/>
      <sheetName val="[입찰안_xls][입찰안_xls][입찰안_xls]__15"/>
      <sheetName val="[입찰안_xls][입찰안_xls][입찰안_xls]__16"/>
      <sheetName val="[입찰안_xls][입찰안_xls][입찰안_xls]__17"/>
      <sheetName val="[입찰안_xls][입찰안_xls][입찰안_xls]_767"/>
      <sheetName val="[입찰안_xls][입찰안_xls][입찰안_xls]_778"/>
      <sheetName val="[입찰안_xls][입찰안_xls][입찰안_xls]_770"/>
      <sheetName val="[입찰안_xls][입찰안_xls][입찰안_xls]_773"/>
      <sheetName val="[입찰안_xls][입찰안_xls][입찰안_xls]_772"/>
      <sheetName val="[입찰안_xls][입찰안_xls][입찰안_xls]_768"/>
      <sheetName val="[입찰안_xls][입찰안_xls][입찰안_xls]_769"/>
      <sheetName val="[입찰안_xls][입찰안_xls][입찰안_xls]_771"/>
      <sheetName val="[입찰안_xls][입찰안_xls][입찰안_xls]_774"/>
      <sheetName val="[입찰안_xls][입찰안_xls][입찰안_xls]_775"/>
      <sheetName val="[입찰안_xls][입찰안_xls][입찰안_xls]_776"/>
      <sheetName val="[입찰안_xls][입찰안_xls][입찰안_xls]_777"/>
      <sheetName val="[입찰안_xls][입찰안_xls][입찰안_xls]_779"/>
      <sheetName val="[입찰안_xls][입찰안_xls][입찰안_xls]_780"/>
      <sheetName val="[입찰안_xls][입찰안_xls][입찰안_xls]_781"/>
      <sheetName val="[입찰안_xls][입찰안_xls][입찰안_xls]_782"/>
      <sheetName val="[입찰안_xls][입찰안_xls][입찰안_xls]_783"/>
      <sheetName val="[입찰안_xls][입찰안_xls][입찰안_xls]_822"/>
      <sheetName val="[입찰안_xls][입찰안_xls][입찰안_xls]_814"/>
      <sheetName val="[입찰안_xls][입찰안_xls][입찰안_xls]_816"/>
      <sheetName val="[입찰안_xls][입찰안_xls][입찰안_xls]_815"/>
      <sheetName val="[입찰안_xls][입찰안_xls][입찰안_xls]_784"/>
      <sheetName val="[입찰안_xls][입찰안_xls][입찰안_xls]_785"/>
      <sheetName val="[입찰안_xls][입찰안_xls][입찰안_xls]_786"/>
      <sheetName val="[입찰안_xls][입찰안_xls][입찰안_xls]_787"/>
      <sheetName val="[입찰안_xls][입찰안_xls][입찰안_xls]_788"/>
      <sheetName val="[입찰안_xls][입찰안_xls][입찰안_xls]_789"/>
      <sheetName val="[입찰안_xls][입찰안_xls][입찰안_xls]_794"/>
      <sheetName val="[입찰안_xls][입찰안_xls][입찰안_xls]_795"/>
      <sheetName val="[입찰안_xls][입찰안_xls][입찰안_xls]_790"/>
      <sheetName val="[입찰안_xls][입찰안_xls][입찰안_xls]_791"/>
      <sheetName val="[입찰안_xls][입찰안_xls][입찰안_xls]_792"/>
      <sheetName val="[입찰안_xls][입찰안_xls][입찰안_xls]_793"/>
      <sheetName val="[입찰안_xls][입찰안_xls][입찰안_xls]_796"/>
      <sheetName val="[입찰안_xls][입찰안_xls][입찰안_xls]_797"/>
      <sheetName val="[입찰안_xls][입찰안_xls][입찰안_xls]_798"/>
      <sheetName val="[입찰안_xls][입찰안_xls][입찰안_xls]_799"/>
      <sheetName val="[입찰안_xls][입찰안_xls][입찰안_xls]_800"/>
      <sheetName val="[입찰안_xls][입찰안_xls][입찰안_xls]_801"/>
      <sheetName val="[입찰안_xls][입찰안_xls][입찰안_xls]_803"/>
      <sheetName val="[입찰안_xls][입찰안_xls][입찰안_xls]_802"/>
      <sheetName val="[입찰안_xls][입찰안_xls][입찰안_xls]_804"/>
      <sheetName val="[입찰안_xls][입찰안_xls][입찰안_xls]_805"/>
      <sheetName val="[입찰안_xls][입찰안_xls][입찰안_xls]_806"/>
      <sheetName val="[입찰안_xls][입찰안_xls][입찰안_xls]_807"/>
      <sheetName val="[입찰안_xls][입찰안_xls][입찰안_xls]_808"/>
      <sheetName val="[입찰안_xls][입찰안_xls][입찰안_xls]_809"/>
      <sheetName val="[입찰안_xls][입찰안_xls][입찰안_xls]_810"/>
      <sheetName val="[입찰안_xls][입찰안_xls][입찰안_xls]_811"/>
      <sheetName val="[입찰안_xls][입찰안_xls][입찰안_xls]_812"/>
      <sheetName val="[입찰안_xls][입찰안_xls][입찰안_xls]_813"/>
      <sheetName val="[입찰안_xls][입찰안_xls][입찰안_xls]_817"/>
      <sheetName val="[입찰안_xls][입찰안_xls][입찰안_xls]_818"/>
      <sheetName val="[입찰안_xls][입찰안_xls][입찰안_xls]_819"/>
      <sheetName val="[입찰안_xls][입찰안_xls][입찰안_xls]_820"/>
      <sheetName val="[입찰안_xls][입찰안_xls][입찰안_xls]_821"/>
      <sheetName val="[입찰안_xls][입찰안_xls][입찰안_xls]_823"/>
      <sheetName val="[입찰안_xls][입찰안_xls][입찰안_xls]_824"/>
      <sheetName val="[입찰안_xls][입찰안_xls][입찰안_xls]_825"/>
      <sheetName val="[입찰안_xls][입찰안_xls][입찰안_xls]_826"/>
      <sheetName val="[입찰안_xls][입찰안_xls][입찰안_xls]_827"/>
      <sheetName val="[입찰안_xls][입찰안_xls][입찰안_xls]_829"/>
      <sheetName val="[입찰안_xls][입찰안_xls][입찰안_xls]_828"/>
      <sheetName val="[입찰안_xls][입찰안_xls][입찰안_xls]_833"/>
      <sheetName val="[입찰안_xls][입찰안_xls][입찰안_xls]_834"/>
      <sheetName val="[입찰안_xls][입찰안_xls][입찰안_xls]_835"/>
      <sheetName val="[입찰안_xls][입찰안_xls][입찰안_xls]_836"/>
      <sheetName val="[입찰안_xls][입찰안_xls][입찰안_xls]_837"/>
      <sheetName val="[입찰안_xls][입찰안_xls][입찰안_xls]_842"/>
      <sheetName val="[입찰안_xls][입찰안_xls][입찰안_xls]_838"/>
      <sheetName val="MAIN_GATE_HOUSE"/>
      <sheetName val="worksheet_inchican"/>
      <sheetName val="combined_9-30"/>
      <sheetName val="CT_Thang_Mo"/>
      <sheetName val="Cst_Pkg-Eden"/>
      <sheetName val="Unt_rate_SS"/>
      <sheetName val="TONG_HOP_GIA_TRI"/>
      <sheetName val="CHITIET_VL-NC-TT_-1p"/>
      <sheetName val="CHITIET_VL-NC-TT-3p"/>
      <sheetName val="TONG_HOP_VL-NC_TT"/>
      <sheetName val="KPVC-BD_"/>
      <sheetName val="KLDT_DIEN"/>
      <sheetName val="전기혼잡제경비(45"/>
      <sheetName val="#2_노임단가"/>
      <sheetName val="원료비2(2000_10-09)"/>
      <sheetName val="[입찰안_xls][입찰안_xls][입찰안_xls]_839"/>
      <sheetName val="[입찰안_xls][입찰안_xls][입찰안_xls]_840"/>
      <sheetName val="[입찰안_xls][입찰안_xls][입찰안_xls]_841"/>
      <sheetName val="[입찰안_xls][입찰안_xls][입찰안_xls]_843"/>
      <sheetName val="VAT_duoc_khau_tru1"/>
      <sheetName val="[입찰안_xls][입찰안_xls][입찰안_xls]_844"/>
      <sheetName val="[입찰안_xls][입찰안_xls][입찰안_xls]_845"/>
      <sheetName val="[입찰안_xls][입찰안_xls][입찰안_xls]_846"/>
      <sheetName val="[입찰안_xls][입찰안_xls][입찰안_xls]_847"/>
      <sheetName val="[입찰안_xls][입찰안_xls][입찰안_xls]_848"/>
      <sheetName val="[입찰안_xls][입찰안_xls][입찰안_xls]_849"/>
      <sheetName val="[입찰안_xls][입찰안_xls][입찰안_xls]_850"/>
      <sheetName val="[입찰안_xls][입찰안_xls][입찰안_xls]_851"/>
      <sheetName val="[입찰안_xls][입찰안_xls][입찰안_xls]_852"/>
      <sheetName val="[입찰안_xls][입찰안_xls][입찰안_xls]_853"/>
      <sheetName val="[입찰안_xls][입찰안_xls][입찰안_xls]_854"/>
      <sheetName val="[입찰안_xls][입찰안_xls][입찰안_xls]_855"/>
      <sheetName val="[입찰안_xls][입찰안_xls][입찰안_xls]_856"/>
      <sheetName val="[입찰안_xls][입찰안_xls][입찰안_xls]_857"/>
      <sheetName val="[입찰안_xls][입찰안_xls][입찰안_xls]_860"/>
      <sheetName val="[입찰안_xls][입찰안_xls][입찰안_xls]_859"/>
      <sheetName val="[입찰안_xls][입찰안_xls][입찰안_xls]_858"/>
      <sheetName val="[입찰안_xls][입찰안_xls][입찰안_xls]_861"/>
      <sheetName val="[입찰안_xls][입찰안_xls][입찰안_xls]_862"/>
      <sheetName val="[입찰안_xls][입찰안_xls][입찰안_xls]_863"/>
      <sheetName val="[입찰안_xls][입찰안_xls][입찰안_xls]_864"/>
      <sheetName val="[입찰안_xls][입찰안_xls][입찰안_xls]_877"/>
      <sheetName val="[입찰안_xls][입찰안_xls][입찰안_xls]_869"/>
      <sheetName val="[입찰안_xls][입찰안_xls][입찰안_xls]_878"/>
      <sheetName val="[입찰안_xls][입찰안_xls][입찰안_xls]_865"/>
      <sheetName val="[입찰안_xls][입찰안_xls][입찰안_xls]_866"/>
      <sheetName val="[입찰안_xls][입찰안_xls][입찰안_xls]_867"/>
      <sheetName val="[입찰안_xls][입찰안_xls][입찰안_xls]_868"/>
      <sheetName val="[입찰안_xls][입찰안_xls][입찰안_xls]_870"/>
      <sheetName val="[입찰안_xls][입찰안_xls][입찰안_xls]_871"/>
      <sheetName val="[입찰안_xls][입찰안_xls][입찰안_xls]_872"/>
      <sheetName val="[입찰안_xls][입찰안_xls][입찰안_xls]_873"/>
      <sheetName val="[입찰안_xls][입찰안_xls][입찰안_xls]_874"/>
      <sheetName val="[입찰안_xls][입찰안_xls][입찰안_xls]_881"/>
      <sheetName val="[입찰안_xls][입찰안_xls][입찰안_xls]_875"/>
      <sheetName val="[입찰안_xls][입찰안_xls][입찰안_xls]_876"/>
      <sheetName val="[입찰안_xls][입찰안_xls][입찰안_xls]_879"/>
      <sheetName val="[입찰안_xls][입찰안_xls][입찰안_xls]_880"/>
      <sheetName val="[입찰안_xls][입찰안_xls][입찰안_xls]_882"/>
      <sheetName val="[입찰안_xls][입찰안_xls][입찰안_xls]_883"/>
      <sheetName val="[입찰안_xls][입찰안_xls][입찰안_xls]_884"/>
      <sheetName val="[입찰안_xls][입찰안_xls][입찰안_xls]_885"/>
      <sheetName val="노임단가(인쇄제외)"/>
      <sheetName val="설계기준"/>
      <sheetName val="일위대가-내역 "/>
      <sheetName val="3련_BÇ_x0000_"/>
      <sheetName val="[입찰안.xls][입찰안.xls]_____xls_2158"/>
      <sheetName val="[입찰안.xls][입찰안.xls]_____xls_2160"/>
      <sheetName val="[입찰안.xls][입찰안.xls]_____xls_2159"/>
      <sheetName val="지하시설물작성"/>
      <sheetName val="_HIT__HM_x0000__x0000__x0005__x0000_᱀倨Ǖ_x0000__x0000__x0000_"/>
      <sheetName val="plan&amp;section_of_fo뮽◽_x0000__x0000_㠀퇛ﰙ팣"/>
      <sheetName val="plan&amp;section_of_fo_xd8e4_꼉_x0000_ꘀ㺨"/>
      <sheetName val="[입찰안.xls][입찰안.xls]_입찰__xls_1000"/>
      <sheetName val="[입찰안.xls][입찰안.xls]_____xls_2146"/>
      <sheetName val="[입찰안.xls][입찰안.xls]_____xls_2144"/>
      <sheetName val="[입찰안.xls][입찰안.xls]_____xls_2145"/>
      <sheetName val="[입찰안.xls][입찰안.xls]_____xls_2143"/>
      <sheetName val="[입찰안.xls][입찰안.xls]_____xls_2007"/>
      <sheetName val="[입찰안.xls][입찰안.xls]_____xls_2014"/>
      <sheetName val="[입찰안.xls][입찰안.xls]_____xls_2044"/>
      <sheetName val="[입찰안.xls][입찰안.xls]_____xls_2008"/>
      <sheetName val="[입찰안.xls][입찰안.xls]_____xls_2009"/>
      <sheetName val="[입찰안.xls][입찰안.xls]_____xls_2010"/>
      <sheetName val="[입찰안.xls][입찰안.xls]_____xls_2011"/>
      <sheetName val="[입찰안.xls][입찰안.xls]_____xls_2012"/>
      <sheetName val="[입찰안.xls][입찰안.xls]_____xls_2013"/>
      <sheetName val="[입찰안.xls][입찰안.xls]_____xls_2015"/>
      <sheetName val="[입찰안.xls][입찰안.xls]_____xls_2016"/>
      <sheetName val="[입찰안.xls][입찰안.xls]_____xls_2017"/>
      <sheetName val="[입찰안.xls][입찰안.xls]_____xls_2018"/>
      <sheetName val="[입찰안.xls][입찰안.xls]_____xls_2019"/>
      <sheetName val="[입찰안.xls][입찰안.xls]_____xls_2026"/>
      <sheetName val="[입찰안.xls][입찰안.xls]_____xls_2020"/>
      <sheetName val="[입찰안.xls][입찰안.xls]_____xls_2021"/>
      <sheetName val="[입찰안.xls][입찰안.xls]_____xls_2022"/>
      <sheetName val="[입찰안.xls][입찰안.xls]_____xls_2023"/>
      <sheetName val="[입찰안.xls][입찰안.xls]_____xls_2024"/>
      <sheetName val="[입찰안.xls][입찰안.xls]_____xls_2025"/>
      <sheetName val="[입찰안.xls][입찰안.xls]_____xls_2028"/>
      <sheetName val="[입찰안.xls][입찰안.xls]_____xls_2027"/>
      <sheetName val="[입찰안.xls][입찰안.xls]_____xls_2029"/>
      <sheetName val="[입찰안.xls][입찰안.xls]_____xls_2072"/>
      <sheetName val="[입찰안.xls][입찰안.xls]_____xls_2030"/>
      <sheetName val="[입찰안.xls][입찰안.xls]_____xls_2032"/>
      <sheetName val="[입찰안.xls][입찰안.xls]_____xls_2031"/>
      <sheetName val="[입찰안.xls][입찰안.xls]_____xls_2034"/>
      <sheetName val="[입찰안.xls][입찰안.xls]_____xls_2033"/>
      <sheetName val="[입찰안.xls][입찰안.xls]_____xls_2035"/>
      <sheetName val="[입찰안.xls][입찰안.xls]_____xls_2036"/>
      <sheetName val="[입찰안.xls][입찰안.xls]_____xls_2037"/>
      <sheetName val="[입찰안.xls][입찰안.xls]_____xls_2039"/>
      <sheetName val="[입찰안.xls][입찰안.xls]_____xls_2038"/>
      <sheetName val="[입찰안.xls][입찰안.xls]_____xls_2042"/>
      <sheetName val="[입찰안.xls][입찰안.xls]_____xls_2040"/>
      <sheetName val="[입찰안.xls][입찰안.xls]_____xls_2041"/>
      <sheetName val="[입찰안.xls][입찰안.xls]_____xls_2043"/>
      <sheetName val="[입찰안.xls][입찰안.xls]_____xls_2050"/>
      <sheetName val="[입찰안.xls][입찰안.xls]_____xls_2053"/>
      <sheetName val="[입찰안.xls][입찰안.xls]_____xls_2045"/>
      <sheetName val="[입찰안.xls][입찰안.xls]_____xls_2047"/>
      <sheetName val="[입찰안.xls][입찰안.xls]_____xls_2046"/>
      <sheetName val="[입찰안.xls][입찰안.xls]_____xls_2048"/>
      <sheetName val="[입찰안.xls][입찰안.xls]_____xls_2049"/>
      <sheetName val="[입찰안.xls][입찰안.xls]_____xls_2051"/>
      <sheetName val="[입찰안.xls][입찰안.xls]_____xls_2052"/>
      <sheetName val="[입찰안.xls][입찰안.xls]_____xls_2054"/>
      <sheetName val="[입찰안.xls][입찰안.xls]_____xls_2055"/>
      <sheetName val="[입찰안.xls][입찰안.xls]_____xls_2056"/>
      <sheetName val="[입찰안.xls][입찰안.xls]_____xls_2057"/>
      <sheetName val="[입찰안.xls][입찰안.xls]_____xls_2060"/>
      <sheetName val="[입찰안.xls][입찰안.xls]_____xls_2059"/>
      <sheetName val="[입찰안.xls][입찰안.xls]_____xls_2058"/>
      <sheetName val="[입찰안.xls][입찰안.xls]_____xls_2061"/>
      <sheetName val="[입찰안.xls][입찰안.xls]_____xls_2074"/>
      <sheetName val="[입찰안.xls][입찰안.xls]_____xls_2062"/>
      <sheetName val="[입찰안.xls][입찰안.xls]_____xls_2063"/>
      <sheetName val="[입찰안.xls][입찰안.xls]_____xls_2064"/>
      <sheetName val="[입찰안.xls][입찰안.xls]_____xls_2066"/>
      <sheetName val="[입찰안.xls][입찰안.xls]_____xls_2065"/>
      <sheetName val="[입찰안.xls][입찰안.xls]_____xls_2067"/>
      <sheetName val="[입찰안.xls][입찰안.xls]_____xls_2070"/>
      <sheetName val="[입찰안.xls][입찰안.xls]_____xls_2068"/>
      <sheetName val="[입찰안.xls][입찰안.xls]_____xls_2069"/>
      <sheetName val="[입찰안.xls][입찰안.xls]_____xls_2071"/>
      <sheetName val="[입찰안.xls][입찰안.xls]_____xls_2073"/>
      <sheetName val="[입찰안.xls][입찰안.xls]_____xls_2082"/>
      <sheetName val="[입찰안.xls][입찰안.xls]_____xls_2075"/>
      <sheetName val="[입찰안.xls][입찰안.xls]_____xls_2076"/>
      <sheetName val="[입찰안.xls][입찰안.xls]_____xls_2077"/>
      <sheetName val="[입찰안.xls][입찰안.xls]_____xls_2079"/>
      <sheetName val="[입찰안.xls][입찰안.xls]_____xls_2078"/>
      <sheetName val="[입찰안.xls][입찰안.xls]_____xls_2104"/>
      <sheetName val="[입찰안.xls][입찰안.xls]_____xls_2080"/>
      <sheetName val="[입찰안.xls][입찰안.xls]_____xls_2081"/>
      <sheetName val="[입찰안.xls][입찰안.xls]_____xls_2103"/>
      <sheetName val="[입찰안.xls][입찰안.xls]_____xls_2083"/>
      <sheetName val="[입찰안.xls][입찰안.xls]_____xls_2087"/>
      <sheetName val="[입찰안.xls][입찰안.xls]_____xls_2095"/>
      <sheetName val="[입찰안.xls][입찰안.xls]_____xls_2085"/>
      <sheetName val="[입찰안.xls][입찰안.xls]_____xls_2084"/>
      <sheetName val="[입찰안.xls][입찰안.xls]_____xls_2086"/>
      <sheetName val="[입찰안.xls][입찰안.xls]_____xls_2088"/>
      <sheetName val="[입찰안.xls][입찰안.xls]_____xls_2090"/>
      <sheetName val="[입찰안.xls][입찰안.xls]_____xls_2089"/>
      <sheetName val="[입찰안.xls][입찰안.xls]_____xls_2091"/>
      <sheetName val="[입찰안.xls][입찰안.xls]_____xls_2092"/>
      <sheetName val="[입찰안.xls][입찰안.xls]_____xls_2093"/>
      <sheetName val="[입찰안.xls][입찰안.xls]_____xls_2094"/>
      <sheetName val="[입찰안.xls][입찰안.xls]_____xls_2096"/>
      <sheetName val="[입찰안.xls][입찰안.xls]_____xls_2097"/>
      <sheetName val="[입찰안.xls][입찰안.xls]_____xls_2098"/>
      <sheetName val="[입찰안.xls][입찰안.xls]_____xls_2100"/>
      <sheetName val="[입찰안.xls][입찰안.xls]_____xls_2099"/>
      <sheetName val="[입찰안.xls][입찰안.xls]_____xls_2101"/>
      <sheetName val="[입찰안.xls][입찰안.xls]_____xls_2102"/>
      <sheetName val="[입찰안.xls][입찰안.xls]_____xls_2105"/>
      <sheetName val="[입찰안.xls][입찰안.xls]_____xls_2129"/>
      <sheetName val="[입찰안.xls][입찰안.xls]_____xls_2128"/>
      <sheetName val="[입찰안.xls][입찰안.xls]_____xls_2107"/>
      <sheetName val="[입찰안.xls][입찰안.xls]_____xls_2106"/>
      <sheetName val="[입찰안.xls][입찰안.xls]_____xls_2110"/>
      <sheetName val="[입찰안.xls][입찰안.xls]_____xls_2108"/>
      <sheetName val="[입찰안.xls][입찰안.xls]_____xls_2109"/>
      <sheetName val="[입찰안.xls][입찰안.xls]_____xls_2112"/>
      <sheetName val="[입찰안.xls][입찰안.xls]_____xls_2111"/>
      <sheetName val="[입찰안.xls][입찰안.xls]_____xls_2114"/>
      <sheetName val="[입찰안.xls][입찰안.xls]_____xls_2113"/>
      <sheetName val="[입찰안.xls][입찰안.xls]_____xls_2115"/>
      <sheetName val="[입찰안.xls][입찰안.xls]_____xls_2116"/>
      <sheetName val="[입찰안.xls][입찰안.xls]_____xls_2119"/>
      <sheetName val="[입찰안.xls][입찰안.xls]_____xls_2117"/>
      <sheetName val="[입찰안.xls][입찰안.xls]_____xls_2118"/>
      <sheetName val="[입찰안.xls][입찰안.xls]_____xls_2120"/>
      <sheetName val="[입찰안.xls][입찰안.xls]_____xls_2121"/>
      <sheetName val="[입찰안.xls][입찰안.xls]_____xls_2122"/>
      <sheetName val="[입찰안.xls][입찰안.xls]_____xls_2123"/>
      <sheetName val="[입찰안.xls][입찰안.xls]_____xls_2127"/>
      <sheetName val="[입찰안.xls][입찰안.xls]_____xls_2124"/>
      <sheetName val="[입찰안.xls][입찰안.xls]_____xls_2125"/>
      <sheetName val="[입찰안.xls][입찰안.xls]_____xls_2126"/>
      <sheetName val="[입찰안.xls][입찰안.xls]_____xls_2138"/>
      <sheetName val="[입찰안.xls][입찰안.xls]_____xls_2130"/>
      <sheetName val="[입찰안.xls][입찰안.xls]_____xls_2131"/>
      <sheetName val="[입찰안.xls][입찰안.xls]_____xls_2132"/>
      <sheetName val="[입찰안.xls][입찰안.xls]_____xls_2133"/>
      <sheetName val="[입찰안.xls][입찰안.xls]_____xls_2134"/>
      <sheetName val="[입찰안.xls][입찰안.xls]_____xls_2135"/>
      <sheetName val="[입찰안.xls][입찰안.xls]_____xls_2136"/>
      <sheetName val="[입찰안.xls][입찰안.xls]_____xls_2137"/>
      <sheetName val="[입찰안.xls][입찰안.xls]_____xls_2142"/>
      <sheetName val="[입찰안.xls][입찰안.xls]_____xls_2139"/>
      <sheetName val="[입찰안.xls][입찰안.xls]_____xls_2140"/>
      <sheetName val="[입찰안.xls][입찰안.xls]_____xls_2141"/>
      <sheetName val="[입찰안.xls][입찰안.xls]_____xls_2148"/>
      <sheetName val="[입찰안.xls][입찰안.xls]_____xls_2147"/>
      <sheetName val="08하"/>
      <sheetName val="[입찰안.xls][입찰안.xls]_입_안_xls_1001"/>
      <sheetName val="[입찰안.xls][입찰안.xls]_입_안_xls_1003"/>
      <sheetName val="[입찰안.xls][입찰안.xls]_입_안_xls_1004"/>
      <sheetName val="[입찰안.xls][입찰안.xls]_입_안_xls_1002"/>
      <sheetName val="[입찰안.xls][입찰안.xls]_입_안_xls_1006"/>
      <sheetName val="[입찰안.xls][입찰안.xls]_입_안_xls_1005"/>
      <sheetName val="[입찰안.xls][입찰안.xls]_입_안_xls_1007"/>
      <sheetName val="[입찰안.xls][입찰안.xls]_입_안_xls_1008"/>
      <sheetName val="[입찰안.xls][입찰안.xls]_입_안_xls_1010"/>
      <sheetName val="[입찰안.xls][입찰안.xls]_입_안_xls_1009"/>
      <sheetName val="plan&amp;section_of_fouꄰₙ_x0000__x0000__x0000__x0000_ﱔ"/>
      <sheetName val="plan&amp;section_of_fou_x0000_¶釈̫ꗝû߸"/>
      <sheetName val="plan&amp;section_of_fou_x0000_¶釈̫ꗝû荸"/>
      <sheetName val="plan&amp;section_of_fou_x0000_g釈ˆꗝ㥀"/>
      <sheetName val="plan&amp;section_of_fou_x0000_g釈ˆꗝ᳀"/>
      <sheetName val="plan&amp;section_of_fouꗝ¾䝠Ύ_x0000__x0000__x0000_"/>
      <sheetName val="plan&amp;section_of_fou_x0002__x0000_蒸ζ㓡è諠"/>
      <sheetName val="plan&amp;section_of_fouﵨὰ⭸⇭_x0000__x0000_㖬"/>
      <sheetName val="plan&amp;section_of_fou_x0000__x0000__x0005__x0000_௰좤ˑ"/>
      <sheetName val="plan&amp;section_of_fou_x0000__x0000__x0005__x0000_ហ붽ˑ"/>
      <sheetName val="plan&amp;section_of_fou_x0000__x0000__x0005__x0000_≰쬡ˑ"/>
      <sheetName val="plan&amp;section_of_fou_x0000__x0000__x0005__x0000_꒰쩼ˑ"/>
      <sheetName val="집수정단면도 (2)"/>
      <sheetName val="원가집계"/>
      <sheetName val="[입찰안.xls][입찰안.xls]_____xls_2149"/>
      <sheetName val="[입찰안.xls][입찰안.xls]_____xls_2152"/>
      <sheetName val="[입찰안.xls][입찰안.xls]_____xls_2151"/>
      <sheetName val="[입찰안.xls][입찰안.xls]_____xls_2153"/>
      <sheetName val="[입찰안.xls][입찰안.xls]_____xls_2150"/>
      <sheetName val="[입찰안.xls][입찰안.xls]_____xls_2155"/>
      <sheetName val="[입찰안.xls][입찰안.xls]_____xls_2154"/>
      <sheetName val="지질조사분석"/>
      <sheetName val="E䣉᜵᠀"/>
      <sheetName val="[입찰안.xls][입찰안.xls]__찰안_xls_1001"/>
      <sheetName val="[입찰안.xls][입찰안.xls]__찰안_xls_1000"/>
      <sheetName val="기초단가"/>
      <sheetName val="[입찰안.xls][입찰안.xls]_____xls_2156"/>
      <sheetName val="working_load_¾_x0000_Ԁ_x0000_䀀ꄲ_x0007__x0000__x0000__x0000_Ā_x0000_ऀ_x0008_"/>
      <sheetName val="working_load_¾_x0000_Ԁ_x0000__x0000_툇_x000f__x0000__x0000__x0000_Ā_x0000_ऀ_x0008_"/>
      <sheetName val="working_load_¾_x0000_Ԁ_x0000_䀀붚_x000f__x0000__x0000__x0000_Ā_x0000_ऀ_x0008_"/>
      <sheetName val="working_load_¾_x0000_Ԁ_x0000__x0000_㾃_x000b__x0000__x0000__x0000_Ā_x0000_ऀ_x0008_"/>
      <sheetName val="working_load_¾_x0000_Ԁ_x0000_쀀毾_x0009__x0000__x0000__x0000_Ā_x0000_ऀ_x0008_"/>
      <sheetName val="working_load_¾_x0000_Ԁ_x0000__x0000_덯_x000e__x0000__x0000__x0000_Ā_x0000_ऀ_x0008_"/>
      <sheetName val="working_load_¾_x0000_Ԁ_x0000_쀀毾 _x0000__x0000__x0000_Ā_x0000_ऀ_x0008_"/>
      <sheetName val="working_load__x0000__x0000_Ԁ_x0000_쀀哦깠_x0001__x0000__x0000_Ā_x0000_倀"/>
      <sheetName val="working_load__x0000__x0000_Ԁ_x0000_退秚㎆_x0002__x0000__x0000_Ā_x0000_က鼪"/>
      <sheetName val="working_load__x0000__x0000_Ԁ_x0000_瀀즫㎒_x0002__x0000__x0000_Ā_x0000_က鼪"/>
      <sheetName val="working_load__x0000__x0000_Ԁ_x0000_က晻㎆_x0002__x0000__x0000_Ā_x0000_က鼪"/>
      <sheetName val="working_load__x0000__x0000_Ԁ_x0000_ 탮㎒_x0002__x0000__x0000_Ā_x0000_က鼪"/>
      <sheetName val="working_load__x0000__x0000_Ԁ_x0000_᠉㎘_x0002__x0000__x0000_Ā_x0000_က鼪"/>
      <sheetName val="working_load__x0000__x0000_Ԁ_x0000_ᕅ㎏_x0002__x0000__x0000_Ā_x0000_က鼪"/>
      <sheetName val="working_load__x0000__x0000_Ԁ_x0000_뀀㪫쏩_x0002__x0000__x0000_Ā_x0000_退렱"/>
      <sheetName val="현금및현금등가물1"/>
      <sheetName val="[입찰안.xls][입찰안.xls]_____xls_2157"/>
      <sheetName val="[입찰안.xls][입찰안.xls]_____xls_2161"/>
      <sheetName val="[입찰안.xls][입찰안.xls]_____xls_2163"/>
      <sheetName val="[입찰안.xls][입찰안.xls]_____xls_2162"/>
      <sheetName val="[입찰안.xls][입찰안.xls]_____xls_2165"/>
      <sheetName val="[입찰안.xls][입찰안.xls]_____xls_2164"/>
      <sheetName val="[입찰안.xls][입찰안.xls]_____xls_2166"/>
      <sheetName val="[입찰안.xls][입찰안.xls]_____xls_2167"/>
      <sheetName val="[입찰안.xls][입찰안.xls]_____xls_2168"/>
      <sheetName val="[입찰안.xls][입찰안.xls]_____xls_2255"/>
      <sheetName val="[입찰안.xls][입찰안.xls]_____xls_2256"/>
      <sheetName val="[입찰안.xls][입찰안.xls]_____xls_2258"/>
      <sheetName val="[입찰안.xls][입찰안.xls]_____xls_2250"/>
      <sheetName val="[입찰안.xls][입찰안.xls]_____xls_2252"/>
      <sheetName val="Main"/>
      <sheetName val="ENG_prog"/>
      <sheetName val="[입찰안.xls][입찰안.xls]_____xls_2253"/>
      <sheetName val="[입찰안.xls][입찰안.xls]_____xls_2238"/>
      <sheetName val="내역전기"/>
      <sheetName val="[입찰안.xls][입찰안.xls]_____xls_2202"/>
      <sheetName val="[입찰안.xls][입찰안.xls]_____xls_2201"/>
      <sheetName val="[입찰안.xls][입찰안.xls]_____xls_2197"/>
      <sheetName val="[입찰안.xls][입찰안.xls]_____xls_2198"/>
      <sheetName val="[입찰안.xls][입찰안.xls]_____xls_2195"/>
      <sheetName val="[입찰안.xls][입찰안.xls]_____xls_2187"/>
      <sheetName val="[입찰안.xls][입찰안.xls]_____xls_2189"/>
      <sheetName val="[입찰안.xls][입찰안.xls]_____xls_2190"/>
      <sheetName val="[입찰안.xls][입찰안.xls]_____xls_2184"/>
      <sheetName val="[입찰안.xls][입찰안.xls]_____xls_2185"/>
      <sheetName val="[입찰안.xls][입찰안.xls]_____xls_2180"/>
      <sheetName val="[입찰안.xls][입찰안.xls]_____xls_2169"/>
      <sheetName val="[입찰안.xls][입찰안.xls]_____xls_2170"/>
      <sheetName val="[입찰안.xls][입찰안.xls]_____xls_2177"/>
      <sheetName val="[입찰안.xls][입찰안.xls]_____xls_2181"/>
      <sheetName val="[입찰안.xls][입찰안.xls]_____xls_2171"/>
      <sheetName val="[입찰안.xls][입찰안.xls]_____xls_2172"/>
      <sheetName val="[입찰안.xls][입찰안.xls]_____xls_2173"/>
      <sheetName val="[입찰안.xls][입찰안.xls]_____xls_2174"/>
      <sheetName val="[입찰안.xls][입찰안.xls]_____xls_2175"/>
      <sheetName val="[입찰안.xls][입찰안.xls]_____xls_2176"/>
      <sheetName val="[입찰안.xls][입찰안.xls]_____xls_2182"/>
      <sheetName val="[입찰안.xls][입찰안.xls]_____xls_2178"/>
      <sheetName val="[입찰안.xls][입찰안.xls]_____xls_2179"/>
      <sheetName val="[입찰안.xls][입찰안.xls]_____xls_2183"/>
      <sheetName val="[입찰안.xls][입찰안.xls]_____xls_2186"/>
      <sheetName val="[입찰안.xls][입찰안.xls]_____xls_2191"/>
      <sheetName val="[입찰안.xls][입찰안.xls]_____xls_2188"/>
      <sheetName val="[입찰안.xls][입찰안.xls]_____xls_2193"/>
      <sheetName val="[입찰안.xls][입찰안.xls]_____xls_2194"/>
      <sheetName val="[입찰안.xls][입찰안.xls]_____xls_2192"/>
      <sheetName val="[입찰안.xls][입찰안.xls]_____xls_2196"/>
      <sheetName val="[입찰안.xls][입찰안.xls]_____xls_2199"/>
      <sheetName val="[입찰안.xls][입찰안.xls]_____xls_2200"/>
      <sheetName val="[입찰안.xls][입찰안.xls]_____xls_2203"/>
      <sheetName val="[입찰안.xls][입찰안.xls]_____xls_2204"/>
      <sheetName val="[입찰안.xls][입찰안.xls]_____xls_2205"/>
      <sheetName val="[입찰안.xls][입찰안.xls]_____xls_2207"/>
      <sheetName val="[입찰안.xls][입찰안.xls]_____xls_2206"/>
      <sheetName val="[입찰안.xls][입찰안.xls]_____xls_2215"/>
      <sheetName val="[입찰안.xls][입찰안.xls]_____xls_2216"/>
      <sheetName val="[입찰안.xls][입찰안.xls]_____xls_2211"/>
      <sheetName val="[입찰안.xls][입찰안.xls]_____xls_2209"/>
      <sheetName val="[입찰안.xls][입찰안.xls]_____xls_2208"/>
      <sheetName val="[입찰안.xls][입찰안.xls]_____xls_2210"/>
      <sheetName val="[입찰안.xls][입찰안.xls]_____xls_2214"/>
      <sheetName val="[입찰안.xls][입찰안.xls]_____xls_2212"/>
      <sheetName val="[입찰안.xls][입찰안.xls]_____xls_2213"/>
      <sheetName val="[입찰안.xls][입찰안.xls]_____xls_2218"/>
      <sheetName val="[입찰안.xls][입찰안.xls]_____xls_2217"/>
      <sheetName val="[입찰안.xls][입찰안.xls]_____xls_2220"/>
      <sheetName val="[입찰안.xls][입찰안.xls]_____xls_2219"/>
      <sheetName val="[입찰안.xls][입찰안.xls]_____xls_2224"/>
      <sheetName val="[입찰안.xls][입찰안.xls]_____xls_2221"/>
      <sheetName val="[입찰안.xls][입찰안.xls]_____xls_2222"/>
      <sheetName val="[입찰안.xls][입찰안.xls]_____xls_2223"/>
      <sheetName val="[입찰안.xls][입찰안.xls]_____xls_2226"/>
      <sheetName val="[입찰안.xls][입찰안.xls]_____xls_2225"/>
      <sheetName val="[입찰안.xls][입찰안.xls]_____xls_2227"/>
      <sheetName val="[입찰안.xls][입찰안.xls]_____xls_2228"/>
      <sheetName val="[입찰안.xls][입찰안.xls]_____xls_2229"/>
      <sheetName val="[입찰안.xls][입찰안.xls]_____xls_2231"/>
      <sheetName val="[입찰안.xls][입찰안.xls]_____xls_2230"/>
      <sheetName val="[입찰안.xls][입찰안.xls]_____xls_2232"/>
      <sheetName val="[입찰안.xls][입찰안.xls]_____xls_2233"/>
      <sheetName val="[입찰안.xls][입찰안.xls]_____xls_2235"/>
      <sheetName val="[입찰안.xls][입찰안.xls]_____xls_2234"/>
      <sheetName val="[입찰안.xls][입찰안.xls]_____xls_2236"/>
      <sheetName val="[입찰안.xls][입찰안.xls]_____xls_2237"/>
      <sheetName val="[입찰안.xls][입찰안.xls]_____xls_2239"/>
      <sheetName val="[입찰안.xls][입찰안.xls]_____xls_2240"/>
      <sheetName val="[입찰안.xls][입찰안.xls]_____xls_2249"/>
      <sheetName val="[입찰안.xls][입찰안.xls]_____xls_2245"/>
      <sheetName val="[입찰안.xls][입찰안.xls]_____xls_2241"/>
      <sheetName val="[입찰안.xls][입찰안.xls]_____xls_2242"/>
      <sheetName val="[입찰안.xls][입찰안.xls]_____xls_2243"/>
      <sheetName val="UXSLCNK4"/>
      <sheetName val="기성금내역서"/>
      <sheetName val="[입찰안.xls][입찰안.xls][입찰안.xls]___9"/>
      <sheetName val="[입찰안.xls][입찰안_xls][입찰안_xls]___5"/>
      <sheetName val="[입찰안.xls][입찰안.xls][입찰안_xls]___4"/>
      <sheetName val="SCE_LOG"/>
      <sheetName val="Div10"/>
      <sheetName val="Div13"/>
      <sheetName val="Div4"/>
      <sheetName val="Div5"/>
      <sheetName val="Div6"/>
      <sheetName val="Div7"/>
      <sheetName val="Div9"/>
      <sheetName val="Earthwork"/>
      <sheetName val="plan&amp;section_of勉_x0010__x0000__x0000__x0000__x0000__x0000__x0001_Ԁ_x0000_�"/>
      <sheetName val="덕"/>
      <sheetName val="수량산출서집²"/>
      <sheetName val="시중노羄9臈"/>
      <sheetName val="시중노忕き_x0005_"/>
      <sheetName val="생산직"/>
      <sheetName val="일용직"/>
      <sheetName val="[입찰안.xls][입찰안.xls]_____xls_2244"/>
      <sheetName val="[입찰안.xls][입찰안.xls]_____xls_2246"/>
      <sheetName val="[입찰안.xls][입찰안.xls]_____xls_2247"/>
      <sheetName val="[입찰안.xls][입찰안.xls]_____xls_2248"/>
      <sheetName val="[입찰안.xls][입찰안.xls]_____xls_2254"/>
      <sheetName val="[입찰안.xls][입찰안.xls]_____xls_2251"/>
      <sheetName val="[입찰안.xls][입찰안.xls]_____xls_2267"/>
      <sheetName val="[입찰안.xls][입찰안.xls]_____xls_2261"/>
      <sheetName val="[입찰안.xls][입찰안.xls]_____xls_2257"/>
      <sheetName val="[입찰안.xls][입찰안.xls]_____xls_2260"/>
      <sheetName val="[입찰안.xls][입찰안.xls]_____xls_2259"/>
      <sheetName val="[입찰안.xls][입찰안.xls]_____xls_2266"/>
      <sheetName val="[입찰안.xls][입찰안.xls]_____xls_2264"/>
      <sheetName val="[입찰안.xls][입찰안.xls]_____xls_2262"/>
      <sheetName val="[입찰안.xls][입찰안.xls]_____xls_2263"/>
      <sheetName val="[입찰안.xls][입찰안.xls]_____xls_2265"/>
      <sheetName val="[입찰안.xls][입찰안.xls]_____xls_2268"/>
      <sheetName val="design_cꙭķ_x0000__x0000_㻰Ⅽ㿔"/>
      <sheetName val="[입찰안.xls][입찰안.xls]_____xls_2271"/>
      <sheetName val="[입찰안.xls][입찰안.xls]_____xls_2269"/>
      <sheetName val="[입찰안.xls][입찰안.xls]_____xls_2275"/>
      <sheetName val="관현간선입력"/>
      <sheetName val="[입찰안.xls][입찰안.xls]_____xls_2270"/>
      <sheetName val="주민번호"/>
      <sheetName val="자산TOTAL"/>
      <sheetName val="대비2"/>
      <sheetName val="[입찰안.xls][입찰안.xls]__찰안_xls_1002"/>
      <sheetName val="[입찰안.xls][입찰안.xls]_____xls_2272"/>
      <sheetName val="[입찰안.xls][입찰안.xls]_____xls_2273"/>
      <sheetName val="[입찰안.xls][입찰안.xls]_____xls_2274"/>
      <sheetName val="[입찰안.xls][입찰안.xls]_____xls_2276"/>
      <sheetName val="[입찰안.xls][입찰안.xls]_____xls_2282"/>
      <sheetName val="[입찰안.xls][입찰안.xls]_____xls_2279"/>
      <sheetName val="[입찰안.xls][입찰안.xls]_____xls_2278"/>
      <sheetName val="[입찰안.xls][입찰안.xls]_____xls_2281"/>
      <sheetName val="[입찰안.xls][입찰안.xls]_____xls_2277"/>
      <sheetName val="[입찰안.xls][입찰안.xls]_____xls_2280"/>
      <sheetName val="[입찰안.xls][입찰안.xls]_____xls_2283"/>
      <sheetName val="[입찰안.xls][입찰안.xls]_____xls_2284"/>
      <sheetName val="[입찰안.xls][입찰안.xls]_____xls_2285"/>
      <sheetName val="[입찰안.xls][입찰안.xls]_____xls_2287"/>
      <sheetName val="[입찰안.xls][입찰안.xls]_____xls_2286"/>
      <sheetName val="[입찰안.xls][입찰안.xls]_____xls_2289"/>
      <sheetName val="[입찰안.xls][입찰안.xls]_____xls_2288"/>
      <sheetName val="[입찰안.xls][입찰안.xls]_____xls_2290"/>
      <sheetName val="[입찰안.xls][입찰안.xls]_____xls_2293"/>
      <sheetName val="[입찰안.xls][입찰안.xls]_____xls_2291"/>
      <sheetName val="[입찰안.xls][입찰안.xls]_____xls_2294"/>
      <sheetName val="[입찰안.xls][입찰안.xls]_____xls_2292"/>
      <sheetName val="[입찰안.xls][입찰안.xls]_____xls_2295"/>
      <sheetName val="[입찰안.xls][입찰안.xls]_____xls_2297"/>
      <sheetName val="[입찰안.xls][입찰안.xls]_____xls_2296"/>
      <sheetName val="결재탔"/>
      <sheetName val="주안3차A-A"/>
      <sheetName val="원데이타"/>
      <sheetName val="조인트"/>
      <sheetName val="FORM-0"/>
      <sheetName val="stability?䘢䠂檱䠛檳"/>
      <sheetName val="6__안전"/>
      <sheetName val="unitpric"/>
      <sheetName val="97_사업추정(їEKI)"/>
      <sheetName val="COA-17"/>
      <sheetName val="C-18"/>
      <sheetName val="수정시산표"/>
      <sheetName val="기성(1차)_7"/>
      <sheetName val="5호광장_(만점)10"/>
      <sheetName val="인천국제_(만점)_(2)10"/>
      <sheetName val="Total_단위경유량집계10"/>
      <sheetName val="앉음벽_(2)10"/>
      <sheetName val="BH-1_(2)10"/>
      <sheetName val="표__지10"/>
      <sheetName val="준검_내역서10"/>
      <sheetName val="토공유동표(전체_당초)10"/>
      <sheetName val="1_수인터널10"/>
      <sheetName val="4_전기10"/>
      <sheetName val="I_설계조건10"/>
      <sheetName val="노원열병합__건축공사기성내역서10"/>
      <sheetName val="1_설계조건10"/>
      <sheetName val="조도계산서_(도서)10"/>
      <sheetName val="_HIT__HMC_견적_3900_10"/>
      <sheetName val="7__현장관리비_10"/>
      <sheetName val="6__안전관리비10"/>
      <sheetName val="보고서_기기리스트9"/>
      <sheetName val="소포내역_(2)10"/>
      <sheetName val="unit_49"/>
      <sheetName val="3련_BOX10"/>
      <sheetName val="플랜트_설치9"/>
      <sheetName val="11_산출(전열)10"/>
      <sheetName val="6_산출(동력)10"/>
      <sheetName val="7_산출(TRAY)10"/>
      <sheetName val="5_산출(전력)9"/>
      <sheetName val="수량산출서(전력간선_지하D_C)9"/>
      <sheetName val="우수관매설및_우수받이10"/>
      <sheetName val="11_우각부_보강10"/>
      <sheetName val="제출내역_(2)10"/>
      <sheetName val="내역_ver1_010"/>
      <sheetName val="plan&amp;section_of_foundation10"/>
      <sheetName val="pile_bearing_capa_&amp;_arrenge10"/>
      <sheetName val="working_load_at_the_btm_ft_10"/>
      <sheetName val="stability_check10"/>
      <sheetName val="design_criteria10"/>
      <sheetName val="배수공_시멘트_및_골재량_산출9"/>
      <sheetName val="내___역9"/>
      <sheetName val="2_1__노무비_평균단가산출9"/>
      <sheetName val="A_견적9"/>
      <sheetName val="배수내역_(2)9"/>
      <sheetName val="Customer_Databas9"/>
      <sheetName val="投标材料清单_9"/>
      <sheetName val="개인별_순위표9"/>
      <sheetName val="spc_배관견적9"/>
      <sheetName val="_HIT-&gt;HMC_견적(3900)9"/>
      <sheetName val="1_취수장9"/>
      <sheetName val="Cash_Flow-19"/>
      <sheetName val="3_1공사현황_공정표9"/>
      <sheetName val="전_기9"/>
      <sheetName val="SHEET_PILE단가9"/>
      <sheetName val="화재_탐지_설비9"/>
      <sheetName val="2차전체변경예정_(2)9"/>
      <sheetName val="노임_단가9"/>
      <sheetName val="6PILE__(돌출)9"/>
      <sheetName val="내역서_9"/>
      <sheetName val="8_현장관리비9"/>
      <sheetName val="7_안전관리비9"/>
      <sheetName val="BH_1__2_9"/>
      <sheetName val="목차_9"/>
      <sheetName val="귀래_설계_공내역서9"/>
      <sheetName val="설_계9"/>
      <sheetName val="1_설계기준9"/>
      <sheetName val="집_계_표9"/>
      <sheetName val="세골재__T2_변경_현황9"/>
      <sheetName val="별표_9"/>
      <sheetName val="도담구내_개소별_명세9"/>
      <sheetName val="참조_(2)8"/>
      <sheetName val="장비_(2)8"/>
      <sheetName val="3BL공동구_수량8"/>
      <sheetName val="전선_및_전선관8"/>
      <sheetName val="5_동별횡주관경8"/>
      <sheetName val="단___산8"/>
      <sheetName val="실____단8"/>
      <sheetName val="암거_제원표8"/>
      <sheetName val="노무비_근거8"/>
      <sheetName val="기성(1차)_8"/>
      <sheetName val="_갑지8"/>
      <sheetName val="내역서1999_8최종8"/>
      <sheetName val="Sheet1_(2)8"/>
      <sheetName val="제수변_수량집계표(보통)8"/>
      <sheetName val="일위대가_8"/>
      <sheetName val="4_LINE8"/>
      <sheetName val="7_th8"/>
      <sheetName val="5호광장_(만점)11"/>
      <sheetName val="인천국제_(만점)_(2)11"/>
      <sheetName val="Total_단위경유량집계11"/>
      <sheetName val="앉음벽_(2)11"/>
      <sheetName val="BH-1_(2)11"/>
      <sheetName val="표__지11"/>
      <sheetName val="준검_내역서11"/>
      <sheetName val="토공유동표(전체_당초)11"/>
      <sheetName val="1_수인터널11"/>
      <sheetName val="4_전기11"/>
      <sheetName val="I_설계조건11"/>
      <sheetName val="노원열병합__건축공사기성내역서11"/>
      <sheetName val="1_설계조건11"/>
      <sheetName val="조도계산서_(도서)11"/>
      <sheetName val="_HIT__HMC_견적_3900_11"/>
      <sheetName val="7__현장관리비_11"/>
      <sheetName val="6__안전관리비11"/>
      <sheetName val="보고서_기기리스트10"/>
      <sheetName val="소포내역_(2)11"/>
      <sheetName val="unit_410"/>
      <sheetName val="3련_BOX11"/>
      <sheetName val="플랜트_설치10"/>
      <sheetName val="11_산출(전열)11"/>
      <sheetName val="6_산출(동력)11"/>
      <sheetName val="7_산출(TRAY)11"/>
      <sheetName val="5_산출(전력)10"/>
      <sheetName val="수량산출서(전력간선_지하D_C)10"/>
      <sheetName val="MSS_210"/>
      <sheetName val="우수관매설및_우수받이11"/>
      <sheetName val="11_우각부_보강11"/>
      <sheetName val="제출내역_(2)11"/>
      <sheetName val="내역_ver1_011"/>
      <sheetName val="plan&amp;section_of_foundation11"/>
      <sheetName val="pile_bearing_capa_&amp;_arrenge11"/>
      <sheetName val="working_load_at_the_btm_ft_11"/>
      <sheetName val="stability_check11"/>
      <sheetName val="design_criteria11"/>
      <sheetName val="배수공_시멘트_및_골재량_산출10"/>
      <sheetName val="내___역10"/>
      <sheetName val="2_1__노무비_평균단가산출10"/>
      <sheetName val="A_견적10"/>
      <sheetName val="배수내역_(2)10"/>
      <sheetName val="Customer_Databas10"/>
      <sheetName val="投标材料清单_10"/>
      <sheetName val="개인별_순위표10"/>
      <sheetName val="spc_배관견적10"/>
      <sheetName val="_HIT-&gt;HMC_견적(3900)10"/>
      <sheetName val="1_취수장10"/>
      <sheetName val="Cash_Flow-110"/>
      <sheetName val="3_1공사현황_공정표10"/>
      <sheetName val="전_기10"/>
      <sheetName val="SHEET_PILE단가10"/>
      <sheetName val="화재_탐지_설비10"/>
      <sheetName val="2차전체변경예정_(2)10"/>
      <sheetName val="노임_단가10"/>
      <sheetName val="6PILE__(돌출)10"/>
      <sheetName val="내역서_10"/>
      <sheetName val="8_현장관리비10"/>
      <sheetName val="7_안전관리비10"/>
      <sheetName val="BH_1__2_10"/>
      <sheetName val="목차_10"/>
      <sheetName val="귀래_설계_공내역서10"/>
      <sheetName val="설_계10"/>
      <sheetName val="1_설계기준10"/>
      <sheetName val="집_계_표10"/>
      <sheetName val="세골재__T2_변경_현황10"/>
      <sheetName val="별표_10"/>
      <sheetName val="도담구내_개소별_명세10"/>
      <sheetName val="노임단가_(2)9"/>
      <sheetName val="3_공통공사대비9"/>
      <sheetName val="참조_(2)9"/>
      <sheetName val="단가_및_재료비9"/>
      <sheetName val="장비_(2)9"/>
      <sheetName val="RETAIL_(ABOVE)9"/>
      <sheetName val="5__현장관리비(new)_9"/>
      <sheetName val="장비비_명세서19"/>
      <sheetName val="2_대외공문9"/>
      <sheetName val="3BL공동구_수량9"/>
      <sheetName val="전선_및_전선관9"/>
      <sheetName val="7_공정표9"/>
      <sheetName val="단면_(2)9"/>
      <sheetName val="5_동별횡주관경9"/>
      <sheetName val="단___산9"/>
      <sheetName val="실____단9"/>
      <sheetName val="암거_제원표9"/>
      <sheetName val="노무비_근거9"/>
      <sheetName val="기성(1차)_9"/>
      <sheetName val="_갑지9"/>
      <sheetName val="내역서1999_8최종9"/>
      <sheetName val="Sheet1_(2)9"/>
      <sheetName val="Eq__Mobilization9"/>
      <sheetName val="제수변_수량집계표(보통)9"/>
      <sheetName val="일위대가_9"/>
      <sheetName val="4_LINE9"/>
      <sheetName val="7_th9"/>
      <sheetName val="5호광장_(만점)12"/>
      <sheetName val="인천국제_(만점)_(2)12"/>
      <sheetName val="Total_단위경유량집계12"/>
      <sheetName val="앉음벽_(2)12"/>
      <sheetName val="BH-1_(2)12"/>
      <sheetName val="표__지12"/>
      <sheetName val="준검_내역서12"/>
      <sheetName val="토공유동표(전체_당초)12"/>
      <sheetName val="1_수인터널12"/>
      <sheetName val="4_전기12"/>
      <sheetName val="I_설계조건12"/>
      <sheetName val="노원열병합__건축공사기성내역서12"/>
      <sheetName val="1_설계조건12"/>
      <sheetName val="조도계산서_(도서)12"/>
      <sheetName val="_HIT__HMC_견적_3900_12"/>
      <sheetName val="7__현장관리비_12"/>
      <sheetName val="6__안전관리비12"/>
      <sheetName val="보고서_기기리스트11"/>
      <sheetName val="소포내역_(2)12"/>
      <sheetName val="unit_411"/>
      <sheetName val="plan&amp;section_of_foundation12"/>
      <sheetName val="pile_bearing_capa_&amp;_arrenge12"/>
      <sheetName val="working_load_at_the_btm_ft_12"/>
      <sheetName val="stability_check12"/>
      <sheetName val="design_criteria12"/>
      <sheetName val="내역_ver1_012"/>
      <sheetName val="11_산출(전열)12"/>
      <sheetName val="6_산출(동력)12"/>
      <sheetName val="7_산출(TRAY)12"/>
      <sheetName val="우수관매설및_우수받이12"/>
      <sheetName val="11_우각부_보강12"/>
      <sheetName val="제출내역_(2)12"/>
      <sheetName val="배수공_시멘트_및_골재량_산출11"/>
      <sheetName val="내___역11"/>
      <sheetName val="플랜트_설치11"/>
      <sheetName val="3련_BOX12"/>
      <sheetName val="MSS_211"/>
      <sheetName val="2_1__노무비_평균단가산출11"/>
      <sheetName val="5_산출(전력)11"/>
      <sheetName val="A_견적11"/>
      <sheetName val="배수내역_(2)11"/>
      <sheetName val="수량산출서(전력간선_지하D_C)11"/>
      <sheetName val="Customer_Databas11"/>
      <sheetName val="개인별_순위표11"/>
      <sheetName val="投标材料清单_11"/>
      <sheetName val="spc_배관견적11"/>
      <sheetName val="_HIT-&gt;HMC_견적(3900)11"/>
      <sheetName val="1_취수장11"/>
      <sheetName val="Cash_Flow-111"/>
      <sheetName val="3_1공사현황_공정표11"/>
      <sheetName val="전_기11"/>
      <sheetName val="SHEET_PILE단가11"/>
      <sheetName val="화재_탐지_설비11"/>
      <sheetName val="2차전체변경예정_(2)11"/>
      <sheetName val="노임_단가11"/>
      <sheetName val="6PILE__(돌출)11"/>
      <sheetName val="내역서_11"/>
      <sheetName val="8_현장관리비11"/>
      <sheetName val="7_안전관리비11"/>
      <sheetName val="BH_1__2_11"/>
      <sheetName val="목차_11"/>
      <sheetName val="귀래_설계_공내역서11"/>
      <sheetName val="설_계11"/>
      <sheetName val="1_설계기준11"/>
      <sheetName val="집_계_표11"/>
      <sheetName val="세골재__T2_변경_현황11"/>
      <sheetName val="별표_11"/>
      <sheetName val="일위대가_10"/>
      <sheetName val="4_LINE10"/>
      <sheetName val="7_th10"/>
      <sheetName val="도담구내_개소별_명세11"/>
      <sheetName val="3_공통공사대비10"/>
      <sheetName val="단가_및_재료비10"/>
      <sheetName val="노임단가_(2)10"/>
      <sheetName val="단___산10"/>
      <sheetName val="실____단10"/>
      <sheetName val="7_공정표10"/>
      <sheetName val="단면_(2)10"/>
      <sheetName val="장비비_명세서110"/>
      <sheetName val="RETAIL_(ABOVE)10"/>
      <sheetName val="5__현장관리비(new)_10"/>
      <sheetName val="노무비_근거10"/>
      <sheetName val="암거_제원표10"/>
      <sheetName val="5_동별횡주관경10"/>
      <sheetName val="2_대외공문10"/>
      <sheetName val="장비_(2)10"/>
      <sheetName val="참조_(2)10"/>
      <sheetName val="Sheet1_(2)10"/>
      <sheetName val="제수변_수량집계표(보통)10"/>
      <sheetName val="Eq__Mobilization10"/>
      <sheetName val="3BL공동구_수량10"/>
      <sheetName val="전선_및_전선관10"/>
      <sheetName val="내역서1999_8최종10"/>
      <sheetName val="기성(1차)_10"/>
      <sheetName val="_갑지10"/>
      <sheetName val="5F_계약단가"/>
      <sheetName val="명단"/>
      <sheetName val="제조 경영"/>
      <sheetName val="5호광장_(만점)13"/>
      <sheetName val="인천국제_(만점)_(2)13"/>
      <sheetName val="Total_단위경유량집계13"/>
      <sheetName val="앉음벽_(2)13"/>
      <sheetName val="BH-1_(2)13"/>
      <sheetName val="표__지13"/>
      <sheetName val="준검_내역서13"/>
      <sheetName val="토공유동표(전체_당초)13"/>
      <sheetName val="1_수인터널13"/>
      <sheetName val="4_전기13"/>
      <sheetName val="I_설계조건13"/>
      <sheetName val="노원열병합__건축공사기성내역서13"/>
      <sheetName val="1_설계조건13"/>
      <sheetName val="조도계산서_(도서)13"/>
      <sheetName val="_HIT__HMC_견적_3900_13"/>
      <sheetName val="7__현장관리비_13"/>
      <sheetName val="6__안전관리비13"/>
      <sheetName val="보고서_기기리스트12"/>
      <sheetName val="소포내역_(2)13"/>
      <sheetName val="unit_412"/>
      <sheetName val="plan&amp;section_of_foundation13"/>
      <sheetName val="pile_bearing_capa_&amp;_arrenge13"/>
      <sheetName val="working_load_at_the_btm_ft_13"/>
      <sheetName val="stability_check13"/>
      <sheetName val="design_criteria13"/>
      <sheetName val="내역_ver1_013"/>
      <sheetName val="11_산출(전열)13"/>
      <sheetName val="6_산출(동력)13"/>
      <sheetName val="7_산출(TRAY)13"/>
      <sheetName val="우수관매설및_우수받이13"/>
      <sheetName val="11_우각부_보강13"/>
      <sheetName val="제출내역_(2)13"/>
      <sheetName val="배수공_시멘트_및_골재량_산출12"/>
      <sheetName val="내___역12"/>
      <sheetName val="플랜트_설치12"/>
      <sheetName val="3련_BOX13"/>
      <sheetName val="MSS_212"/>
      <sheetName val="2_1__노무비_평균단가산출12"/>
      <sheetName val="5_산출(전력)12"/>
      <sheetName val="A_견적12"/>
      <sheetName val="배수내역_(2)12"/>
      <sheetName val="수량산출서(전력간선_지하D_C)12"/>
      <sheetName val="Customer_Databas12"/>
      <sheetName val="개인별_순위표12"/>
      <sheetName val="投标材料清单_12"/>
      <sheetName val="spc_배관견적12"/>
      <sheetName val="_HIT-&gt;HMC_견적(3900)12"/>
      <sheetName val="1_취수장12"/>
      <sheetName val="Cash_Flow-112"/>
      <sheetName val="3_1공사현황_공정표12"/>
      <sheetName val="전_기12"/>
      <sheetName val="SHEET_PILE단가12"/>
      <sheetName val="화재_탐지_설비12"/>
      <sheetName val="2차전체변경예정_(2)12"/>
      <sheetName val="노임_단가12"/>
      <sheetName val="6PILE__(돌출)12"/>
      <sheetName val="내역서_12"/>
      <sheetName val="8_현장관리비12"/>
      <sheetName val="7_안전관리비12"/>
      <sheetName val="BH_1__2_12"/>
      <sheetName val="목차_12"/>
      <sheetName val="귀래_설계_공내역서12"/>
      <sheetName val="설_계12"/>
      <sheetName val="1_설계기준12"/>
      <sheetName val="집_계_표12"/>
      <sheetName val="세골재__T2_변경_현황12"/>
      <sheetName val="별표_12"/>
      <sheetName val="일위대가_11"/>
      <sheetName val="4_LINE11"/>
      <sheetName val="7_th11"/>
      <sheetName val="도담구내_개소별_명세12"/>
      <sheetName val="3_공통공사대비11"/>
      <sheetName val="단가_및_재료비11"/>
      <sheetName val="노임단가_(2)11"/>
      <sheetName val="단___산11"/>
      <sheetName val="실____단11"/>
      <sheetName val="7_공정표11"/>
      <sheetName val="단면_(2)11"/>
      <sheetName val="장비비_명세서111"/>
      <sheetName val="6__수량산출서8"/>
      <sheetName val="RETAIL_(ABOVE)11"/>
      <sheetName val="5__현장관리비(new)_11"/>
      <sheetName val="노무비_근거11"/>
      <sheetName val="암거_제원표11"/>
      <sheetName val="5_동별횡주관경11"/>
      <sheetName val="2_대외공문11"/>
      <sheetName val="장비_(2)11"/>
      <sheetName val="참조_(2)11"/>
      <sheetName val="Sheet1_(2)11"/>
      <sheetName val="제수변_수량집계표(보통)11"/>
      <sheetName val="Eq__Mobilization11"/>
      <sheetName val="3BL공동구_수량11"/>
      <sheetName val="전선_및_전선관11"/>
      <sheetName val="내역서1999_8최종11"/>
      <sheetName val="CM_18"/>
      <sheetName val="_갑지11"/>
      <sheetName val="도담구내_개소별_명柖8"/>
      <sheetName val="danh_muc_vat_tu8"/>
      <sheetName val="Register-BG_NCC8"/>
      <sheetName val="Data_28"/>
      <sheetName val="TB_chính8"/>
      <sheetName val="Steel_pipe8"/>
      <sheetName val="Ref_pipe+Ins8"/>
      <sheetName val="Plastic_pipe8"/>
      <sheetName val="Air_Grilles8"/>
      <sheetName val="Cost_bd-&quot;A&quot;8"/>
      <sheetName val="수량산출서_(2)7"/>
      <sheetName val="1_CB7"/>
      <sheetName val="토공_total7"/>
      <sheetName val="기성(1차)_11"/>
      <sheetName val="습식및_셀프레벨링8"/>
      <sheetName val="1차_내역서8"/>
      <sheetName val="BSD_(2)7"/>
      <sheetName val="바_한일양산7"/>
      <sheetName val="Project_Brief7"/>
      <sheetName val="영업_일17"/>
      <sheetName val="기기_내역서7"/>
      <sheetName val="일위대가56-1_7"/>
      <sheetName val="일위대가71-1_7"/>
      <sheetName val="일위대가74-1_7"/>
      <sheetName val="일위대가76-1_7"/>
      <sheetName val="일위대가77-1_7"/>
      <sheetName val="일위대가78-1_7"/>
      <sheetName val="_소방공사_산출근거7"/>
      <sheetName val="전사_(2)7"/>
      <sheetName val="BA_(2)7"/>
      <sheetName val="CP_(2)7"/>
      <sheetName val="토공_토적표7"/>
      <sheetName val="4__VOs_summary7"/>
      <sheetName val="변경명신물량_(2)7"/>
      <sheetName val="아파트_6"/>
      <sheetName val="Xunit_(단위환산)6"/>
      <sheetName val="장비코드표_0506016"/>
      <sheetName val="2007년_생산1부장비6"/>
      <sheetName val="2008년_생산부전장비코드6"/>
      <sheetName val="DDB부_장비_관리현황6"/>
      <sheetName val="기존단가_(2)7"/>
      <sheetName val="DATA_LISTS5"/>
      <sheetName val="Chiet_tinh_dz357"/>
      <sheetName val="Bảng_mã_VT7"/>
      <sheetName val="Elec_LG5"/>
      <sheetName val="ESTI_5"/>
      <sheetName val="D_&amp;_W_sizes5"/>
      <sheetName val="Gia_vat_tu5"/>
      <sheetName val="dtct_cong5"/>
      <sheetName val="DGCT_(01)5"/>
      <sheetName val="SCOPE_OF_WORK5"/>
      <sheetName val="Chi_tiet5"/>
      <sheetName val="nhôm_1,2mm5"/>
      <sheetName val="nhôm_1,4mm5"/>
      <sheetName val="01__DATA5"/>
      <sheetName val="So_sanh4"/>
      <sheetName val="Phan_tich_ca_may4"/>
      <sheetName val="Chenh_lech_ca_may4"/>
      <sheetName val="TLg_CN&amp;Laixe4"/>
      <sheetName val="TLg_CN&amp;Laixe_(2)4"/>
      <sheetName val="TLg_Laitau4"/>
      <sheetName val="TLg_Laitau_(2)4"/>
      <sheetName val="Cọc_nhồi4"/>
      <sheetName val="Dầm_14"/>
      <sheetName val="Gia_VLNCMTC4"/>
      <sheetName val="Chiet_tinh_don_gia_CM4"/>
      <sheetName val="Sàn_T14"/>
      <sheetName val="Lỗ_thông_gió4"/>
      <sheetName val="Measure_13064"/>
      <sheetName val="Sàn_tầng_01_(_old_)4"/>
      <sheetName val="EE_(3)4"/>
      <sheetName val="RAB_AR&amp;STR3"/>
      <sheetName val="Isolasi_Luar_Dalam3"/>
      <sheetName val="Isolasi_Luar3"/>
      <sheetName val="Div26_-_Elect3"/>
      <sheetName val="[입찰안_xls]직접뀀鞖/3"/>
      <sheetName val="U_P_Breakdown3"/>
      <sheetName val="1_R18_BF3"/>
      <sheetName val="6_External_works-R183"/>
      <sheetName val="General_Data1"/>
      <sheetName val="Khoi_luong1"/>
      <sheetName val="_입찰안_xls__입찰안_xls__입찰안_xls____4"/>
      <sheetName val="노_표-조1"/>
      <sheetName val="DTICH_(Full)1"/>
      <sheetName val="[입찰안_xls][입찰안_xls][입찰안_xls]B201"/>
      <sheetName val="[입찰안_xls][입찰안_xls][입찰안_xls]B202"/>
      <sheetName val="[입찰안_xls][입찰안_xls][입찰안_xls]B203"/>
      <sheetName val="[입찰안_xls][입찰안_xls][입찰안_xls]B204"/>
      <sheetName val="[입찰안_xls][입찰안_xls][입찰안_xls]B205"/>
      <sheetName val="[입찰안_xls][입찰안_xls][입찰안_xls]B206"/>
      <sheetName val="[입찰안_xls][입찰안_xls][입찰안_xls]B207"/>
      <sheetName val="[입찰안_xls][입찰안_xls][입찰안_xls]B208"/>
      <sheetName val="[입찰안_xls][입찰안_xls][입찰안_xls]B209"/>
      <sheetName val="[입찰안_xls][입찰안_xls][입찰안_xls]B210"/>
      <sheetName val="[입찰안_xls][입찰안_xls][입찰안_xls]B211"/>
      <sheetName val="[입찰안_xls][입찰안_xls][입찰안_xls]B212"/>
      <sheetName val="[입찰안_xls][입찰안_xls][입찰안_xls]B213"/>
      <sheetName val="[입찰안_xls][입찰안_xls][입찰안_xls]B214"/>
      <sheetName val="[입찰안_xls][입찰안_xls][입찰안_xls]B215"/>
      <sheetName val="[입찰안_xls][입찰안_xls][입찰안_xls]B216"/>
      <sheetName val="[입찰안_xls][입찰안_xls][입찰안_xls]B217"/>
      <sheetName val="[입찰안_xls][입찰안_xls][입찰안_xls]B218"/>
      <sheetName val="[입찰안_xls][입찰안_xls][입찰안_xls]B219"/>
      <sheetName val="[입찰안_xls][입찰안_xls][입찰안_xls]B220"/>
      <sheetName val="[입찰안_xls][입찰안_xls][입찰안_xls]B221"/>
      <sheetName val="[입찰안_xls][입찰안_xls][입찰안_xls]B222"/>
      <sheetName val="[입찰안_xls][입찰안_xls][입찰안_xls]B223"/>
      <sheetName val="[입찰안_xls][입찰안_xls][입찰안_xls]B224"/>
      <sheetName val="[입찰안_xls][입찰안_xls][입찰안_xls]B225"/>
      <sheetName val="[입찰안_xls][입찰안_xls][입찰안_xls]B226"/>
      <sheetName val="[입찰안_xls][입찰안_xls][입찰안_xls]B227"/>
      <sheetName val="Requirement(Work_Crew)1"/>
      <sheetName val="Thuc_thanh1"/>
      <sheetName val="COST_SUMMARY1"/>
      <sheetName val="Xuly_Data1"/>
      <sheetName val="사__업__비__수__지__예__산__서1"/>
      <sheetName val="5F_계약단가1"/>
      <sheetName val="MAIN_GATE_HOUSE1"/>
      <sheetName val="TL_rieng1"/>
      <sheetName val="PHU_LUC_011"/>
      <sheetName val="Đầu_vào1"/>
      <sheetName val="Cost_factor1"/>
      <sheetName val="Item_list1"/>
      <sheetName val="Sheet_Template_Empty1"/>
      <sheetName val="chiet_tinh1"/>
      <sheetName val="1__Dashboard1"/>
      <sheetName val="[입찰안_xls][입찰안_xls]직접뀀鞖/4"/>
      <sheetName val="제조_경영"/>
      <sheetName val="Báo_cáo2"/>
      <sheetName val="Đơn_giá_theo_m2"/>
      <sheetName val="Bill_No_1_6"/>
      <sheetName val="Bill_No_1_10"/>
      <sheetName val="Bill_No_3_3"/>
      <sheetName val="Bill_No_1_4"/>
      <sheetName val="Bill_No_1_7"/>
      <sheetName val="Summary_Bill_No__3"/>
      <sheetName val="VTP tham khảo"/>
      <sheetName val="Bang THKP-DMDT"/>
      <sheetName val="_HIT__HMC__x0000__x0000__x0005__x0000_瑐믇Ⱥ_x0000_"/>
      <sheetName val="직접뀀鞖/_x005f_x0000_"/>
      <sheetName val="정리계槜〚_x005f_x0000__x005f_x0000_䇀"/>
      <sheetName val="design_crit_x005f_x0000__x005f_x0000__x00_2"/>
      <sheetName val="내역_verᔈ_x005f_x0000__x005f_x0000_"/>
      <sheetName val="계산_x005f_x0000__x005f_x0000_"/>
      <sheetName val="1_2_3_4_x005f_x0005__x005f_x0000___x005f_x0000__2"/>
      <sheetName val="6_산출닑⾱_x005f_x0005__x005f_x0000_"/>
      <sheetName val="조도계산서Å_x005f_x0000_Ԁ_x005f_x0000__x005f_x0000_"/>
      <sheetName val="조도계산서Å_x005f_x0000_Ԁ_x005f_x0000_耀"/>
      <sheetName val="공량·_x005f_x0000__x005f_x0000_"/>
      <sheetName val="working_load_at_______x005f_x0000___2"/>
      <sheetName val="[입찰안.xls]직접뀀鞖/_x005f_x0000_"/>
      <sheetName val="[입찰안.xls][입찰안.xls]직접뀀鞖/_x005f_x0000_"/>
      <sheetName val="_____x005f_x0000__x005f_x0000__x005f_x0005__x00_2"/>
      <sheetName val="plan_section_of__x005f_x0000__x005f_x0000_2"/>
      <sheetName val="원_x005f_x0000__x005f_x0000_"/>
      <sheetName val="1,2,3,4_x005f_x0005_"/>
      <sheetName val="단_x005f_x0005__x005f_x0000_"/>
      <sheetName val="공기압¬_x005f_x0000_Ԁ"/>
      <sheetName val="pile_bearing_capa__________x0_2"/>
      <sheetName val="pile_bearing_capa________x000_2"/>
      <sheetName val="일위대가(집계_x005f_x0000_"/>
      <sheetName val="정리계槜で_x005f_x0000__x005f_x0000_ｐ"/>
      <sheetName val="정리계槜で_x005f_x0000__x005f_x0000_㟠"/>
      <sheetName val="_________x005f_x0000__x005f_x0000__x005f_x0005__2"/>
      <sheetName val="_________x005f_x0000__x005f_x0000__x005f_x0005__3"/>
      <sheetName val="pile_bearing_ca____x005f_x0000______2"/>
      <sheetName val="__x005f_x0000__x005f_x0000____x005f_x0000__x000_2"/>
      <sheetName val="__x005f_x0000__x005f_x0000____x005f_x0000__x000_3"/>
      <sheetName val="__x005f_x0000__x005f_x0000____x005f_x0000__x000_4"/>
      <sheetName val="__x005f_x0000__x005f_x0000____x005f_x0000__x000_5"/>
      <sheetName val="__x005f_x0000__x005f_x0000____x005f_x0000__x000_6"/>
      <sheetName val="__x005f_x0000__x005f_x0000____x005f_x0000__x000_7"/>
      <sheetName val="__x005f_x0000__x005f_x0000____x005f_x0000__x000_8"/>
      <sheetName val="__x005f_x0000__x005f_x0000____x005f_x0000__x000_9"/>
      <sheetName val="__x005f_x0000__x005f_x0000____x005f_x0000__x00_10"/>
      <sheetName val="__x005f_x0000__x005f_x0000____x005f_x0000__x00_11"/>
      <sheetName val="__x005f_x0000__x005f_x0000____x005f_x0000__x00_12"/>
      <sheetName val="__x005f_x0000__x005f_x0000____x005f_x0000__x00_13"/>
      <sheetName val="__x005f_x0000__x005f_x0000____x005f_x0000__x00_14"/>
      <sheetName val="__x005f_x0000__x005f_x0000____x005f_x0000__x00_15"/>
      <sheetName val="__x005f_x0000__x005f_x0000____x005f_x0000__x00_16"/>
      <sheetName val="__x005f_x0000__x005f_x0000____x005f_x0000__x00_17"/>
      <sheetName val="__x005f_x0000__x005f_x0000____x005f_x0000__x00_18"/>
      <sheetName val="__x005f_x0000__x005f_x0000____x005f_x0000__x00_19"/>
      <sheetName val="__x005f_x0000__x005f_x0000____x005f_x0000__x00_20"/>
      <sheetName val="__x005f_x0000__x005f_x0000____x005f_x0000__x00_21"/>
      <sheetName val="__x005f_x0000__x005f_x0000____x005f_x0000__x00_22"/>
      <sheetName val="__x005f_x0000__x005f_x0000____x005f_x0000__x00_23"/>
      <sheetName val="__x005f_x0000__x005f_x0000____x005f_x0000__x00_24"/>
      <sheetName val="__x005f_x0000__x005f_x0000____x005f_x0000__x00_25"/>
      <sheetName val="__x005f_x0000__x005f_x0000____x005f_x0000__x00_26"/>
      <sheetName val="__x005f_x0000__x005f_x0000____x005f_x0000__x00_27"/>
      <sheetName val="__x005f_x0000__x005f_x0000____x005f_x0000__x00_28"/>
      <sheetName val="__x005f_x0000__x005f_x0000____x005f_x0000__x00_29"/>
      <sheetName val="__x005f_x0000__x005f_x0000____x005f_x0000__x00_30"/>
      <sheetName val="__x005f_x0000__x005f_x0000____x005f_x0000__x00_31"/>
      <sheetName val="__x005f_x0000__x005f_x0000____x005f_x0000__x00_32"/>
      <sheetName val="__x005f_x0000__x005f_x0000____x005f_x0000__x00_33"/>
      <sheetName val="__x005f_x0000__x005f_x0000____x005f_x0000__x00_34"/>
      <sheetName val="__x005f_x0000__x005f_x0000____x005f_x0000__x00_35"/>
      <sheetName val="__x005f_x0000__x005f_x0000____x005f_x0000__x00_36"/>
      <sheetName val="__x005f_x0000__x005f_x0000____x005f_x0000__x00_37"/>
      <sheetName val="__x005f_x0000__x005f_x0000____x005f_x0000__x00_38"/>
      <sheetName val="__x005f_x0000__x005f_x0000____x005f_x0000__x00_39"/>
      <sheetName val="__x005f_x0000__x005f_x0000____x005f_x0000__x00_40"/>
      <sheetName val="__x005f_x0000__x005f_x0000____x005f_x0000__x00_41"/>
      <sheetName val="__x005f_x0000__x005f_x0000____x005f_x0000__x00_42"/>
      <sheetName val="__x005f_x0000__x005f_x0000____x005f_x0000__x00_43"/>
      <sheetName val="__x005f_x0000__x005f_x0000____x005f_x0000__x00_44"/>
      <sheetName val="__x005f_x0000__x005f_x0000____x005f_x0000__x00_45"/>
      <sheetName val="__x005f_x0000__x005f_x0000____x005f_x0000__x00_46"/>
      <sheetName val="__x005f_x0000__x005f_x0000____x005f_x0000__x00_47"/>
      <sheetName val="__x005f_x0000__x005f_x0000____x005f_x0000__x00_48"/>
      <sheetName val="__x005f_x0000__x005f_x0000____x005f_x0000__x00_49"/>
      <sheetName val="__x005f_x0000__x005f_x0000____x005f_x0000__x00_50"/>
      <sheetName val="__x005f_x0000__x005f_x0000____x005f_x0000__x00_51"/>
      <sheetName val="__x005f_x0000__x005f_x0000____x005f_x0000__x00_52"/>
      <sheetName val="__x005f_x0000__x005f_x0000____x005f_x0000__x00_53"/>
      <sheetName val="__x005f_x0000__x005f_x0000____x005f_x0000__x00_54"/>
      <sheetName val="__x005f_x0000__x005f_x0000____x005f_x0000__x00_55"/>
      <sheetName val="__x005f_x0000__x005f_x0000____x005f_x0000__x00_56"/>
      <sheetName val="__x005f_x0000__x005f_x0000____x005f_x0000__x00_57"/>
      <sheetName val="__x005f_x0000__x005f_x0000____x005f_x0000__x00_58"/>
      <sheetName val="__x005f_x0000__x005f_x0000____x005f_x0000__x00_59"/>
      <sheetName val="__x005f_x0000__x005f_x0000____x005f_x0000__x00_60"/>
      <sheetName val="__x005f_x0000__x005f_x0000____x005f_x0000__x00_61"/>
      <sheetName val="__x005f_x0000__x005f_x0000____x005f_x0000__x00_62"/>
      <sheetName val="__x005f_x0000__x005f_x0000____x005f_x0000__x00_63"/>
      <sheetName val="__x005f_x0000__x005f_x0000____x005f_x0000__x00_64"/>
      <sheetName val="__x005f_x0000__x005f_x0000____x005f_x0000__x00_65"/>
      <sheetName val="__x005f_x0000__x005f_x0000____x005f_x0000__x00_66"/>
      <sheetName val="__x005f_x0000__x005f_x0000____x005f_x0000__x00_67"/>
      <sheetName val="__x005f_x0000__x005f_x0000____x005f_x0000__x00_68"/>
      <sheetName val="__x005f_x0000__x005f_x0000____x005f_x0000__x00_69"/>
      <sheetName val="__x005f_x0000__x005f_x0000____x005f_x0000__x00_70"/>
      <sheetName val="__x005f_x0000__x005f_x0000____x005f_x0000__x00_71"/>
      <sheetName val="__x005f_x0000__x005f_x0000____x005f_x0000__x00_72"/>
      <sheetName val="__x005f_x0000__x005f_x0000____x005f_x0000__x00_73"/>
      <sheetName val="__x005f_x0000__x005f_x0000____x005f_x0000__x00_74"/>
      <sheetName val="__x005f_x0000__x005f_x0000____x005f_x0000__x00_75"/>
      <sheetName val="__x005f_x0000__x005f_x0000____x005f_x0000__x00_76"/>
      <sheetName val="__x005f_x0000__x005f_x0000____x005f_x0000__x00_77"/>
      <sheetName val="__x005f_x0000__x005f_x0000____x005f_x0000__x00_78"/>
      <sheetName val="__x005f_x0000__x005f_x0000____x005f_x0000__x00_79"/>
      <sheetName val="__x005f_x0000__x005f_x0000____x005f_x0000__x00_80"/>
      <sheetName val="__x005f_x0000__x005f_x0000____x005f_x0000__x00_81"/>
      <sheetName val="__x005f_x0000__x005f_x0000____x005f_x0000__x00_82"/>
      <sheetName val="__x005f_x0000__x005f_x0000____x005f_x0000__x00_83"/>
      <sheetName val="__x005f_x0000__x005f_x0000____x005f_x0000__x00_84"/>
      <sheetName val="__x005f_x0000__x005f_x0000____x005f_x0000__x00_85"/>
      <sheetName val="__x005f_x0000__x005f_x0000____x005f_x0000__x00_86"/>
      <sheetName val="__x005f_x0000__x005f_x0000____x005f_x0000__x00_87"/>
      <sheetName val="__x005f_x0000__x005f_x0000____x005f_x0000__x00_88"/>
      <sheetName val="수량산출서집´_x005f_x0000_Ԁ_x005f_x0000_耀֜䌛"/>
      <sheetName val="전기혼잡제경⻉ⴋԯ_x005f_x0000_缀"/>
      <sheetName val="일위대가_x005f_x0000__x005f_x0000_렀"/>
      <sheetName val="일위대가耀쾑_x005f_x0000_"/>
      <sheetName val="조도계산서Ì_x005f_x0000_Ԁ_x005f_x0000_耀"/>
      <sheetName val="______x005f_x005f_x005f_x0000__x005f_x005f_x000_2"/>
      <sheetName val="____x005f_x005f_x005f_x0000__x005f_x005f_x005f_x0000__2"/>
      <sheetName val="공기압舓⿫_x005f_x005f_x005f_x0005_"/>
      <sheetName val="I_설계조_x005f_x005f_x005f_x0000_"/>
      <sheetName val="조도계산서_(도서_x005f_x005f_x005f_x0000_"/>
      <sheetName val="주bea_x005f_x005f_x005f_xdcf0_"/>
      <sheetName val="대_x005f_x005f_x005f_x0000__x005f_x005f_x005f_x0000_"/>
      <sheetName val="장悱_x005f_x0017_"/>
      <sheetName val="3련_BÈ_x005f_x0000_"/>
      <sheetName val="plan_section_of__x005f_x0010__x005f_x0000_2"/>
      <sheetName val="집계장(Â_x005f_x0000_蠀1_x005f_x0000__x005f_x0000_"/>
      <sheetName val="집계장(뀀ﰡ_x005f_x0000_䀰"/>
      <sheetName val="design_c_x005f_x0000__x005f_x0000______x0_2"/>
      <sheetName val="POL6차-PIPÁ_x005f_x0000_Ԁ"/>
      <sheetName val="stability_x005f_xdc00_䘢䠂檱䠛檳"/>
      <sheetName val="노원열병합__건축공사기성내역_x005f_x0000_"/>
      <sheetName val="차선도색수량집계"/>
      <sheetName val="일목"/>
      <sheetName val="[입찰안.xls][입찰안.xls]_____xls_2298"/>
      <sheetName val="[입찰안.xls][입찰안.xls]_____xls_2299"/>
      <sheetName val="7_산출(_x0000__x0000__x0000__x0001_Ԁ"/>
      <sheetName val="[입찰안.xls][입찰안.xls]_____xls_2306"/>
      <sheetName val="[입찰안.xls][입찰안.xls]_____xls_2303"/>
      <sheetName val="[입찰안.xls][입찰안.xls]_____xls_2300"/>
      <sheetName val="[입찰안.xls][입찰안.xls]_____xls_2301"/>
      <sheetName val="[입찰안.xls][입찰안.xls]_____xls_2302"/>
      <sheetName val="[입찰안.xls][입찰안.xls]_____xls_2304"/>
      <sheetName val="[입찰안.xls][입찰안.xls]_____xls_2305"/>
      <sheetName val="[입찰안.xls][입찰안.xls]_____xls_2307"/>
      <sheetName val="[입찰안.xls][입찰안.xls]_____xls_2310"/>
      <sheetName val="[입찰안.xls][입찰안.xls]_____xls_2308"/>
      <sheetName val="[입찰안.xls][입찰안.xls]_____xls_2309"/>
      <sheetName val="[입찰안.xls][입찰안.xls]_____xls_2312"/>
      <sheetName val="[입찰안.xls][입찰안.xls]_____xls_2311"/>
      <sheetName val="[입찰안.xls][입찰안.xls]_____xls_2316"/>
      <sheetName val="[입찰안.xls][입찰안.xls]_____xls_2313"/>
      <sheetName val="[입찰안.xls][입찰안.xls]_____xls_2314"/>
      <sheetName val="[입찰안.xls][입찰안.xls]_____xls_2315"/>
      <sheetName val="[입찰안.xls][입찰안.xls]_____xls_2317"/>
      <sheetName val="[입찰안.xls][입찰안.xls]_____xls_2568"/>
      <sheetName val="[입찰안.xls][입찰안.xls]_____xls_2569"/>
      <sheetName val="pile_bearing_capa_&amp;__x0000__x0000_Ԁ_x0000_훴阬"/>
      <sheetName val="[입찰안.xls][입찰안.xls]_____xls_2318"/>
      <sheetName val="À_x0000__x0000__x0000__x0000__x0000__x0000__x0000__x0000_"/>
      <sheetName val="7내역"/>
      <sheetName val="18.공내수압탄성자연"/>
      <sheetName val="DD EST."/>
      <sheetName val="Du lieu"/>
      <sheetName val="단면A-A(TR)"/>
      <sheetName val="DG ke"/>
      <sheetName val="DTXL"/>
      <sheetName val="CT35"/>
      <sheetName val="Calculations"/>
      <sheetName val="PSW_Sheet"/>
      <sheetName val="자재목록"/>
      <sheetName val="1221"/>
      <sheetName val="가격표"/>
      <sheetName val="Regenerator  Concrete Structure"/>
      <sheetName val="Ts&amp;Cs"/>
      <sheetName val="Variables"/>
      <sheetName val="대운산출"/>
      <sheetName val="B__입찰안.xls"/>
      <sheetName val="_입찰안.xls_B__입찰안.xls"/>
      <sheetName val="_입찰안.xls__입찰안.xls_B__입찰안.xls"/>
      <sheetName val="_입찰안.xls__입찰안.xls__입찰안.xls__267"/>
      <sheetName val="_입찰안.xls__입찰안.xls__입찰안.xls__269"/>
      <sheetName val="_입찰안.xls__입찰안.xls__입찰안.xls__268"/>
      <sheetName val="_입찰안.xls__입찰안.xls__입찰안.xls__115"/>
      <sheetName val="_입찰안.xls__입찰안.xls__입찰안.xls__113"/>
      <sheetName val="_입찰안.xls__입찰안.xls__입찰안.xls__114"/>
      <sheetName val="_입찰안.xls__입찰안.xls__입찰안.xls__117"/>
      <sheetName val="_입찰안.xls__입찰안.xls__입찰안.xls__116"/>
      <sheetName val="_입찰안.xls__입찰안.xls__입찰안.xls__122"/>
      <sheetName val="_입찰안.xls__입찰안.xls__입찰안.xls__120"/>
      <sheetName val="_입찰안.xls__입찰안.xls__입찰안.xls__118"/>
      <sheetName val="_입찰안.xls__입찰안.xls__입찰안.xls__119"/>
      <sheetName val="_입찰안.xls__입찰안.xls__입찰안.xls__121"/>
      <sheetName val="_입찰안.xls__입찰안.xls__입찰안.xls__124"/>
      <sheetName val="_입찰안.xls__입찰안.xls__입찰안.xls__123"/>
      <sheetName val="_입찰안.xls__입찰안.xls__입찰안.xls__131"/>
      <sheetName val="_입찰안.xls__입찰안.xls__입찰안.xls__128"/>
      <sheetName val="_입찰안.xls__입찰안.xls__입찰안.xls__125"/>
      <sheetName val="_입찰안.xls__입찰안.xls__입찰안.xls__126"/>
      <sheetName val="_입찰안.xls__입찰안.xls__입찰안.xls__127"/>
      <sheetName val="_입찰안.xls__입찰안.xls__입찰안.xls__129"/>
      <sheetName val="_입찰안.xls__입찰안.xls__입찰안.xls__130"/>
      <sheetName val="_입찰안.xls__입찰안.xls__입찰안.xls__132"/>
      <sheetName val="_입찰안.xls__입찰안.xls__입찰안.xls__140"/>
      <sheetName val="_입찰안.xls__입찰안.xls__입찰안.xls__135"/>
      <sheetName val="_입찰안.xls__입찰안.xls__입찰안.xls__134"/>
      <sheetName val="_입찰안.xls__입찰안.xls__입찰안.xls__133"/>
      <sheetName val="_입찰안.xls__입찰안.xls__입찰안.xls__139"/>
      <sheetName val="_입찰안.xls__입찰안.xls__입찰안.xls__136"/>
      <sheetName val="_입찰안.xls__입찰안.xls__입찰안.xls__137"/>
      <sheetName val="_입찰안.xls__입찰안.xls__입찰안.xls__138"/>
      <sheetName val="_입찰안.xls__입찰안.xls__입찰안.xls__142"/>
      <sheetName val="_입찰안.xls__입찰안.xls__입찰안.xls__141"/>
      <sheetName val="_입찰안.xls__입찰안.xls__입찰안.xls__143"/>
      <sheetName val="_입찰안.xls__입찰안.xls__입찰안.xls__145"/>
      <sheetName val="_입찰안.xls__입찰안.xls__입찰안.xls__144"/>
      <sheetName val="_입찰안.xls__입찰안.xls__입찰안.xls__146"/>
      <sheetName val="_입찰안.xls__입찰안.xls__입찰안.xls__147"/>
      <sheetName val="_입찰안.xls__입찰안.xls__입찰안.xls__149"/>
      <sheetName val="_입찰안.xls__입찰안.xls__입찰안.xls__148"/>
      <sheetName val="_입찰안.xls__입찰안.xls__입찰안.xls__152"/>
      <sheetName val="_입찰안.xls__입찰안.xls__입찰안.xls__153"/>
      <sheetName val="_입찰안.xls__입찰안.xls__입찰안.xls__150"/>
      <sheetName val="_입찰안.xls__입찰안.xls__입찰안.xls__151"/>
      <sheetName val="_입찰안.xls__입찰안.xls__입찰안.xls__155"/>
      <sheetName val="_입찰안.xls__입찰안.xls__입찰안.xls__154"/>
      <sheetName val="_입찰안.xls__입찰안.xls__입찰안.xls__156"/>
      <sheetName val="_입찰안.xls__입찰안.xls__입찰안.xls__158"/>
      <sheetName val="_입찰안.xls__입찰안.xls__입찰안.xls__157"/>
      <sheetName val="_입찰안.xls__입찰안.xls__입찰안.xls__159"/>
      <sheetName val="_입찰안.xls__입찰안.xls__입찰안.xls__160"/>
      <sheetName val="_입찰안.xls__입찰안.xls__입찰안.xls__164"/>
      <sheetName val="_입찰안.xls__입찰안.xls__입찰안.xls__163"/>
      <sheetName val="_입찰안.xls__입찰안.xls__입찰안.xls__162"/>
      <sheetName val="_입찰안.xls__입찰안.xls__입찰안.xls__161"/>
      <sheetName val="_입찰안.xls__입찰안.xls__입찰안.xls____4"/>
      <sheetName val="_입찰안.xls__입찰안.xls__입찰안.xls__166"/>
      <sheetName val="_입찰안.xls__입찰안.xls__입찰안.xls__165"/>
      <sheetName val="_입찰안.xls__입찰안.xls__입찰안.xls__170"/>
      <sheetName val="_입찰안.xls__입찰안.xls__입찰안.xls__171"/>
      <sheetName val="_입찰안.xls__입찰안.xls__입찰안.xls__167"/>
      <sheetName val="_입찰안.xls__입찰안.xls__입찰안.xls__169"/>
      <sheetName val="_입찰안.xls__입찰안.xls__입찰안.xls__168"/>
      <sheetName val="_입찰안.xls__입찰안.xls__입찰안.xls__175"/>
      <sheetName val="_입찰안.xls__입찰안.xls__입찰안.xls__172"/>
      <sheetName val="_입찰안.xls__입찰안.xls__입찰안.xls__174"/>
      <sheetName val="_입찰안.xls__입찰안.xls__입찰안.xls__173"/>
      <sheetName val="_입찰안.xls__입찰안.xls__입찰안.xls__176"/>
      <sheetName val="_입찰안.xls__입찰안.xls__입찰안.xls__177"/>
      <sheetName val="_입찰안.xls__입찰안.xls__입찰안.xls__178"/>
      <sheetName val="_입찰안.xls__입찰안.xls__입찰안.xls__179"/>
      <sheetName val="_입찰안.xls__입찰안.xls__입찰안.xls__181"/>
      <sheetName val="_입찰안.xls__입찰안.xls__입찰안.xls__180"/>
      <sheetName val="_입찰안.xls__입찰안.xls__입찰안.xls__182"/>
      <sheetName val="_입찰안.xls__입찰안.xls__입찰안.xls__184"/>
      <sheetName val="_입찰안.xls__입찰안.xls__입찰안.xls__183"/>
      <sheetName val="_입찰안.xls__입찰안.xls__입찰안.xls__185"/>
      <sheetName val="_입찰안.xls__입찰안.xls__입찰안.xls__186"/>
      <sheetName val="_입찰안.xls__입찰안.xls__입찰안.xls__187"/>
      <sheetName val="_입찰안.xls__입찰안.xls__입찰안.xls__188"/>
      <sheetName val="_입찰안.xls__입찰안.xls__입찰안.xls__190"/>
      <sheetName val="_입찰안.xls__입찰안.xls__입찰안.xls__189"/>
      <sheetName val="_입찰안.xls__입찰안.xls__입찰안.xls__253"/>
      <sheetName val="_입찰안.xls__입찰안.xls__입찰안.xls__255"/>
      <sheetName val="_입찰안.xls__입찰안.xls__입찰안.xls__258"/>
      <sheetName val="_입찰안.xls__입찰안.xls__입찰안.xls__222"/>
      <sheetName val="_입찰안.xls__입찰안.xls__입찰안.xls__200"/>
      <sheetName val="_입찰안.xls__입찰안.xls__입찰안.xls__199"/>
      <sheetName val="_입찰안.xls__입찰안.xls__입찰안.xls__202"/>
      <sheetName val="_입찰안.xls__입찰안.xls__입찰안.xls__193"/>
      <sheetName val="_입찰안.xls__입찰안.xls__입찰안.xls__191"/>
      <sheetName val="_입찰안.xls__입찰안.xls__입찰안.xls__196"/>
      <sheetName val="_입찰안.xls__입찰안.xls__입찰안.xls__192"/>
      <sheetName val="_입찰안.xls__입찰안.xls__입찰안.xls__194"/>
      <sheetName val="_입찰안.xls__입찰안.xls__입찰안.xls__195"/>
      <sheetName val="_입찰안.xls__입찰안.xls__입찰안.xls__197"/>
      <sheetName val="_입찰안.xls__입찰안.xls__입찰안.xls__198"/>
      <sheetName val="_입찰안.xls__입찰안.xls__입찰안.xls__201"/>
      <sheetName val="_입찰안.xls__입찰안.xls__입찰안.xls__203"/>
      <sheetName val="_입찰안.xls__입찰안.xls__입찰안.xls__205"/>
      <sheetName val="_입찰안.xls__입찰안.xls__입찰안.xls__206"/>
      <sheetName val="_입찰안.xls__입찰안.xls__입찰안.xls__204"/>
      <sheetName val="_입찰안.xls__입찰안.xls__입찰안.xls__207"/>
      <sheetName val="_입찰안.xls__입찰안.xls__입찰안.xls__208"/>
      <sheetName val="_입찰안.xls__입찰안.xls__입찰안.xls__209"/>
      <sheetName val="_입찰안.xls__입찰안.xls__입찰안.xls__211"/>
      <sheetName val="_입찰안.xls__입찰안.xls__입찰안.xls__210"/>
      <sheetName val="_입찰안.xls__입찰안.xls__입찰안.xls__212"/>
      <sheetName val="_입찰안.xls__입찰안.xls__입찰안.xls__213"/>
      <sheetName val="_입찰안.xls__입찰안.xls__입찰안.xls__214"/>
      <sheetName val="_입찰안.xls__입찰안.xls__입찰안.xls__216"/>
      <sheetName val="_입찰안.xls__입찰안.xls__입찰안.xls__217"/>
      <sheetName val="_입찰안.xls__입찰안.xls__입찰안.xls__215"/>
      <sheetName val="_입찰안.xls__입찰안.xls__입찰안.xls__218"/>
      <sheetName val="_입찰안.xls__입찰안.xls__입찰안.xls__220"/>
      <sheetName val="_입찰안.xls__입찰안.xls__입찰안.xls__221"/>
      <sheetName val="_입찰안.xls__입찰안.xls__입찰안.xls__219"/>
      <sheetName val="_입찰안.xls__입찰안.xls__입찰안.xls__226"/>
      <sheetName val="_입찰안.xls__입찰안.xls__입찰안.xls__225"/>
      <sheetName val="_입찰안.xls__입찰안.xls__입찰안.xls__223"/>
      <sheetName val="_입찰안.xls__입찰안.xls__입찰안.xls__224"/>
      <sheetName val="_입찰안.xls__입찰안.xls__입찰안.xls__228"/>
      <sheetName val="_입찰안.xls__입찰안.xls__입찰안.xls__227"/>
      <sheetName val="_입찰안.xls__입찰안.xls__입찰안.xls__230"/>
      <sheetName val="_입찰안.xls__입찰안.xls__입찰안.xls__229"/>
      <sheetName val="_입찰안.xls__입찰안.xls__입찰안.xls__231"/>
      <sheetName val="_입찰안.xls__입찰안.xls__입찰안.xls__235"/>
      <sheetName val="_입찰안.xls__입찰안.xls__입찰안.xls__238"/>
      <sheetName val="_입찰안.xls__입찰안.xls__입찰안.xls__237"/>
      <sheetName val="_입찰안.xls__입찰안.xls__입찰안.xls__232"/>
      <sheetName val="_입찰안.xls__입찰안.xls__입찰안.xls__233"/>
      <sheetName val="_입찰안.xls__입찰안.xls__입찰안.xls__234"/>
      <sheetName val="_입찰안.xls__입찰안.xls__입찰안.xls__236"/>
      <sheetName val="_입찰안.xls__입찰안.xls__입찰안.xls__240"/>
      <sheetName val="_입찰안.xls__입찰안.xls__입찰안.xls__239"/>
      <sheetName val="_입찰안.xls__입찰안.xls__입찰안.xls__246"/>
      <sheetName val="_입찰안.xls__입찰안.xls__입찰안.xls__241"/>
      <sheetName val="_입찰안.xls__입찰안.xls__입찰안.xls__242"/>
      <sheetName val="_입찰안.xls__입찰안.xls__입찰안.xls__243"/>
      <sheetName val="_입찰안.xls__입찰안.xls__입찰안.xls__244"/>
      <sheetName val="_입찰안.xls__입찰안.xls__입찰안.xls__245"/>
      <sheetName val="_입찰안.xls__입찰안.xls__입찰안.xls__248"/>
      <sheetName val="_입찰안.xls__입찰안.xls__입찰안.xls__247"/>
      <sheetName val="_입찰안.xls__입찰안.xls__입찰안.xls__249"/>
      <sheetName val="_입찰안.xls__입찰안.xls__입찰안.xls__250"/>
      <sheetName val="_입찰안.xls__입찰안.xls__입찰안.xls__251"/>
      <sheetName val="_입찰안.xls__입찰안.xls__입찰안.xls__252"/>
      <sheetName val="_입찰안.xls__입찰안.xls__입찰안.xls__254"/>
      <sheetName val="_입찰안.xls__입찰안.xls__입찰안.xls__259"/>
      <sheetName val="_입찰안.xls__입찰안.xls__입찰안.xls__256"/>
      <sheetName val="_입찰안.xls__입찰안.xls__입찰안.xls__257"/>
      <sheetName val="_입찰안.xls__입찰안.xls__입찰안.xls__260"/>
      <sheetName val="_입찰안.xls__입찰안.xls__입찰안.xls__261"/>
      <sheetName val="_입찰안.xls__입찰안.xls__입찰안.xls__264"/>
      <sheetName val="_입찰안.xls__입찰안.xls__입찰안.xls__263"/>
      <sheetName val="_입찰안.xls__입찰안.xls__입찰안.xls__262"/>
      <sheetName val="_입찰안.xls__입찰안.xls__입찰안.xls__265"/>
      <sheetName val="_입찰안.xls__입찰안.xls__입찰안.xls__266"/>
      <sheetName val="_입찰안.xls__입찰안.xls__입찰안.xls__270"/>
      <sheetName val="_입찰안.xls__입찰안.xls__입찰안.xls__272"/>
      <sheetName val="_입찰안.xls__입찰안.xls__입찰안.xls__271"/>
      <sheetName val="_입찰안.xls__입찰안.xls__입찰안.xls__283"/>
      <sheetName val="_입찰안.xls__입찰안.xls__입찰안.xls__285"/>
      <sheetName val="_입찰안.xls__입찰안.xls__입찰안.xls__284"/>
      <sheetName val="_입찰안.xls__입찰안.xls__입찰안.xls__282"/>
      <sheetName val="_입찰안.xls__입찰안.xls__입찰안.xls__273"/>
      <sheetName val="_입찰안.xls__입찰안.xls__입찰안.xls__274"/>
      <sheetName val="_입찰안.xls__입찰안.xls__입찰안.xls__275"/>
      <sheetName val="_입찰안.xls__입찰안.xls__입찰안.xls__276"/>
      <sheetName val="_입찰안.xls__입찰안.xls__입찰안.xls__278"/>
      <sheetName val="_입찰안.xls__입찰안.xls__입찰안.xls____5"/>
      <sheetName val="_입찰안.xls__입찰안.xls__입찰안.xls__277"/>
      <sheetName val="_입찰안.xls__입찰안.xls__입찰안.xls__280"/>
      <sheetName val="_입찰안.xls__입찰안.xls__입찰안.xls__279"/>
      <sheetName val="_입찰안.xls__입찰안.xls__입찰안.xls__281"/>
      <sheetName val="_입찰안.xls__입찰안.xls__입찰안.xls__286"/>
      <sheetName val="_입찰안.xls__입찰안.xls__입찰안.xls__287"/>
      <sheetName val="_입찰안.xls__입찰안.xls__입찰안.xls__289"/>
      <sheetName val="_입찰안.xls__입찰안.xls__입찰안.xls__288"/>
      <sheetName val="_입찰안.xls__입찰안.xls__입찰안.xls__290"/>
      <sheetName val="_입찰안.xls__입찰안.xls__입찰안.xls____6"/>
      <sheetName val="_입찰안.xls__입찰안_xls_직접뀀鞖_"/>
      <sheetName val="_입찰안.xls__입찰안_xls__입찰안_xls____2"/>
      <sheetName val="_입찰안.xls__입찰안.xls__입찰안.xls__291"/>
      <sheetName val="_입찰안.xls__입찰안.xls__입찰안.xls__298"/>
      <sheetName val="_입찰안.xls__입찰안.xls__입찰안.xls__292"/>
      <sheetName val="_입찰안.xls__입찰안.xls__입찰안.xls__294"/>
      <sheetName val="_입찰안.xls__입찰안.xls__입찰안.xls__293"/>
      <sheetName val="_입찰안.xls__입찰안.xls__입찰안.xls__295"/>
      <sheetName val="_입찰안.xls__입찰안.xls__입찰안.xls__297"/>
      <sheetName val="_입찰안.xls__입찰안.xls__입찰안.xls__296"/>
      <sheetName val="_입찰안.xls__입찰안.xls__입찰안.xls__299"/>
      <sheetName val="_입찰안.xls____2"/>
      <sheetName val="_입찰안.xls____3"/>
      <sheetName val="_입찰안.xls_B__2"/>
      <sheetName val="_입찰안.xls_B__3"/>
      <sheetName val="_입찰안.xls__입찰안.xls__입찰안.xls__316"/>
      <sheetName val="_입찰안.xls__입찰안.xls__입찰안.xls__302"/>
      <sheetName val="_입찰안.xls__입찰안.xls__입찰안.xls__300"/>
      <sheetName val="_입찰안.xls__입찰안.xls__입찰안.xls__301"/>
      <sheetName val="_입찰안.xls__입찰안.xls__입찰안.xls__313"/>
      <sheetName val="_입찰안.xls__입찰안.xls__입찰안.xls__304"/>
      <sheetName val="_입찰안.xls__입찰안.xls__입찰안.xls__303"/>
      <sheetName val="_입찰안.xls__입찰안.xls__입찰안.xls__306"/>
      <sheetName val="_입찰안.xls__입찰안.xls__입찰안.xls__305"/>
      <sheetName val="_입찰안.xls__입찰안.xls__입찰안.xls__308"/>
      <sheetName val="_입찰안.xls__입찰안.xls__입찰안.xls__307"/>
      <sheetName val="_입찰안.xls__입찰안.xls__입찰안.xls__309"/>
      <sheetName val="_입찰안.xls__입찰안.xls__입찰안.xls__310"/>
      <sheetName val="_입찰안.xls__입찰안.xls__입찰안.xls__311"/>
      <sheetName val="_입찰안.xls__입찰안.xls__입찰안.xls__312"/>
      <sheetName val="_입찰안.xls__입찰안.xls__입찰안.xls__314"/>
      <sheetName val="_입찰안.xls__입찰안.xls__입찰안.xls__315"/>
      <sheetName val="_입찰안.xls__입찰안.xls__입찰안.xls__319"/>
      <sheetName val="_입찰안.xls__입찰안.xls__입찰안.xls__318"/>
      <sheetName val="_입찰안.xls__입찰안.xls__입찰안.xls__317"/>
      <sheetName val="_입찰안.xls__입찰안.xls__입찰안.xls__321"/>
      <sheetName val="_입찰안.xls__입찰안.xls__입찰안.xls__320"/>
      <sheetName val="_입찰안.xls__입찰안.xls__입찰안.xls__322"/>
      <sheetName val="_입찰안.xls__입찰안.xls__입찰안.xls__323"/>
      <sheetName val="_입찰안.xls__입찰안.xls__입찰안.xls__324"/>
      <sheetName val="_입찰안.xls__입찰안.xls__입찰안.xls__339"/>
      <sheetName val="_입찰안.xls__입찰안.xls__입찰안.xls__338"/>
      <sheetName val="_입찰안.xls__입찰안.xls__입찰안.xls__337"/>
      <sheetName val="_입찰안.xls__입찰안.xls__입찰안.xls__335"/>
      <sheetName val="_입찰안.xls__입찰안.xls__입찰안.xls__328"/>
      <sheetName val="_입찰안.xls__입찰안.xls__입찰안.xls__326"/>
      <sheetName val="_입찰안.xls__입찰안.xls__입찰안.xls__330"/>
      <sheetName val="_입찰안.xls__입찰안.xls__입찰안.xls__325"/>
      <sheetName val="_입찰안.xls__입찰안.xls__입찰안.xls__327"/>
      <sheetName val="_입찰안.xls__입찰안.xls__입찰안.xls__332"/>
      <sheetName val="_입찰안.xls__입찰안.xls__입찰안.xls__331"/>
      <sheetName val="_입찰안.xls__입찰안.xls__입찰안.xls__329"/>
      <sheetName val="_입찰안.xls__입찰안.xls__입찰안.xls__334"/>
      <sheetName val="_입찰안.xls__입찰안.xls__입찰안.xls__336"/>
      <sheetName val="_입찰안.xls__입찰안.xls__입찰안.xls__333"/>
      <sheetName val="_입찰안.xls__입찰안.xls__입찰안.xls__341"/>
      <sheetName val="_입찰안.xls__입찰안.xls__입찰안.xls__340"/>
      <sheetName val="_입찰안.xls__입찰안.xls__입찰안.xls__744"/>
      <sheetName val="_입찰안.xls__입찰안.xls__입찰안.xls__343"/>
      <sheetName val="_입찰안.xls__입찰안.xls__입찰안.xls__347"/>
      <sheetName val="_입찰안.xls__입찰안.xls__입찰안.xls__342"/>
      <sheetName val="_입찰안.xls__입찰안.xls__입찰안.xls__355"/>
      <sheetName val="_입찰안.xls__입찰안.xls__입찰안.xls__346"/>
      <sheetName val="_입찰안.xls__입찰안.xls__입찰안.xls__344"/>
      <sheetName val="_입찰안.xls__입찰안.xls__입찰안.xls__345"/>
      <sheetName val="_입찰안.xls__입찰안.xls__입찰안.xls__375"/>
      <sheetName val="_입찰안.xls__입찰안.xls__입찰안.xls__348"/>
      <sheetName val="_입찰안.xls__입찰안.xls__입찰안.xls__349"/>
      <sheetName val="_입찰안.xls__입찰안.xls__입찰안.xls__351"/>
      <sheetName val="_입찰안.xls__입찰안.xls__입찰안.xls__350"/>
      <sheetName val="_입찰안.xls__입찰안.xls__입찰안.xls__352"/>
      <sheetName val="_입찰안.xls__입찰안.xls__입찰안.xls__353"/>
      <sheetName val="_입찰안.xls__입찰안.xls__입찰안.xls__354"/>
      <sheetName val="_입찰안.xls__입찰안.xls__입찰안.xls__357"/>
      <sheetName val="_입찰안.xls__입찰안.xls__입찰안.xls__356"/>
      <sheetName val="_입찰안.xls__입찰안.xls__입찰안.xls__389"/>
      <sheetName val="_입찰안.xls__입찰안.xls__입찰안.xls__358"/>
      <sheetName val="_입찰안.xls__입찰안.xls__입찰안.xls__359"/>
      <sheetName val="_입찰안.xls__입찰안.xls__입찰안.xls__360"/>
      <sheetName val="_입찰안.xls__입찰안.xls__입찰안.xls__361"/>
      <sheetName val="_입찰안.xls__입찰안.xls__입찰안.xls__362"/>
      <sheetName val="_입찰안.xls__입찰안.xls__입찰안.xls__363"/>
      <sheetName val="_입찰안.xls__입찰안.xls__입찰안.xls__364"/>
      <sheetName val="_입찰안.xls__입찰안.xls__입찰안.xls__365"/>
      <sheetName val="_입찰안.xls__입찰안.xls__입찰안.xls__366"/>
      <sheetName val="_입찰안.xls__입찰안.xls__입찰안.xls__367"/>
      <sheetName val="_입찰안.xls__입찰안.xls__입찰안.xls__368"/>
      <sheetName val="_입찰안.xls__입찰안.xls__입찰안.xls__370"/>
      <sheetName val="_입찰안.xls__입찰안.xls__입찰안.xls__369"/>
      <sheetName val="_입찰안.xls__입찰안.xls__입찰안.xls__373"/>
      <sheetName val="_입찰안.xls__입찰안.xls__입찰안.xls__371"/>
      <sheetName val="_입찰안.xls__입찰안.xls__입찰안.xls__372"/>
      <sheetName val="_입찰안.xls__입찰안.xls__입찰안.xls__374"/>
      <sheetName val="_입찰안.xls__입찰안.xls__입찰안.xls__390"/>
      <sheetName val="_입찰안.xls__입찰안.xls__입찰안.xls__388"/>
      <sheetName val="_입찰안.xls__입찰안.xls__입찰안.xls__376"/>
      <sheetName val="_입찰안.xls__입찰안.xls__입찰안.xls__377"/>
      <sheetName val="_입찰안.xls__입찰안.xls__입찰안.xls__378"/>
      <sheetName val="_입찰안.xls__입찰안.xls__입찰안.xls__379"/>
      <sheetName val="_입찰안.xls__입찰안.xls__입찰안.xls__380"/>
      <sheetName val="_입찰안.xls__입찰안.xls__입찰안.xls__381"/>
      <sheetName val="_입찰안.xls__입찰안.xls__입찰안.xls__382"/>
      <sheetName val="_입찰안.xls__입찰안.xls__입찰안.xls__384"/>
      <sheetName val="_입찰안.xls__입찰안.xls__입찰안.xls__383"/>
      <sheetName val="_입찰안.xls__입찰안.xls__입찰안.xls__387"/>
      <sheetName val="_입찰안.xls__입찰안.xls__입찰안.xls__385"/>
      <sheetName val="_입찰안.xls__입찰안.xls__입찰안.xls__386"/>
      <sheetName val="_입찰안.xls__입찰안.xls__입찰안.xls__412"/>
      <sheetName val="_입찰안.xls__입찰안.xls__입찰안.xls__419"/>
      <sheetName val="_입찰안.xls__입찰안.xls__입찰안.xls__391"/>
      <sheetName val="_입찰안.xls__입찰안.xls__입찰안.xls__392"/>
      <sheetName val="_입찰안.xls__입찰안.xls__입찰안.xls__394"/>
      <sheetName val="_입찰안.xls__입찰안.xls__입찰안.xls__393"/>
      <sheetName val="_입찰안.xls__입찰안.xls__입찰안.xls__395"/>
      <sheetName val="_입찰안.xls__입찰안.xls__입찰안.xls__396"/>
      <sheetName val="_입찰안.xls__입찰안.xls__입찰안.xls__397"/>
      <sheetName val="_입찰안.xls__입찰안.xls__입찰안.xls__398"/>
      <sheetName val="_입찰안.xls__입찰안.xls__입찰안.xls__399"/>
      <sheetName val="_입찰안.xls__입찰안.xls__입찰안.xls__400"/>
      <sheetName val="_입찰안.xls__입찰안.xls__입찰안.xls__401"/>
      <sheetName val="_입찰안.xls__입찰안.xls__입찰안.xls__402"/>
      <sheetName val="_입찰안.xls__입찰안.xls__입찰안.xls__403"/>
      <sheetName val="_입찰안.xls__입찰안.xls__입찰안.xls__405"/>
      <sheetName val="_입찰안.xls__입찰안.xls__입찰안.xls__404"/>
      <sheetName val="_입찰안.xls__입찰안.xls__입찰안.xls__406"/>
      <sheetName val="_입찰안.xls__입찰안.xls__입찰안.xls__407"/>
      <sheetName val="_입찰안.xls__입찰안.xls__입찰안.xls__409"/>
      <sheetName val="_입찰안.xls__입찰안.xls__입찰안.xls__408"/>
      <sheetName val="_입찰안.xls__입찰안.xls__입찰안.xls__410"/>
      <sheetName val="_입찰안.xls__입찰안.xls__입찰안.xls__411"/>
      <sheetName val="_입찰안.xls__입찰안.xls__입찰안.xls__418"/>
      <sheetName val="_입찰안.xls__입찰안.xls__입찰안.xls__416"/>
      <sheetName val="_입찰안.xls__입찰안.xls__입찰안.xls__413"/>
      <sheetName val="_입찰안.xls__입찰안.xls__입찰안.xls__414"/>
      <sheetName val="_입찰안.xls__입찰안.xls__입찰안.xls__415"/>
      <sheetName val="_입찰안.xls__입찰안.xls__입찰안.xls__417"/>
      <sheetName val="_입찰안.xls__입찰안.xls__입찰안.xls__421"/>
      <sheetName val="_입찰안.xls__입찰안.xls__입찰안.xls__420"/>
      <sheetName val="_입찰안.xls__입찰안.xls__입찰안.xls__483"/>
      <sheetName val="_입찰안.xls__입찰안.xls__입찰안.xls__424"/>
      <sheetName val="_입찰안.xls__입찰안.xls__입찰안.xls__422"/>
      <sheetName val="_입찰안.xls__입찰안.xls__입찰안.xls__423"/>
      <sheetName val="_입찰안.xls__입찰안.xls__입찰안.xls__426"/>
      <sheetName val="_입찰안.xls__입찰안.xls__입찰안.xls__425"/>
      <sheetName val="_입찰안.xls__입찰안.xls__입찰안.xls__427"/>
      <sheetName val="_입찰안.xls__입찰안.xls__입찰안.xls__485"/>
      <sheetName val="_입찰안.xls__입찰안.xls__입찰안.xls__428"/>
      <sheetName val="_입찰안.xls__입찰안.xls__입찰안.xls__429"/>
      <sheetName val="_입찰안.xls__입찰안.xls__입찰안.xls__432"/>
      <sheetName val="_입찰안.xls__입찰안.xls__입찰안.xls__430"/>
      <sheetName val="_입찰안.xls__입찰안.xls__입찰안.xls__431"/>
      <sheetName val="_입찰안.xls__입찰안.xls__입찰안.xls__433"/>
      <sheetName val="_입찰안.xls__입찰안.xls__입찰안.xls__435"/>
      <sheetName val="_입찰안.xls__입찰안.xls__입찰안.xls__434"/>
      <sheetName val="_입찰안.xls__입찰안.xls__입찰안.xls__436"/>
      <sheetName val="_입찰안.xls__입찰안.xls__입찰안.xls__437"/>
      <sheetName val="_입찰안.xls__입찰안.xls__입찰안.xls__438"/>
      <sheetName val="_입찰안.xls__입찰안.xls__입찰안.xls__439"/>
      <sheetName val="_입찰안.xls__입찰안.xls__입찰안.xls__441"/>
      <sheetName val="_입찰안.xls__입찰안.xls__입찰안.xls__440"/>
      <sheetName val="_입찰안.xls__입찰안.xls__입찰안.xls__442"/>
      <sheetName val="_입찰안.xls__입찰안.xls__입찰안.xls__443"/>
      <sheetName val="_입찰안.xls__입찰안.xls__입찰안.xls__444"/>
      <sheetName val="_입찰안.xls__입찰안.xls__입찰안.xls__446"/>
      <sheetName val="_입찰안.xls__입찰안.xls__입찰안.xls__445"/>
      <sheetName val="_입찰안.xls__입찰안.xls__입찰안.xls__450"/>
      <sheetName val="_입찰안.xls__입찰안.xls__입찰안.xls__447"/>
      <sheetName val="_입찰안.xls__입찰안.xls__입찰안.xls__448"/>
      <sheetName val="_입찰안.xls__입찰안.xls__입찰안.xls__449"/>
      <sheetName val="_입찰안.xls__입찰안.xls__입찰안.xls__452"/>
      <sheetName val="_입찰안.xls__입찰안.xls__입찰안.xls__451"/>
      <sheetName val="_입찰안.xls__입찰안.xls__입찰안.xls__453"/>
      <sheetName val="_입찰안.xls__입찰안.xls__입찰안.xls__454"/>
      <sheetName val="_입찰안.xls__입찰안.xls__입찰안.xls__455"/>
      <sheetName val="_입찰안.xls__입찰안.xls__입찰안.xls__456"/>
      <sheetName val="_입찰안.xls__입찰안.xls__입찰안.xls__457"/>
      <sheetName val="_입찰안.xls__입찰안.xls__입찰안.xls__458"/>
      <sheetName val="_입찰안.xls__입찰안.xls__입찰안.xls__459"/>
      <sheetName val="_입찰안.xls__입찰안.xls__입찰안.xls__460"/>
      <sheetName val="_입찰안.xls__입찰안.xls__입찰안.xls__462"/>
      <sheetName val="_입찰안.xls__입찰안.xls__입찰안.xls__461"/>
      <sheetName val="_입찰안.xls__입찰안.xls__입찰안.xls__463"/>
      <sheetName val="_입찰안.xls__입찰안.xls__입찰안.xls__464"/>
      <sheetName val="_입찰안.xls__입찰안.xls__입찰안.xls__465"/>
      <sheetName val="_입찰안.xls__입찰안.xls__입찰안.xls__466"/>
      <sheetName val="_입찰안.xls__입찰안.xls__입찰안.xls__467"/>
      <sheetName val="_입찰안.xls__입찰안.xls__입찰안.xls__468"/>
      <sheetName val="_입찰안.xls__입찰안.xls__입찰안.xls__470"/>
      <sheetName val="_입찰안.xls__입찰안.xls__입찰안.xls__469"/>
      <sheetName val="_입찰안.xls__입찰안.xls__입찰안.xls__472"/>
      <sheetName val="_입찰안.xls__입찰안.xls__입찰안.xls__471"/>
      <sheetName val="_입찰안.xls__입찰안.xls__입찰안.xls__476"/>
      <sheetName val="_입찰안.xls__입찰안.xls__입찰안.xls__474"/>
      <sheetName val="_입찰안.xls__입찰안.xls__입찰안.xls__473"/>
      <sheetName val="_입찰안.xls__입찰안.xls__입찰안.xls__475"/>
      <sheetName val="_입찰안.xls__입찰안.xls__입찰안.xls__478"/>
      <sheetName val="_입찰안.xls__입찰안.xls__입찰안.xls__477"/>
      <sheetName val="_입찰안.xls__입찰안.xls__입찰안.xls__480"/>
      <sheetName val="_입찰안.xls__입찰안.xls__입찰안.xls__479"/>
      <sheetName val="_입찰안.xls__입찰안.xls__입찰안.xls__482"/>
      <sheetName val="_입찰안.xls__입찰안.xls__입찰안.xls__481"/>
      <sheetName val="_입찰안.xls__입찰안.xls__입찰안.xls__486"/>
      <sheetName val="_입찰안.xls__입찰안.xls__입찰안.xls__484"/>
      <sheetName val="_입찰안.xls__입찰안.xls__입찰안.xls__496"/>
      <sheetName val="_입찰안.xls__입찰안.xls__입찰안.xls__487"/>
      <sheetName val="_입찰안.xls__입찰안.xls__입찰안.xls__488"/>
      <sheetName val="_입찰안.xls__입찰안.xls__입찰안.xls__527"/>
      <sheetName val="_입찰안.xls__입찰안.xls__입찰안.xls__521"/>
      <sheetName val="_입찰안.xls__입찰안.xls__입찰안.xls__489"/>
      <sheetName val="_입찰안.xls__입찰안.xls__입찰안.xls__490"/>
      <sheetName val="_입찰안.xls__입찰안.xls__입찰안.xls__492"/>
      <sheetName val="_입찰안.xls__입찰안.xls__입찰안.xls__491"/>
      <sheetName val="_입찰안.xls__입찰안.xls__입찰안.xls__495"/>
      <sheetName val="_입찰안.xls__입찰안.xls__입찰안.xls__494"/>
      <sheetName val="_입찰안.xls__입찰안.xls__입찰안.xls__493"/>
      <sheetName val="_입찰안.xls__입찰안.xls__입찰안.xls__512"/>
      <sheetName val="_입찰안.xls__입찰안.xls__입찰안.xls__502"/>
      <sheetName val="_입찰안.xls__입찰안.xls__입찰안.xls__499"/>
      <sheetName val="_입찰안.xls__입찰안.xls__입찰안.xls__497"/>
      <sheetName val="_입찰안.xls__입찰안.xls__입찰안.xls__498"/>
      <sheetName val="_입찰안.xls__입찰안.xls__입찰안.xls__500"/>
      <sheetName val="_입찰안.xls__입찰안.xls__입찰안.xls__501"/>
      <sheetName val="_입찰안.xls__입찰안.xls__입찰안.xls__504"/>
      <sheetName val="_입찰안.xls__입찰안.xls__입찰안.xls__503"/>
      <sheetName val="_입찰안.xls__입찰안.xls__입찰안.xls__505"/>
      <sheetName val="_입찰안.xls__입찰안.xls__입찰안.xls__508"/>
      <sheetName val="_입찰안.xls__입찰안.xls__입찰안.xls__506"/>
      <sheetName val="_입찰안.xls__입찰안.xls__입찰안.xls__507"/>
      <sheetName val="_입찰안.xls__입찰안.xls__입찰안.xls__509"/>
      <sheetName val="_입찰안.xls__입찰안.xls__입찰안.xls__511"/>
      <sheetName val="_입찰안.xls__입찰안.xls__입찰안.xls__510"/>
      <sheetName val="_입찰안.xls__입찰안.xls__입찰안.xls__514"/>
      <sheetName val="_입찰안.xls__입찰안.xls__입찰안.xls__513"/>
      <sheetName val="_입찰안.xls__입찰안.xls__입찰안.xls__515"/>
      <sheetName val="_입찰안.xls__입찰안.xls__입찰안.xls__517"/>
      <sheetName val="_입찰안.xls__입찰안.xls__입찰안.xls__516"/>
      <sheetName val="_입찰안.xls__입찰안.xls__입찰안.xls__518"/>
      <sheetName val="_입찰안.xls__입찰안.xls__입찰안.xls__520"/>
      <sheetName val="_입찰안.xls__입찰안.xls__입찰안.xls__519"/>
      <sheetName val="_입찰안.xls__입찰안.xls__입찰안.xls__526"/>
      <sheetName val="_입찰안.xls__입찰안.xls__입찰안.xls__523"/>
      <sheetName val="_입찰안.xls__입찰안.xls__입찰안.xls__522"/>
      <sheetName val="_입찰안.xls__입찰안.xls__입찰안.xls__524"/>
      <sheetName val="_입찰안.xls__입찰안.xls__입찰안.xls__525"/>
      <sheetName val="_입찰안.xls__입찰안.xls__입찰안.xls__533"/>
      <sheetName val="_입찰안.xls__입찰안.xls__입찰안.xls__529"/>
      <sheetName val="_입찰안.xls__입찰안.xls__입찰안.xls__528"/>
      <sheetName val="_입찰안.xls__입찰안.xls__입찰안.xls__530"/>
      <sheetName val="_입찰안.xls__입찰안.xls__입찰안.xls__531"/>
      <sheetName val="_입찰안.xls__입찰안.xls__입찰안.xls__562"/>
      <sheetName val="_입찰안.xls__입찰안.xls__입찰안.xls__532"/>
      <sheetName val="_입찰안.xls__입찰안.xls__입찰안.xls__574"/>
      <sheetName val="_입찰안.xls__입찰안.xls__입찰안.xls__535"/>
      <sheetName val="_입찰안.xls__입찰안.xls__입찰안.xls__534"/>
      <sheetName val="_입찰안.xls__입찰안.xls__입찰안.xls__536"/>
      <sheetName val="_입찰안.xls__입찰안.xls__입찰안.xls__537"/>
      <sheetName val="_입찰안.xls__입찰안.xls__입찰안.xls__538"/>
      <sheetName val="_입찰안.xls__입찰안.xls__입찰안.xls__539"/>
      <sheetName val="_입찰안.xls__입찰안.xls__입찰안.xls__541"/>
      <sheetName val="_입찰안.xls__입찰안.xls__입찰안.xls__540"/>
      <sheetName val="_입찰안.xls__입찰안.xls__입찰안.xls__542"/>
      <sheetName val="_입찰안.xls__입찰안.xls__입찰안.xls__543"/>
      <sheetName val="_입찰안.xls__입찰안.xls__입찰안.xls__544"/>
      <sheetName val="_입찰안.xls__입찰안.xls__입찰안.xls__546"/>
      <sheetName val="_입찰안.xls__입찰안.xls__입찰안.xls__545"/>
      <sheetName val="_입찰안.xls__입찰안.xls__입찰안.xls__547"/>
      <sheetName val="_입찰안.xls__입찰안.xls__입찰안.xls__548"/>
      <sheetName val="_입찰안.xls__입찰안.xls__입찰안.xls__549"/>
      <sheetName val="_입찰안.xls__입찰안.xls__입찰안.xls__551"/>
      <sheetName val="_입찰안.xls__입찰안.xls__입찰안.xls__550"/>
      <sheetName val="_입찰안.xls__입찰안.xls__입찰안.xls__554"/>
      <sheetName val="_입찰안.xls__입찰안.xls__입찰안.xls__552"/>
      <sheetName val="_입찰안.xls__입찰안.xls__입찰안.xls__553"/>
      <sheetName val="_입찰안.xls__입찰안.xls__입찰안.xls__556"/>
      <sheetName val="_입찰안.xls__입찰안.xls__입찰안.xls__555"/>
      <sheetName val="_입찰안.xls__입찰안.xls__입찰안.xls__559"/>
      <sheetName val="_입찰안.xls__입찰안.xls__입찰안.xls__557"/>
      <sheetName val="_입찰안.xls__입찰안.xls__입찰안.xls__558"/>
      <sheetName val="_입찰안.xls__입찰안.xls__입찰안.xls__561"/>
      <sheetName val="_입찰안.xls__입찰안.xls__입찰안.xls__560"/>
      <sheetName val="_입찰안.xls__입찰안.xls__입찰안.xls__563"/>
      <sheetName val="_입찰안.xls__입찰안.xls__입찰안.xls__564"/>
      <sheetName val="_입찰안.xls__입찰안.xls__입찰안.xls__575"/>
      <sheetName val="_입찰안.xls__입찰안.xls__입찰안.xls__566"/>
      <sheetName val="_입찰안.xls__입찰안.xls__입찰안.xls__565"/>
      <sheetName val="_입찰안.xls__입찰안.xls__입찰안.xls__567"/>
      <sheetName val="_입찰안.xls__입찰안.xls__입찰안.xls__568"/>
      <sheetName val="_입찰안.xls__입찰안.xls__입찰안.xls__569"/>
      <sheetName val="_입찰안.xls__입찰안.xls__입찰안.xls__570"/>
      <sheetName val="_입찰안.xls__입찰안.xls__입찰안.xls__571"/>
      <sheetName val="_입찰안.xls__입찰안.xls__입찰안.xls__572"/>
      <sheetName val="_입찰안.xls__입찰안.xls__입찰안.xls__573"/>
      <sheetName val="_입찰안.xls__입찰안.xls__입찰안.xls__576"/>
      <sheetName val="_입찰안.xls__입찰안.xls__입찰안.xls__585"/>
      <sheetName val="_입찰안.xls__입찰안.xls__입찰안.xls__577"/>
      <sheetName val="_입찰안.xls__입찰안.xls__입찰안.xls__578"/>
      <sheetName val="_입찰안.xls__입찰안.xls__입찰안.xls__579"/>
      <sheetName val="_입찰안.xls__입찰안.xls__입찰안.xls__580"/>
      <sheetName val="_입찰안.xls__입찰안.xls__입찰안.xls__581"/>
      <sheetName val="_입찰안.xls__입찰안.xls__입찰안.xls__582"/>
      <sheetName val="_입찰안.xls__입찰안.xls__입찰안.xls__583"/>
      <sheetName val="_입찰안.xls__입찰안.xls__입찰안.xls__584"/>
      <sheetName val="_입찰안.xls__입찰안.xls__입찰안.xls__589"/>
      <sheetName val="_입찰안.xls__입찰안.xls__입찰안.xls__590"/>
      <sheetName val="_입찰안.xls__입찰안.xls__입찰안.xls__586"/>
      <sheetName val="_입찰안.xls__입찰안.xls__입찰안.xls__587"/>
      <sheetName val="_입찰안.xls__입찰안.xls__입찰안.xls__588"/>
      <sheetName val="_입찰안.xls__입찰안.xls__입찰안.xls__591"/>
      <sheetName val="_입찰안.xls__입찰안.xls__입찰안.xls__597"/>
      <sheetName val="_입찰안.xls__입찰안.xls__입찰안.xls__596"/>
      <sheetName val="_입찰안.xls__입찰안.xls__입찰안.xls__593"/>
      <sheetName val="_입찰안.xls__입찰안.xls__입찰안.xls__592"/>
      <sheetName val="_입찰안.xls__입찰안.xls__입찰안.xls__594"/>
      <sheetName val="_입찰안.xls__입찰안.xls__입찰안.xls__595"/>
      <sheetName val="_입찰안.xls__입찰안.xls__입찰안.xls__614"/>
      <sheetName val="_입찰안.xls__입찰안.xls__입찰안.xls__598"/>
      <sheetName val="_입찰안.xls__입찰안.xls__입찰안.xls__599"/>
      <sheetName val="_입찰안.xls__입찰안.xls__입찰안.xls__600"/>
      <sheetName val="_입찰안.xls__입찰안.xls__입찰안.xls__628"/>
      <sheetName val="_입찰안.xls__입찰안.xls__입찰안.xls__601"/>
      <sheetName val="_입찰안.xls__입찰안.xls__입찰안.xls__602"/>
      <sheetName val="_입찰안.xls__입찰안.xls__입찰안.xls__606"/>
      <sheetName val="_입찰안.xls__입찰안.xls__입찰안.xls__603"/>
      <sheetName val="_입찰안.xls__입찰안.xls__입찰안.xls__604"/>
      <sheetName val="_입찰안.xls__입찰안.xls__입찰안.xls__605"/>
      <sheetName val="_입찰안.xls__입찰안.xls__입찰안.xls__607"/>
      <sheetName val="_입찰안.xls__입찰안.xls__입찰안.xls__608"/>
      <sheetName val="_입찰안.xls__입찰안.xls__입찰안.xls__609"/>
      <sheetName val="_입찰안.xls__입찰안.xls__입찰안.xls__610"/>
      <sheetName val="_입찰안.xls__입찰안.xls__입찰안.xls__613"/>
      <sheetName val="_입찰안.xls__입찰안.xls__입찰안.xls__611"/>
      <sheetName val="_입찰안.xls__입찰안.xls__입찰안.xls__612"/>
      <sheetName val="_입찰안.xls__입찰안.xls__입찰안.xls__615"/>
      <sheetName val="_입찰안.xls__입찰안.xls__입찰안.xls__616"/>
      <sheetName val="_입찰안.xls__입찰안.xls__입찰안.xls__617"/>
      <sheetName val="_입찰안.xls__입찰안.xls__입찰안.xls__618"/>
      <sheetName val="_입찰안.xls__입찰안.xls__입찰안.xls__619"/>
      <sheetName val="_입찰안.xls__입찰안.xls__입찰안.xls__620"/>
      <sheetName val="_입찰안.xls__입찰안.xls__입찰안.xls__621"/>
      <sheetName val="_입찰안.xls__입찰안.xls__입찰안.xls__622"/>
      <sheetName val="_입찰안.xls__입찰안.xls__입찰안.xls__623"/>
      <sheetName val="_입찰안.xls__입찰안.xls__입찰안.xls__624"/>
      <sheetName val="_입찰안.xls__입찰안.xls__입찰안.xls__625"/>
      <sheetName val="_입찰안.xls__입찰안.xls__입찰안.xls__626"/>
      <sheetName val="_입찰안.xls__입찰안.xls__입찰안.xls__627"/>
      <sheetName val="_입찰안.xls__입찰안.xls__입찰안.xls__635"/>
      <sheetName val="_입찰안.xls__입찰안.xls__입찰안.xls__629"/>
      <sheetName val="_입찰안.xls__입찰안.xls__입찰안.xls__630"/>
      <sheetName val="_입찰안.xls__입찰안.xls__입찰안.xls__631"/>
      <sheetName val="_입찰안.xls__입찰안.xls__입찰안.xls__632"/>
      <sheetName val="_입찰안.xls__입찰안.xls__입찰안.xls__633"/>
      <sheetName val="_입찰안.xls__입찰안.xls__입찰안.xls__634"/>
      <sheetName val="_입찰안.xls__입찰안.xls__입찰안.xls__639"/>
      <sheetName val="_입찰안.xls__입찰안.xls__입찰안.xls__636"/>
      <sheetName val="_입찰안.xls__입찰안.xls__입찰안.xls__638"/>
      <sheetName val="_입찰안.xls__입찰안.xls__입찰안.xls__637"/>
      <sheetName val="_입찰안.xls__입찰안.xls__입찰안.xls__640"/>
      <sheetName val="_입찰안.xls__입찰안.xls__입찰안.xls__641"/>
      <sheetName val="_입찰안.xls__입찰안.xls__입찰안.xls__644"/>
      <sheetName val="_입찰안.xls__입찰안.xls__입찰안.xls__642"/>
      <sheetName val="_입찰안.xls__입찰안.xls__입찰안.xls__643"/>
      <sheetName val="_입찰안.xls__입찰안.xls__입찰안.xls__647"/>
      <sheetName val="_입찰안.xls__입찰안.xls__입찰안.xls__645"/>
      <sheetName val="_입찰안.xls__입찰안.xls__입찰안.xls__646"/>
      <sheetName val="_입찰안.xls__입찰안.xls__입찰안.xls__667"/>
      <sheetName val="_입찰안.xls__입찰안.xls__입찰안.xls__651"/>
      <sheetName val="_입찰안.xls__입찰안.xls__입찰안.xls__649"/>
      <sheetName val="_입찰안.xls__입찰안.xls__입찰안.xls__648"/>
      <sheetName val="_입찰안.xls__입찰안.xls__입찰안.xls__650"/>
      <sheetName val="_입찰안.xls__입찰안.xls__입찰안.xls__652"/>
      <sheetName val="_입찰안.xls__입찰안.xls__입찰안.xls__654"/>
      <sheetName val="_입찰안.xls__입찰안.xls__입찰안.xls__653"/>
      <sheetName val="_입찰안.xls__입찰안.xls__입찰안.xls__672"/>
      <sheetName val="_입찰안.xls__입찰안.xls__입찰안.xls__655"/>
      <sheetName val="_입찰안.xls__입찰안.xls__입찰안.xls__656"/>
      <sheetName val="_입찰안.xls__입찰안.xls__입찰안.xls__657"/>
      <sheetName val="_입찰안.xls__입찰안.xls__입찰안.xls__658"/>
      <sheetName val="_입찰안.xls__입찰안.xls__입찰안.xls__660"/>
      <sheetName val="_입찰안.xls__입찰안.xls__입찰안.xls__659"/>
      <sheetName val="_입찰안.xls__입찰안.xls__입찰안.xls__661"/>
      <sheetName val="_입찰안.xls__입찰안.xls__입찰안.xls__662"/>
      <sheetName val="_입찰안.xls__입찰안.xls__입찰안.xls__663"/>
      <sheetName val="_입찰안.xls__입찰안.xls__입찰안.xls__664"/>
      <sheetName val="_입찰안.xls__입찰안.xls__입찰안.xls__666"/>
      <sheetName val="_입찰안.xls__입찰안.xls__입찰안.xls__665"/>
      <sheetName val="_입찰안.xls__입찰안.xls__입찰안.xls__684"/>
      <sheetName val="_입찰안.xls__입찰안.xls__입찰안.xls__668"/>
      <sheetName val="_입찰안.xls__입찰안.xls__입찰안.xls__669"/>
      <sheetName val="_입찰안.xls__입찰안.xls__입찰안.xls__670"/>
      <sheetName val="_입찰안.xls__입찰안.xls__입찰안.xls__671"/>
      <sheetName val="_입찰안.xls__입찰안.xls__입찰안.xls__674"/>
      <sheetName val="_입찰안.xls__입찰안.xls__입찰안.xls__673"/>
      <sheetName val="_입찰안.xls__입찰안.xls__입찰안.xls__675"/>
      <sheetName val="_입찰안.xls__입찰안.xls__입찰안.xls__693"/>
      <sheetName val="_입찰안.xls__입찰안.xls__입찰안.xls__676"/>
      <sheetName val="_입찰안.xls__입찰안.xls__입찰안.xls__678"/>
      <sheetName val="_입찰안.xls__입찰안.xls__입찰안.xls__677"/>
      <sheetName val="_입찰안.xls__입찰안.xls__입찰안.xls__679"/>
      <sheetName val="_입찰안.xls__입찰안.xls__입찰안.xls__680"/>
      <sheetName val="_입찰안.xls__입찰안.xls__입찰안.xls__681"/>
      <sheetName val="_입찰안.xls__입찰안.xls__입찰안.xls__682"/>
      <sheetName val="_입찰안.xls__입찰안.xls__입찰안.xls__683"/>
      <sheetName val="_입찰안.xls__입찰안.xls__입찰안.xls__685"/>
      <sheetName val="_입찰안.xls__입찰안.xls__입찰안.xls__686"/>
      <sheetName val="_입찰안.xls__입찰안.xls__입찰안.xls__687"/>
      <sheetName val="_입찰안.xls__입찰안.xls__입찰안.xls__688"/>
      <sheetName val="_입찰안.xls__입찰안.xls__입찰안.xls__692"/>
      <sheetName val="_입찰안.xls__입찰안.xls__입찰안.xls__689"/>
      <sheetName val="_입찰안.xls__입찰안.xls__입찰안.xls__690"/>
      <sheetName val="_입찰안.xls__입찰안.xls__입찰안.xls__691"/>
      <sheetName val="_입찰안.xls__입찰안.xls__입찰안.xls__699"/>
      <sheetName val="_입찰안.xls__입찰안.xls__입찰안.xls__694"/>
      <sheetName val="_입찰안.xls__입찰안.xls__입찰안.xls__695"/>
      <sheetName val="_입찰안.xls__입찰안.xls__입찰안.xls__698"/>
      <sheetName val="_입찰안.xls__입찰안.xls__입찰안.xls__696"/>
      <sheetName val="_입찰안.xls__입찰안.xls__입찰안.xls__697"/>
      <sheetName val="_입찰안.xls__입찰안.xls__입찰안.xls__718"/>
      <sheetName val="_입찰안.xls__입찰안.xls__입찰안.xls__704"/>
      <sheetName val="_입찰안.xls__입찰안.xls__입찰안.xls__700"/>
      <sheetName val="_입찰안.xls__입찰안.xls__입찰안.xls__701"/>
      <sheetName val="_입찰안.xls__입찰안.xls__입찰안.xls__702"/>
      <sheetName val="_입찰안.xls__입찰안.xls__입찰안.xls__703"/>
      <sheetName val="_입찰안.xls__입찰안.xls__입찰안.xls__705"/>
      <sheetName val="_입찰안.xls__입찰안.xls__입찰안.xls__706"/>
      <sheetName val="_입찰안.xls__입찰안.xls__입찰안.xls__707"/>
      <sheetName val="_입찰안.xls__입찰안.xls__입찰안.xls__708"/>
      <sheetName val="_입찰안.xls__입찰안.xls__입찰안.xls__728"/>
      <sheetName val="_입찰안.xls__입찰안.xls__입찰안.xls__710"/>
      <sheetName val="_입찰안.xls__입찰안.xls__입찰안.xls__709"/>
      <sheetName val="_입찰안.xls__입찰안.xls__입찰안.xls__711"/>
      <sheetName val="_입찰안.xls__입찰안.xls__입찰안.xls__712"/>
      <sheetName val="_입찰안.xls__입찰안.xls__입찰안.xls__713"/>
      <sheetName val="_입찰안.xls__입찰안.xls__입찰안.xls__715"/>
      <sheetName val="_입찰안.xls__입찰안.xls__입찰안.xls__714"/>
      <sheetName val="_입찰안.xls__입찰안.xls__입찰안.xls__716"/>
      <sheetName val="_입찰안.xls__입찰안.xls__입찰안.xls__717"/>
      <sheetName val="_입찰안.xls__입찰안.xls__입찰안.xls__720"/>
      <sheetName val="_입찰안.xls__입찰안.xls__입찰안.xls__719"/>
      <sheetName val="_입찰안.xls__입찰안.xls__입찰안.xls__721"/>
      <sheetName val="_입찰안.xls__입찰안.xls__입찰안.xls__722"/>
      <sheetName val="_입찰안.xls__입찰안.xls__입찰안.xls__723"/>
      <sheetName val="_입찰안.xls__입찰안.xls__입찰안.xls__724"/>
      <sheetName val="_입찰안.xls__입찰안.xls__입찰안.xls__725"/>
      <sheetName val="_입찰안.xls__입찰안.xls__입찰안.xls__726"/>
      <sheetName val="_입찰안.xls__입찰안.xls__입찰안.xls__727"/>
      <sheetName val="_입찰안.xls__입찰안.xls__입찰안.xls__729"/>
      <sheetName val="_입찰안.xls__입찰안.xls__입찰안.xls__730"/>
      <sheetName val="_입찰안.xls__입찰안.xls__입찰안.xls__732"/>
      <sheetName val="_입찰안.xls__입찰안.xls__입찰안.xls__731"/>
      <sheetName val="_입찰안.xls__입찰안.xls__입찰안.xls__739"/>
      <sheetName val="_입찰안.xls__입찰안.xls__입찰안.xls__733"/>
      <sheetName val="_입찰안.xls__입찰안.xls__입찰안.xls__734"/>
      <sheetName val="_입찰안.xls__입찰안.xls__입찰안.xls__735"/>
      <sheetName val="_입찰안.xls__입찰안.xls__입찰안.xls__736"/>
      <sheetName val="_입찰안.xls__입찰안.xls__입찰안.xls__737"/>
      <sheetName val="_입찰안.xls__입찰안.xls__입찰안.xls__738"/>
      <sheetName val="_입찰안.xls__입찰안.xls__입찰안.xls__743"/>
      <sheetName val="_입찰안.xls__입찰안.xls__입찰안.xls__740"/>
      <sheetName val="_입찰안.xls__입찰안.xls__입찰안.xls__741"/>
      <sheetName val="_입찰안.xls__입찰안.xls__입찰안.xls__742"/>
      <sheetName val="_입찰안.xls__입찰안.xls__입찰안.xls____7"/>
      <sheetName val="_입찰안.xls__입찰안_xls__입찰안_xls____3"/>
      <sheetName val="_입찰안.xls__입찰안.xls__입찰안_xls____2"/>
      <sheetName val="_입찰안.xls__입찰안.xls__입찰안.xls____8"/>
      <sheetName val="_입찰안.xls__입찰안_xls__입찰안_xls____4"/>
      <sheetName val="_입찰안.xls__입찰안.xls__입찰안_xls____3"/>
      <sheetName val="_입찰안.xls__입찰안.xls__입찰안.xls__752"/>
      <sheetName val="_입찰안.xls__입찰안.xls__입찰안.xls__749"/>
      <sheetName val="_입찰안.xls__입찰안.xls__입찰안.xls__745"/>
      <sheetName val="_입찰안.xls__입찰안.xls__입찰안.xls__746"/>
      <sheetName val="_입찰안.xls__입찰안.xls__입찰안.xls__747"/>
      <sheetName val="_입찰안.xls__입찰안.xls__입찰안.xls__748"/>
      <sheetName val="_입찰안.xls__입찰안.xls__입찰안.xls__750"/>
      <sheetName val="_입찰안.xls__입찰안.xls__입찰안.xls__751"/>
      <sheetName val="_입찰안.xls__입찰안.xls__입찰안.xls__754"/>
      <sheetName val="_입찰안.xls__입찰안.xls__입찰안.xls__753"/>
      <sheetName val="_입찰안.xls__입찰안.xls__입찰안.xls__755"/>
      <sheetName val="_입찰안.xls__입찰안.xls__입찰안.xls__759"/>
      <sheetName val="_입찰안.xls__입찰안.xls__입찰안.xls__756"/>
      <sheetName val="_입찰안.xls__입찰안.xls__입찰안.xls__762"/>
      <sheetName val="_입찰안.xls__입찰안.xls__입찰안.xls__757"/>
      <sheetName val="_입찰안.xls__입찰안.xls__입찰안.xls__758"/>
      <sheetName val="_입찰안.xls__입찰안.xls__입찰안.xls__760"/>
      <sheetName val="_입찰안.xls__입찰안.xls__입찰안.xls__761"/>
      <sheetName val="_입찰안.xls__입찰안.xls__입찰안.xls__763"/>
      <sheetName val="_입찰안.xls__입찰안.xls__입찰안.xls__765"/>
      <sheetName val="_입찰안.xls__입찰안.xls__입찰안.xls__764"/>
      <sheetName val="_입찰안_xls__입찰안_xls__입찰안_xls_B_30"/>
      <sheetName val="_입찰안_xls__입찰안_xls__입찰안_xls_B_46"/>
      <sheetName val="_입찰안_xls__입찰안_xls__입찰안_xls_B_45"/>
      <sheetName val="_입찰안_xls__입찰안_xls__입찰안_xls_B_44"/>
      <sheetName val="_입찰안_xls__입찰안_xls__입찰안_xls_B_33"/>
      <sheetName val="_입찰안_xls__입찰안_xls__입찰안_xls_B_31"/>
      <sheetName val="_입찰안_xls__입찰안_xls__입찰안_xls_B_32"/>
      <sheetName val="_입찰안_xls__입찰안_xls__입찰안_xls_B_34"/>
      <sheetName val="_입찰안_xls__입찰안_xls__입찰안_xls_B_35"/>
      <sheetName val="_입찰안_xls__입찰안_xls__입찰안_xls_B_36"/>
      <sheetName val="_입찰안_xls__입찰안_xls__입찰안_xls_B_37"/>
      <sheetName val="_입찰안_xls__입찰안_xls__입찰안_xls_B_40"/>
      <sheetName val="_입찰안_xls__입찰안_xls__입찰안_xls_B_38"/>
      <sheetName val="_입찰안_xls__입찰안_xls__입찰안_xls_B_41"/>
      <sheetName val="_입찰안_xls__입찰안_xls__입찰안_xls_B_39"/>
      <sheetName val="_입찰안_xls__입찰안_xls__입찰안_xls_B_42"/>
      <sheetName val="_입찰안_xls__입찰안_xls__입찰안_xls_B_43"/>
      <sheetName val="_입찰안_xls__입찰안_xls__입찰안_xls_B_47"/>
      <sheetName val="_입찰안_xls__입찰안_xls__입찰안_xls_B_48"/>
      <sheetName val="_입찰안_xls__입찰안_xls__입찰안_xls_B_49"/>
      <sheetName val="_입찰안_xls__입찰안_xls__입찰안_xls_B_54"/>
      <sheetName val="_입찰안_xls__입찰안_xls__입찰안_xls_B_53"/>
      <sheetName val="_입찰안_xls__입찰안_xls__입찰안_xls_B_50"/>
      <sheetName val="_입찰안_xls__입찰안_xls__입찰안_xls_B_51"/>
      <sheetName val="_입찰안_xls__입찰안_xls__입찰안_xls_B_52"/>
      <sheetName val="_입찰안_xls__입찰안_xls__입찰안_xls_B_55"/>
      <sheetName val="_입찰안_xls__입찰안_xls__입찰안_xls_B_56"/>
      <sheetName val="_입찰안_xls__입찰안_xls__입찰안_xls_B_57"/>
      <sheetName val="_입찰안_xls__입찰안_xls__입찰안_xls_B_58"/>
      <sheetName val="_입찰안_xls__입찰안_xls__입찰안_xls_B_59"/>
      <sheetName val="_입찰안_xls__입찰안_xls__입찰안_xls_B_60"/>
      <sheetName val="_입찰안_xls__입찰안_xls__입찰안_xls_B_61"/>
      <sheetName val="_입찰안_xls__입찰안_xls__입찰안_xls_B_62"/>
      <sheetName val="_입찰안_xls__입찰안_xls__입찰안_xls_B_63"/>
      <sheetName val="_입찰안_xls__입찰안_xls__입찰안_xls____5"/>
      <sheetName val="_입찰안_xls__입찰안_xls__입찰안_xls_B_64"/>
      <sheetName val="_입찰안_xls__입찰안_xls__입찰안_xls__103"/>
      <sheetName val="_입찰안_xls__입찰안_xls__입찰안_xls_B_68"/>
      <sheetName val="_입찰안_xls__입찰안_xls__입찰안_xls_B_79"/>
      <sheetName val="_입찰안_xls__입찰안_xls__입찰안_xls_B_80"/>
      <sheetName val="_입찰안_xls__입찰안_xls__입찰안_xls_B_66"/>
      <sheetName val="_입찰안_xls__입찰안_xls__입찰안_xls_B_67"/>
      <sheetName val="_입찰안_xls__입찰안_xls__입찰안_xls_B_65"/>
      <sheetName val="_입찰안_xls__입찰안_xls__입찰안_xls_B_69"/>
      <sheetName val="_입찰안_xls__입찰안_xls__입찰안_xls_B_70"/>
      <sheetName val="_입찰안_xls__입찰안_xls__입찰안_xls_B_71"/>
      <sheetName val="_입찰안_xls__입찰안_xls__입찰안_xls_B_73"/>
      <sheetName val="_입찰안_xls__입찰안_xls__입찰안_xls_B_74"/>
      <sheetName val="_입찰안_xls__입찰안_xls__입찰안_xls_B_72"/>
      <sheetName val="_입찰안_xls__입찰안_xls__입찰안_xls_B_75"/>
      <sheetName val="_입찰안_xls__입찰안_xls__입찰안_xls_B_76"/>
      <sheetName val="_입찰안_xls__입찰안_xls__입찰안_xls_B_77"/>
      <sheetName val="_입찰안_xls__입찰안_xls__입찰안_xls_B_78"/>
      <sheetName val="_입찰안_xls__입찰안_xls__입찰안_xls_B_81"/>
      <sheetName val="_입찰안_xls__입찰안_xls__입찰안_xls_B_82"/>
      <sheetName val="_입찰안_xls__입찰안_xls__입찰안_xls_B_83"/>
      <sheetName val="_입찰안_xls__입찰안_xls__입찰안_xls_B_93"/>
      <sheetName val="_입찰안_xls__입찰안_xls__입찰안_xls_B_96"/>
      <sheetName val="_입찰안_xls__입찰안_xls__입찰안_xls_B_86"/>
      <sheetName val="_입찰안_xls__입찰안_xls__입찰안_xls_B_87"/>
      <sheetName val="_입찰안_xls__입찰안_xls__입찰안_xls_B_84"/>
      <sheetName val="_입찰안_xls__입찰안_xls__입찰안_xls_B_85"/>
      <sheetName val="_입찰안_xls__입찰안_xls__입찰안_xls_B_88"/>
      <sheetName val="_입찰안_xls__입찰안_xls__입찰안_xls_B_89"/>
      <sheetName val="_입찰안_xls__입찰안_xls__입찰안_xls_B_90"/>
      <sheetName val="_입찰안_xls__입찰안_xls__입찰안_xls_B_91"/>
      <sheetName val="_입찰안_xls__입찰안_xls__입찰안_xls_B_92"/>
      <sheetName val="_입찰안_xls__입찰안_xls__입찰안_xls_B_94"/>
      <sheetName val="_입찰안_xls__입찰안_xls__입찰안_xls_B_95"/>
      <sheetName val="_입찰안_xls__입찰안_xls__입찰안_xls_B_97"/>
      <sheetName val="_입찰안_xls__입찰안_xls__입찰안_xls_B_98"/>
      <sheetName val="_입찰안_xls__입찰안_xls__입찰안_xls_B_99"/>
      <sheetName val="_입찰안_xls__입찰안_xls__입찰안_xls_B100"/>
      <sheetName val="_입찰안_xls__입찰안_xls__입찰안_xls_B101"/>
      <sheetName val="_입찰안_xls__입찰안_xls__입찰안_xls__100"/>
      <sheetName val="_입찰안_xls__입찰안_xls__입찰안_xls_B102"/>
      <sheetName val="_입찰안_xls__입찰안_xls__입찰안_xls__101"/>
      <sheetName val="_입찰안_xls__입찰안_xls__입찰안_xls__102"/>
      <sheetName val="_입찰안.xls__입찰안.xls__입찰안.xls__778"/>
      <sheetName val="_입찰안.xls__입찰안.xls__입찰안.xls__770"/>
      <sheetName val="_입찰안.xls__입찰안.xls__입찰안.xls__773"/>
      <sheetName val="_입찰안.xls__입찰안.xls__입찰안.xls__772"/>
      <sheetName val="_입찰안.xls__입찰안.xls__입찰안.xls__766"/>
      <sheetName val="_입찰안.xls__입찰안.xls__입찰안.xls__767"/>
      <sheetName val="_입찰안.xls__입찰안.xls__입찰안.xls__768"/>
      <sheetName val="_입찰안.xls__입찰안.xls__입찰안.xls__769"/>
      <sheetName val="_입찰안.xls__입찰안.xls__입찰안.xls__771"/>
      <sheetName val="_입찰안.xls__입찰안.xls__입찰안.xls__774"/>
      <sheetName val="_입찰안.xls__입찰안.xls__입찰안.xls__777"/>
      <sheetName val="_입찰안.xls__입찰안.xls__입찰안.xls__775"/>
      <sheetName val="_입찰안.xls__입찰안.xls__입찰안.xls__776"/>
      <sheetName val="_입찰안.xls__입찰안.xls__입찰안.xls__779"/>
      <sheetName val="_입찰안.xls__입찰안.xls__입찰안.xls__797"/>
      <sheetName val="_입찰안.xls__입찰안.xls__입찰안.xls__781"/>
      <sheetName val="_입찰안.xls__입찰안.xls__입찰안.xls__785"/>
      <sheetName val="_입찰안.xls__입찰안.xls__입찰안.xls__784"/>
      <sheetName val="_입찰안.xls__입찰안.xls__입찰안.xls__780"/>
      <sheetName val="_입찰안.xls__입찰안.xls__입찰안.xls__783"/>
      <sheetName val="_입찰안.xls__입찰안.xls__입찰안.xls__782"/>
      <sheetName val="_입찰안.xls__입찰안.xls__입찰안.xls__790"/>
      <sheetName val="_입찰안.xls__입찰안.xls__입찰안.xls__791"/>
      <sheetName val="_입찰안.xls__입찰안.xls__입찰안.xls__787"/>
      <sheetName val="_입찰안.xls__입찰안.xls__입찰안.xls__789"/>
      <sheetName val="_입찰안.xls__입찰안.xls__입찰안.xls__786"/>
      <sheetName val="_입찰안.xls__입찰안.xls__입찰안.xls__788"/>
      <sheetName val="_입찰안.xls__입찰안.xls__입찰안.xls__793"/>
      <sheetName val="_입찰안.xls__입찰안.xls__입찰안.xls__792"/>
      <sheetName val="_입찰안.xls__입찰안.xls__입찰안.xls__794"/>
      <sheetName val="_입찰안.xls__입찰안.xls__입찰안.xls__796"/>
      <sheetName val="_입찰안.xls__입찰안.xls__입찰안.xls__795"/>
      <sheetName val="_입찰안.xls__입찰안.xls__입찰안.xls__798"/>
      <sheetName val="_입찰안.xls__입찰안.xls__입찰안.xls__799"/>
      <sheetName val="[입찰안.xls][입찰안.xls]_입___xls_1004"/>
      <sheetName val="[입찰안.xls][입찰안.xls]_입___xls_1003"/>
      <sheetName val="[입찰안.xls][입찰안.xls]_____xls_2337"/>
      <sheetName val="[입찰안.xls][입찰안.xls]_____xls_2340"/>
      <sheetName val="[입찰안.xls][입찰안.xls]_____xls_2332"/>
      <sheetName val="수리결과"/>
      <sheetName val="[입찰안_xls][입찰안_xls]B:\입찰안_xls1"/>
      <sheetName val="B:\입찰안_xls1"/>
      <sheetName val="[입찰안_xls]B:\입찰안_xls1"/>
      <sheetName val="Sheet2_(2)1"/>
      <sheetName val="A_LINE1"/>
      <sheetName val="환율차"/>
      <sheetName val="Job Assign"/>
      <sheetName val="정미시간"/>
      <sheetName val="[입찰안.xls][입찰안.xls]_____xls_2329"/>
      <sheetName val="[입찰안.xls][입찰안.xls]_____xls_2330"/>
      <sheetName val="[입찰안.xls][입찰안.xls]_____xls_2331"/>
      <sheetName val="[입찰안.xls][입찰안.xls]_입찰안_xls_1000"/>
      <sheetName val="[입찰안.xls][입찰안.xls]_____xls_2326"/>
      <sheetName val="[입찰안.xls][입찰안.xls]_____xls_2327"/>
      <sheetName val="[입찰안.xls][입찰안.xls]_____xls_2319"/>
      <sheetName val="[입찰안.xls][입찰안.xls]_____xls_2320"/>
      <sheetName val="[입찰안.xls][입찰안.xls]_____xls_2322"/>
      <sheetName val="[입찰안.xls][입찰안.xls]_____xls_2323"/>
      <sheetName val="[입찰안.xls][입찰안.xls]_____xls_2321"/>
      <sheetName val="[입찰안.xls][입찰안.xls]_____xls_2324"/>
      <sheetName val="[입찰안.xls][입찰안.xls]_____xls_2325"/>
      <sheetName val="[입찰안.xls][입찰안.xls]_____xls_2328"/>
      <sheetName val="[입찰안.xls][입찰안.xls]_____xls_2333"/>
      <sheetName val="[입찰안.xls][입찰안.xls]_____xls_2334"/>
      <sheetName val="[입찰안.xls][입찰안.xls]_____xls_2335"/>
      <sheetName val="[입찰안.xls][입찰안.xls]_____xls_2336"/>
      <sheetName val="[입찰안.xls][입찰안.xls]_____xls_2338"/>
      <sheetName val="[입찰안.xls][입찰안.xls]_____xls_2344"/>
      <sheetName val="[입찰안.xls][입찰안.xls]_____xls_2339"/>
      <sheetName val="[입찰안.xls][입찰안.xls]_____xls_2341"/>
      <sheetName val="[입찰안.xls][입찰안.xls]_____xls_2343"/>
      <sheetName val="[입찰안.xls][입찰안.xls]_____xls_2342"/>
      <sheetName val="[입찰안.xls][입찰안.xls]_____xls_2349"/>
      <sheetName val="[입찰안.xls][입찰안.xls]_____xls_2345"/>
      <sheetName val="[입찰안.xls][입찰안.xls]_____xls_2346"/>
      <sheetName val="[입찰안.xls][입찰안.xls]_____xls_2347"/>
      <sheetName val="[입찰안.xls][입찰안.xls]_____xls_2348"/>
      <sheetName val="[입찰안.xls][입찰안.xls]_____xls_2351"/>
      <sheetName val="[입찰안.xls][입찰안.xls]_____xls_2356"/>
      <sheetName val="[입찰안.xls][입찰안.xls]_____xls_2350"/>
      <sheetName val="[입찰안.xls][입찰안.xls]_____xls_2352"/>
      <sheetName val="[입찰안.xls][입찰안.xls]_____xls_2354"/>
      <sheetName val="[입찰안.xls][입찰안.xls]_____xls_2353"/>
      <sheetName val="[입찰안.xls][입찰안.xls]_____xls_2355"/>
      <sheetName val="[입찰안.xls][입찰안.xls]_____xls_2358"/>
      <sheetName val="[입찰안.xls][입찰안.xls]_____xls_2357"/>
      <sheetName val="[입찰안.xls][입찰안.xls]_____xls_2371"/>
      <sheetName val="[입찰안.xls][입찰안.xls]_____xls_2361"/>
      <sheetName val="[입찰안.xls][입찰안.xls]_____xls_2360"/>
      <sheetName val="[입찰안.xls][입찰안.xls]_____xls_2359"/>
      <sheetName val="[입찰안.xls][입찰안.xls]_____xls_2362"/>
      <sheetName val="[입찰안.xls][입찰안.xls]_____xls_2364"/>
      <sheetName val="[입찰안.xls][입찰안.xls]_____xls_2363"/>
      <sheetName val="[입찰안.xls][입찰안.xls]_____xls_2370"/>
      <sheetName val="[입찰안.xls][입찰안.xls]_____xls_2372"/>
      <sheetName val="[입찰안.xls][입찰안.xls]_____xls_2365"/>
      <sheetName val="[입찰안.xls][입찰안.xls]_____xls_2366"/>
      <sheetName val="[입찰안.xls][입찰안.xls]_____xls_2367"/>
      <sheetName val="[입찰안.xls][입찰안.xls]_____xls_2368"/>
      <sheetName val="[입찰안.xls][입찰안.xls]_____xls_2369"/>
      <sheetName val="[입찰안.xls][입찰안.xls]_____xls_2374"/>
      <sheetName val="[입찰안.xls][입찰안.xls]_____xls_2375"/>
      <sheetName val="[입찰안.xls][입찰안.xls]_____xls_2373"/>
      <sheetName val="[입찰안.xls][입찰안.xls]_____xls_2376"/>
      <sheetName val="[입찰안.xls][입찰안.xls]_____xls_2378"/>
      <sheetName val="[입찰안.xls][입찰안.xls]_____xls_2377"/>
      <sheetName val="[입찰안.xls][입찰안.xls]_____xls_2383"/>
      <sheetName val="[입찰안.xls][입찰안.xls]_____xls_2379"/>
      <sheetName val="[입찰안.xls][입찰안.xls]_____xls_2380"/>
      <sheetName val="[입찰안.xls][입찰안.xls]_____xls_2381"/>
      <sheetName val="[입찰안.xls][입찰안.xls]_____xls_2382"/>
      <sheetName val="[입찰안.xls][입찰안.xls]_____xls_2388"/>
      <sheetName val="[입찰안.xls][입찰안.xls]_____xls_2389"/>
      <sheetName val="[입찰안.xls][입찰안.xls]_____xls_2384"/>
      <sheetName val="[입찰안.xls][입찰안.xls]_____xls_2390"/>
      <sheetName val="[입찰안.xls][입찰안.xls]_____xls_2385"/>
      <sheetName val="[입찰안.xls][입찰안.xls]_____xls_2386"/>
      <sheetName val="[입찰안.xls][입찰안.xls]_____xls_2387"/>
      <sheetName val="[입찰안.xls][입찰안.xls]_____xls_2391"/>
      <sheetName val="[입찰안.xls][입찰안.xls]_____xls_2398"/>
      <sheetName val="[입찰안.xls][입찰안.xls]_____xls_2406"/>
      <sheetName val="[입찰안.xls][입찰안.xls]_____xls_2401"/>
      <sheetName val="CAUDIT"/>
      <sheetName val="6__수량산출서9"/>
      <sheetName val="CM_19"/>
      <sheetName val="수량산출서_(2)8"/>
      <sheetName val="토공_total8"/>
      <sheetName val="전사_(2)8"/>
      <sheetName val="BA_(2)8"/>
      <sheetName val="CP_(2)8"/>
      <sheetName val="일위대가56-1_8"/>
      <sheetName val="일위대가71-1_8"/>
      <sheetName val="일위대가74-1_8"/>
      <sheetName val="일위대가76-1_8"/>
      <sheetName val="일위대가77-1_8"/>
      <sheetName val="일위대가78-1_8"/>
      <sheetName val="_소방공사_산출근거8"/>
      <sheetName val="습식및_셀프레벨링9"/>
      <sheetName val="1차_내역서9"/>
      <sheetName val="BSD_(2)8"/>
      <sheetName val="바_한일양산8"/>
      <sheetName val="Project_Brief8"/>
      <sheetName val="영업_일18"/>
      <sheetName val="기기_내역서8"/>
      <sheetName val="1_CB8"/>
      <sheetName val="유효폭의_계산7"/>
      <sheetName val="아파트_7"/>
      <sheetName val="변경명신물량_(2)8"/>
      <sheetName val="토공_토적표8"/>
      <sheetName val="갑지_을지7"/>
      <sheetName val="2-2_매출분석7"/>
      <sheetName val="미납품_현황7"/>
      <sheetName val="STEEL_BOX_단면설계(SEC_8)7"/>
      <sheetName val="도담구내_개소별_명柖9"/>
      <sheetName val="danh_muc_vat_tu9"/>
      <sheetName val="Register-BG_NCC9"/>
      <sheetName val="Data_29"/>
      <sheetName val="TB_chính9"/>
      <sheetName val="Steel_pipe9"/>
      <sheetName val="Ref_pipe+Ins9"/>
      <sheetName val="Plastic_pipe9"/>
      <sheetName val="Air_Grilles9"/>
      <sheetName val="Cost_bd-&quot;A&quot;9"/>
      <sheetName val="갑지_설계_내역서7"/>
      <sheetName val="기존단가_(2)8"/>
      <sheetName val="설명서_7"/>
      <sheetName val="_FURNACE현설6"/>
      <sheetName val="97_사업추정(WEKI)6"/>
      <sheetName val="8_설치품셈6"/>
      <sheetName val="ITB_COST7"/>
      <sheetName val="자격_땡겨오기7"/>
      <sheetName val="05년_상7"/>
      <sheetName val="영흥TL(UP,DOWN)_7"/>
      <sheetName val="단양_00_아파트-세부내역7"/>
      <sheetName val="2_단면가정_(양곡1교)7"/>
      <sheetName val="8_PILE__(돌출)7"/>
      <sheetName val="1_내역(청_하역장전등)7"/>
      <sheetName val="2000_056"/>
      <sheetName val="표지_(2)7"/>
      <sheetName val="Xunit_(단위환산)7"/>
      <sheetName val="4__VOs_summary8"/>
      <sheetName val="수량산출서_갑지7"/>
      <sheetName val="장비코드표_0506017"/>
      <sheetName val="2007년_생산1부장비7"/>
      <sheetName val="2008년_생산부전장비코드7"/>
      <sheetName val="DDB부_장비_관리현황7"/>
      <sheetName val="Chiet_tinh_dz358"/>
      <sheetName val="Bảng_mã_VT8"/>
      <sheetName val="DATA_LISTS6"/>
      <sheetName val="4_2_1_마루높이_검토7"/>
      <sheetName val="_견적서7"/>
      <sheetName val="품셈_6"/>
      <sheetName val="M-EMS_GP-570(BIT)6"/>
      <sheetName val="내역서_제출7"/>
      <sheetName val="19_07월_세_계6"/>
      <sheetName val="19_07항목별(시트복사금지100번쓰기)6"/>
      <sheetName val="19_05월6"/>
      <sheetName val="TABLE_DB6"/>
      <sheetName val="쌍용_data_base6"/>
      <sheetName val="내역(인테리어_실내)(도급)6"/>
      <sheetName val="내역(인테리어_실외)(도급)6"/>
      <sheetName val="Elec_LG6"/>
      <sheetName val="ESTI_6"/>
      <sheetName val="D_&amp;_W_sizes6"/>
      <sheetName val="Gia_vat_tu6"/>
      <sheetName val="dtct_cong6"/>
      <sheetName val="DGCT_(01)6"/>
      <sheetName val="SCOPE_OF_WORK6"/>
      <sheetName val="Chi_tiet6"/>
      <sheetName val="nhôm_1,2mm6"/>
      <sheetName val="nhôm_1,4mm6"/>
      <sheetName val="01__DATA6"/>
      <sheetName val="중기조종사_단위단가6"/>
      <sheetName val="자재기성_신청서_xlsx6"/>
      <sheetName val="0_목록16"/>
      <sheetName val="So_sanh5"/>
      <sheetName val="[입찰안_xls][입찰안_xls][입찰안_xls]B299"/>
      <sheetName val="[입찰안_xls][입찰안_xls][입찰안_xls]B300"/>
      <sheetName val="[입찰안_xls][입찰안_xls][입찰안_xls]B301"/>
      <sheetName val="[입찰안_xls][입찰안_xls][입찰안_xls]B302"/>
      <sheetName val="[입찰안_xls][입찰안_xls][입찰안_xls]B303"/>
      <sheetName val="[입찰안_xls][입찰안_xls][입찰안_xls]B304"/>
      <sheetName val="[입찰안_xls][입찰안_xls][입찰안_xls]B305"/>
      <sheetName val="[입찰안_xls][입찰안_xls][입찰안_xls]B306"/>
      <sheetName val="PROJ__DATA5"/>
      <sheetName val="_Beams_Sched_5"/>
      <sheetName val="[입찰안_xls][입찰안_xls][입찰안_xls]B307"/>
      <sheetName val="[입찰안_xls][입찰안_xls][입찰안_xls]B308"/>
      <sheetName val="[입찰안_xls][입찰안_xls][입찰안_xls]B309"/>
      <sheetName val="[입찰안_xls][입찰안_xls][입찰안_xls]B310"/>
      <sheetName val="[입찰안_xls][입찰안_xls][입찰안_xls]B311"/>
      <sheetName val="[입찰안_xls][입찰안_xls][입찰안_xls]B312"/>
      <sheetName val="[입찰안_xls][입찰안_xls][입찰안_xls]B313"/>
      <sheetName val="[입찰안_xls][입찰안_xls][입찰안_xls]B314"/>
      <sheetName val="[입찰안_xls][입찰안_xls][입찰안_xls]B315"/>
      <sheetName val="[입찰안_xls][입찰안_xls][입찰안_xls]B316"/>
      <sheetName val="[입찰안_xls][입찰안_xls][입찰안_xls]B317"/>
      <sheetName val="[입찰안_xls][입찰안_xls][입찰안_xls]B318"/>
      <sheetName val="[입찰안_xls][입찰안_xls][입찰안_xls]B319"/>
      <sheetName val="[입찰안_xls][입찰안_xls][입찰안_xls]B320"/>
      <sheetName val="[입찰안_xls][입찰안_xls][입찰안_xls]B321"/>
      <sheetName val="[입찰안_xls][입찰안_xls][입찰안_xls]B322"/>
      <sheetName val="[입찰안_xls][입찰안_xls][입찰안_xls]B323"/>
      <sheetName val="[입찰안_xls][입찰안_xls][입찰안_xls]B324"/>
      <sheetName val="[입찰안_xls][입찰안_xls][입찰안_xls]__24"/>
      <sheetName val="[입찰안_xls][입찰안_xls][입찰안_xls]__25"/>
      <sheetName val="[입찰안_xls][입찰안_xls][입찰안_xls]B325"/>
      <sheetName val="[입찰안_xls][입찰안_xls][입찰안_xls]B326"/>
      <sheetName val="[입찰안_xls][입찰안_xls][입찰안_xls]B327"/>
      <sheetName val="[입찰안_xls][입찰안_xls][입찰안_xls]B328"/>
      <sheetName val="Cọc_nhồi5"/>
      <sheetName val="Phan_tich_ca_may5"/>
      <sheetName val="Chenh_lech_ca_may5"/>
      <sheetName val="TLg_CN&amp;Laixe5"/>
      <sheetName val="TLg_CN&amp;Laixe_(2)5"/>
      <sheetName val="TLg_Laitau5"/>
      <sheetName val="TLg_Laitau_(2)5"/>
      <sheetName val="Dầm_15"/>
      <sheetName val="Gia_VLNCMTC5"/>
      <sheetName val="Sàn_T15"/>
      <sheetName val="Lỗ_thông_gió5"/>
      <sheetName val="Sàn_tầng_01_(_old_)5"/>
      <sheetName val="Chiet_tinh_don_gia_CM5"/>
      <sheetName val="Measure_13065"/>
      <sheetName val="EE_(3)5"/>
      <sheetName val="RAB_AR&amp;STR4"/>
      <sheetName val="Isolasi_Luar_Dalam4"/>
      <sheetName val="Isolasi_Luar4"/>
      <sheetName val="Div26_-_Elect4"/>
      <sheetName val="U_P_Breakdown4"/>
      <sheetName val="1_R18_BF4"/>
      <sheetName val="6_External_works-R184"/>
      <sheetName val="[입찰안_xls][입찰안_xls][입찰안_xls]B329"/>
      <sheetName val="[입찰안_xls][입찰안_xls][입찰안_xls]B330"/>
      <sheetName val="[입찰안_xls][입찰안_xls][입찰안_xls]B331"/>
      <sheetName val="[입찰안_xls][입찰안_xls][입찰안_xls]B332"/>
      <sheetName val="[입찰안_xls][입찰안_xls][입찰안_xls]B333"/>
      <sheetName val="[입찰안_xls][입찰안_xls][입찰안_xls]B334"/>
      <sheetName val="[입찰안_xls][입찰안_xls][입찰안_xls]B335"/>
      <sheetName val="[입찰안_xls][입찰안_xls][입찰안_xls]B336"/>
      <sheetName val="[입찰안_xls][입찰안_xls][입찰안_xls]B337"/>
      <sheetName val="[입찰안_xls][입찰안_xls][입찰안_xls]B338"/>
      <sheetName val="[입찰안_xls][입찰안_xls][입찰안_xls]B339"/>
      <sheetName val="[입찰안_xls][입찰안_xls][입찰안_xls]B340"/>
      <sheetName val="[입찰안_xls][입찰안_xls][입찰안_xls]B341"/>
      <sheetName val="[입찰안_xls][입찰안_xls][입찰안_xls]B342"/>
      <sheetName val="견적비교표_(2)3"/>
      <sheetName val="결재방(지우지_마세요)3"/>
      <sheetName val="EXCHANGE_RATE3"/>
      <sheetName val="[입찰안_xls][입찰안_xls][입찰안_xls]B343"/>
      <sheetName val="[입찰안_xls][입찰안_xls][입찰안_xls]B344"/>
      <sheetName val="TOWER_12TON3"/>
      <sheetName val="공사투입계획(변경결의)19_93"/>
      <sheetName val="노무비_월별지급현황19_93"/>
      <sheetName val="갑지(외주기성)19_93"/>
      <sheetName val="[입찰안_xls][입찰안_xls][입찰안_xls]B345"/>
      <sheetName val="노임단가_및_기계경비3"/>
      <sheetName val="실행내역서_3"/>
      <sheetName val="[입찰안_xls][입찰안_xls][입찰안_xls]B346"/>
      <sheetName val="[입찰안_xls][입찰안_xls][입찰안_xls]B347"/>
      <sheetName val="[입찰안_xls][입찰안_xls][입찰안_xls]B348"/>
      <sheetName val="[입찰안_xls][입찰안_xls][입찰안_xls]B349"/>
      <sheetName val="[입찰안_xls][입찰안_xls][입찰안_xls]B350"/>
      <sheetName val="[입찰안_xls][입찰안_xls][입찰안_xls]B351"/>
      <sheetName val="중강당_내역3"/>
      <sheetName val="[입찰안_xls][입찰안_xls][입찰안_xls]B352"/>
      <sheetName val="[입찰안_xls][입찰안_xls][입찰안_xls]B353"/>
      <sheetName val="[입찰안_xls][입찰안_xls][입찰안_xls]B354"/>
      <sheetName val="[입찰안_xls][입찰안_xls][입찰안_xls]B355"/>
      <sheetName val="[입찰안_xls][입찰안_xls][입찰안_xls]B356"/>
      <sheetName val="[입찰안_xls][입찰안_xls][입찰안_xls]B357"/>
      <sheetName val="[입찰안_xls][입찰안_xls][입찰안_xls]B358"/>
      <sheetName val="[입찰안_xls][입찰안_xls][입찰안_xls]B359"/>
      <sheetName val="[입찰안_xls][입찰안_xls][입찰안_xls]B360"/>
      <sheetName val="[입찰안_xls][입찰안_xls][입찰안_xls]B361"/>
      <sheetName val="[입찰안_xls][입찰안_xls][입찰안_xls]B362"/>
      <sheetName val="[입찰안_xls][입찰안_xls][입찰안_xls]B363"/>
      <sheetName val="[입찰안_xls][입찰안_xls][입찰안_xls]B364"/>
      <sheetName val="[입찰안_xls][입찰안_xls][입찰안_xls]B365"/>
      <sheetName val="6-1_보오링(1)3"/>
      <sheetName val="할증_4"/>
      <sheetName val="간접비_총괄표4"/>
      <sheetName val="노_표-조2"/>
      <sheetName val="[입찰안_xls][입찰안_xls][입찰안_xls]B366"/>
      <sheetName val="[입찰안_xls][입찰안_xls][입찰안_xls]B367"/>
      <sheetName val="Requirement(Work_Crew)2"/>
      <sheetName val="[입찰안_xls][입찰안_xls][입찰안_xls]B368"/>
      <sheetName val="[입찰안_xls][입찰안_xls][입찰안_xls]B369"/>
      <sheetName val="[입찰안_xls][입찰안_xls][입찰안_xls]B370"/>
      <sheetName val="[입찰안_xls][입찰안_xls][입찰안_xls]B371"/>
      <sheetName val="[입찰안_xls][입찰안_xls][입찰안_xls]B372"/>
      <sheetName val="[입찰안_xls][입찰안_xls][입찰안_xls]B373"/>
      <sheetName val="[입찰안_xls][입찰안_xls][입찰안_xls]B374"/>
      <sheetName val="[입찰안_xls][입찰안_xls][입찰안_xls]B375"/>
      <sheetName val="[입찰안_xls][입찰안_xls][입찰안_xls]B376"/>
      <sheetName val="[입찰안_xls][입찰안_xls][입찰안_xls]B377"/>
      <sheetName val="[입찰안_xls][입찰안_xls][입찰안_xls]B378"/>
      <sheetName val="[입찰안_xls][입찰안_xls][입찰안_xls]B379"/>
      <sheetName val="[입찰안_xls][입찰안_xls][입찰안_xls]B380"/>
      <sheetName val="[입찰안_xls][입찰안_xls][입찰안_xls]B381"/>
      <sheetName val="[입찰안_xls][입찰안_xls][입찰안_xls]B382"/>
      <sheetName val="[입찰안_xls][입찰안_xls][입찰안_xls]B383"/>
      <sheetName val="[입찰안_xls][입찰안_xls][입찰안_xls]B384"/>
      <sheetName val="[입찰안_xls][입찰안_xls][입찰안_xls]B385"/>
      <sheetName val="[입찰안_xls][입찰안_xls][입찰안_xls]B386"/>
      <sheetName val="[입찰안_xls][입찰안_xls][입찰안_xls]B387"/>
      <sheetName val="[입찰안_xls][입찰안_xls][입찰안_xls]B388"/>
      <sheetName val="[입찰안_xls][입찰안_xls][입찰안_xls]B389"/>
      <sheetName val="[입찰안_xls][입찰안_xls][입찰안_xls]B390"/>
      <sheetName val="[입찰안_xls][입찰안_xls][입찰안_xls]B391"/>
      <sheetName val="[입찰안_xls][입찰안_xls][입찰안_xls]B392"/>
      <sheetName val="[입찰안_xls][입찰안_xls][입찰안_xls]B393"/>
      <sheetName val="[입찰안_xls][입찰안_xls][입찰안_xls]B394"/>
      <sheetName val="[입찰안_xls][입찰안_xls][입찰안_xls]B395"/>
      <sheetName val="[입찰안_xls][입찰안_xls][입찰안_xls]_978"/>
      <sheetName val="[입찰안_xls][입찰안_xls][입찰안_xls]_979"/>
      <sheetName val="[입찰안_xls][입찰안_xls][입찰안_xls]B396"/>
      <sheetName val="[입찰안_xls][입찰안_xls][입찰안_xls]_980"/>
      <sheetName val="[입찰안_xls][입찰안_xls][입찰안_xls]_981"/>
      <sheetName val="[입찰안_xls][입찰안_xls][입찰안_xls]_982"/>
      <sheetName val="[입찰안_xls][입찰안_xls][입찰안_xls]_983"/>
      <sheetName val="[입찰안_xls][입찰안_xls][입찰안_xls]_984"/>
      <sheetName val="[입찰안_xls][입찰안_xls][입찰안_xls]_985"/>
      <sheetName val="[입찰안_xls][입찰안_xls][입찰안_xls]_986"/>
      <sheetName val="[입찰안_xls][입찰안_xls][입찰안_xls]_987"/>
      <sheetName val="[입찰안_xls][입찰안_xls][입찰안_xls]_988"/>
      <sheetName val="[입찰안_xls][입찰안_xls][입찰안_xls]_989"/>
      <sheetName val="[입찰안_xls][입찰안_xls][입찰안_xls]_990"/>
      <sheetName val="[입찰안_xls][입찰안_xls][입찰안_xls]_991"/>
      <sheetName val="[입찰안_xls][입찰안_xls][입찰안_xls]_992"/>
      <sheetName val="[입찰안_xls][입찰안_xls][입찰안_xls]_993"/>
      <sheetName val="[입찰안_xls][입찰안_xls][입찰안_xls]_994"/>
      <sheetName val="[입찰안_xls][입찰안_xls][입찰안_xls]_995"/>
      <sheetName val="[입찰안_xls][입찰안_xls][입찰안_xls]_996"/>
      <sheetName val="[입찰안_xls][입찰안_xls][입찰안_xls]_997"/>
      <sheetName val="[입찰안_xls][입찰안_xls][입찰안_xls]__26"/>
      <sheetName val="[입찰안_xls][입찰안_xls][입찰안_xls]_998"/>
      <sheetName val="[입찰안_xls][입찰안_xls][입찰안_xls]_999"/>
      <sheetName val="[입찰안_xls][입찰안_xls][입찰안_xls]1000"/>
      <sheetName val="[입찰안_xls][입찰안_xls][입찰안_xls]1001"/>
      <sheetName val="[입찰안_xls][입찰안_xls][입찰안_xls]1002"/>
      <sheetName val="[입찰안_xls][입찰안_xls][입찰안_xls]1003"/>
      <sheetName val="[입찰안_xls][입찰안_xls][입찰안_xls]1004"/>
      <sheetName val="[입찰안_xls][입찰안_xls][입찰안_xls]1005"/>
      <sheetName val="사__업__비__수__지__예__산__서2"/>
      <sheetName val="[입찰안_xls][입찰안_xls][입찰안_xls]1006"/>
      <sheetName val="General_Data2"/>
      <sheetName val="Bill_01_-_CTN4"/>
      <sheetName val="020_235_23634"/>
      <sheetName val="CHITIET_VL-NC-TT1p4"/>
      <sheetName val="Project_Infor4"/>
      <sheetName val="Data_input4"/>
      <sheetName val="[입찰안_xls][입찰안_xls][입찰안_xls]1007"/>
      <sheetName val="[입찰안_xls][입찰안_xls][입찰안_xls]1008"/>
      <sheetName val="[입찰안_xls][입찰안_xls][입찰안_xls]1009"/>
      <sheetName val="[입찰안_xls][입찰안_xls][입찰안_xls]1010"/>
      <sheetName val="[입찰안_xls][입찰안_xls][입찰안_xls]1011"/>
      <sheetName val="[입찰안_xls][입찰안_xls][입찰안_xls]1012"/>
      <sheetName val="[입찰안_xls][입찰안_xls][입찰안_xls]1013"/>
      <sheetName val="[입찰안_xls][입찰안_xls][입찰안_xls]1014"/>
      <sheetName val="[입찰안_xls][입찰안_xls][입찰안_xls]1015"/>
      <sheetName val="[입찰안_xls][입찰안_xls][입찰안_xls]1016"/>
      <sheetName val="[입찰안_xls][입찰안_xls][입찰안_xls]1017"/>
      <sheetName val="[입찰안_xls][입찰안_xls][입찰안_xls]1018"/>
      <sheetName val="[입찰안_xls][입찰안_xls][입찰안_xls]1019"/>
      <sheetName val="[입찰안_xls][입찰안_xls][입찰안_xls]1020"/>
      <sheetName val="[입찰안_xls][입찰안_xls][입찰안_xls]1021"/>
      <sheetName val="[입찰안_xls][입찰안_xls][입찰안_xls]1022"/>
      <sheetName val="[입찰안_xls][입찰안_xls][입찰안_xls]1023"/>
      <sheetName val="[입찰안_xls][입찰안_xls][입찰안_xls]1024"/>
      <sheetName val="[입찰안_xls][입찰안_xls][입찰안_xls]1025"/>
      <sheetName val="[입찰안_xls][입찰안_xls][입찰안_xls]1026"/>
      <sheetName val="[입찰안_xls][입찰안_xls][입찰안_xls]1027"/>
      <sheetName val="[입찰안_xls][입찰안_xls][입찰안_xls]1028"/>
      <sheetName val="[입찰안_xls][입찰안_xls][입찰안_xls]1029"/>
      <sheetName val="[입찰안_xls][입찰안_xls][입찰안_xls]1030"/>
      <sheetName val="[입찰안_xls][입찰안_xls][입찰안_xls]1031"/>
      <sheetName val="[입찰안_xls][입찰안_xls][입찰안_xls]1032"/>
      <sheetName val="[입찰안_xls][입찰안_xls][입찰안_xls]1033"/>
      <sheetName val="[입찰안_xls][입찰안_xls][입찰안_xls]1034"/>
      <sheetName val="[입찰안_xls][입찰안_xls][입찰안_xls]1035"/>
      <sheetName val="[입찰안_xls][입찰안_xls][입찰안_xls]1036"/>
      <sheetName val="[입찰안_xls][입찰안_xls][입찰안_xls]1037"/>
      <sheetName val="[입찰안_xls][입찰안_xls][입찰안_xls]1038"/>
      <sheetName val="[입찰안_xls][입찰안_xls][입찰안_xls]1039"/>
      <sheetName val="[입찰안_xls][입찰안_xls][입찰안_xls]1040"/>
      <sheetName val="[입찰안_xls][입찰안_xls][입찰안_xls]1041"/>
      <sheetName val="[입찰안_xls][입찰안_xls][입찰안_xls]1042"/>
      <sheetName val="[입찰안_xls][입찰안_xls][입찰안_xls]1043"/>
      <sheetName val="[입찰안_xls][입찰안_xls][입찰안_xls]1044"/>
      <sheetName val="[입찰안_xls][입찰안_xls][입찰안_xls]1045"/>
      <sheetName val="[입찰안_xls][입찰안_xls][입찰안_xls]1046"/>
      <sheetName val="[입찰안_xls][입찰안_xls][입찰안_xls]1047"/>
      <sheetName val="[입찰안_xls][입찰안_xls][입찰안_xls]1048"/>
      <sheetName val="[입찰안_xls][입찰안_xls][입찰안_xls]1049"/>
      <sheetName val="[입찰안_xls][입찰안_xls][입찰안_xls]1050"/>
      <sheetName val="[입찰안_xls][입찰안_xls][입찰안_xls]1051"/>
      <sheetName val="[입찰안_xls][입찰안_xls][입찰안_xls]1052"/>
      <sheetName val="[입찰안_xls][입찰안_xls][입찰안_xls]1053"/>
      <sheetName val="[입찰안_xls][입찰안_xls][입찰안_xls]1054"/>
      <sheetName val="[입찰안_xls][입찰안_xls][입찰안_xls]1055"/>
      <sheetName val="[입찰안_xls][입찰안_xls][입찰안_xls]1056"/>
      <sheetName val="[입찰안_xls][입찰안_xls][입찰안_xls]1057"/>
      <sheetName val="[입찰안_xls][입찰안_xls][입찰안_xls]1058"/>
      <sheetName val="[입찰안_xls][입찰안_xls][입찰안_xls]1059"/>
      <sheetName val="[입찰안_xls][입찰안_xls][입찰안_xls]1060"/>
      <sheetName val="[입찰안_xls][입찰안_xls][입찰안_xls]1061"/>
      <sheetName val="[입찰안_xls][입찰안_xls][입찰안_xls]1062"/>
      <sheetName val="[입찰안_xls][입찰안_xls][입찰안_xls]1063"/>
      <sheetName val="[입찰안_xls][입찰안_xls][입찰안_xls]1064"/>
      <sheetName val="[입찰안_xls][입찰안_xls][입찰안_xls]1065"/>
      <sheetName val="[입찰안_xls][입찰안_xls][입찰안_xls]1066"/>
      <sheetName val="[입찰안_xls][입찰안_xls][입찰안_xls]1067"/>
      <sheetName val="[입찰안_xls][입찰안_xls][입찰안_xls]1068"/>
      <sheetName val="[입찰안_xls][입찰안_xls][입찰안_xls]1069"/>
      <sheetName val="[입찰안_xls][입찰안_xls][입찰안_xls]1070"/>
      <sheetName val="[입찰안_xls][입찰안_xls][입찰안_xls]1071"/>
      <sheetName val="[입찰안_xls][입찰안_xls][입찰안_xls]1072"/>
      <sheetName val="[입찰안_xls][입찰안_xls][입찰안_xls]1073"/>
      <sheetName val="[입찰안_xls][입찰안_xls][입찰안_xls]1074"/>
      <sheetName val="[입찰안_xls][입찰안_xls][입찰안_xls]1075"/>
      <sheetName val="[입찰안_xls][입찰안_xls][입찰안_xls]1076"/>
      <sheetName val="[입찰안_xls][입찰안_xls][입찰안_xls]1077"/>
      <sheetName val="[입찰안_xls][입찰안_xls][입찰안_xls]1078"/>
      <sheetName val="[입찰안_xls][입찰안_xls][입찰안_xls]1079"/>
      <sheetName val="[입찰안_xls][입찰안_xls][입찰안_xls]1080"/>
      <sheetName val="[입찰안_xls][입찰안_xls][입찰안_xls]1081"/>
      <sheetName val="[입찰안_xls][입찰안_xls][입찰안_xls]1082"/>
      <sheetName val="[입찰안_xls][입찰안_xls][입찰안_xls]1083"/>
      <sheetName val="[입찰안_xls][입찰안_xls][입찰안_xls]1084"/>
      <sheetName val="[입찰안_xls][입찰안_xls][입찰안_xls]1085"/>
      <sheetName val="[입찰안_xls][입찰안_xls][입찰안_xls]1086"/>
      <sheetName val="[입찰안_xls][입찰안_xls][입찰안_xls]1087"/>
      <sheetName val="[입찰안_xls][입찰안_xls][입찰안_xls]1088"/>
      <sheetName val="[입찰안_xls][입찰안_xls][입찰안_xls]1089"/>
      <sheetName val="[입찰안_xls][입찰안_xls][입찰안_xls]1090"/>
      <sheetName val="[입찰안_xls][입찰안_xls][입찰안_xls]1091"/>
      <sheetName val="[입찰안_xls][입찰안_xls][입찰안_xls]1092"/>
      <sheetName val="_입찰안_xls_직접뀀鞖_4"/>
      <sheetName val="_입찰안_xls__입찰안_xls_직접뀀鞖_4"/>
      <sheetName val="bang_TH4"/>
      <sheetName val="Sheet2_(2)2"/>
      <sheetName val="[입찰안_xls][입찰안_xls][입찰안_xls]1093"/>
      <sheetName val="[입찰안_xls][입찰안_xls][입찰안_xls]1094"/>
      <sheetName val="[입찰안_xls][입찰안_xls][입찰안_xls]1095"/>
      <sheetName val="[입찰안_xls][입찰안_xls][입찰안_xls]1096"/>
      <sheetName val="[입찰안_xls][입찰안_xls][입찰안_xls]1097"/>
      <sheetName val="[입찰안_xls][입찰안_xls][입찰안_xls]1098"/>
      <sheetName val="[입찰안_xls][입찰안_xls][입찰안_xls]1099"/>
      <sheetName val="[입찰안_xls][입찰안_xls][입찰안_xls]1100"/>
      <sheetName val="[입찰안_xls][입찰안_xls][입찰안_xls]1101"/>
      <sheetName val="A_LINE2"/>
      <sheetName val="[입찰안_xls][입찰안_xls][입찰안_xls]1102"/>
      <sheetName val="[입찰안_xls][입찰안_xls][입찰안_xls]1103"/>
      <sheetName val="[입찰안_xls][입찰안_xls][입찰안_xls]1104"/>
      <sheetName val="[입찰안_xls][입찰안_xls][입찰안_xls]1105"/>
      <sheetName val="[입찰안_xls][입찰안_xls][입찰안_xls]1106"/>
      <sheetName val="[입찰안_xls][입찰안_xls][입찰안_xls]1107"/>
      <sheetName val="[입찰안_xls][입찰안_xls][입찰안_xls]1108"/>
      <sheetName val="[입찰안_xls][입찰안_xls][입찰안_xls]1109"/>
      <sheetName val="[입찰안_xls][입찰안_xls][입찰안_xls]1110"/>
      <sheetName val="[입찰안_xls][입찰안_xls][입찰안_xls]1111"/>
      <sheetName val="[입찰안_xls][입찰안_xls][입찰안_xls]1112"/>
      <sheetName val="[입찰안_xls][입찰안_xls][입찰안_xls]1113"/>
      <sheetName val="[입찰안_xls][입찰안_xls][입찰안_xls]1114"/>
      <sheetName val="[입찰안_xls][입찰안_xls][입찰안_xls]1115"/>
      <sheetName val="[입찰안_xls][입찰안_xls][입찰안_xls]1116"/>
      <sheetName val="[입찰안_xls][입찰안_xls][입찰안_xls]1117"/>
      <sheetName val="[입찰안_xls][입찰안_xls][입찰안_xls]1118"/>
      <sheetName val="[입찰안_xls][입찰안_xls][입찰안_xls]1119"/>
      <sheetName val="[입찰안_xls][입찰안_xls][입찰안_xls]1120"/>
      <sheetName val="[입찰안_xls][입찰안_xls][입찰안_xls]1121"/>
      <sheetName val="[입찰안_xls][입찰안_xls][입찰안_xls]1122"/>
      <sheetName val="[입찰안_xls][입찰안_xls][입찰안_xls]1123"/>
      <sheetName val="[입찰안_xls][입찰안_xls][입찰안_xls]1124"/>
      <sheetName val="[입찰안_xls][입찰안_xls][입찰안_xls]1125"/>
      <sheetName val="[입찰안_xls][입찰안_xls][입찰안_xls]1126"/>
      <sheetName val="[입찰안_xls][입찰안_xls][입찰안_xls]1127"/>
      <sheetName val="[입찰안_xls][입찰안_xls][입찰안_xls]1128"/>
      <sheetName val="[입찰안_xls][입찰안_xls][입찰안_xls]1129"/>
      <sheetName val="[입찰안_xls][입찰안_xls][입찰안_xls]1130"/>
      <sheetName val="[입찰안_xls][입찰안_xls][입찰안_xls]1131"/>
      <sheetName val="[입찰안_xls][입찰안_xls][입찰안_xls]1132"/>
      <sheetName val="[입찰안_xls][입찰안_xls][입찰안_xls]1133"/>
      <sheetName val="[입찰안_xls][입찰안_xls][입찰안_xls]1134"/>
      <sheetName val="[입찰안_xls][입찰안_xls][입찰안_xls]1135"/>
      <sheetName val="[입찰안_xls][입찰안_xls][입찰안_xls]1136"/>
      <sheetName val="[입찰안_xls][입찰안_xls][입찰안_xls]1137"/>
      <sheetName val="[입찰안_xls][입찰안_xls][입찰안_xls]1138"/>
      <sheetName val="[입찰안_xls][입찰안_xls][입찰안_xls]1139"/>
      <sheetName val="[입찰안_xls][입찰안_xls][입찰안_xls]1140"/>
      <sheetName val="[입찰안_xls][입찰안_xls][입찰안_xls]1141"/>
      <sheetName val="[입찰안_xls][입찰안_xls][입찰안_xls]1142"/>
      <sheetName val="[입찰안_xls][입찰안_xls][입찰안_xls]1143"/>
      <sheetName val="[입찰안_xls][입찰안_xls][입찰안_xls]1144"/>
      <sheetName val="[입찰안_xls][입찰안_xls][입찰안_xls]1145"/>
      <sheetName val="[입찰안_xls][입찰안_xls][입찰안_xls]1146"/>
      <sheetName val="Phan_tho4"/>
      <sheetName val="Tien_Thuong4"/>
      <sheetName val="NC_XL_6T_cuoi_01_CTy4"/>
      <sheetName val="Data_-6T_dau4"/>
      <sheetName val="Cong_6T4"/>
      <sheetName val="[입찰안_xls][입찰안_xls][입찰안_xls]1147"/>
      <sheetName val="[입찰안_xls][입찰안_xls][입찰안_xls]__27"/>
      <sheetName val="[입찰안_xls][입찰안_xls][입찰안_xls]__28"/>
      <sheetName val="[입찰안_xls][입찰안_xls]직접뀀鞖/5"/>
      <sheetName val="[입찰안_xls][입찰안_xls][입찰안_xls]__29"/>
      <sheetName val="[입찰안_xls][입찰안_xls][입찰안_xls]1148"/>
      <sheetName val="[입찰안_xls][입찰안_xls][입찰안_xls]1149"/>
      <sheetName val="Khoi_luong2"/>
      <sheetName val="_입찰안_xls__입찰안_xls__입찰안_xls____6"/>
      <sheetName val="[입찰안_xls][입찰안_xls][입찰안_xls]1150"/>
      <sheetName val="[입찰안_xls][입찰안_xls][입찰안_xls]1151"/>
      <sheetName val="[입찰안_xls][입찰안_xls][입찰안_xls]1152"/>
      <sheetName val="[입찰안_xls][입찰안_xls][입찰안_xls]1153"/>
      <sheetName val="[입찰안_xls][입찰안_xls][입찰안_xls]1154"/>
      <sheetName val="[입찰안_xls][입찰안_xls][입찰안_xls]1155"/>
      <sheetName val="[입찰안_xls][입찰안_xls][입찰안_xls]1156"/>
      <sheetName val="[입찰안_xls][입찰안_xls][입찰안_xls]1157"/>
      <sheetName val="[입찰안_xls][입찰안_xls][입찰안_xls]1158"/>
      <sheetName val="[입찰안_xls][입찰안_xls][입찰안_xls]1159"/>
      <sheetName val="[입찰안_xls][입찰안_xls][입찰안_xls]1160"/>
      <sheetName val="[입찰안_xls][입찰안_xls][입찰안_xls]1161"/>
      <sheetName val="[입찰안_xls][입찰안_xls][입찰안_xls]1162"/>
      <sheetName val="[입찰안_xls][입찰안_xls][입찰안_xls]1163"/>
      <sheetName val="[입찰안_xls][입찰안_xls][입찰안_xls]1164"/>
      <sheetName val="[입찰안_xls][입찰안_xls][입찰안_xls]1165"/>
      <sheetName val="[입찰안_xls][입찰안_xls][입찰안_xls]1166"/>
      <sheetName val="[입찰안_xls][입찰안_xls][입찰안_xls]1167"/>
      <sheetName val="[입찰안_xls][입찰안_xls][입찰안_xls]1168"/>
      <sheetName val="[입찰안_xls][입찰안_xls][입찰안_xls]1169"/>
      <sheetName val="[입찰안_xls][입찰안_xls][입찰안_xls]1170"/>
      <sheetName val="[입찰안_xls][입찰안_xls][입찰안_xls]1171"/>
      <sheetName val="[입찰안_xls][입찰안_xls][입찰안_xls]1172"/>
      <sheetName val="[입찰안_xls][입찰안_xls][입찰안_xls]1173"/>
      <sheetName val="[입찰안_xls][입찰안_xls][입찰안_xls]1174"/>
      <sheetName val="[입찰안_xls][입찰안_xls][입찰안_xls]1175"/>
      <sheetName val="[입찰안_xls][입찰안_xls][입찰안_xls]1176"/>
      <sheetName val="[입찰안_xls][입찰안_xls][입찰안_xls]1177"/>
      <sheetName val="[입찰안_xls][입찰안_xls][입찰안_xls]1178"/>
      <sheetName val="[입찰안_xls][입찰안_xls][입찰안_xls]1179"/>
      <sheetName val="[입찰안_xls][입찰안_xls][입찰안_xls]1180"/>
      <sheetName val="[입찰안_xls][입찰안_xls][입찰안_xls]1181"/>
      <sheetName val="[입찰안_xls][입찰안_xls][입찰안_xls]1182"/>
      <sheetName val="[입찰안_xls][입찰안_xls][입찰안_xls]1183"/>
      <sheetName val="[입찰안_xls][입찰안_xls][입찰안_xls]1184"/>
      <sheetName val="[입찰안_xls][입찰안_xls][입찰안_xls]1185"/>
      <sheetName val="[입찰안_xls][입찰안_xls][입찰안_xls]1186"/>
      <sheetName val="[입찰안_xls][입찰안_xls][입찰안_xls]1187"/>
      <sheetName val="[입찰안_xls][입찰안_xls][입찰안_xls]1188"/>
      <sheetName val="[입찰안_xls][입찰안_xls][입찰안_xls]1189"/>
      <sheetName val="[입찰안_xls][입찰안_xls][입찰안_xls]1190"/>
      <sheetName val="[입찰안_xls][입찰안_xls][입찰안_xls]1191"/>
      <sheetName val="[입찰안_xls][입찰안_xls][입찰안_xls]1192"/>
      <sheetName val="[입찰안_xls][입찰안_xls][입찰안_xls]1193"/>
      <sheetName val="[입찰안_xls][입찰안_xls][입찰안_xls]1194"/>
      <sheetName val="[입찰안_xls][입찰안_xls][입찰안_xls]1195"/>
      <sheetName val="[입찰안_xls][입찰안_xls][입찰안_xls]1196"/>
      <sheetName val="[입찰안_xls][입찰안_xls][입찰안_xls]1197"/>
      <sheetName val="[입찰안_xls][입찰안_xls][입찰안_xls]1198"/>
      <sheetName val="[입찰안_xls][입찰안_xls][입찰안_xls]1199"/>
      <sheetName val="[입찰안_xls][입찰안_xls][입찰안_xls]1200"/>
      <sheetName val="[입찰안_xls][입찰안_xls][입찰안_xls]1201"/>
      <sheetName val="[입찰안_xls][입찰안_xls][입찰안_xls]1202"/>
      <sheetName val="[입찰안_xls][입찰안_xls][입찰안_xls]1203"/>
      <sheetName val="[입찰안_xls][입찰안_xls][입찰안_xls]1204"/>
      <sheetName val="[입찰안_xls][입찰안_xls][입찰안_xls]1205"/>
      <sheetName val="[입찰안_xls][입찰안_xls][입찰안_xls]1206"/>
      <sheetName val="[입찰안_xls][입찰안_xls][입찰안_xls]1207"/>
      <sheetName val="[입찰안_xls][입찰안_xls][입찰안_xls]1208"/>
      <sheetName val="[입찰안_xls][입찰안_xls][입찰안_xls]1209"/>
      <sheetName val="[입찰안_xls][입찰안_xls][입찰안_xls]1210"/>
      <sheetName val="[입찰안_xls][입찰안_xls][입찰안_xls]1211"/>
      <sheetName val="[입찰안_xls][입찰안_xls][입찰안_xls]1212"/>
      <sheetName val="[입찰안_xls][입찰안_xls][입찰안_xls]1213"/>
      <sheetName val="[입찰안_xls][입찰안_xls][입찰안_xls]1214"/>
      <sheetName val="[입찰안_xls][입찰안_xls][입찰안_xls]1215"/>
      <sheetName val="[입찰안_xls][입찰안_xls][입찰안_xls]1216"/>
      <sheetName val="[입찰안_xls][입찰안_xls][입찰안_xls]1217"/>
      <sheetName val="[입찰안_xls][입찰안_xls][입찰안_xls]1218"/>
      <sheetName val="[입찰안_xls][입찰안_xls][입찰안_xls]1219"/>
      <sheetName val="[입찰안_xls][입찰안_xls][입찰안_xls]1220"/>
      <sheetName val="[입찰안_xls][입찰안_xls][입찰안_xls]1221"/>
      <sheetName val="[입찰안_xls][입찰안_xls][입찰안_xls]1222"/>
      <sheetName val="[입찰안_xls][입찰안_xls][입찰안_xls]1223"/>
      <sheetName val="[입찰안_xls][입찰안_xls][입찰안_xls]1224"/>
      <sheetName val="[입찰안_xls][입찰안_xls][입찰안_xls]1225"/>
      <sheetName val="[입찰안_xls][입찰안_xls][입찰안_xls]1226"/>
      <sheetName val="[입찰안_xls][입찰안_xls][입찰안_xls]1227"/>
      <sheetName val="[입찰안_xls][입찰안_xls][입찰안_xls]1228"/>
      <sheetName val="[입찰안_xls][입찰안_xls][입찰안_xls]1229"/>
      <sheetName val="[입찰안_xls][입찰안_xls][입찰안_xls]1230"/>
      <sheetName val="[입찰안_xls][입찰안_xls][입찰안_xls]1231"/>
      <sheetName val="[입찰안_xls][입찰안_xls][입찰안_xls]1232"/>
      <sheetName val="[입찰안_xls][입찰안_xls][입찰안_xls]1233"/>
      <sheetName val="[입찰안_xls][입찰안_xls][입찰안_xls]1234"/>
      <sheetName val="[입찰안_xls][입찰안_xls][입찰안_xls]1235"/>
      <sheetName val="[입찰안_xls][입찰안_xls][입찰안_xls]1236"/>
      <sheetName val="[입찰안_xls][입찰안_xls][입찰안_xls]1237"/>
      <sheetName val="[입찰안_xls][입찰안_xls][입찰안_xls]1238"/>
      <sheetName val="[입찰안_xls][입찰안_xls][입찰안_xls]1239"/>
      <sheetName val="[입찰안_xls][입찰안_xls][입찰안_xls]1240"/>
      <sheetName val="[입찰안_xls][입찰안_xls][입찰안_xls]1241"/>
      <sheetName val="[입찰안_xls][입찰안_xls][입찰안_xls]1242"/>
      <sheetName val="[입찰안_xls][입찰안_xls][입찰안_xls]1243"/>
      <sheetName val="[입찰안_xls][입찰안_xls][입찰안_xls]1244"/>
      <sheetName val="[입찰안_xls][입찰안_xls][입찰안_xls]1245"/>
      <sheetName val="[입찰안_xls][입찰안_xls][입찰안_xls]1246"/>
      <sheetName val="[입찰안_xls][입찰안_xls][입찰안_xls]1247"/>
      <sheetName val="[입찰안_xls][입찰안_xls][입찰안_xls]1248"/>
      <sheetName val="[입찰안_xls][입찰안_xls][입찰안_xls]1249"/>
      <sheetName val="[입찰안_xls][입찰안_xls][입찰안_xls]1250"/>
      <sheetName val="[입찰안_xls][입찰안_xls][입찰안_xls]1251"/>
      <sheetName val="[입찰안_xls][입찰안_xls][입찰안_xls]1252"/>
      <sheetName val="새로이_설치할_정비기반시설_조서_나번_(2)2"/>
      <sheetName val="[입찰안_xls][입찰안_xls][입찰안_xls]1253"/>
      <sheetName val="[입찰안_xls][입찰안_xls][입찰안_xls]__30"/>
      <sheetName val="[입찰안_xls][입찰안_xls][입찰안_xls]__31"/>
      <sheetName val="[입찰안_xls][입찰안_xls][입찰안_xls]__32"/>
      <sheetName val="[입찰안_xls][입찰안_xls][입찰안_xls]1254"/>
      <sheetName val="DTICH_(Full)2"/>
      <sheetName val="COST_SUMMARY2"/>
      <sheetName val="Xuly_Data2"/>
      <sheetName val="TL_rieng2"/>
      <sheetName val="Thuc_thanh2"/>
      <sheetName val="Cost_factor2"/>
      <sheetName val="Item_list2"/>
      <sheetName val="Sheet_Template_Empty2"/>
      <sheetName val="[입찰안_xls][입찰안_xls][입찰안_xls]1255"/>
      <sheetName val="[입찰안_xls][입찰안_xls][입찰안_xls]1256"/>
      <sheetName val="[입찰안_xls][입찰안_xls][입찰안_xls]1257"/>
      <sheetName val="[입찰안_xls][입찰안_xls][입찰안_xls]1258"/>
      <sheetName val="[입찰안_xls][입찰안_xls][입찰안_xls]1259"/>
      <sheetName val="[입찰안_xls][입찰안_xls][입찰안_xls]1260"/>
      <sheetName val="[입찰안_xls][입찰안_xls][입찰안_xls]1261"/>
      <sheetName val="[입찰안_xls][입찰안_xls][입찰안_xls]1262"/>
      <sheetName val="[입찰안_xls][입찰안_xls][입찰안_xls]1263"/>
      <sheetName val="[입찰안_xls][입찰안_xls][입찰안_xls]1264"/>
      <sheetName val="[입찰안_xls][입찰안_xls][입찰안_xls]1265"/>
      <sheetName val="[입찰안_xls][입찰안_xls][입찰안_xls]1266"/>
      <sheetName val="[입찰안_xls][입찰안_xls][입찰안_xls]1267"/>
      <sheetName val="[입찰안_xls][입찰안_xls][입찰안_xls]1268"/>
      <sheetName val="[입찰안_xls][입찰안_xls][입찰안_xls]1269"/>
      <sheetName val="[입찰안_xls][입찰안_xls][입찰안_xls]1270"/>
      <sheetName val="[입찰안_xls][입찰안_xls][입찰안_xls]1271"/>
      <sheetName val="[입찰안_xls][입찰안_xls][입찰안_xls]1272"/>
      <sheetName val="[입찰안_xls][입찰안_xls][입찰안_xls]1273"/>
      <sheetName val="[입찰안_xls][입찰안_xls][입찰안_xls]1274"/>
      <sheetName val="[입찰안_xls][입찰안_xls][입찰안_xls]1275"/>
      <sheetName val="[입찰안_xls][입찰안_xls][입찰안_xls]1276"/>
      <sheetName val="[입찰안_xls][입찰안_xls][입찰안_xls]1277"/>
      <sheetName val="[입찰안_xls][입찰안_xls][입찰안_xls]1278"/>
      <sheetName val="[입찰안_xls][입찰안_xls][입찰안_xls]1279"/>
      <sheetName val="[입찰안_xls][입찰안_xls][입찰안_xls]1280"/>
      <sheetName val="[입찰안_xls][입찰안_xls][입찰안_xls]1281"/>
      <sheetName val="[입찰안_xls][입찰안_xls][입찰안_xls]1282"/>
      <sheetName val="[입찰안_xls][입찰안_xls][입찰안_xls]1283"/>
      <sheetName val="[입찰안_xls][입찰안_xls][입찰안_xls]1284"/>
      <sheetName val="[입찰안_xls][입찰안_xls][입찰안_xls]1285"/>
      <sheetName val="[입찰안_xls][입찰안_xls][입찰안_xls]1286"/>
      <sheetName val="[입찰안_xls][입찰안_xls][입찰안_xls]1287"/>
      <sheetName val="[입찰안_xls][입찰안_xls][입찰안_xls]1288"/>
      <sheetName val="[입찰안_xls][입찰안_xls][입찰안_xls]1289"/>
      <sheetName val="[입찰안_xls][입찰안_xls][입찰안_xls]1290"/>
      <sheetName val="[입찰안_xls][입찰안_xls][입찰안_xls]1291"/>
      <sheetName val="[입찰안_xls][입찰안_xls][입찰안_xls]1292"/>
      <sheetName val="[입찰안_xls][입찰안_xls][입찰안_xls]1293"/>
      <sheetName val="[입찰안_xls][입찰안_xls][입찰안_xls]1294"/>
      <sheetName val="[입찰안_xls][입찰안_xls][입찰안_xls]1295"/>
      <sheetName val="[입찰안_xls][입찰안_xls][입찰안_xls]1296"/>
      <sheetName val="[입찰안_xls][입찰안_xls][입찰안_xls]1297"/>
      <sheetName val="[입찰안_xls][입찰안_xls][입찰안_xls]1298"/>
      <sheetName val="[입찰안_xls][입찰안_xls][입찰안_xls]1299"/>
      <sheetName val="[입찰안_xls][입찰안_xls][입찰안_xls]1300"/>
      <sheetName val="[입찰안_xls][입찰안_xls][입찰안_xls]1301"/>
      <sheetName val="[입찰안_xls][입찰안_xls][입찰안_xls]1302"/>
      <sheetName val="[입찰안_xls][입찰안_xls][입찰안_xls]1303"/>
      <sheetName val="F_D_SEC__PROP2"/>
      <sheetName val="[입찰안_xls][입찰안_xls][입찰안_xls]1304"/>
      <sheetName val="[입찰안_xls][입찰안_xls][입찰안_xls]1305"/>
      <sheetName val="[입찰안_xls][입찰안_xls][입찰안_xls]1306"/>
      <sheetName val="[입찰안_xls][입찰안_xls][입찰안_xls]1307"/>
      <sheetName val="[입찰안_xls][입찰안_xls][입찰안_xls]1308"/>
      <sheetName val="[입찰안_xls][입찰안_xls][입찰안_xls]1309"/>
      <sheetName val="[입찰안_xls][입찰안_xls][입찰안_xls]1310"/>
      <sheetName val="[입찰안_xls][입찰안_xls][입찰안_xls]1311"/>
      <sheetName val="[입찰안_xls][입찰안_xls][입찰안_xls]1312"/>
      <sheetName val="[입찰안_xls][입찰안_xls][입찰안_xls]1313"/>
      <sheetName val="[입찰안_xls][입찰안_xls][입찰안_xls]1314"/>
      <sheetName val="[입찰안_xls][입찰안_xls][입찰안_xls]1315"/>
      <sheetName val="[입찰안_xls][입찰안_xls][입찰안_xls]1316"/>
      <sheetName val="[입찰안_xls][입찰안_xls][입찰안_xls]1317"/>
      <sheetName val="[입찰안_xls][입찰안_xls][입찰안_xls]1318"/>
      <sheetName val="[입찰안_xls][입찰안_xls][입찰안_xls]1319"/>
      <sheetName val="[입찰안_xls][입찰안_xls][입찰안_xls]1320"/>
      <sheetName val="[입찰안_xls][입찰안_xls][입찰안_xls]1321"/>
      <sheetName val="[입찰안_xls][입찰안_xls][입찰안_xls]1322"/>
      <sheetName val="[입찰안_xls][입찰안_xls][입찰안_xls]1323"/>
      <sheetName val="[입찰안_xls][입찰안_xls][입찰안_xls]1324"/>
      <sheetName val="[입찰안_xls][입찰안_xls][입찰안_xls]1325"/>
      <sheetName val="[입찰안_xls][입찰안_xls][입찰안_xls]1326"/>
      <sheetName val="[입찰안_xls][입찰안_xls][입찰안_xls]1327"/>
      <sheetName val="[입찰안_xls][입찰안_xls][입찰안_xls]1328"/>
      <sheetName val="[입찰안_xls][입찰안_xls][입찰안_xls]1329"/>
      <sheetName val="[입찰안_xls][입찰안_xls][입찰안_xls]1330"/>
      <sheetName val="[입찰안_xls][입찰안_xls][입찰안_xls]1331"/>
      <sheetName val="[입찰안_xls][입찰안_xls][입찰안_xls]1332"/>
      <sheetName val="[입찰안_xls][입찰안_xls][입찰안_xls]1333"/>
      <sheetName val="[입찰안_xls][입찰안_xls][입찰안_xls]1334"/>
      <sheetName val="[입찰안_xls][입찰안_xls][입찰안_xls]1335"/>
      <sheetName val="[입찰안_xls][입찰안_xls][입찰안_xls]1336"/>
      <sheetName val="[입찰안_xls][입찰안_xls][입찰안_xls]1337"/>
      <sheetName val="[입찰안_xls][입찰안_xls][입찰안_xls]1338"/>
      <sheetName val="[입찰안_xls][입찰안_xls][입찰안_xls]1339"/>
      <sheetName val="[입찰안_xls][입찰안_xls][입찰안_xls]1340"/>
      <sheetName val="[입찰안_xls][입찰안_xls][입찰안_xls]1341"/>
      <sheetName val="Code_022"/>
      <sheetName val="Code_032"/>
      <sheetName val="Code_042"/>
      <sheetName val="Code_052"/>
      <sheetName val="Code_062"/>
      <sheetName val="Code_072"/>
      <sheetName val="Code_092"/>
      <sheetName val="[입찰안_xls][입찰안_xls][입찰안_xls]1342"/>
      <sheetName val="[입찰안_xls][입찰안_xls][입찰안_xls]1343"/>
      <sheetName val="[입찰안_xls][입찰안_xls][입찰안_xls]1344"/>
      <sheetName val="[입찰안_xls][입찰안_xls][입찰안_xls]1345"/>
      <sheetName val="[입찰안_xls][입찰안_xls][입찰안_xls]1346"/>
      <sheetName val="[입찰안_xls][입찰안_xls][입찰안_xls]1347"/>
      <sheetName val="[입찰안_xls][입찰안_xls][입찰안_xls]1348"/>
      <sheetName val="[입찰안_xls][입찰안_xls][입찰안_xls]1349"/>
      <sheetName val="[입찰안_xls][입찰안_xls][입찰안_xls]1350"/>
      <sheetName val="[입찰안_xls][입찰안_xls][입찰안_xls]1351"/>
      <sheetName val="[입찰안_xls][입찰안_xls][입찰안_xls]1352"/>
      <sheetName val="[입찰안_xls][입찰안_xls][입찰안_xls]1353"/>
      <sheetName val="[입찰안_xls][입찰안_xls][입찰안_xls]1354"/>
      <sheetName val="[입찰안_xls][입찰안_xls][입찰안_xls]1355"/>
      <sheetName val="[입찰안_xls][입찰안_xls][입찰안_xls]1356"/>
      <sheetName val="[입찰안_xls][입찰안_xls][입찰안_xls]1357"/>
      <sheetName val="[입찰안_xls][입찰안_xls][입찰안_xls]1358"/>
      <sheetName val="[입찰안_xls][입찰안_xls][입찰안_xls]1359"/>
      <sheetName val="[입찰안_xls][입찰안_xls][입찰안_xls]1360"/>
      <sheetName val="[입찰안_xls][입찰안_xls][입찰안_xls]1361"/>
      <sheetName val="[입찰안_xls][입찰안_xls][입찰안_xls]1362"/>
      <sheetName val="[입찰안_xls][입찰안_xls][입찰안_xls]1363"/>
      <sheetName val="[입찰안_xls][입찰안_xls][입찰안_xls]1364"/>
      <sheetName val="[입찰안_xls][입찰안_xls][입찰안_xls]1365"/>
      <sheetName val="[입찰안_xls][입찰안_xls][입찰안_xls]1366"/>
      <sheetName val="[입찰안_xls][입찰안_xls][입찰안_xls]1367"/>
      <sheetName val="[입찰안_xls][입찰안_xls][입찰안_xls]1368"/>
      <sheetName val="[입찰안_xls][입찰안_xls][입찰안_xls]1369"/>
      <sheetName val="[입찰안_xls][입찰안_xls][입찰안_xls]1370"/>
      <sheetName val="[입찰안_xls][입찰안_xls][입찰안_xls]1371"/>
      <sheetName val="[입찰안_xls][입찰안_xls][입찰안_xls]1372"/>
      <sheetName val="[입찰안_xls][입찰안_xls][입찰안_xls]1373"/>
      <sheetName val="[입찰안_xls][입찰안_xls][입찰안_xls]1374"/>
      <sheetName val="[입찰안_xls][입찰안_xls][입찰안_xls]1375"/>
      <sheetName val="[입찰안_xls][입찰안_xls][입찰안_xls]1376"/>
      <sheetName val="[입찰안_xls][입찰안_xls][입찰안_xls]1377"/>
      <sheetName val="co-no_22"/>
      <sheetName val="(1)2002년_매출목표_산출2"/>
      <sheetName val="[입찰안_xls][입찰안_xls][입찰안_xls]1378"/>
      <sheetName val="[입찰안_xls][입찰안_xls][입찰안_xls]1379"/>
      <sheetName val="[입찰안_xls][입찰안_xls][입찰안_xls]1380"/>
      <sheetName val="[입찰안_xls][입찰안_xls][입찰안_xls]1381"/>
      <sheetName val="[입찰안_xls][입찰안_xls][입찰안_xls]1382"/>
      <sheetName val="[입찰안_xls][입찰안_xls][입찰안_xls]1383"/>
      <sheetName val="[입찰안_xls][입찰안_xls][입찰안_xls]1384"/>
      <sheetName val="[입찰안_xls][입찰안_xls][입찰안_xls]1385"/>
      <sheetName val="[입찰안_xls][입찰안_xls][입찰안_xls]1386"/>
      <sheetName val="[입찰안_xls][입찰안_xls][입찰안_xls]1387"/>
      <sheetName val="[입찰안_xls][입찰안_xls][입찰안_xls]1388"/>
      <sheetName val="[입찰안_xls][입찰안_xls][입찰안_xls]1389"/>
      <sheetName val="[입찰안_xls][입찰안_xls][입찰안_xls]1390"/>
      <sheetName val="[입찰안_xls][입찰안_xls][입찰안_xls]1391"/>
      <sheetName val="[입찰안_xls][입찰안_xls][입찰안_xls]1392"/>
      <sheetName val="[입찰안_xls][입찰안_xls][입찰안_xls]1393"/>
      <sheetName val="[입찰안_xls][입찰안_xls][입찰안_xls]1394"/>
      <sheetName val="[입찰안_xls][입찰안_xls][입찰안_xls]1395"/>
      <sheetName val="[입찰안_xls][입찰안_xls][입찰안_xls]1396"/>
      <sheetName val="[입찰안_xls][입찰안_xls][입찰안_xls]1397"/>
      <sheetName val="[입찰안_xls][입찰안_xls][입찰안_xls]1398"/>
      <sheetName val="[입찰안_xls][입찰안_xls][입찰안_xls]1399"/>
      <sheetName val="[입찰안_xls][입찰안_xls][입찰안_xls]1400"/>
      <sheetName val="[입찰안_xls][입찰안_xls][입찰안_xls]1401"/>
      <sheetName val="[입찰안_xls][입찰안_xls][입찰안_xls]1402"/>
      <sheetName val="[입찰안_xls][입찰안_xls][입찰안_xls]1403"/>
      <sheetName val="[입찰안_xls][입찰안_xls][입찰안_xls]1404"/>
      <sheetName val="[입찰안_xls][입찰안_xls][입찰안_xls]1405"/>
      <sheetName val="[입찰안_xls][입찰안_xls][입찰안_xls]1406"/>
      <sheetName val="[입찰안_xls][입찰안_xls][입찰안_xls]1407"/>
      <sheetName val="[입찰안_xls][입찰안_xls][입찰안_xls]1408"/>
      <sheetName val="[입찰안_xls][입찰안_xls][입찰안_xls]1409"/>
      <sheetName val="[입찰안_xls][입찰안_xls][입찰안_xls]1410"/>
      <sheetName val="[입찰안_xls][입찰안_xls][입찰안_xls]1411"/>
      <sheetName val="[입찰안_xls][입찰안_xls][입찰안_xls]1412"/>
      <sheetName val="[입찰안_xls][입찰안_xls][입찰안_xls]1413"/>
      <sheetName val="[입찰안_xls][입찰안_xls][입찰안_xls]1414"/>
      <sheetName val="유효폭의_계산6"/>
      <sheetName val="갑지_을지6"/>
      <sheetName val="2-2_매출분석6"/>
      <sheetName val="미납품_현황6"/>
      <sheetName val="STEEL_BOX_단면설계(SEC_8)6"/>
      <sheetName val="갑지_설계_내역서6"/>
      <sheetName val="설명서_6"/>
      <sheetName val="_FURNACE현설5"/>
      <sheetName val="97_사업추정(WEKI)5"/>
      <sheetName val="8_설치품셈5"/>
      <sheetName val="ITB_COST6"/>
      <sheetName val="자격_땡겨오기6"/>
      <sheetName val="05년_상6"/>
      <sheetName val="영흥TL(UP,DOWN)_6"/>
      <sheetName val="단양_00_아파트-세부내역6"/>
      <sheetName val="2_단면가정_(양곡1교)6"/>
      <sheetName val="8_PILE__(돌출)6"/>
      <sheetName val="1_내역(청_하역장전등)6"/>
      <sheetName val="2000_055"/>
      <sheetName val="표지_(2)6"/>
      <sheetName val="수량산출서_갑지6"/>
      <sheetName val="4_2_1_마루높이_검토6"/>
      <sheetName val="_견적서6"/>
      <sheetName val="품셈_5"/>
      <sheetName val="M-EMS_GP-570(BIT)5"/>
      <sheetName val="내역서_제출6"/>
      <sheetName val="19_07월_세_계5"/>
      <sheetName val="19_07항목별(시트복사금지100번쓰기)5"/>
      <sheetName val="19_05월5"/>
      <sheetName val="TABLE_DB5"/>
      <sheetName val="쌍용_data_base5"/>
      <sheetName val="내역(인테리어_실내)(도급)5"/>
      <sheetName val="내역(인테리어_실외)(도급)5"/>
      <sheetName val="중기조종사_단위단가5"/>
      <sheetName val="자재기성_신청서_xlsx5"/>
      <sheetName val="0_목록15"/>
      <sheetName val="PROJ__DATA4"/>
      <sheetName val="_Beams_Sched_4"/>
      <sheetName val="[입찰안_xls][입찰안_xls][입찰안_xls]B228"/>
      <sheetName val="[입찰안_xls][입찰안_xls][입찰안_xls]B229"/>
      <sheetName val="[입찰안_xls][입찰안_xls][입찰안_xls]B230"/>
      <sheetName val="[입찰안_xls][입찰안_xls][입찰안_xls]B231"/>
      <sheetName val="[입찰안_xls][입찰안_xls][입찰안_xls]B232"/>
      <sheetName val="[입찰안_xls][입찰안_xls][입찰안_xls]B233"/>
      <sheetName val="[입찰안_xls][입찰안_xls][입찰안_xls]B234"/>
      <sheetName val="[입찰안_xls][입찰안_xls][입찰안_xls]B235"/>
      <sheetName val="[입찰안_xls][입찰안_xls][입찰안_xls]B236"/>
      <sheetName val="[입찰안_xls][입찰안_xls][입찰안_xls]B237"/>
      <sheetName val="[입찰안_xls][입찰안_xls][입찰안_xls]B238"/>
      <sheetName val="[입찰안_xls][입찰안_xls][입찰안_xls]B239"/>
      <sheetName val="[입찰안_xls][입찰안_xls][입찰안_xls]B240"/>
      <sheetName val="[입찰안_xls][입찰안_xls][입찰안_xls]B241"/>
      <sheetName val="[입찰안_xls][입찰안_xls][입찰안_xls]B242"/>
      <sheetName val="[입찰안_xls][입찰안_xls][입찰안_xls]B243"/>
      <sheetName val="[입찰안_xls][입찰안_xls][입찰안_xls]B244"/>
      <sheetName val="견적비교표_(2)2"/>
      <sheetName val="결재방(지우지_마세요)2"/>
      <sheetName val="EXCHANGE_RATE2"/>
      <sheetName val="[입찰안_xls][입찰안_xls][입찰안_xls]B245"/>
      <sheetName val="[입찰안_xls][입찰안_xls][입찰안_xls]B246"/>
      <sheetName val="TOWER_12TON2"/>
      <sheetName val="공사투입계획(변경결의)19_92"/>
      <sheetName val="노무비_월별지급현황19_92"/>
      <sheetName val="갑지(외주기성)19_92"/>
      <sheetName val="[입찰안_xls][입찰안_xls][입찰안_xls]B247"/>
      <sheetName val="노임단가_및_기계경비2"/>
      <sheetName val="실행내역서_2"/>
      <sheetName val="[입찰안_xls][입찰안_xls][입찰안_xls]B248"/>
      <sheetName val="[입찰안_xls][입찰안_xls][입찰안_xls]B249"/>
      <sheetName val="[입찰안_xls][입찰안_xls][입찰안_xls]B250"/>
      <sheetName val="[입찰안_xls][입찰안_xls][입찰안_xls]B251"/>
      <sheetName val="[입찰안_xls][입찰안_xls][입찰안_xls]B252"/>
      <sheetName val="[입찰안_xls][입찰안_xls][입찰안_xls]B253"/>
      <sheetName val="중강당_내역2"/>
      <sheetName val="[입찰안_xls][입찰안_xls][입찰안_xls]B254"/>
      <sheetName val="[입찰안_xls][입찰안_xls][입찰안_xls]B255"/>
      <sheetName val="[입찰안_xls][입찰안_xls][입찰안_xls]B256"/>
      <sheetName val="[입찰안_xls][입찰안_xls][입찰안_xls]B257"/>
      <sheetName val="[입찰안_xls][입찰안_xls][입찰안_xls]B258"/>
      <sheetName val="[입찰안_xls][입찰안_xls][입찰안_xls]B259"/>
      <sheetName val="[입찰안_xls][입찰안_xls][입찰안_xls]B260"/>
      <sheetName val="[입찰안_xls][입찰안_xls][입찰안_xls]B261"/>
      <sheetName val="[입찰안_xls][입찰안_xls][입찰안_xls]B262"/>
      <sheetName val="[입찰안_xls][입찰안_xls][입찰안_xls]B263"/>
      <sheetName val="[입찰안_xls][입찰안_xls][입찰안_xls]B264"/>
      <sheetName val="[입찰안_xls][입찰안_xls][입찰안_xls]B265"/>
      <sheetName val="[입찰안_xls][입찰안_xls][입찰안_xls]B266"/>
      <sheetName val="[입찰안_xls][입찰안_xls][입찰안_xls]B267"/>
      <sheetName val="6-1_보오링(1)2"/>
      <sheetName val="할증_3"/>
      <sheetName val="간접비_총괄표3"/>
      <sheetName val="[입찰안_xls][입찰안_xls][입찰안_xls]B268"/>
      <sheetName val="[입찰안_xls][입찰안_xls][입찰안_xls]B269"/>
      <sheetName val="[입찰안_xls][입찰안_xls][입찰안_xls]B270"/>
      <sheetName val="[입찰안_xls][입찰안_xls][입찰안_xls]B271"/>
      <sheetName val="[입찰안_xls][입찰안_xls][입찰안_xls]B272"/>
      <sheetName val="[입찰안_xls][입찰안_xls][입찰안_xls]B273"/>
      <sheetName val="[입찰안_xls][입찰안_xls][입찰안_xls]B274"/>
      <sheetName val="[입찰안_xls][입찰안_xls][입찰안_xls]B275"/>
      <sheetName val="[입찰안_xls][입찰안_xls][입찰안_xls]B276"/>
      <sheetName val="[입찰안_xls][입찰안_xls][입찰안_xls]B277"/>
      <sheetName val="[입찰안_xls][입찰안_xls][입찰안_xls]B278"/>
      <sheetName val="[입찰안_xls][입찰안_xls][입찰안_xls]B279"/>
      <sheetName val="[입찰안_xls][입찰안_xls][입찰안_xls]B280"/>
      <sheetName val="[입찰안_xls][입찰안_xls][입찰안_xls]B281"/>
      <sheetName val="[입찰안_xls][입찰안_xls][입찰안_xls]B282"/>
      <sheetName val="[입찰안_xls][입찰안_xls][입찰안_xls]B283"/>
      <sheetName val="[입찰안_xls][입찰안_xls][입찰안_xls]B284"/>
      <sheetName val="[입찰안_xls][입찰안_xls][입찰안_xls]B285"/>
      <sheetName val="[입찰안_xls][입찰안_xls][입찰안_xls]B286"/>
      <sheetName val="[입찰안_xls][입찰안_xls][입찰안_xls]B287"/>
      <sheetName val="[입찰안_xls][입찰안_xls][입찰안_xls]B288"/>
      <sheetName val="[입찰안_xls][입찰안_xls][입찰안_xls]B289"/>
      <sheetName val="[입찰안_xls][입찰안_xls][입찰안_xls]B290"/>
      <sheetName val="[입찰안_xls][입찰안_xls][입찰안_xls]B291"/>
      <sheetName val="[입찰안_xls][입찰안_xls][입찰안_xls]B292"/>
      <sheetName val="[입찰안_xls][입찰안_xls][입찰안_xls]B293"/>
      <sheetName val="[입찰안_xls][입찰안_xls][입찰안_xls]B294"/>
      <sheetName val="[입찰안_xls][입찰안_xls][입찰안_xls]B295"/>
      <sheetName val="[입찰안_xls][입찰안_xls][입찰안_xls]B296"/>
      <sheetName val="[입찰안_xls][입찰안_xls][입찰안_xls]B297"/>
      <sheetName val="[입찰안_xls][입찰안_xls][입찰안_xls]B298"/>
      <sheetName val="Bill_01_-_CTN3"/>
      <sheetName val="020_235_23633"/>
      <sheetName val="CHITIET_VL-NC-TT1p3"/>
      <sheetName val="Project_Infor3"/>
      <sheetName val="Data_input3"/>
      <sheetName val="_입찰안_xls_직접뀀鞖_3"/>
      <sheetName val="_입찰안_xls__입찰안_xls_직접뀀鞖_3"/>
      <sheetName val="bang_TH3"/>
      <sheetName val="Phan_tho3"/>
      <sheetName val="Tien_Thuong3"/>
      <sheetName val="NC_XL_6T_cuoi_01_CTy3"/>
      <sheetName val="Data_-6T_dau3"/>
      <sheetName val="Cong_6T3"/>
      <sheetName val="[입찰안_xls][입찰안_xls][입찰안_xls]__18"/>
      <sheetName val="[입찰안_xls][입찰안_xls][입찰안_xls]__19"/>
      <sheetName val="[입찰안_xls][입찰안_xls][입찰안_xls]__20"/>
      <sheetName val="새로이_설치할_정비기반시설_조서_나번_(2)1"/>
      <sheetName val="[입찰안_xls][입찰안_xls][입찰안_xls]__21"/>
      <sheetName val="[입찰안_xls][입찰안_xls][입찰안_xls]__22"/>
      <sheetName val="[입찰안_xls][입찰안_xls][입찰안_xls]__23"/>
      <sheetName val="F_D_SEC__PROP1"/>
      <sheetName val="[입찰안_xls][입찰안_xls][입찰안_xls]_886"/>
      <sheetName val="[입찰안_xls][입찰안_xls][입찰안_xls]_887"/>
      <sheetName val="[입찰안_xls][입찰안_xls][입찰안_xls]_888"/>
      <sheetName val="[입찰안_xls][입찰안_xls][입찰안_xls]_889"/>
      <sheetName val="[입찰안_xls][입찰안_xls][입찰안_xls]_890"/>
      <sheetName val="[입찰안_xls][입찰안_xls][입찰안_xls]_891"/>
      <sheetName val="[입찰안_xls][입찰안_xls][입찰안_xls]_892"/>
      <sheetName val="[입찰안_xls][입찰안_xls][입찰안_xls]_893"/>
      <sheetName val="[입찰안_xls][입찰안_xls][입찰안_xls]_894"/>
      <sheetName val="[입찰안_xls][입찰안_xls][입찰안_xls]_895"/>
      <sheetName val="[입찰안_xls][입찰안_xls][입찰안_xls]_896"/>
      <sheetName val="[입찰안_xls][입찰안_xls][입찰안_xls]_897"/>
      <sheetName val="[입찰안_xls][입찰안_xls][입찰안_xls]_898"/>
      <sheetName val="[입찰안_xls][입찰안_xls][입찰안_xls]_899"/>
      <sheetName val="[입찰안_xls][입찰안_xls][입찰안_xls]_900"/>
      <sheetName val="[입찰안_xls][입찰안_xls][입찰안_xls]_901"/>
      <sheetName val="[입찰안_xls][입찰안_xls][입찰안_xls]_902"/>
      <sheetName val="[입찰안_xls][입찰안_xls][입찰안_xls]_903"/>
      <sheetName val="[입찰안_xls][입찰안_xls][입찰안_xls]_904"/>
      <sheetName val="Code_021"/>
      <sheetName val="Code_031"/>
      <sheetName val="Code_041"/>
      <sheetName val="Code_051"/>
      <sheetName val="Code_061"/>
      <sheetName val="Code_071"/>
      <sheetName val="Code_091"/>
      <sheetName val="[입찰안_xls][입찰안_xls][입찰안_xls]_905"/>
      <sheetName val="[입찰안_xls][입찰안_xls][입찰안_xls]_906"/>
      <sheetName val="[입찰안_xls][입찰안_xls][입찰안_xls]_907"/>
      <sheetName val="[입찰안_xls][입찰안_xls][입찰안_xls]_908"/>
      <sheetName val="[입찰안_xls][입찰안_xls][입찰안_xls]_909"/>
      <sheetName val="[입찰안_xls][입찰안_xls][입찰안_xls]_910"/>
      <sheetName val="[입찰안_xls][입찰안_xls][입찰안_xls]_911"/>
      <sheetName val="[입찰안_xls][입찰안_xls][입찰안_xls]_912"/>
      <sheetName val="[입찰안_xls][입찰안_xls][입찰안_xls]_913"/>
      <sheetName val="[입찰안_xls][입찰안_xls][입찰안_xls]_914"/>
      <sheetName val="[입찰안_xls][입찰안_xls][입찰안_xls]_915"/>
      <sheetName val="[입찰안_xls][입찰안_xls][입찰안_xls]_916"/>
      <sheetName val="[입찰안_xls][입찰안_xls][입찰안_xls]_917"/>
      <sheetName val="[입찰안_xls][입찰안_xls][입찰안_xls]_918"/>
      <sheetName val="[입찰안_xls][입찰안_xls][입찰안_xls]_919"/>
      <sheetName val="[입찰안_xls][입찰안_xls][입찰안_xls]_920"/>
      <sheetName val="[입찰안_xls][입찰안_xls][입찰안_xls]_921"/>
      <sheetName val="[입찰안_xls][입찰안_xls][입찰안_xls]_922"/>
      <sheetName val="[입찰안_xls][입찰안_xls][입찰안_xls]_923"/>
      <sheetName val="[입찰안_xls][입찰안_xls][입찰안_xls]_924"/>
      <sheetName val="[입찰안_xls][입찰안_xls][입찰안_xls]_925"/>
      <sheetName val="[입찰안_xls][입찰안_xls][입찰안_xls]_926"/>
      <sheetName val="[입찰안_xls][입찰안_xls][입찰안_xls]_927"/>
      <sheetName val="[입찰안_xls][입찰안_xls][입찰안_xls]_928"/>
      <sheetName val="[입찰안_xls][입찰안_xls][입찰안_xls]_929"/>
      <sheetName val="[입찰안_xls][입찰안_xls][입찰안_xls]_930"/>
      <sheetName val="[입찰안_xls][입찰안_xls][입찰안_xls]_931"/>
      <sheetName val="[입찰안_xls][입찰안_xls][입찰안_xls]_932"/>
      <sheetName val="[입찰안_xls][입찰안_xls][입찰안_xls]_933"/>
      <sheetName val="[입찰안_xls][입찰안_xls][입찰안_xls]_934"/>
      <sheetName val="[입찰안_xls][입찰안_xls][입찰안_xls]_935"/>
      <sheetName val="[입찰안_xls][입찰안_xls][입찰안_xls]_936"/>
      <sheetName val="[입찰안_xls][입찰안_xls][입찰안_xls]_937"/>
      <sheetName val="[입찰안_xls][입찰안_xls][입찰안_xls]_938"/>
      <sheetName val="[입찰안_xls][입찰안_xls][입찰안_xls]_939"/>
      <sheetName val="[입찰안_xls][입찰안_xls][입찰안_xls]_940"/>
      <sheetName val="co-no_21"/>
      <sheetName val="(1)2002년_매출목표_산출1"/>
      <sheetName val="[입찰안_xls][입찰안_xls][입찰안_xls]_941"/>
      <sheetName val="[입찰안_xls][입찰안_xls][입찰안_xls]_942"/>
      <sheetName val="[입찰안_xls][입찰안_xls][입찰안_xls]_943"/>
      <sheetName val="[입찰안_xls][입찰안_xls][입찰안_xls]_944"/>
      <sheetName val="[입찰안_xls][입찰안_xls][입찰안_xls]_945"/>
      <sheetName val="[입찰안_xls][입찰안_xls][입찰안_xls]_946"/>
      <sheetName val="[입찰안_xls][입찰안_xls][입찰안_xls]_947"/>
      <sheetName val="[입찰안_xls][입찰안_xls][입찰안_xls]_948"/>
      <sheetName val="[입찰안_xls][입찰안_xls][입찰안_xls]_949"/>
      <sheetName val="[입찰안_xls][입찰안_xls][입찰안_xls]_950"/>
      <sheetName val="[입찰안_xls][입찰안_xls][입찰안_xls]_951"/>
      <sheetName val="[입찰안_xls][입찰안_xls][입찰안_xls]_952"/>
      <sheetName val="[입찰안_xls][입찰안_xls][입찰안_xls]_953"/>
      <sheetName val="[입찰안_xls][입찰안_xls][입찰안_xls]_954"/>
      <sheetName val="[입찰안_xls][입찰안_xls][입찰안_xls]_955"/>
      <sheetName val="[입찰안_xls][입찰안_xls][입찰안_xls]_956"/>
      <sheetName val="[입찰안_xls][입찰안_xls][입찰안_xls]_957"/>
      <sheetName val="[입찰안_xls][입찰안_xls][입찰안_xls]_958"/>
      <sheetName val="[입찰안_xls][입찰안_xls][입찰안_xls]_959"/>
      <sheetName val="[입찰안_xls][입찰안_xls][입찰안_xls]_960"/>
      <sheetName val="[입찰안_xls][입찰안_xls][입찰안_xls]_961"/>
      <sheetName val="[입찰안_xls][입찰안_xls][입찰안_xls]_962"/>
      <sheetName val="[입찰안_xls][입찰안_xls][입찰안_xls]_963"/>
      <sheetName val="[입찰안_xls][입찰안_xls][입찰안_xls]_964"/>
      <sheetName val="[입찰안_xls][입찰안_xls][입찰안_xls]_965"/>
      <sheetName val="[입찰안_xls][입찰안_xls][입찰안_xls]_966"/>
      <sheetName val="[입찰안_xls][입찰안_xls][입찰안_xls]_967"/>
      <sheetName val="[입찰안_xls][입찰안_xls][입찰안_xls]_968"/>
      <sheetName val="[입찰안_xls][입찰안_xls][입찰안_xls]_969"/>
      <sheetName val="[입찰안_xls][입찰안_xls][입찰안_xls]_970"/>
      <sheetName val="[입찰안_xls][입찰안_xls][입찰안_xls]_971"/>
      <sheetName val="[입찰안_xls][입찰안_xls][입찰안_xls]_972"/>
      <sheetName val="[입찰안_xls][입찰안_xls][입찰안_xls]_973"/>
      <sheetName val="[입찰안_xls][입찰안_xls][입찰안_xls]_974"/>
      <sheetName val="[입찰안_xls][입찰안_xls][입찰안_xls]_975"/>
      <sheetName val="[입찰안_xls][입찰안_xls][입찰안_xls]_976"/>
      <sheetName val="[입찰안_xls][입찰안_xls][입찰안_xls]_977"/>
      <sheetName val="7.안전관㣸C"/>
      <sheetName val="장외on2"/>
      <sheetName val="조도계산서_(도서"/>
      <sheetName val="[입찰안.xls][입찰안.xls]__찰__xls_1000"/>
      <sheetName val="[입찰안.xls][입찰안.xls]_입_안_xls_1011"/>
      <sheetName val="[입찰안.xls][입찰안.xls]_____xls_2397"/>
      <sheetName val="[입찰안.xls][입찰안.xls]_____xls_2392"/>
      <sheetName val="[입찰안.xls][입찰안.xls]_____xls_2393"/>
      <sheetName val="[입찰안.xls][입찰안.xls]_____xls_2394"/>
      <sheetName val="[입찰안.xls][입찰안.xls]_____xls_2395"/>
      <sheetName val="[입찰안.xls][입찰안.xls]_____xls_2396"/>
      <sheetName val="[입찰안.xls][입찰안.xls]_____xls_2399"/>
      <sheetName val="[입찰안.xls][입찰안.xls]_____xls_2400"/>
      <sheetName val="[입찰안.xls][입찰안.xls]_____xls_2402"/>
      <sheetName val="[입찰안.xls][입찰안.xls]_____xls_2403"/>
      <sheetName val="[입찰안.xls][입찰안.xls]_____xls_2410"/>
      <sheetName val="[입찰안.xls][입찰안.xls]_____xls_2408"/>
      <sheetName val="[입찰안.xls][입찰안.xls]_____xls_2404"/>
      <sheetName val="[입찰안.xls][입찰안.xls]_____xls_2405"/>
      <sheetName val="[입찰안.xls][입찰안.xls]_____xls_2407"/>
      <sheetName val="[입찰안.xls][입찰안.xls]_____xls_2409"/>
      <sheetName val="[입찰안.xls][입찰안.xls]_____xls_2412"/>
      <sheetName val="[입찰안.xls][입찰안.xls]_____xls_2411"/>
      <sheetName val="[입찰안.xls][입찰안.xls]_____xls_2413"/>
      <sheetName val="[입찰안.xls][입찰안.xls]_____xls_2559"/>
      <sheetName val="[입찰안.xls][입찰안.xls]_____xls_2558"/>
      <sheetName val="[입찰안.xls][입찰안.xls]_____xls_2550"/>
      <sheetName val="[입찰안.xls][입찰안.xls]_____xls_2551"/>
      <sheetName val="[입찰안.xls][입찰안.xls]_____xls_2549"/>
      <sheetName val="[입찰안.xls][입찰안.xls]_____xls_2548"/>
      <sheetName val="[입찰안.xls][입찰안.xls]_____xls_2532"/>
      <sheetName val="[입찰안.xls][입찰안.xls]_____xls_2529"/>
      <sheetName val="[입찰안.xls][입찰안.xls]_____xls_2528"/>
      <sheetName val="기초입력 DATA"/>
      <sheetName val="증감조서"/>
      <sheetName val="[입찰안.xls][입찰안.xls]_입찰안_xls_1001"/>
      <sheetName val="2선재"/>
      <sheetName val="공사비"/>
      <sheetName val="산출서양식01"/>
      <sheetName val="[입찰안.xls][입찰안.xls]_입_안_xls_1012"/>
      <sheetName val="[입찰안.xls][입찰안.xls]_입_안_xls_1013"/>
      <sheetName val="[입찰안.xls][입찰안.xls]_입찰안_xls_1002"/>
      <sheetName val="[입찰안.xls][입찰안.xls]_입찰안_xls_1003"/>
      <sheetName val="[입찰안.xls][입찰안.xls]_입_안_xls_1015"/>
      <sheetName val="[입찰안.xls][입찰안.xls]_입_안_xls_1014"/>
      <sheetName val="[입찰안.xls][입찰안.xls]_입찰안_xls_1004"/>
      <sheetName val="[입찰안.xls][입찰안.xls]_입_안_xls_1016"/>
      <sheetName val="[입찰안.xls][입찰안.xls]_입찰안_xls_1005"/>
      <sheetName val="[입찰안.xls][입찰안.xls]_입_안_xls_1017"/>
      <sheetName val="[입찰안.xls][입찰안.xls]_입찰안_xls_1006"/>
      <sheetName val="[입찰안.xls][입찰안.xls]_입_안_xls_1018"/>
      <sheetName val="[입찰안.xls][입찰안.xls]_입_안_xls_1019"/>
      <sheetName val="[입찰안.xls][입찰안.xls]_입찰안_xls_1009"/>
      <sheetName val="[입찰안.xls][입찰안.xls]_입찰안_xls_1007"/>
      <sheetName val="[입찰안.xls][입찰안.xls]_입찰안_xls_1008"/>
      <sheetName val="[입찰안.xls][입찰안.xls]_입_안_xls_1020"/>
      <sheetName val="[입찰안.xls][입찰안.xls]_입_안_xls_1021"/>
      <sheetName val="[입찰안.xls][입찰안.xls]_입_안_xls_1022"/>
      <sheetName val="[입찰안.xls][입찰안.xls]_____xls_2415"/>
      <sheetName val="[입찰안.xls][입찰안.xls]_____xls_2416"/>
      <sheetName val="[입찰안.xls][입찰안.xls]_____xls_2414"/>
      <sheetName val="[입찰안.xls][입찰안.xls]_____xls_2417"/>
      <sheetName val="[입찰안.xls][입찰안.xls]_____xls_2425"/>
      <sheetName val="[입찰안.xls][입찰안.xls]_____xls_2418"/>
      <sheetName val="[입찰안.xls][입찰안.xls]_____xls_2419"/>
      <sheetName val="[입찰안.xls][입찰안.xls]_____xls_2422"/>
      <sheetName val="[입찰안.xls][입찰안.xls]_____xls_2420"/>
      <sheetName val="[입찰안.xls][입찰안.xls]_____xls_2421"/>
      <sheetName val="[입찰안.xls][입찰안.xls]_____xls_2424"/>
      <sheetName val="[입찰안.xls][입찰안.xls]_____xls_2423"/>
      <sheetName val="[입찰안.xls][입찰안.xls]_____xls_2426"/>
      <sheetName val="[입찰안.xls][입찰안.xls]_____xls_2428"/>
      <sheetName val="[입찰안.xls][입찰안.xls]_____xls_2427"/>
      <sheetName val="[입찰안.xls][입찰안.xls]_____xls_2429"/>
      <sheetName val="[입찰안.xls][입찰안.xls]_____xls_2435"/>
      <sheetName val="[입찰안.xls][입찰안.xls]_____xls_2434"/>
      <sheetName val="[입찰안.xls][입찰안.xls]_____xls_2433"/>
      <sheetName val="[입찰안.xls][입찰안.xls]_____xls_2432"/>
      <sheetName val="[입찰안.xls][입찰안.xls]_____xls_2431"/>
      <sheetName val="[입찰안.xls][입찰안.xls]_____xls_2430"/>
      <sheetName val="[입찰안.xls][입찰안.xls]_____xls_2436"/>
      <sheetName val="[입찰안.xls][입찰안.xls]_____xls_2437"/>
      <sheetName val="[입찰안.xls][입찰안.xls]_____xls_2439"/>
      <sheetName val="[입찰안.xls][입찰안.xls]_____xls_2438"/>
      <sheetName val="[입찰안.xls][입찰안.xls]_____xls_2441"/>
      <sheetName val="[입찰안.xls][입찰안.xls]_____xls_2440"/>
      <sheetName val="[입찰안.xls][입찰안.xls]_____xls_2442"/>
      <sheetName val="[입찰안.xls][입찰안.xls]_____xls_2443"/>
      <sheetName val="[입찰안.xls][입찰안.xls]_____xls_2444"/>
      <sheetName val="[입찰안.xls][입찰안.xls]_____xls_2447"/>
      <sheetName val="[입찰안.xls][입찰안.xls]_____xls_2448"/>
      <sheetName val="[입찰안.xls][입찰안.xls]_____xls_2449"/>
      <sheetName val="[입찰안.xls][입찰안.xls]_____xls_2445"/>
      <sheetName val="[입찰안.xls][입찰안.xls]_____xls_2446"/>
      <sheetName val="[입찰안.xls][입찰안.xls]_____xls_2461"/>
      <sheetName val="[입찰안.xls][입찰안.xls]_____xls_2462"/>
      <sheetName val="[입찰안.xls][입찰안.xls]_____xls_2451"/>
      <sheetName val="[입찰안.xls][입찰안.xls]_____xls_2450"/>
      <sheetName val="[입찰안.xls][입찰안.xls]_____xls_2456"/>
      <sheetName val="[입찰안.xls][입찰안.xls]_____xls_2454"/>
      <sheetName val="[입찰안.xls][입찰안.xls]_____xls_2455"/>
      <sheetName val="[입찰안.xls][입찰안.xls]_____xls_2453"/>
      <sheetName val="[입찰안.xls][입찰안.xls]_____xls_2452"/>
      <sheetName val="[입찰안.xls][입찰안.xls]_____xls_2457"/>
      <sheetName val="[입찰안.xls][입찰안.xls]_____xls_2458"/>
      <sheetName val="[입찰안.xls][입찰안.xls]_____xls_2460"/>
      <sheetName val="[입찰안.xls][입찰안.xls]_____xls_2459"/>
      <sheetName val="[입찰안.xls][입찰안.xls]_____xls_2463"/>
      <sheetName val="[입찰안.xls][입찰안.xls]_____xls_2474"/>
      <sheetName val="[입찰안.xls][입찰안.xls]_____xls_2473"/>
      <sheetName val="[입찰안.xls][입찰안.xls]_____xls_2464"/>
      <sheetName val="[입찰안.xls][입찰안.xls]_____xls_2465"/>
      <sheetName val="[입찰안.xls][입찰안.xls]_____xls_2470"/>
      <sheetName val="[입찰안.xls][입찰안.xls]_____xls_2471"/>
      <sheetName val="[입찰안.xls][입찰안.xls]_____xls_2472"/>
      <sheetName val="[입찰안.xls][입찰안.xls]_____xls_2466"/>
      <sheetName val="[입찰안.xls][입찰안.xls]_____xls_2469"/>
      <sheetName val="[입찰안.xls][입찰안.xls]_____xls_2467"/>
      <sheetName val="[입찰안.xls][입찰안.xls]_____xls_2468"/>
      <sheetName val="가시설수량"/>
      <sheetName val="[입찰안.xls][입찰안.xls]_____xls_2476"/>
      <sheetName val="[입찰안.xls][입찰안.xls]_____xls_2475"/>
      <sheetName val="04.01"/>
      <sheetName val="[입찰안.xls][입찰안.xls]_____xls_2513"/>
      <sheetName val="[입찰안.xls][입찰안.xls]_____xls_2477"/>
      <sheetName val="[입찰안.xls][입찰안.xls]_____xls_2479"/>
      <sheetName val="[입찰안.xls][입찰안.xls]_____xls_2478"/>
      <sheetName val="[입찰안.xls][입찰안.xls]_____xls_2483"/>
      <sheetName val="[입찰안.xls][입찰안.xls]_____xls_2481"/>
      <sheetName val="[입찰안.xls][입찰안.xls]_____xls_2482"/>
      <sheetName val="[입찰안.xls][입찰안.xls]_____xls_2480"/>
      <sheetName val="[입찰안.xls][입찰안.xls]_____xls_2497"/>
      <sheetName val="[입찰안.xls][입찰안.xls]_____xls_2484"/>
      <sheetName val="[입찰안.xls][입찰안.xls]_____xls_2498"/>
      <sheetName val="[입찰안.xls][입찰안.xls]_____xls_2499"/>
      <sheetName val="[입찰안.xls][입찰안.xls]_____xls_2485"/>
      <sheetName val="[입찰안.xls][입찰안.xls]_____xls_2486"/>
      <sheetName val="[입찰안.xls][입찰안.xls]_____xls_2487"/>
      <sheetName val="[입찰안.xls][입찰안.xls]_____xls_2492"/>
      <sheetName val="[입찰안.xls][입찰안.xls]_____xls_2494"/>
      <sheetName val="[입찰안.xls][입찰안.xls]_____xls_2489"/>
      <sheetName val="[입찰안.xls][입찰안.xls]_____xls_2488"/>
      <sheetName val="[입찰안.xls][입찰안.xls]_____xls_2495"/>
      <sheetName val="[입찰안.xls][입찰안.xls]_____xls_2490"/>
      <sheetName val="[입찰안.xls][입찰안.xls]_____xls_2491"/>
      <sheetName val="[입찰안.xls][입찰안.xls]_____xls_2496"/>
      <sheetName val="[입찰안.xls][입찰안.xls]_____xls_2493"/>
      <sheetName val="[입찰안.xls][입찰안.xls]_____xls_2500"/>
      <sheetName val="[입찰안.xls][입찰안.xls]_____xls_2501"/>
      <sheetName val="[입찰안.xls][입찰안.xls]_____xls_2502"/>
      <sheetName val="[입찰안.xls][입찰안.xls]_____xls_2505"/>
      <sheetName val="[입찰안.xls][입찰안.xls]_____xls_2503"/>
      <sheetName val="[입찰안.xls][입찰안.xls]_____xls_2504"/>
      <sheetName val="[입찰안.xls][입찰안.xls]_____xls_2508"/>
      <sheetName val="[입찰안.xls][입찰안.xls]_____xls_2507"/>
      <sheetName val="[입찰안.xls][입찰안.xls]_____xls_2506"/>
      <sheetName val="[입찰안.xls][입찰안.xls]_____xls_2509"/>
      <sheetName val="[입찰안.xls][입찰안.xls]_____xls_2511"/>
      <sheetName val="내역_v濐Ȫ)⋘"/>
      <sheetName val="[입찰안.xls][입찰안.xls]_____xls_2510"/>
      <sheetName val="[입찰안.xls][입찰안.xls]_____xls_2512"/>
      <sheetName val="[입찰안.xls][입찰안.xls]_____xls_2524"/>
      <sheetName val="[입찰안.xls][입찰안.xls]_____xls_2523"/>
      <sheetName val="환율c­"/>
      <sheetName val="pile_bearing_capa_&amp;_¬"/>
      <sheetName val="공종별예산조서"/>
      <sheetName val="[입찰안.xls][입찰안.xls]_____xls_2514"/>
      <sheetName val="[입찰안.xls][입찰안.xls]_____xls_2515"/>
      <sheetName val="[입찰안.xls][입찰안.xls]_____xls_2516"/>
      <sheetName val="[입찰안.xls][입찰안.xls]_____xls_2518"/>
      <sheetName val="[입찰안.xls][입찰안.xls]_____xls_2517"/>
      <sheetName val="[입찰안.xls][입찰안.xls]_____xls_2519"/>
      <sheetName val="[입찰안.xls][입찰안.xls]_____xls_2522"/>
      <sheetName val="[입찰안.xls][입찰안.xls]_____xls_2520"/>
      <sheetName val="[입찰안.xls][입찰안.xls]_____xls_2521"/>
      <sheetName val="[입찰안.xls][입찰안.xls]_____xls_2525"/>
      <sheetName val="[입찰안.xls][입찰안.xls]_____xls_2526"/>
      <sheetName val="[입찰안.xls][입찰안.xls]_____xls_2527"/>
      <sheetName val="[입찰안.xls][입찰안.xls]_____xls_2530"/>
      <sheetName val="[입찰안.xls][입찰안.xls]_____xls_2531"/>
      <sheetName val="[입찰안.xls][입찰안.xls]_____xls_2533"/>
      <sheetName val="[입찰안.xls][입찰안.xls]_____xls_2535"/>
      <sheetName val="[입찰안.xls][입찰안.xls]_____xls_2538"/>
      <sheetName val="[입찰안.xls][입찰안.xls]_____xls_2534"/>
      <sheetName val="[입찰안.xls][입찰안.xls]_____xls_2536"/>
      <sheetName val="[입찰안.xls][입찰안.xls]_____xls_2537"/>
      <sheetName val="[입찰안.xls][입찰안.xls]_____xls_2539"/>
      <sheetName val="[입찰안.xls][입찰안.xls]_____xls_2540"/>
      <sheetName val="[입찰안.xls][입찰안.xls]_____xls_2541"/>
      <sheetName val="[입찰안.xls][입찰안.xls]_____xls_2542"/>
      <sheetName val="[입찰안.xls][입찰안.xls]_____xls_2545"/>
      <sheetName val="[입찰안.xls][입찰안.xls]_____xls_2546"/>
      <sheetName val="[입찰안.xls][입찰안.xls]_____xls_2543"/>
      <sheetName val="[입찰안.xls][입찰안.xls]_____xls_2544"/>
      <sheetName val="[입찰안.xls][입찰안.xls]_____xls_2547"/>
      <sheetName val="[입찰안.xls][입찰안.xls]_____xls_2556"/>
      <sheetName val="[입찰안.xls][입찰안.xls]_____xls_2552"/>
      <sheetName val="[입찰안.xls][입찰안.xls]_____xls_2553"/>
      <sheetName val="[입찰안.xls][입찰안.xls]_____xls_2554"/>
      <sheetName val="[입찰안.xls][입찰안.xls]_____xls_2555"/>
      <sheetName val="[입찰안.xls][입찰안.xls]_____xls_2557"/>
      <sheetName val="[입찰안.xls][입찰안.xls]_____xls_2560"/>
      <sheetName val="[입찰안.xls][입찰안.xls]_____xls_2561"/>
      <sheetName val="[입찰안.xls][입찰안.xls]_____xls_2563"/>
      <sheetName val="[입찰안.xls][입찰안.xls]_____xls_2562"/>
      <sheetName val="[입찰안.xls][입찰안.xls]_____xls_2564"/>
      <sheetName val="[입찰안.xls][입찰안.xls]_____xls_2565"/>
      <sheetName val="[입찰안.xls][입찰안.xls]_____xls_2566"/>
      <sheetName val="[입찰안.xls][입찰안.xls]_____xls_2567"/>
      <sheetName val="[입찰안.xls][입찰안.xls]_____xls_2570"/>
      <sheetName val="[입찰안.xls][입찰안.xls]_____xls_2572"/>
      <sheetName val="[입찰안.xls][입찰안.xls]_____xls_2571"/>
      <sheetName val="[입찰안.xls][입찰안.xls]_____xls_2573"/>
      <sheetName val="[입찰안.xls][입찰안.xls]_____xls_2574"/>
      <sheetName val="6__안전관ꦡ_x001d_"/>
      <sheetName val="TB NẶNG"/>
      <sheetName val="MTL$-INTER"/>
      <sheetName val="NEW-PANEL"/>
      <sheetName val="DS-Thuong 6T dau"/>
      <sheetName val="Gia "/>
      <sheetName val="Cash2"/>
      <sheetName val="Z"/>
      <sheetName val="tra-vat-lieu"/>
      <sheetName val="mong"/>
      <sheetName val="가격산출"/>
      <sheetName val="[입찰안.xls][입찰안.xls]_입찰__xls_1001"/>
      <sheetName val="[입찰안.xls][입찰안.xls]_입_안_xls_1023"/>
      <sheetName val="[입찰안.xls][입찰안.xls]_입_안_xls_1024"/>
      <sheetName val="[입찰안.xls][입찰안.xls]_입찰안_xls_1010"/>
      <sheetName val="[입찰안.xls][입찰안.xls]_입_안_xls_1025"/>
      <sheetName val="[입찰안.xls][입찰안.xls]_입찰안_xls_1011"/>
      <sheetName val="[입찰안.xls][입찰안.xls]_입_안_xls_1028"/>
      <sheetName val="[입찰안.xls][입찰안.xls]_입_안_xls_1026"/>
      <sheetName val="[입찰안.xls][입찰안.xls]_입_안_xls_1027"/>
      <sheetName val="[입찰안.xls][입찰안.xls]_____xls_2610"/>
      <sheetName val="[입찰안.xls][입찰안.xls]_____xls_2609"/>
      <sheetName val="[입찰안.xls][입찰안.xls]_____xls_2604"/>
      <sheetName val="제수변 수량집계Ȍ_x0000_嫰͇ｙ"/>
      <sheetName val="일위대가(여기까지)"/>
      <sheetName val="제목현황"/>
      <sheetName val="준공정_x0000_"/>
      <sheetName val="SUMARY SS"/>
      <sheetName val="sat"/>
      <sheetName val="T-goc"/>
      <sheetName val="[입찰안.xls][입찰안.xls]_____xls_2601"/>
      <sheetName val="[입찰안.xls][입찰안.xls]_____xls_2603"/>
      <sheetName val="[입찰안.xls][입찰안.xls]_____xls_2602"/>
      <sheetName val="[입찰안.xls][입찰안.xls]_____xls_2579"/>
      <sheetName val="[입찰안.xls][입찰안.xls]_____xls_2580"/>
      <sheetName val="[입찰안.xls][입찰안.xls]_____xls_2581"/>
      <sheetName val="[입찰안.xls][입찰안.xls]__찰안_xls_1004"/>
      <sheetName val="[입찰안.xls][입찰안.xls]__찰안_xls_1005"/>
      <sheetName val="[입찰안.xls][입찰안.xls]__찰안_xls_1003"/>
      <sheetName val="D_xd800_ᵆ騃"/>
      <sheetName val="plan&amp;section_of_foundatio_x0000_"/>
      <sheetName val="최적단면"/>
      <sheetName val="현금흐름Ⅰ"/>
      <sheetName val="[입찰안.xls][입찰안.xls]_____xls_2576"/>
      <sheetName val="[입찰안.xls][입찰안.xls]_____xls_2578"/>
      <sheetName val="[입찰안.xls][입찰안.xls]_____xls_2577"/>
      <sheetName val="SALES"/>
      <sheetName val="[입찰안.xls][입찰안.xls]_____xls_2575"/>
      <sheetName val="[입찰안.xls][입찰안.xls]_____xls_2586"/>
      <sheetName val="[입찰안.xls][입찰안.xls]_____xls_2584"/>
      <sheetName val="[입찰안.xls][입찰안.xls]_____xls_2585"/>
      <sheetName val="1,2,3,4_x0005__x0000__x0000__x"/>
      <sheetName val="plan&amp;section_of__x0000__x0000__"/>
      <sheetName val="design_crit_x0000__x0000__x0005"/>
      <sheetName val="소포내역_x0000__x0000__x0005__x0000"/>
      <sheetName val="working_load_at０ʵŚÃ堠ᴕ_x0000__x0"/>
      <sheetName val="pile_bearing_capa_&amp;_¬웰ﾕ쀀_x000"/>
      <sheetName val="수량산출서집계(_x0000__x0000__x0005__x"/>
      <sheetName val="design_c_x0000__x0000_Ȑꙭî_x000"/>
      <sheetName val="ጵ_x0000__x0000_Ոጶ_x0000__x0000_"/>
      <sheetName val="ጲ_x0000__x0000_Ոፍ_x0000__x0000_"/>
      <sheetName val="ጳ_x0000__x0000_Ոጴ_x0000__x0000_"/>
      <sheetName val="ጳ_x0000__x0000_Ոጳ_x0000__x0000_"/>
      <sheetName val="ፋ_x0000__x0000_Ոፌ_x0000__x0000_"/>
      <sheetName val="ጴ_x0000__x0000_Ոጳ_x0000__x0000_"/>
      <sheetName val="ጿ_x0000__x0000_Ոጊ_x0000__x0000_"/>
      <sheetName val="ጱ_x0000__x0000_Ոጼ_x0000__x0000_"/>
      <sheetName val="ጷ_x0000__x0000_Ոጸ_x0000__x0000_"/>
      <sheetName val="ጿ_x0000__x0000_Ոጿ_x0000__x0000_"/>
      <sheetName val="ጵ_x0000__x0000_Ոፋ_x0000__x0000_"/>
      <sheetName val="ጻ_x0000__x0000_Ոጻ_x0000__x0000_"/>
      <sheetName val="ጴ_x0000__x0000_Ոጾ_x0000__x0000_"/>
      <sheetName val="ጶ_x0000__x0000_Ոጷ_x0000__x0000_"/>
      <sheetName val="ጊ_x0000__x0000_Ոጊ_x0000__x0000_"/>
      <sheetName val="ጸ_x0000__x0000_Ոጿ_x0000__x0000_"/>
      <sheetName val="ጴ_x0000__x0000_Ոጵ_x0000__x0000_"/>
      <sheetName val="ፍ_x0000__x0000_Ոጳ_x0000__x0000_"/>
      <sheetName val="ጊ_x0000__x0000_Ոጱ_x0000__x0000_"/>
      <sheetName val="ጱ_x0000__x0000_Ոጲ_x0000__x0000_"/>
      <sheetName val="ጴ_x0000__x0000_Ոፊ_x0000__x0000_"/>
      <sheetName val="ድ_x0000__x0000_Ոጳ_x0000__x0000_"/>
      <sheetName val="ፊ_x0000__x0000_Ոጵ_x0000__x0000_"/>
      <sheetName val="ፌ_x0000__x0000_Ոጿ_x0000__x0000_"/>
      <sheetName val="ጴ_x0000__x0000_Ոጴ_x0000__x0000_"/>
      <sheetName val="ጲ_x0000__x0000_Ոድ_x0000__x0000_"/>
      <sheetName val="pile_bearing_ca怀꿟세_x0000_䘀뤙_x"/>
      <sheetName val="참고2.조달내역"/>
      <sheetName val="[입찰안.xls][입찰안.xls]_____xls_2582"/>
      <sheetName val="[입찰안.xls][입찰안.xls]_____xls_2583"/>
      <sheetName val="[입찰안.xls][입찰안.xls]_____xls_2588"/>
      <sheetName val="[입찰안.xls][입찰안.xls]_____xls_2590"/>
      <sheetName val="감가상각"/>
      <sheetName val="호표"/>
      <sheetName val="[입찰안.xls][입찰안.xls]_____xls_2593"/>
      <sheetName val="직원유류수불현황"/>
      <sheetName val="개인별 ㅪ0"/>
      <sheetName val="개인별 Ø_x0000_Ԁ"/>
      <sheetName val="[입찰안.xls][입찰안.xls]_____xls_2587"/>
      <sheetName val="[입찰안.xls][입찰안.xls]_____xls_2589"/>
      <sheetName val="[입찰안.xls][입찰안.xls]_____xls_2591"/>
      <sheetName val="[입찰안.xls][입찰안.xls]_____xls_2592"/>
      <sheetName val="[입찰안.xls][입찰안.xls]_____xls_2594"/>
      <sheetName val="[입찰안.xls][입찰안.xls]_____xls_2595"/>
      <sheetName val="[입찰안.xls][입찰안.xls]_____xls_2596"/>
      <sheetName val="[입찰안.xls][입찰안.xls]_____xls_2597"/>
      <sheetName val="[입찰안.xls][입찰안.xls]_____xls_2600"/>
      <sheetName val="[입찰안.xls][입찰안.xls]_____xls_2598"/>
      <sheetName val="[입찰안.xls][입찰안.xls]_____xls_2599"/>
      <sheetName val="[입찰안.xls][입찰안.xls]_____xls_2606"/>
      <sheetName val="[입찰안.xls][입찰안.xls]_____xls_2605"/>
      <sheetName val="[입찰안.xls][입찰안.xls]_____xls_2607"/>
      <sheetName val="[입찰안.xls][입찰안.xls]_____xls_2608"/>
      <sheetName val="[입찰안.xls][입찰안.xls]_____xls_2614"/>
      <sheetName val="[입찰안.xls][입찰안.xls]_____xls_2612"/>
      <sheetName val="[입찰안.xls][입찰안.xls]_____xls_2611"/>
      <sheetName val="[입찰안.xls][입찰안.xls]_____xls_2615"/>
      <sheetName val="[입찰안.xls][입찰안.xls]_____xls_2613"/>
      <sheetName val="[입찰안.xls][입찰안.xls]_____xls_2616"/>
      <sheetName val="[입찰안.xls][입찰안.xls]_____xls_2618"/>
      <sheetName val="[입찰안.xls][입찰안.xls]_____xls_2617"/>
      <sheetName val="[입찰안.xls][입찰안.xls]_____xls_2619"/>
      <sheetName val="[입찰안.xls][입찰안.xls]_____xls_2620"/>
      <sheetName val="[입찰안.xls][입찰안.xls]_____xls_2621"/>
      <sheetName val="[입찰안.xls][입찰안.xls]_____xls_2622"/>
      <sheetName val="[입찰안.xls][입찰안.xls]_____xls_2625"/>
      <sheetName val="[입찰안.xls][입찰안.xls]_____xls_2623"/>
      <sheetName val="[입찰안.xls][입찰안.xls]_____xls_26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 refreshError="1"/>
      <sheetData sheetId="814" refreshError="1"/>
      <sheetData sheetId="815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 refreshError="1"/>
      <sheetData sheetId="833"/>
      <sheetData sheetId="834"/>
      <sheetData sheetId="835"/>
      <sheetData sheetId="836"/>
      <sheetData sheetId="837" refreshError="1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 refreshError="1"/>
      <sheetData sheetId="1010" refreshError="1"/>
      <sheetData sheetId="1011"/>
      <sheetData sheetId="1012"/>
      <sheetData sheetId="1013"/>
      <sheetData sheetId="1014" refreshError="1"/>
      <sheetData sheetId="1015" refreshError="1"/>
      <sheetData sheetId="1016"/>
      <sheetData sheetId="1017" refreshError="1"/>
      <sheetData sheetId="1018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/>
      <sheetData sheetId="1027"/>
      <sheetData sheetId="1028"/>
      <sheetData sheetId="1029"/>
      <sheetData sheetId="1030"/>
      <sheetData sheetId="103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/>
      <sheetData sheetId="1048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/>
      <sheetData sheetId="1110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/>
      <sheetData sheetId="1285"/>
      <sheetData sheetId="1286" refreshError="1"/>
      <sheetData sheetId="1287"/>
      <sheetData sheetId="1288" refreshError="1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/>
      <sheetData sheetId="1487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 refreshError="1"/>
      <sheetData sheetId="1796" refreshError="1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/>
      <sheetData sheetId="1961" refreshError="1"/>
      <sheetData sheetId="1962"/>
      <sheetData sheetId="1963"/>
      <sheetData sheetId="1964"/>
      <sheetData sheetId="1965"/>
      <sheetData sheetId="1966"/>
      <sheetData sheetId="1967" refreshError="1"/>
      <sheetData sheetId="1968" refreshError="1"/>
      <sheetData sheetId="1969"/>
      <sheetData sheetId="1970" refreshError="1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 refreshError="1"/>
      <sheetData sheetId="1998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/>
      <sheetData sheetId="2013" refreshError="1"/>
      <sheetData sheetId="2014"/>
      <sheetData sheetId="2015"/>
      <sheetData sheetId="2016"/>
      <sheetData sheetId="2017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/>
      <sheetData sheetId="2045"/>
      <sheetData sheetId="2046" refreshError="1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 refreshError="1"/>
      <sheetData sheetId="2183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/>
      <sheetData sheetId="2190"/>
      <sheetData sheetId="2191"/>
      <sheetData sheetId="2192"/>
      <sheetData sheetId="2193" refreshError="1"/>
      <sheetData sheetId="2194" refreshError="1"/>
      <sheetData sheetId="2195" refreshError="1"/>
      <sheetData sheetId="2196" refreshError="1"/>
      <sheetData sheetId="2197"/>
      <sheetData sheetId="2198"/>
      <sheetData sheetId="2199"/>
      <sheetData sheetId="2200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/>
      <sheetData sheetId="2223"/>
      <sheetData sheetId="2224"/>
      <sheetData sheetId="2225"/>
      <sheetData sheetId="2226"/>
      <sheetData sheetId="2227" refreshError="1"/>
      <sheetData sheetId="2228" refreshError="1"/>
      <sheetData sheetId="2229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 refreshError="1"/>
      <sheetData sheetId="2276" refreshError="1"/>
      <sheetData sheetId="2277" refreshError="1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 refreshError="1"/>
      <sheetData sheetId="2312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/>
      <sheetData sheetId="2345"/>
      <sheetData sheetId="2346"/>
      <sheetData sheetId="2347"/>
      <sheetData sheetId="2348" refreshError="1"/>
      <sheetData sheetId="2349"/>
      <sheetData sheetId="2350"/>
      <sheetData sheetId="2351"/>
      <sheetData sheetId="2352" refreshError="1"/>
      <sheetData sheetId="2353"/>
      <sheetData sheetId="2354"/>
      <sheetData sheetId="2355"/>
      <sheetData sheetId="2356"/>
      <sheetData sheetId="2357"/>
      <sheetData sheetId="2358" refreshError="1"/>
      <sheetData sheetId="2359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/>
      <sheetData sheetId="2427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/>
      <sheetData sheetId="2437" refreshError="1"/>
      <sheetData sheetId="2438" refreshError="1"/>
      <sheetData sheetId="2439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/>
      <sheetData sheetId="2447" refreshError="1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 refreshError="1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 refreshError="1"/>
      <sheetData sheetId="2832" refreshError="1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 refreshError="1"/>
      <sheetData sheetId="2843"/>
      <sheetData sheetId="2844"/>
      <sheetData sheetId="2845" refreshError="1"/>
      <sheetData sheetId="2846" refreshError="1"/>
      <sheetData sheetId="2847" refreshError="1"/>
      <sheetData sheetId="2848"/>
      <sheetData sheetId="2849"/>
      <sheetData sheetId="2850" refreshError="1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/>
      <sheetData sheetId="2891"/>
      <sheetData sheetId="2892"/>
      <sheetData sheetId="2893"/>
      <sheetData sheetId="2894"/>
      <sheetData sheetId="2895"/>
      <sheetData sheetId="2896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/>
      <sheetData sheetId="2907"/>
      <sheetData sheetId="2908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/>
      <sheetData sheetId="2918"/>
      <sheetData sheetId="2919"/>
      <sheetData sheetId="2920" refreshError="1"/>
      <sheetData sheetId="2921" refreshError="1"/>
      <sheetData sheetId="2922" refreshError="1"/>
      <sheetData sheetId="2923" refreshError="1"/>
      <sheetData sheetId="2924"/>
      <sheetData sheetId="2925" refreshError="1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 refreshError="1"/>
      <sheetData sheetId="2968" refreshError="1"/>
      <sheetData sheetId="2969"/>
      <sheetData sheetId="2970" refreshError="1"/>
      <sheetData sheetId="2971" refreshError="1"/>
      <sheetData sheetId="2972" refreshError="1"/>
      <sheetData sheetId="2973" refreshError="1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 refreshError="1"/>
      <sheetData sheetId="2992"/>
      <sheetData sheetId="2993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/>
      <sheetData sheetId="3006"/>
      <sheetData sheetId="3007"/>
      <sheetData sheetId="3008"/>
      <sheetData sheetId="3009" refreshError="1"/>
      <sheetData sheetId="3010" refreshError="1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 refreshError="1"/>
      <sheetData sheetId="3051" refreshError="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/>
      <sheetData sheetId="3077"/>
      <sheetData sheetId="3078"/>
      <sheetData sheetId="3079"/>
      <sheetData sheetId="3080"/>
      <sheetData sheetId="3081" refreshError="1"/>
      <sheetData sheetId="3082" refreshError="1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/>
      <sheetData sheetId="3138" refreshError="1"/>
      <sheetData sheetId="3139" refreshError="1"/>
      <sheetData sheetId="3140" refreshError="1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 refreshError="1"/>
      <sheetData sheetId="3163"/>
      <sheetData sheetId="3164" refreshError="1"/>
      <sheetData sheetId="3165"/>
      <sheetData sheetId="3166"/>
      <sheetData sheetId="3167"/>
      <sheetData sheetId="3168" refreshError="1"/>
      <sheetData sheetId="3169" refreshError="1"/>
      <sheetData sheetId="3170"/>
      <sheetData sheetId="317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 refreshError="1"/>
      <sheetData sheetId="3188" refreshError="1"/>
      <sheetData sheetId="3189" refreshError="1"/>
      <sheetData sheetId="3190" refreshError="1"/>
      <sheetData sheetId="3191"/>
      <sheetData sheetId="3192"/>
      <sheetData sheetId="3193" refreshError="1"/>
      <sheetData sheetId="3194" refreshError="1"/>
      <sheetData sheetId="3195" refreshError="1"/>
      <sheetData sheetId="3196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/>
      <sheetData sheetId="3207"/>
      <sheetData sheetId="3208" refreshError="1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 refreshError="1"/>
      <sheetData sheetId="3218"/>
      <sheetData sheetId="3219"/>
      <sheetData sheetId="3220"/>
      <sheetData sheetId="3221"/>
      <sheetData sheetId="3222"/>
      <sheetData sheetId="3223"/>
      <sheetData sheetId="3224" refreshError="1"/>
      <sheetData sheetId="3225"/>
      <sheetData sheetId="3226"/>
      <sheetData sheetId="3227"/>
      <sheetData sheetId="3228"/>
      <sheetData sheetId="3229" refreshError="1"/>
      <sheetData sheetId="3230"/>
      <sheetData sheetId="3231"/>
      <sheetData sheetId="3232"/>
      <sheetData sheetId="3233"/>
      <sheetData sheetId="3234" refreshError="1"/>
      <sheetData sheetId="3235" refreshError="1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 refreshError="1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/>
      <sheetData sheetId="3296"/>
      <sheetData sheetId="3297"/>
      <sheetData sheetId="3298" refreshError="1"/>
      <sheetData sheetId="3299"/>
      <sheetData sheetId="3300" refreshError="1"/>
      <sheetData sheetId="3301" refreshError="1"/>
      <sheetData sheetId="3302" refreshError="1"/>
      <sheetData sheetId="3303" refreshError="1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 refreshError="1"/>
      <sheetData sheetId="3320"/>
      <sheetData sheetId="3321"/>
      <sheetData sheetId="3322" refreshError="1"/>
      <sheetData sheetId="3323" refreshError="1"/>
      <sheetData sheetId="3324" refreshError="1"/>
      <sheetData sheetId="3325" refreshError="1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 refreshError="1"/>
      <sheetData sheetId="3350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 refreshError="1"/>
      <sheetData sheetId="3433" refreshError="1"/>
      <sheetData sheetId="3434" refreshError="1"/>
      <sheetData sheetId="3435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 refreshError="1"/>
      <sheetData sheetId="3781" refreshError="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 refreshError="1"/>
      <sheetData sheetId="3812" refreshError="1"/>
      <sheetData sheetId="3813"/>
      <sheetData sheetId="3814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/>
      <sheetData sheetId="382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/>
      <sheetData sheetId="3830" refreshError="1"/>
      <sheetData sheetId="3831"/>
      <sheetData sheetId="3832" refreshError="1"/>
      <sheetData sheetId="3833" refreshError="1"/>
      <sheetData sheetId="3834" refreshError="1"/>
      <sheetData sheetId="3835"/>
      <sheetData sheetId="3836" refreshError="1"/>
      <sheetData sheetId="3837" refreshError="1"/>
      <sheetData sheetId="3838" refreshError="1"/>
      <sheetData sheetId="3839"/>
      <sheetData sheetId="3840"/>
      <sheetData sheetId="3841" refreshError="1"/>
      <sheetData sheetId="3842"/>
      <sheetData sheetId="3843"/>
      <sheetData sheetId="3844" refreshError="1"/>
      <sheetData sheetId="3845" refreshError="1"/>
      <sheetData sheetId="3846"/>
      <sheetData sheetId="3847"/>
      <sheetData sheetId="3848"/>
      <sheetData sheetId="3849"/>
      <sheetData sheetId="3850" refreshError="1"/>
      <sheetData sheetId="3851" refreshError="1"/>
      <sheetData sheetId="3852"/>
      <sheetData sheetId="3853" refreshError="1"/>
      <sheetData sheetId="3854" refreshError="1"/>
      <sheetData sheetId="3855"/>
      <sheetData sheetId="3856"/>
      <sheetData sheetId="3857"/>
      <sheetData sheetId="3858"/>
      <sheetData sheetId="3859"/>
      <sheetData sheetId="3860" refreshError="1"/>
      <sheetData sheetId="3861" refreshError="1"/>
      <sheetData sheetId="3862"/>
      <sheetData sheetId="3863"/>
      <sheetData sheetId="3864" refreshError="1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 refreshError="1"/>
      <sheetData sheetId="3902" refreshError="1"/>
      <sheetData sheetId="3903"/>
      <sheetData sheetId="3904" refreshError="1"/>
      <sheetData sheetId="3905"/>
      <sheetData sheetId="3906"/>
      <sheetData sheetId="3907"/>
      <sheetData sheetId="3908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/>
      <sheetData sheetId="3919"/>
      <sheetData sheetId="3920"/>
      <sheetData sheetId="3921"/>
      <sheetData sheetId="3922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/>
      <sheetData sheetId="3990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 refreshError="1"/>
      <sheetData sheetId="4069" refreshError="1"/>
      <sheetData sheetId="4070"/>
      <sheetData sheetId="4071"/>
      <sheetData sheetId="4072" refreshError="1"/>
      <sheetData sheetId="4073" refreshError="1"/>
      <sheetData sheetId="4074"/>
      <sheetData sheetId="4075"/>
      <sheetData sheetId="4076"/>
      <sheetData sheetId="4077"/>
      <sheetData sheetId="4078"/>
      <sheetData sheetId="4079"/>
      <sheetData sheetId="4080"/>
      <sheetData sheetId="4081" refreshError="1"/>
      <sheetData sheetId="4082"/>
      <sheetData sheetId="4083" refreshError="1"/>
      <sheetData sheetId="4084" refreshError="1"/>
      <sheetData sheetId="4085"/>
      <sheetData sheetId="4086"/>
      <sheetData sheetId="4087"/>
      <sheetData sheetId="4088"/>
      <sheetData sheetId="4089" refreshError="1"/>
      <sheetData sheetId="4090" refreshError="1"/>
      <sheetData sheetId="4091" refreshError="1"/>
      <sheetData sheetId="4092" refreshError="1"/>
      <sheetData sheetId="4093"/>
      <sheetData sheetId="4094"/>
      <sheetData sheetId="4095" refreshError="1"/>
      <sheetData sheetId="4096" refreshError="1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 refreshError="1"/>
      <sheetData sheetId="4106" refreshError="1"/>
      <sheetData sheetId="4107" refreshError="1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 refreshError="1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 refreshError="1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 refreshError="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 refreshError="1"/>
      <sheetData sheetId="4676" refreshError="1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 refreshError="1"/>
      <sheetData sheetId="4695" refreshError="1"/>
      <sheetData sheetId="4696" refreshError="1"/>
      <sheetData sheetId="4697" refreshError="1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 refreshError="1"/>
      <sheetData sheetId="4732" refreshError="1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 refreshError="1"/>
      <sheetData sheetId="4888" refreshError="1"/>
      <sheetData sheetId="4889"/>
      <sheetData sheetId="4890"/>
      <sheetData sheetId="4891"/>
      <sheetData sheetId="4892"/>
      <sheetData sheetId="4893"/>
      <sheetData sheetId="4894" refreshError="1"/>
      <sheetData sheetId="4895"/>
      <sheetData sheetId="4896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 refreshError="1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 refreshError="1"/>
      <sheetData sheetId="4941" refreshError="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/>
      <sheetData sheetId="4979"/>
      <sheetData sheetId="4980"/>
      <sheetData sheetId="4981"/>
      <sheetData sheetId="4982"/>
      <sheetData sheetId="4983"/>
      <sheetData sheetId="4984" refreshError="1"/>
      <sheetData sheetId="4985" refreshError="1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 refreshError="1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 refreshError="1"/>
      <sheetData sheetId="5064" refreshError="1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 refreshError="1"/>
      <sheetData sheetId="5251" refreshError="1"/>
      <sheetData sheetId="5252" refreshError="1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 refreshError="1"/>
      <sheetData sheetId="5854"/>
      <sheetData sheetId="5855"/>
      <sheetData sheetId="5856"/>
      <sheetData sheetId="5857"/>
      <sheetData sheetId="5858"/>
      <sheetData sheetId="5859"/>
      <sheetData sheetId="5860"/>
      <sheetData sheetId="5861" refreshError="1"/>
      <sheetData sheetId="5862" refreshError="1"/>
      <sheetData sheetId="5863"/>
      <sheetData sheetId="5864" refreshError="1"/>
      <sheetData sheetId="5865"/>
      <sheetData sheetId="5866" refreshError="1"/>
      <sheetData sheetId="5867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/>
      <sheetData sheetId="588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/>
      <sheetData sheetId="5889"/>
      <sheetData sheetId="5890"/>
      <sheetData sheetId="5891"/>
      <sheetData sheetId="5892" refreshError="1"/>
      <sheetData sheetId="5893" refreshError="1"/>
      <sheetData sheetId="5894" refreshError="1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 refreshError="1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 refreshError="1"/>
      <sheetData sheetId="6542" refreshError="1"/>
      <sheetData sheetId="6543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/>
      <sheetData sheetId="6550" refreshError="1"/>
      <sheetData sheetId="6551" refreshError="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/>
      <sheetData sheetId="6712" refreshError="1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 refreshError="1"/>
      <sheetData sheetId="7179" refreshError="1"/>
      <sheetData sheetId="7180" refreshError="1"/>
      <sheetData sheetId="718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 refreshError="1"/>
      <sheetData sheetId="7269"/>
      <sheetData sheetId="7270"/>
      <sheetData sheetId="7271"/>
      <sheetData sheetId="7272" refreshError="1"/>
      <sheetData sheetId="7273" refreshError="1"/>
      <sheetData sheetId="7274"/>
      <sheetData sheetId="7275"/>
      <sheetData sheetId="7276" refreshError="1"/>
      <sheetData sheetId="7277"/>
      <sheetData sheetId="7278" refreshError="1"/>
      <sheetData sheetId="7279" refreshError="1"/>
      <sheetData sheetId="7280" refreshError="1"/>
      <sheetData sheetId="7281"/>
      <sheetData sheetId="7282" refreshError="1"/>
      <sheetData sheetId="7283"/>
      <sheetData sheetId="7284"/>
      <sheetData sheetId="7285"/>
      <sheetData sheetId="7286" refreshError="1"/>
      <sheetData sheetId="7287" refreshError="1"/>
      <sheetData sheetId="7288" refreshError="1"/>
      <sheetData sheetId="7289"/>
      <sheetData sheetId="7290"/>
      <sheetData sheetId="7291"/>
      <sheetData sheetId="7292"/>
      <sheetData sheetId="7293"/>
      <sheetData sheetId="7294"/>
      <sheetData sheetId="7295"/>
      <sheetData sheetId="7296" refreshError="1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 refreshError="1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/>
      <sheetData sheetId="7358"/>
      <sheetData sheetId="7359"/>
      <sheetData sheetId="7360"/>
      <sheetData sheetId="7361"/>
      <sheetData sheetId="7362"/>
      <sheetData sheetId="7363" refreshError="1"/>
      <sheetData sheetId="7364"/>
      <sheetData sheetId="7365" refreshError="1"/>
      <sheetData sheetId="7366"/>
      <sheetData sheetId="7367" refreshError="1"/>
      <sheetData sheetId="7368" refreshError="1"/>
      <sheetData sheetId="7369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/>
      <sheetData sheetId="7387" refreshError="1"/>
      <sheetData sheetId="7388" refreshError="1"/>
      <sheetData sheetId="7389" refreshError="1"/>
      <sheetData sheetId="7390"/>
      <sheetData sheetId="7391" refreshError="1"/>
      <sheetData sheetId="7392"/>
      <sheetData sheetId="7393"/>
      <sheetData sheetId="7394"/>
      <sheetData sheetId="7395" refreshError="1"/>
      <sheetData sheetId="7396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/>
      <sheetData sheetId="7404" refreshError="1"/>
      <sheetData sheetId="7405"/>
      <sheetData sheetId="7406"/>
      <sheetData sheetId="7407"/>
      <sheetData sheetId="7408" refreshError="1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 refreshError="1"/>
      <sheetData sheetId="7479"/>
      <sheetData sheetId="7480"/>
      <sheetData sheetId="7481" refreshError="1"/>
      <sheetData sheetId="7482" refreshError="1"/>
      <sheetData sheetId="7483" refreshError="1"/>
      <sheetData sheetId="7484"/>
      <sheetData sheetId="7485"/>
      <sheetData sheetId="7486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/>
      <sheetData sheetId="7503"/>
      <sheetData sheetId="7504"/>
      <sheetData sheetId="7505"/>
      <sheetData sheetId="7506" refreshError="1"/>
      <sheetData sheetId="7507" refreshError="1"/>
      <sheetData sheetId="7508"/>
      <sheetData sheetId="7509"/>
      <sheetData sheetId="7510"/>
      <sheetData sheetId="7511" refreshError="1"/>
      <sheetData sheetId="7512"/>
      <sheetData sheetId="7513"/>
      <sheetData sheetId="7514"/>
      <sheetData sheetId="7515"/>
      <sheetData sheetId="7516"/>
      <sheetData sheetId="7517"/>
      <sheetData sheetId="7518"/>
      <sheetData sheetId="7519" refreshError="1"/>
      <sheetData sheetId="7520"/>
      <sheetData sheetId="752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 refreshError="1"/>
      <sheetData sheetId="7543"/>
      <sheetData sheetId="7544" refreshError="1"/>
      <sheetData sheetId="7545"/>
      <sheetData sheetId="7546"/>
      <sheetData sheetId="7547"/>
      <sheetData sheetId="7548" refreshError="1"/>
      <sheetData sheetId="7549"/>
      <sheetData sheetId="7550"/>
      <sheetData sheetId="7551"/>
      <sheetData sheetId="7552"/>
      <sheetData sheetId="7553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/>
      <sheetData sheetId="8215" refreshError="1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 refreshError="1"/>
      <sheetData sheetId="8240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/>
      <sheetData sheetId="8251"/>
      <sheetData sheetId="8252"/>
      <sheetData sheetId="8253" refreshError="1"/>
      <sheetData sheetId="8254" refreshError="1"/>
      <sheetData sheetId="8255" refreshError="1"/>
      <sheetData sheetId="8256" refreshError="1"/>
      <sheetData sheetId="8257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/>
      <sheetData sheetId="9044"/>
      <sheetData sheetId="9045" refreshError="1"/>
      <sheetData sheetId="9046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 refreshError="1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 refreshError="1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 refreshError="1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 refreshError="1"/>
      <sheetData sheetId="10091" refreshError="1"/>
      <sheetData sheetId="10092" refreshError="1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 refreshError="1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 refreshError="1"/>
      <sheetData sheetId="10124" refreshError="1"/>
      <sheetData sheetId="10125" refreshError="1"/>
      <sheetData sheetId="10126"/>
      <sheetData sheetId="10127" refreshError="1"/>
      <sheetData sheetId="10128" refreshError="1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/>
      <sheetData sheetId="10143" refreshError="1"/>
      <sheetData sheetId="10144" refreshError="1"/>
      <sheetData sheetId="10145" refreshError="1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 refreshError="1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 refreshError="1"/>
      <sheetData sheetId="10181"/>
      <sheetData sheetId="10182"/>
      <sheetData sheetId="10183" refreshError="1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 refreshError="1"/>
      <sheetData sheetId="10207"/>
      <sheetData sheetId="10208"/>
      <sheetData sheetId="10209" refreshError="1"/>
      <sheetData sheetId="10210"/>
      <sheetData sheetId="10211"/>
      <sheetData sheetId="10212" refreshError="1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 refreshError="1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 refreshError="1"/>
      <sheetData sheetId="10236" refreshError="1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 refreshError="1"/>
      <sheetData sheetId="10249"/>
      <sheetData sheetId="10250"/>
      <sheetData sheetId="10251"/>
      <sheetData sheetId="10252"/>
      <sheetData sheetId="10253" refreshError="1"/>
      <sheetData sheetId="10254" refreshError="1"/>
      <sheetData sheetId="10255" refreshError="1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 refreshError="1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 refreshError="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/>
      <sheetData sheetId="10313" refreshError="1"/>
      <sheetData sheetId="10314" refreshError="1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 refreshError="1"/>
      <sheetData sheetId="10344" refreshError="1"/>
      <sheetData sheetId="10345" refreshError="1"/>
      <sheetData sheetId="10346" refreshError="1"/>
      <sheetData sheetId="10347"/>
      <sheetData sheetId="10348"/>
      <sheetData sheetId="10349"/>
      <sheetData sheetId="10350" refreshError="1"/>
      <sheetData sheetId="10351"/>
      <sheetData sheetId="10352"/>
      <sheetData sheetId="10353"/>
      <sheetData sheetId="10354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 refreshError="1"/>
      <sheetData sheetId="10371"/>
      <sheetData sheetId="10372"/>
      <sheetData sheetId="10373"/>
      <sheetData sheetId="10374" refreshError="1"/>
      <sheetData sheetId="10375" refreshError="1"/>
      <sheetData sheetId="10376"/>
      <sheetData sheetId="10377"/>
      <sheetData sheetId="10378"/>
      <sheetData sheetId="10379"/>
      <sheetData sheetId="10380" refreshError="1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 refreshError="1"/>
      <sheetData sheetId="10390"/>
      <sheetData sheetId="10391"/>
      <sheetData sheetId="10392" refreshError="1"/>
      <sheetData sheetId="10393"/>
      <sheetData sheetId="10394"/>
      <sheetData sheetId="10395" refreshError="1"/>
      <sheetData sheetId="10396" refreshError="1"/>
      <sheetData sheetId="10397"/>
      <sheetData sheetId="10398" refreshError="1"/>
      <sheetData sheetId="10399" refreshError="1"/>
      <sheetData sheetId="10400" refreshError="1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/>
      <sheetData sheetId="10424" refreshError="1"/>
      <sheetData sheetId="10425"/>
      <sheetData sheetId="10426" refreshError="1"/>
      <sheetData sheetId="10427" refreshError="1"/>
      <sheetData sheetId="10428" refreshError="1"/>
      <sheetData sheetId="10429" refreshError="1"/>
      <sheetData sheetId="1043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"/>
      <sheetName val="입찰안"/>
      <sheetName val="실행"/>
      <sheetName val="관리"/>
      <sheetName val="표지"/>
      <sheetName val="총괄표"/>
      <sheetName val="집계표"/>
      <sheetName val="내역"/>
      <sheetName val="적격"/>
      <sheetName val="적정"/>
      <sheetName val="평가"/>
      <sheetName val="조사"/>
      <sheetName val="견적"/>
      <sheetName val="견적내역"/>
      <sheetName val="합의서"/>
      <sheetName val="총괄표(설계)"/>
      <sheetName val="내역(설계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입찰표지"/>
      <sheetName val="총괄표"/>
      <sheetName val="전체내역서"/>
      <sheetName val="전기내역서"/>
      <sheetName val="단가산출"/>
      <sheetName val="자재수량"/>
      <sheetName val="Sheet1"/>
      <sheetName val="Sheet2"/>
      <sheetName val="Sheet3"/>
      <sheetName val="1공구 건정토건 토공"/>
      <sheetName val="1공구 건정토건 철콘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Qheet6"/>
      <sheetName val="실행철강하도"/>
      <sheetName val="입찰안"/>
      <sheetName val="준검 내역서"/>
      <sheetName val="차액보증"/>
      <sheetName val="산출내역서"/>
      <sheetName val="주차구획선수량"/>
      <sheetName val="내역서"/>
      <sheetName val="자재단가비교표"/>
      <sheetName val="공사개요"/>
      <sheetName val="갑지"/>
      <sheetName val="개요"/>
      <sheetName val="부대tu"/>
      <sheetName val="일위대가"/>
      <sheetName val="#REF"/>
      <sheetName val="내역"/>
      <sheetName val="신공항A-9(원가수정)"/>
      <sheetName val="저"/>
      <sheetName val="A-4"/>
      <sheetName val="정부노임단가"/>
      <sheetName val="변경비교-을"/>
      <sheetName val="6공구(당초)"/>
      <sheetName val="품의서"/>
      <sheetName val="가도공"/>
      <sheetName val="도급"/>
      <sheetName val="SG"/>
      <sheetName val="금호"/>
      <sheetName val="목차"/>
      <sheetName val="을"/>
      <sheetName val="데리네이타현황"/>
      <sheetName val="하조서"/>
      <sheetName val="한강운반비"/>
      <sheetName val="노임단가"/>
      <sheetName val="BID"/>
      <sheetName val="재개발"/>
      <sheetName val="서∼군(2)"/>
      <sheetName val="소야공정계획표"/>
      <sheetName val="기초코드"/>
      <sheetName val="98NS-N"/>
      <sheetName val="후다내역"/>
      <sheetName val="토적집계"/>
      <sheetName val="설계예산서"/>
      <sheetName val="낙찰표"/>
      <sheetName val="공통가설"/>
      <sheetName val="2.대외공문"/>
      <sheetName val="SP-B1"/>
      <sheetName val="SANTOGO"/>
      <sheetName val="1.수인터널"/>
      <sheetName val="실행대비"/>
      <sheetName val="98지급계획"/>
      <sheetName val="대비"/>
      <sheetName val="시공여유율"/>
      <sheetName val="위치조서"/>
      <sheetName val="일위대가표"/>
      <sheetName val="대로근거"/>
      <sheetName val="특수선일위대가"/>
      <sheetName val="공업용수관로"/>
      <sheetName val="플랜트 설치"/>
      <sheetName val="일위대가(계측기설치)"/>
      <sheetName val="45,46"/>
      <sheetName val="Total"/>
      <sheetName val="갑지(추정)"/>
      <sheetName val="물가시세"/>
      <sheetName val="총괄-1"/>
      <sheetName val="보할"/>
      <sheetName val="AS포장복구 "/>
      <sheetName val="전기공사"/>
      <sheetName val="3차준공"/>
      <sheetName val="지주설치제원"/>
      <sheetName val="단"/>
      <sheetName val="일위(토목)"/>
      <sheetName val="기본단가"/>
      <sheetName val="설 계"/>
      <sheetName val="경비"/>
      <sheetName val="입적표"/>
      <sheetName val="자재단가"/>
      <sheetName val="중로근거"/>
      <sheetName val="표지"/>
      <sheetName val="준공조서갑지"/>
      <sheetName val="실행내역서"/>
      <sheetName val="입출재고현황 (2)"/>
      <sheetName val="수문일1"/>
      <sheetName val="가시설"/>
      <sheetName val="부대내역"/>
      <sheetName val="6PILE  (돌출)"/>
      <sheetName val="흥양2교토공집계표"/>
      <sheetName val="토목주소"/>
      <sheetName val="eq_data"/>
      <sheetName val="원형1호맨홀토공수량"/>
      <sheetName val="설계"/>
      <sheetName val="연결임시"/>
      <sheetName val="입력시트"/>
      <sheetName val="을지"/>
      <sheetName val="건축내역서"/>
      <sheetName val="단가비교표"/>
      <sheetName val="시화점실행"/>
      <sheetName val="0.0ControlSheet"/>
      <sheetName val="0.1keyAssumption"/>
      <sheetName val="입찰품의서"/>
      <sheetName val="인건-측정"/>
      <sheetName val="단가산출서"/>
      <sheetName val="DATA"/>
      <sheetName val="교각1"/>
      <sheetName val="Dae_Jiju"/>
      <sheetName val="Sikje_ingun"/>
      <sheetName val="TREE_D"/>
      <sheetName val="A-7-1LINE(수량)"/>
      <sheetName val="Sheet1 (2)"/>
      <sheetName val="상-교대(A1-A2)"/>
      <sheetName val="2000년하반기"/>
      <sheetName val="초기화면"/>
      <sheetName val="2000년1차"/>
      <sheetName val="장비집계"/>
      <sheetName val="결과조달"/>
      <sheetName val="여과지동"/>
      <sheetName val="기초자료"/>
      <sheetName val="대치판정"/>
      <sheetName val="맨홀수량"/>
      <sheetName val="제잡비.xls"/>
      <sheetName val="N賃率-職"/>
      <sheetName val="전체_1설계"/>
      <sheetName val="수로단위수량"/>
      <sheetName val="원본(갑지)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준검_내역서"/>
      <sheetName val="내역(최종본4.5)"/>
      <sheetName val="실행내역"/>
      <sheetName val="접속도로1"/>
      <sheetName val="총괄내역서"/>
      <sheetName val="하수급견적대비"/>
      <sheetName val="DATE"/>
      <sheetName val="ELECTRIC"/>
      <sheetName val="기성신청"/>
      <sheetName val="공제구간조서"/>
      <sheetName val="직노"/>
      <sheetName val="광산내역"/>
      <sheetName val="건축내역"/>
      <sheetName val="물량표"/>
      <sheetName val="EQUIP-H"/>
      <sheetName val="횡배수관토공수량"/>
      <sheetName val="배수통관(좌)"/>
      <sheetName val="공문(신)"/>
      <sheetName val="강교(Sub)"/>
      <sheetName val="노임"/>
      <sheetName val="증감대비"/>
      <sheetName val="설계예산"/>
      <sheetName val="일위대가(가설)"/>
      <sheetName val="wall"/>
      <sheetName val="토사(PE)"/>
      <sheetName val="충주"/>
      <sheetName val="배관단가조사서"/>
      <sheetName val="ABUT수량-A1"/>
      <sheetName val="공사비총괄표"/>
      <sheetName val="일위대가(1)"/>
      <sheetName val="현장관리"/>
      <sheetName val="토공사"/>
      <sheetName val="4.내진설계"/>
      <sheetName val="Type(123)"/>
      <sheetName val="신대방33(적용)"/>
      <sheetName val="산출내역서집계표"/>
      <sheetName val="마산방향"/>
      <sheetName val="진주방향"/>
      <sheetName val="몰탈재료산출"/>
      <sheetName val="구천"/>
      <sheetName val="전신"/>
      <sheetName val="수량조서"/>
      <sheetName val="코드표"/>
      <sheetName val=" 총괄표"/>
      <sheetName val="9GNG운반"/>
      <sheetName val="type-F"/>
      <sheetName val="간접비"/>
      <sheetName val="교대(A1)"/>
      <sheetName val="96보완계획7.12"/>
      <sheetName val="기계내역"/>
      <sheetName val="s"/>
      <sheetName val="조명시설"/>
      <sheetName val="공사비예산서(토목분)"/>
      <sheetName val="수량3"/>
      <sheetName val="토목내역"/>
      <sheetName val="관급"/>
      <sheetName val="BJJIN"/>
      <sheetName val="전기일위대가"/>
      <sheetName val="I一般比"/>
      <sheetName val="자재목록"/>
      <sheetName val="중기목록"/>
      <sheetName val="단가목록"/>
      <sheetName val="일위목록"/>
      <sheetName val="노임목록"/>
      <sheetName val="손익현황"/>
      <sheetName val="현황CODE"/>
      <sheetName val="APT"/>
      <sheetName val="전신환매도율"/>
      <sheetName val="설직재-1"/>
      <sheetName val="6호기"/>
      <sheetName val="수자재단위당"/>
      <sheetName val="4)유동표"/>
      <sheetName val="참조"/>
      <sheetName val="BSD (2)"/>
      <sheetName val="nys"/>
      <sheetName val="3BL공동구 수량"/>
      <sheetName val="골조시행"/>
      <sheetName val="교각계산"/>
      <sheetName val="TYPE-A"/>
      <sheetName val="단가"/>
      <sheetName val="관일"/>
      <sheetName val="철거산출근거"/>
      <sheetName val="단가조사"/>
      <sheetName val="단면가정"/>
      <sheetName val="설계조건"/>
      <sheetName val="부재력정리"/>
      <sheetName val="Front"/>
      <sheetName val="가격조사서"/>
      <sheetName val="1.취수장"/>
      <sheetName val="적용대가"/>
      <sheetName val="인건비 "/>
      <sheetName val="수량산출"/>
      <sheetName val="자재"/>
      <sheetName val="1_수인터널"/>
      <sheetName val="6PILE__(돌출)"/>
      <sheetName val="2_대외공문"/>
      <sheetName val="설_계"/>
      <sheetName val="AS포장복구_"/>
      <sheetName val="공종별산출내역서"/>
      <sheetName val="세금자료"/>
      <sheetName val="1. 설계조건 2.단면가정 3. 하중계산"/>
      <sheetName val="DATA 입력란"/>
      <sheetName val="CONCRETE"/>
      <sheetName val="2.고용보험료산출근거"/>
      <sheetName val="건축집계"/>
      <sheetName val="경영상태"/>
      <sheetName val="MOTOR"/>
      <sheetName val="공사"/>
      <sheetName val="간지"/>
      <sheetName val="부대입찰 내역서"/>
      <sheetName val="포장공자재집계표"/>
      <sheetName val="J直材4"/>
      <sheetName val="설계기준"/>
      <sheetName val="실행내역서 "/>
      <sheetName val="1.설계조건"/>
      <sheetName val="음료실행"/>
      <sheetName val="현대물량"/>
      <sheetName val="_REF"/>
      <sheetName val="노원열병합  건축공사기성내역서"/>
      <sheetName val="뚝토공"/>
      <sheetName val="노임이"/>
      <sheetName val="전차선로 물량표"/>
      <sheetName val="공통(20-91)"/>
      <sheetName val="도급b_balju"/>
      <sheetName val="원가서"/>
      <sheetName val="200"/>
      <sheetName val="중기일위대가"/>
      <sheetName val="부하(성남)"/>
      <sheetName val="부하계산서"/>
      <sheetName val="STAND20"/>
      <sheetName val="최초침전지집계표"/>
      <sheetName val="화설내"/>
      <sheetName val="자재집계표"/>
      <sheetName val="TB-내역서"/>
      <sheetName val="COPING"/>
      <sheetName val="0Title"/>
      <sheetName val="설계서"/>
      <sheetName val="예산서"/>
      <sheetName val="총공사비"/>
      <sheetName val="주경기-오배수"/>
      <sheetName val="노무비"/>
      <sheetName val="2000전체분"/>
      <sheetName val="포장단면별단위수량"/>
      <sheetName val="데이타"/>
      <sheetName val="자재일람"/>
      <sheetName val="토공(우물통,기타) "/>
      <sheetName val="팔당터널(1공구)"/>
      <sheetName val="배수내역"/>
      <sheetName val="부대공Ⅱ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총집계표"/>
      <sheetName val="Eq. Mobilization"/>
      <sheetName val="집계"/>
      <sheetName val="날개벽(시점좌측)"/>
      <sheetName val="경영혁신본부"/>
      <sheetName val="설계명세서"/>
      <sheetName val="설계내역서"/>
      <sheetName val="2.건축"/>
      <sheetName val="견적대비표"/>
      <sheetName val="내역1"/>
      <sheetName val="명단"/>
      <sheetName val="연습"/>
      <sheetName val="내역(최종본4_5)"/>
      <sheetName val="0_0ControlSheet"/>
      <sheetName val="0_1keyAssumption"/>
      <sheetName val="현장관리비"/>
      <sheetName val="원가계산서"/>
      <sheetName val="Y-WORK"/>
      <sheetName val="덕전리"/>
      <sheetName val="98수문일위"/>
      <sheetName val="투찰(하수)"/>
      <sheetName val="프랜트면허"/>
      <sheetName val="집계표(OPTION)"/>
      <sheetName val="IW-LIST"/>
      <sheetName val="발주설계서(당초)"/>
      <sheetName val="VXXXXXXX"/>
      <sheetName val="집계표(수배전제조구매)"/>
      <sheetName val="확약서"/>
      <sheetName val="F4-F7"/>
      <sheetName val="장비당단가 (1)"/>
      <sheetName val="Sheet2 (2)"/>
      <sheetName val="업무"/>
      <sheetName val="선정요령"/>
      <sheetName val="간접경상비"/>
      <sheetName val="금액내역서"/>
      <sheetName val="현장관리비 산출내역"/>
      <sheetName val="견적서"/>
      <sheetName val="현장별계약현황('98.10.31)"/>
      <sheetName val="구의33고"/>
      <sheetName val="세부내역"/>
      <sheetName val="97년 추정"/>
      <sheetName val="건설성적"/>
      <sheetName val="증감내역서"/>
      <sheetName val="전기단가조사서"/>
      <sheetName val="인건비"/>
      <sheetName val="보고"/>
      <sheetName val="가로등내역서"/>
      <sheetName val="전라자금"/>
      <sheetName val="b_yesan"/>
      <sheetName val="산수배수"/>
      <sheetName val="경비2내역"/>
      <sheetName val="INPUT(덕도방향-시점)"/>
      <sheetName val="CPM챠트"/>
      <sheetName val="지우지마"/>
      <sheetName val="토목"/>
      <sheetName val="DC-O-4-S(설명서)"/>
      <sheetName val="평균터파기고(1-2,ASP)"/>
      <sheetName val="원가계산 (2)"/>
      <sheetName val="건축내역(진해석동)"/>
      <sheetName val="일위(PN)"/>
      <sheetName val="실행(ALT1)"/>
      <sheetName val="정보"/>
      <sheetName val="종단계산"/>
      <sheetName val="입적6-10"/>
      <sheetName val="공량산출서"/>
      <sheetName val="실행간접비용"/>
      <sheetName val="JUCKEYK"/>
      <sheetName val="건축-물가변동"/>
      <sheetName val="품셈TABLE"/>
      <sheetName val="현황산출서"/>
      <sheetName val="내   역"/>
      <sheetName val="단가(반정1교-원주)"/>
      <sheetName val="주요자재단가"/>
      <sheetName val="각형맨홀"/>
      <sheetName val="본공사"/>
      <sheetName val="S0"/>
      <sheetName val="인사자료총집계"/>
      <sheetName val="자금청구"/>
      <sheetName val="1.설계기준"/>
      <sheetName val="수량산출서"/>
      <sheetName val="내역서01"/>
      <sheetName val="프라임 강변역(4,236)"/>
      <sheetName val="물집"/>
      <sheetName val="하중"/>
      <sheetName val="날개벽"/>
      <sheetName val="전기"/>
      <sheetName val="예산M6-B"/>
      <sheetName val="AB자재단가"/>
      <sheetName val="상세산출"/>
      <sheetName val="적현로"/>
      <sheetName val="sw1"/>
      <sheetName val="설-원가"/>
      <sheetName val="공사비산출내역"/>
      <sheetName val="세부내역서"/>
      <sheetName val="신공항A-;(원가수정)"/>
      <sheetName val="건축공사"/>
      <sheetName val="콤보박스와 리스트박스의 연결"/>
      <sheetName val="유형처분"/>
      <sheetName val="수 량 명 세 서 - 1"/>
      <sheetName val="견적조건"/>
      <sheetName val="현경"/>
      <sheetName val="입찰"/>
      <sheetName val="S12"/>
      <sheetName val="FB25JN"/>
      <sheetName val="국내"/>
      <sheetName val="우석문틀"/>
      <sheetName val="Sheet9"/>
      <sheetName val="시중노임단가"/>
      <sheetName val="예산총괄표"/>
      <sheetName val="재료비"/>
      <sheetName val="횡배수관"/>
      <sheetName val="밸브설치"/>
      <sheetName val="공정표 "/>
      <sheetName val="50-4(2차)"/>
      <sheetName val="5.2코핑"/>
      <sheetName val="장비별표(오거보링)(Ø400)(12M)"/>
      <sheetName val="TEST1"/>
      <sheetName val="수량집계표"/>
      <sheetName val="database"/>
      <sheetName val="입찰보고"/>
      <sheetName val="CALCULATION"/>
      <sheetName val="별표 "/>
      <sheetName val="식재수량표"/>
      <sheetName val="전체ﾴ엿서"/>
      <sheetName val="출장내역"/>
      <sheetName val="1호맨홀수량산출"/>
      <sheetName val="관련자료입력"/>
      <sheetName val="샘플표지"/>
      <sheetName val="기둥(원형)"/>
      <sheetName val="맨홀(2호)"/>
      <sheetName val="대우"/>
      <sheetName val="1맨AO"/>
      <sheetName val="총괄"/>
      <sheetName val="수토공단위당"/>
      <sheetName val="유림골조"/>
      <sheetName val="코드"/>
      <sheetName val="위생기구"/>
      <sheetName val="기계실냉난방"/>
      <sheetName val="XL4Poppy"/>
      <sheetName val="일위대가목차"/>
      <sheetName val="조명일위"/>
      <sheetName val="울산자금"/>
      <sheetName val="8.PILE  (돌출)"/>
      <sheetName val="비교1"/>
      <sheetName val="신우"/>
      <sheetName val="機器明細(MC)"/>
      <sheetName val="변경후원본2"/>
      <sheetName val="강북라우터"/>
      <sheetName val="공사분석"/>
      <sheetName val="지급자재"/>
      <sheetName val="건집"/>
      <sheetName val="기집"/>
      <sheetName val="토집"/>
      <sheetName val="조집"/>
      <sheetName val="2000년 공정표"/>
      <sheetName val="건축적용원가계산"/>
      <sheetName val="설내역서 "/>
      <sheetName val="TBN실행"/>
      <sheetName val="지중자재단가"/>
      <sheetName val="산출근거"/>
      <sheetName val="기초(1)"/>
      <sheetName val="앵커구조계산"/>
      <sheetName val="집 계 표"/>
      <sheetName val="역T형"/>
      <sheetName val="2.교량(신설)"/>
      <sheetName val="P.M 별"/>
      <sheetName val="예산내역서"/>
      <sheetName val="수입"/>
      <sheetName val="TOT"/>
      <sheetName val="구조물철거타공정이월"/>
      <sheetName val="철근단면적"/>
      <sheetName val="내역서(전기)"/>
      <sheetName val="표지 (3)"/>
      <sheetName val="표지 (2)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제경비"/>
      <sheetName val="수량집계"/>
      <sheetName val="수량(교각)"/>
      <sheetName val="수량산출(2)"/>
      <sheetName val="단가(동바리)"/>
      <sheetName val="단가(강재운반)"/>
      <sheetName val="추진계획"/>
      <sheetName val="추진실적"/>
      <sheetName val="공정표"/>
      <sheetName val="일수계산"/>
      <sheetName val="터널공기"/>
      <sheetName val="업협(토공,철콘)"/>
      <sheetName val="실행예산"/>
      <sheetName val="시방서"/>
      <sheetName val="계약현황"/>
      <sheetName val="견적(토공)"/>
      <sheetName val="견적(철콘)"/>
      <sheetName val="xxxxxx"/>
      <sheetName val="0000"/>
      <sheetName val="현황"/>
      <sheetName val="철콘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 HIT-&gt;HMC 견적(3900)"/>
      <sheetName val="한전일위"/>
      <sheetName val="요율"/>
      <sheetName val="일위대가목록"/>
      <sheetName val="투찰내역"/>
      <sheetName val="간접비계산"/>
      <sheetName val="합계"/>
      <sheetName val="일위CODE"/>
      <sheetName val="Macro1"/>
      <sheetName val="중기비"/>
      <sheetName val="품셈"/>
      <sheetName val="#2_일위대가목록"/>
      <sheetName val="관급자재"/>
      <sheetName val="일  위  대  가  목  록"/>
      <sheetName val="당초명세(평)"/>
      <sheetName val="일위산출"/>
      <sheetName val="세부추진"/>
      <sheetName val="제안서"/>
      <sheetName val="상용보강"/>
      <sheetName val="행정표준(1)"/>
      <sheetName val="행정표준(2)"/>
      <sheetName val="1공구원가계산서"/>
      <sheetName val="1공구산출내역서"/>
      <sheetName val="1유리"/>
      <sheetName val="금액결정"/>
      <sheetName val="인부신상자료"/>
      <sheetName val="장문교(대전)"/>
      <sheetName val="간접(90)"/>
      <sheetName val="우배수"/>
      <sheetName val="계산식"/>
      <sheetName val="전체"/>
      <sheetName val="조명율표"/>
      <sheetName val="INSTR"/>
      <sheetName val="조건표"/>
      <sheetName val="장비"/>
      <sheetName val="산근1"/>
      <sheetName val="노무"/>
      <sheetName val="설계가"/>
      <sheetName val="PI"/>
      <sheetName val="품셈총괄표"/>
      <sheetName val="2공구산출내역"/>
      <sheetName val="교각토공 _2_"/>
      <sheetName val="1,2공구원가계산서"/>
      <sheetName val="일위대가D"/>
      <sheetName val="HRSG SMALL07220"/>
      <sheetName val="기본설계기준"/>
      <sheetName val="일위"/>
      <sheetName val="단가적용"/>
      <sheetName val="운반비요율"/>
      <sheetName val="6. 안전관리비"/>
      <sheetName val="유동표"/>
      <sheetName val="하도내역 (철콘)"/>
      <sheetName val="특기사항"/>
      <sheetName val="b_balju"/>
      <sheetName val="3.공통공사대비"/>
      <sheetName val="CTEMCOST"/>
      <sheetName val="간접"/>
      <sheetName val="1안"/>
      <sheetName val="단가표"/>
      <sheetName val="수량산출서 갑지"/>
      <sheetName val="구조물터파기수량집계"/>
      <sheetName val="측구터파기공수량집계"/>
      <sheetName val="배수공 시멘트 및 골재량 산출"/>
      <sheetName val="단면 (2)"/>
      <sheetName val="바닥판"/>
      <sheetName val="WORK"/>
      <sheetName val="원가계산"/>
      <sheetName val="내역총괄"/>
      <sheetName val="내역총괄2"/>
      <sheetName val="내역총괄3"/>
      <sheetName val="CIP 공사"/>
      <sheetName val="5사남"/>
      <sheetName val="기계경비"/>
      <sheetName val="본부장"/>
      <sheetName val="현장별"/>
      <sheetName val="3F"/>
      <sheetName val="설계변경내역서"/>
      <sheetName val="남양내역"/>
      <sheetName val="작성기준"/>
      <sheetName val="마산월령동골조물량변경"/>
      <sheetName val="실행(표지,갑,을)"/>
      <sheetName val="파이프류"/>
      <sheetName val="내역분기"/>
      <sheetName val="직공비"/>
      <sheetName val="NOMUBI"/>
      <sheetName val="벽체면적당일위대가"/>
      <sheetName val="사통"/>
      <sheetName val="구분자"/>
      <sheetName val="견적을지"/>
      <sheetName val="ITEM"/>
      <sheetName val="DATA 입력부"/>
      <sheetName val="배수공"/>
      <sheetName val="식재"/>
      <sheetName val="시설물"/>
      <sheetName val="식재출력용"/>
      <sheetName val="유지관리"/>
      <sheetName val="아파트-가설"/>
      <sheetName val="공통가설공사"/>
      <sheetName val="1차설계변경내역"/>
      <sheetName val="base"/>
      <sheetName val="포설list원본"/>
      <sheetName val="차수"/>
      <sheetName val="깨기"/>
      <sheetName val="연부97-1"/>
      <sheetName val="갑지1"/>
      <sheetName val="SUB일위대가"/>
      <sheetName val="소비자가"/>
      <sheetName val="4.경비 5.영업외수지"/>
      <sheetName val="TS"/>
      <sheetName val="지급어음"/>
      <sheetName val="최종보고1"/>
      <sheetName val="9-1차이내역"/>
      <sheetName val=" 견적서"/>
      <sheetName val="Input"/>
      <sheetName val="3월"/>
      <sheetName val="CJE"/>
      <sheetName val="choose"/>
      <sheetName val="금융비용"/>
      <sheetName val="광통신 견적내역서1"/>
      <sheetName val="전기실-1"/>
      <sheetName val="잡철물"/>
      <sheetName val="할증 "/>
      <sheetName val="EJ"/>
      <sheetName val="교통대책내역"/>
      <sheetName val="unit 4"/>
      <sheetName val="당초"/>
      <sheetName val="토량1-1"/>
      <sheetName val="기흥하도용"/>
      <sheetName val="내부마감"/>
      <sheetName val="구단"/>
      <sheetName val="내역서변경성원"/>
      <sheetName val="현장일반사항"/>
      <sheetName val="견적의뢰서"/>
      <sheetName val="기계경비일람"/>
      <sheetName val="보도경계블럭"/>
      <sheetName val="업무분장"/>
      <sheetName val="A"/>
      <sheetName val="식재일위"/>
      <sheetName val="명세서"/>
      <sheetName val="산출금액내역"/>
      <sheetName val="Baby일위대가"/>
      <sheetName val="경상비"/>
      <sheetName val="부안일위"/>
      <sheetName val="모래기초"/>
      <sheetName val="7.PILE  (돌출)"/>
      <sheetName val="대림경상68억"/>
      <sheetName val="C-노임단가"/>
      <sheetName val="수목단가"/>
      <sheetName val="시설수량표"/>
      <sheetName val="영업소실적"/>
      <sheetName val="동원(3)"/>
      <sheetName val="BREAKDOWN(철거설치)"/>
      <sheetName val="1.본부별"/>
      <sheetName val="000000"/>
      <sheetName val="변경후-SHEET"/>
      <sheetName val="내역서당초"/>
      <sheetName val="마감사양"/>
      <sheetName val="말고개터널조명전압강하"/>
      <sheetName val="2000.05"/>
      <sheetName val="guard(mac)"/>
      <sheetName val="남양시작동010313100%"/>
      <sheetName val="단양 00 아파트-세부내역"/>
      <sheetName val="내역(한신APT)"/>
      <sheetName val="Macro2"/>
      <sheetName val="1단계"/>
      <sheetName val="일위총괄"/>
      <sheetName val="작업일보"/>
      <sheetName val="내역전기"/>
      <sheetName val="노무비 근거"/>
      <sheetName val="수정2"/>
      <sheetName val="표지1"/>
      <sheetName val="조건표 (2)"/>
      <sheetName val="10공구일위"/>
      <sheetName val="3개월-백데이타"/>
      <sheetName val="LG배관재단가"/>
      <sheetName val="다다수전류단가"/>
      <sheetName val="LG유통상품단가표"/>
      <sheetName val="임율 Data"/>
      <sheetName val="FORM-0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토공유동표(전체.당초)"/>
      <sheetName val="개거총"/>
      <sheetName val="일위대가목록표"/>
      <sheetName val="추가예산"/>
      <sheetName val="목차 "/>
      <sheetName val="일위산출근거"/>
      <sheetName val="단위단가"/>
      <sheetName val="예산총괄"/>
      <sheetName val="공정집계_국별"/>
      <sheetName val="표준건축비"/>
      <sheetName val="별표집계"/>
      <sheetName val="A1"/>
      <sheetName val="일위단가"/>
      <sheetName val="c_balju"/>
      <sheetName val="입력데이타"/>
      <sheetName val="ORIGIN"/>
      <sheetName val="노임조서"/>
      <sheetName val="48일위"/>
      <sheetName val="IT-BAT"/>
      <sheetName val="수문일위1"/>
      <sheetName val="중기"/>
      <sheetName val="U형개거"/>
      <sheetName val="인원"/>
      <sheetName val="약품공급2"/>
      <sheetName val="DHEQSUPT"/>
      <sheetName val="호안사석"/>
      <sheetName val="배수자집"/>
      <sheetName val="유입량"/>
      <sheetName val="표지_(3)"/>
      <sheetName val="표지_(2)"/>
      <sheetName val="교각집계_(2)"/>
      <sheetName val="교각토공_(2)"/>
      <sheetName val="교각철근_(2)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97년_추정"/>
      <sheetName val="이월"/>
      <sheetName val="2터널시점"/>
      <sheetName val="SLAB근거-1"/>
      <sheetName val="업체별기성내역"/>
      <sheetName val="포장(수량)-관로부"/>
      <sheetName val="기초1"/>
      <sheetName val="잡비"/>
      <sheetName val="음성방향"/>
      <sheetName val="유치원내역"/>
      <sheetName val="P_RPTB04_산근"/>
      <sheetName val="하도금액분계"/>
      <sheetName val="견적"/>
      <sheetName val="효율표"/>
      <sheetName val="토목품셈"/>
      <sheetName val="수량분개내역"/>
      <sheetName val="간선계산"/>
      <sheetName val="b_balju (2)"/>
      <sheetName val="b_gunmul"/>
      <sheetName val="내역(2000년)"/>
      <sheetName val="일일"/>
      <sheetName val="#2정산"/>
      <sheetName val="DANGA"/>
      <sheetName val="첨부1"/>
      <sheetName val="기본단가표"/>
      <sheetName val="8.현장관리비"/>
      <sheetName val="7.안전관리비"/>
      <sheetName val="7. 현장관리비 "/>
      <sheetName val="노무비 "/>
      <sheetName val="내역서 제출"/>
      <sheetName val="자료입력"/>
      <sheetName val="제경비산출서"/>
      <sheetName val="공사비증감"/>
      <sheetName val="BND"/>
      <sheetName val="공사내역서(을)실행"/>
      <sheetName val="환기시설"/>
      <sheetName val="조명"/>
      <sheetName val="점보전력사용"/>
      <sheetName val="단면"/>
      <sheetName val="배수처리"/>
      <sheetName val="입력자료(노무비)"/>
      <sheetName val="일위대가표48"/>
      <sheetName val="2000용수잠관-수량집계"/>
      <sheetName val="구조     ."/>
      <sheetName val="토공(1)"/>
      <sheetName val="차수공(1)"/>
      <sheetName val="전문하도급"/>
      <sheetName val="교량전기"/>
      <sheetName val="평가데이터"/>
      <sheetName val="인명부"/>
      <sheetName val="장비단가"/>
      <sheetName val="가스"/>
      <sheetName val="양수장(기계)"/>
      <sheetName val="직접비"/>
      <sheetName val="건장설비"/>
      <sheetName val="(당평)자재"/>
      <sheetName val="사업관리"/>
      <sheetName val="운반"/>
      <sheetName val="물가자료"/>
      <sheetName val="기성갑지"/>
      <sheetName val="간 지1"/>
      <sheetName val="일위(시설)"/>
      <sheetName val="콘크리트타설집계표"/>
      <sheetName val="화재 탐지 설비"/>
      <sheetName val="(원)기흥상갈"/>
      <sheetName val="4.일위대가집계"/>
      <sheetName val="날개벽수량표"/>
      <sheetName val="5. 현장관리비(new) "/>
      <sheetName val="Customer Databas"/>
      <sheetName val="예가표"/>
      <sheetName val="결재난"/>
      <sheetName val="방배동내역(리라)"/>
      <sheetName val="현장경비"/>
      <sheetName val="건축공사집계표"/>
      <sheetName val="방배동내역 (총괄)"/>
      <sheetName val="부대공사총괄"/>
      <sheetName val="tggwan(mac)"/>
      <sheetName val="2"/>
      <sheetName val="만년달력"/>
      <sheetName val="단가산출(T)"/>
      <sheetName val="공사원가계산서"/>
      <sheetName val="인사자료"/>
      <sheetName val="맨홀수량산출"/>
      <sheetName val="재료집계표"/>
      <sheetName val="1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7"/>
      <sheetName val="8"/>
      <sheetName val="9"/>
      <sheetName val="cable-data"/>
      <sheetName val="노무비산출"/>
      <sheetName val="FI원가_1"/>
      <sheetName val="시운전연료"/>
      <sheetName val="포장공"/>
      <sheetName val="구조물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토__목1"/>
      <sheetName val="조__경1"/>
      <sheetName val="전_기1"/>
      <sheetName val="건__축1"/>
      <sheetName val="1공구_건정토건_토공1"/>
      <sheetName val="1공구_건정토건_철콘1"/>
      <sheetName val="보도내역_(3)1"/>
      <sheetName val="준검_내역서1"/>
      <sheetName val="입출재고현황_(2)"/>
      <sheetName val="Sheet1_(2)"/>
      <sheetName val="근로자자료입력"/>
      <sheetName val="참고자료"/>
      <sheetName val="배수관공"/>
      <sheetName val="측구공"/>
      <sheetName val="1차3회-개소별명세서-빨간색-인쇄용(21873)"/>
      <sheetName val="투찰내역서"/>
      <sheetName val="1_수인터널1"/>
      <sheetName val="6PILE__(돌출)1"/>
      <sheetName val="AS포장복구_1"/>
      <sheetName val="2_대외공문1"/>
      <sheetName val="설_계1"/>
      <sheetName val="CIP_공사"/>
      <sheetName val="실행내역서_"/>
      <sheetName val="1_설계조건"/>
      <sheetName val="노원열병합__건축공사기성내역서"/>
      <sheetName val="1__설계조건_2_단면가정_3__하중계산"/>
      <sheetName val="DATA_입력란"/>
      <sheetName val="4_내진설계"/>
      <sheetName val="_총괄표"/>
      <sheetName val="인건비_"/>
      <sheetName val="BSD_(2)"/>
      <sheetName val="1_취수장"/>
      <sheetName val="전차선로_물량표"/>
      <sheetName val="96보완계획7_12"/>
      <sheetName val="콤보박스와_리스트박스의_연결"/>
      <sheetName val="제잡비_xls"/>
      <sheetName val="3BL공동구_수량"/>
      <sheetName val="부대입찰_내역서"/>
      <sheetName val="2_고용보험료산출근거"/>
      <sheetName val="설내역서_"/>
      <sheetName val="1공구_건정토건_토공2"/>
      <sheetName val="#3E1_GCR"/>
      <sheetName val="소소총괄표"/>
      <sheetName val="원가"/>
      <sheetName val="입찰내역"/>
      <sheetName val="단중"/>
      <sheetName val="건축토목실행내역"/>
      <sheetName val="공통부대비"/>
      <sheetName val="전체기준Data"/>
      <sheetName val="원본"/>
      <sheetName val="8)중점관리장비현황"/>
      <sheetName val="돈암사업"/>
      <sheetName val="평3"/>
      <sheetName val="유림콘도"/>
      <sheetName val="적용토목"/>
      <sheetName val="식재인부"/>
      <sheetName val="평자재단가"/>
      <sheetName val="조건"/>
      <sheetName val="SF내역및원가02"/>
      <sheetName val="중기가격"/>
      <sheetName val="Mc1"/>
      <sheetName val="기본DATA"/>
      <sheetName val="가중치"/>
      <sheetName val="품셈(기초)"/>
      <sheetName val="Sheet14"/>
      <sheetName val="Sheet13"/>
      <sheetName val="10동"/>
      <sheetName val="중기사용료산출근거"/>
      <sheetName val="단가 및 재료비"/>
      <sheetName val="4.장비손료"/>
      <sheetName val="상수도토공집계표"/>
      <sheetName val="첨부1-1"/>
      <sheetName val="빙설"/>
      <sheetName val="기초입력 DATA"/>
      <sheetName val="96노임기준"/>
      <sheetName val="1.3.1절점좌표"/>
      <sheetName val="1.1설계기준"/>
      <sheetName val="현장지지물물량"/>
      <sheetName val="공통자료"/>
      <sheetName val="안전시설내역서"/>
      <sheetName val="총공사내역서"/>
      <sheetName val="49일위"/>
      <sheetName val="22일위"/>
      <sheetName val="배수문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준검_내역서2"/>
      <sheetName val="1_수인터널2"/>
      <sheetName val="AS포장복구_2"/>
      <sheetName val="2_대외공문2"/>
      <sheetName val="6PILE__(돌출)2"/>
      <sheetName val="설_계2"/>
      <sheetName val="내역(최종본4_5)2"/>
      <sheetName val="Sheet1_(2)1"/>
      <sheetName val="0_0ControlSheet2"/>
      <sheetName val="0_1keyAssumption2"/>
      <sheetName val="입출재고현황_(2)1"/>
      <sheetName val="부대입찰_내역서1"/>
      <sheetName val="전차선로_물량표1"/>
      <sheetName val="BSD_(2)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97년_추정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내역(최종본4_5)1"/>
      <sheetName val="0_0ControlSheet1"/>
      <sheetName val="0_1keyAssumption1"/>
      <sheetName val="토공(우물통,기타)_"/>
      <sheetName val="Eq__Mobilization"/>
      <sheetName val="원가계산_(2)"/>
      <sheetName val="현장관리비_산출내역"/>
      <sheetName val="현장별계약현황('98_10_31)"/>
      <sheetName val="플랜트_설치"/>
      <sheetName val="교각"/>
      <sheetName val="EQUIP LIST"/>
      <sheetName val="입력"/>
      <sheetName val="단가조사-2"/>
      <sheetName val="VE절감"/>
      <sheetName val="1062-X방향 "/>
      <sheetName val="공문"/>
      <sheetName val="울산자동제어"/>
      <sheetName val="일위_파일"/>
      <sheetName val="일반부표"/>
      <sheetName val="DATA2000"/>
      <sheetName val="5.정산서"/>
      <sheetName val="포장직선구간"/>
      <sheetName val="TABLE DB"/>
      <sheetName val="쌍용 data base"/>
      <sheetName val="Macro(전동기)"/>
      <sheetName val="터파기및재료"/>
      <sheetName val="간접재료비산출표-27-30"/>
      <sheetName val="재활용 악취_먼지DUCT산출"/>
      <sheetName val="항목지정"/>
      <sheetName val="경비산출"/>
      <sheetName val="기안"/>
      <sheetName val="개산공사비"/>
      <sheetName val="내역및원가02"/>
      <sheetName val="예정(3)"/>
      <sheetName val="부산제일극장"/>
      <sheetName val="수주현황2월"/>
      <sheetName val="일반수량"/>
      <sheetName val="상호참고자료"/>
      <sheetName val="발주처자료입력"/>
      <sheetName val="회사기본자료"/>
      <sheetName val="하자보증자료"/>
      <sheetName val="기술자관련자료"/>
      <sheetName val="빙100장비사양"/>
      <sheetName val="기본사항"/>
      <sheetName val="CODE"/>
      <sheetName val="주식"/>
      <sheetName val="정렬"/>
      <sheetName val="말뚝지지력산정"/>
      <sheetName val="쌍송교"/>
      <sheetName val="증감분석"/>
      <sheetName val="설계명세"/>
      <sheetName val="다곡2교"/>
      <sheetName val="입력그림"/>
      <sheetName val="정부노임"/>
      <sheetName val="흄관기초"/>
      <sheetName val="학생내역"/>
      <sheetName val="설비"/>
      <sheetName val="기기리스트"/>
      <sheetName val="시설물기초"/>
      <sheetName val="산출근거(S4)"/>
      <sheetName val="현장관리비데이타"/>
      <sheetName val="공정코드"/>
      <sheetName val="재료"/>
      <sheetName val="현장식당(1)"/>
      <sheetName val="인원현황"/>
      <sheetName val="입력값"/>
      <sheetName val="설계기준 및 하중계산"/>
      <sheetName val="1F"/>
      <sheetName val="본사인상전"/>
      <sheetName val="단중표"/>
      <sheetName val="예산M12A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식재일위대가"/>
      <sheetName val="기초일위대가"/>
      <sheetName val="단가대비표"/>
      <sheetName val="산출기준(파견전산실)"/>
      <sheetName val="대공종"/>
      <sheetName val="전체내역 (2)"/>
      <sheetName val="Hyundai.Unit.cost.xls"/>
      <sheetName val="수리결과"/>
      <sheetName val="중기조종사 단위단가"/>
      <sheetName val="인원계획"/>
      <sheetName val="금리계산"/>
      <sheetName val="단위중량"/>
      <sheetName val="경산"/>
      <sheetName val="lab"/>
      <sheetName val="청천내"/>
      <sheetName val="우수"/>
      <sheetName val="기자재비"/>
      <sheetName val="일위대가목록(ems)"/>
      <sheetName val="일위집계(기존)"/>
      <sheetName val="건설실행"/>
      <sheetName val="일반공사"/>
      <sheetName val="하도내역_(철콘)"/>
      <sheetName val="노무비_근거"/>
      <sheetName val="임율_Data"/>
      <sheetName val="조건표_(2)"/>
      <sheetName val="목차_"/>
      <sheetName val="1_설계기준"/>
      <sheetName val="7__현장관리비_"/>
      <sheetName val="SHL"/>
      <sheetName val="5_ 현장관리비_new_ "/>
      <sheetName val="인계"/>
      <sheetName val="Temporary Mooring"/>
      <sheetName val="A LINE"/>
      <sheetName val="U-TYPE(1)"/>
      <sheetName val="단위량당중기"/>
      <sheetName val="일위목록데이타"/>
      <sheetName val="기성내역"/>
      <sheetName val="전도금월정금액"/>
      <sheetName val="설계내역"/>
      <sheetName val="마산방향철근집계"/>
      <sheetName val="입력정보"/>
      <sheetName val="격점별물량"/>
      <sheetName val="일H35Y4"/>
      <sheetName val="측량요율"/>
      <sheetName val="자재대"/>
      <sheetName val="점검총괄"/>
      <sheetName val="제출내역 (2)"/>
      <sheetName val="동천하상준설"/>
      <sheetName val="원도급"/>
      <sheetName val="하도급"/>
      <sheetName val="일위대가집계"/>
      <sheetName val="식재가격"/>
      <sheetName val="식재총괄"/>
      <sheetName val="700seg"/>
      <sheetName val="RE9604"/>
      <sheetName val="BQ"/>
      <sheetName val="내역서2안"/>
      <sheetName val="소방"/>
      <sheetName val="이자율"/>
      <sheetName val="1-1호"/>
      <sheetName val="가시설(TYPE-A)"/>
      <sheetName val="1-1평균터파기고(1)"/>
      <sheetName val="램머"/>
      <sheetName val="부대공자재집계표"/>
      <sheetName val="수목데이타 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설계집계장"/>
      <sheetName val="실행집계장"/>
      <sheetName val="투찰집계장"/>
      <sheetName val="♣총괄내역서♣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PROJECT BRIEF"/>
      <sheetName val="감액총괄표"/>
      <sheetName val="전계가"/>
      <sheetName val="3차토목내역"/>
      <sheetName val="말뚝기초(안정검토)-외측"/>
      <sheetName val="현금흐름"/>
      <sheetName val="일반관리비전체분당초변경대비표"/>
      <sheetName val="사용계획"/>
      <sheetName val="지급수수료월별금액산정"/>
      <sheetName val="상가지급현황"/>
      <sheetName val="Ⅱ1-0타"/>
      <sheetName val="단위수량"/>
      <sheetName val="배수장토목공사비"/>
      <sheetName val="공사수행보고"/>
      <sheetName val="작성"/>
      <sheetName val="NAIL단가산출"/>
      <sheetName val="정의"/>
      <sheetName val="영동(D)"/>
      <sheetName val="예총"/>
      <sheetName val="배명(단가)"/>
      <sheetName val="형틀공사"/>
      <sheetName val="물량산출근거"/>
      <sheetName val="산근"/>
      <sheetName val="자재co"/>
      <sheetName val="UR2-Calculation"/>
      <sheetName val="제거식EA"/>
      <sheetName val="방송(체육관)"/>
      <sheetName val="사진"/>
      <sheetName val="L형옹벽"/>
      <sheetName val="포장절단"/>
      <sheetName val="1호맨홀토공"/>
      <sheetName val="Sight n M.H"/>
      <sheetName val="Trend(Agitator)"/>
      <sheetName val="단가 "/>
      <sheetName val="환율change"/>
      <sheetName val="GRDBS"/>
      <sheetName val="4 LINE"/>
      <sheetName val="7 th"/>
      <sheetName val="C10집계2"/>
      <sheetName val=" 갑지"/>
      <sheetName val="케이블규격"/>
      <sheetName val="COVERSHEET"/>
      <sheetName val="소화실적"/>
      <sheetName val="단위별용량계산"/>
      <sheetName val="총 원가계산"/>
      <sheetName val="분전반일위대가"/>
      <sheetName val="매출요약(월별) -년간"/>
      <sheetName val="단위수량산출"/>
      <sheetName val="Piping Design Data"/>
      <sheetName val="4 &amp; 10-inch, CO2 Combo &amp; Sweep"/>
      <sheetName val="__MAIN"/>
      <sheetName val="과천MAIN"/>
      <sheetName val="터널조도"/>
      <sheetName val="부하LOAD"/>
      <sheetName val="1호맨홀가감수량"/>
      <sheetName val="ilch"/>
      <sheetName val="Table"/>
      <sheetName val="일위대가-01"/>
      <sheetName val="대비표"/>
      <sheetName val="심사"/>
      <sheetName val="969910( R)"/>
      <sheetName val="원내역서 그대로"/>
      <sheetName val="편성절차"/>
      <sheetName val="구조물공"/>
      <sheetName val="부대공"/>
      <sheetName val="2002자금수지계획(진행+신규)"/>
      <sheetName val="2변경1"/>
      <sheetName val="01"/>
      <sheetName val="은행"/>
      <sheetName val="수장"/>
      <sheetName val="집계표(공종별)"/>
      <sheetName val="교통표지판수량집계표"/>
      <sheetName val="전도품의"/>
      <sheetName val="손익분석"/>
      <sheetName val="2F 회의실견적(5_14 일대)"/>
      <sheetName val="ASALTOTA"/>
      <sheetName val="울산시산표"/>
      <sheetName val="포장수량집계"/>
      <sheetName val="(C)원내역"/>
      <sheetName val="소일위대가코드표"/>
      <sheetName val="전국현황"/>
      <sheetName val="01AC"/>
      <sheetName val="2.1"/>
      <sheetName val="P_x0005_"/>
      <sheetName val="P嘐"/>
      <sheetName val="COVER"/>
      <sheetName val="암거"/>
      <sheetName val="실행"/>
      <sheetName val="TYPE1"/>
      <sheetName val="공사비"/>
      <sheetName val="배선(낙차)"/>
      <sheetName val="BOJUNGGM"/>
      <sheetName val="횡날개수집"/>
      <sheetName val="관리"/>
      <sheetName val="적정"/>
      <sheetName val="하도"/>
      <sheetName val="별지"/>
      <sheetName val="보링"/>
      <sheetName val="철물"/>
      <sheetName val="철강재"/>
      <sheetName val="견적내역"/>
      <sheetName val="합의서"/>
      <sheetName val="포장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가시설수량"/>
      <sheetName val="가시설단위수량"/>
      <sheetName val="SORCE1"/>
      <sheetName val="장비가동"/>
      <sheetName val="현장업무"/>
      <sheetName val="품셈표"/>
      <sheetName val="신복2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DB"/>
      <sheetName val="건축"/>
      <sheetName val="공주방향"/>
      <sheetName val="5호광장_(만점)"/>
      <sheetName val="인천국제_(만점)_(2)"/>
      <sheetName val="배수공_시멘트_및_골재량_산출"/>
      <sheetName val="대운산출"/>
      <sheetName val="산3_4"/>
      <sheetName val="공통비"/>
      <sheetName val="VENDOR LIST"/>
      <sheetName val="정공공사"/>
      <sheetName val="70%"/>
      <sheetName val="외주가공"/>
      <sheetName val="DC"/>
      <sheetName val="PĴ"/>
      <sheetName val="Pꮸ"/>
      <sheetName val="P估"/>
      <sheetName val="경비 (1)"/>
      <sheetName val="소방사항"/>
      <sheetName val="단면설계"/>
      <sheetName val="안정검토"/>
      <sheetName val="1공구_건정토건_토공3"/>
      <sheetName val="1공구_건정토건_철콘3"/>
      <sheetName val="도급표지_3"/>
      <sheetName val="도급표지__(4)3"/>
      <sheetName val="부대표지_(4)3"/>
      <sheetName val="도급표지__(3)3"/>
      <sheetName val="부대표지_(3)3"/>
      <sheetName val="도급표지__(2)3"/>
      <sheetName val="부대표지_(2)3"/>
      <sheetName val="토__목3"/>
      <sheetName val="조__경3"/>
      <sheetName val="전_기3"/>
      <sheetName val="건__축3"/>
      <sheetName val="보도내역_(3)3"/>
      <sheetName val="준검_내역서3"/>
      <sheetName val="1_수인터널3"/>
      <sheetName val="6PILE__(돌출)3"/>
      <sheetName val="0_0ControlSheet3"/>
      <sheetName val="0_1keyAssumption3"/>
      <sheetName val="2_대외공문3"/>
      <sheetName val="설_계3"/>
      <sheetName val="Sheet1_(2)2"/>
      <sheetName val="AS포장복구_3"/>
      <sheetName val="내역(최종본4_5)3"/>
      <sheetName val="입출재고현황_(2)2"/>
      <sheetName val="96보완계획7_122"/>
      <sheetName val="1_취수장2"/>
      <sheetName val="_총괄표2"/>
      <sheetName val="전차선로_물량표2"/>
      <sheetName val="BSD_(2)2"/>
      <sheetName val="4_내진설계2"/>
      <sheetName val="인건비_2"/>
      <sheetName val="1__설계조건_2_단면가정_3__하중계산2"/>
      <sheetName val="DATA_입력란2"/>
      <sheetName val="2_고용보험료산출근거2"/>
      <sheetName val="노원열병합__건축공사기성내역서2"/>
      <sheetName val="제잡비_xls2"/>
      <sheetName val="3BL공동구_수량2"/>
      <sheetName val="부대입찰_내역서2"/>
      <sheetName val="토공(우물통,기타)_2"/>
      <sheetName val="현장별계약현황('98_10_31)2"/>
      <sheetName val="실행내역서_2"/>
      <sheetName val="원가계산_(2)2"/>
      <sheetName val="Eq__Mobilization2"/>
      <sheetName val="1_설계조건2"/>
      <sheetName val="플랜트_설치2"/>
      <sheetName val="콤보박스와_리스트박스의_연결2"/>
      <sheetName val="97년_추정2"/>
      <sheetName val="현장관리비_산출내역2"/>
      <sheetName val="장비당단가_(1)"/>
      <sheetName val="Sheet2_(2)"/>
      <sheetName val="내___역"/>
      <sheetName val="2_건축"/>
      <sheetName val="수_량_명_세_서_-_1"/>
      <sheetName val="프라임_강변역(4,236)"/>
      <sheetName val="8_PILE__(돌출)"/>
      <sheetName val="2000년_공정표"/>
      <sheetName val="집_계_표"/>
      <sheetName val="공정표_"/>
      <sheetName val="별표_"/>
      <sheetName val="설내역서_1"/>
      <sheetName val="CIP_공사1"/>
      <sheetName val="2_교량(신설)"/>
      <sheetName val="5_2코핑"/>
      <sheetName val="P_M_별"/>
      <sheetName val="7_PILE__(돌출)"/>
      <sheetName val="DATA_입력부"/>
      <sheetName val="4_장비손료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4_경비_5_영업외수지"/>
      <sheetName val="_견적서"/>
      <sheetName val="광통신_견적내역서1"/>
      <sheetName val="할증_"/>
      <sheetName val="unit_4"/>
      <sheetName val="2000_05"/>
      <sheetName val="교각토공__2_1"/>
      <sheetName val="수량산출서_갑지"/>
      <sheetName val="HRSG_SMALL072201"/>
      <sheetName val="6__안전관리비1"/>
      <sheetName val="3_공통공사대비1"/>
      <sheetName val="1_3_1절점좌표"/>
      <sheetName val="1_1설계기준"/>
      <sheetName val="단양_00_아파트-세부내역"/>
      <sheetName val="2차전체변경예정_(2)"/>
      <sheetName val="토공유동표(전체_당초)"/>
      <sheetName val="단면_(2)"/>
      <sheetName val="b_balju_(2)"/>
      <sheetName val="8_현장관리비"/>
      <sheetName val="7_안전관리비"/>
      <sheetName val="노무비_"/>
      <sheetName val="내역서_제출"/>
      <sheetName val="구조______"/>
      <sheetName val="간_지1"/>
      <sheetName val="화재_탐지_설비"/>
      <sheetName val="4_일위대가집계"/>
      <sheetName val="5__현장관리비(new)_"/>
      <sheetName val="Customer_Databas"/>
      <sheetName val="방배동내역_(총괄)"/>
      <sheetName val="EQUIP_LIST"/>
      <sheetName val="5_정산서"/>
      <sheetName val="1_본부별"/>
      <sheetName val="기초입력_DATA"/>
      <sheetName val="재활용_악취_먼지DUCT산출"/>
      <sheetName val="현장관리비내역서"/>
      <sheetName val="수문보고"/>
      <sheetName val="철골공사"/>
      <sheetName val="한성교회 신축공사(050713)_CheckList"/>
      <sheetName val="태안9)3-2)원내역"/>
      <sheetName val="4.2.1 마루높이 검토"/>
      <sheetName val="당진1,2호기전선관설치및접지4차공사내역서-을지"/>
      <sheetName val="현금흐름표"/>
      <sheetName val="07제품별수익성"/>
      <sheetName val="검토현황"/>
      <sheetName val="증감내역"/>
      <sheetName val="옹벽단면치수"/>
      <sheetName val="VOC"/>
      <sheetName val="토지산출내역"/>
      <sheetName val="계약서"/>
      <sheetName val="공정표_1"/>
      <sheetName val="1_설계기준1"/>
      <sheetName val="장비당단가_(1)1"/>
      <sheetName val="Sheet2_(2)1"/>
      <sheetName val="별표_1"/>
      <sheetName val="2_건축1"/>
      <sheetName val="수_량_명_세_서_-_11"/>
      <sheetName val="산근(1)"/>
      <sheetName val="BQ(실행)"/>
      <sheetName val="단Ⰰ비교표"/>
      <sheetName val="실唉내역서"/>
      <sheetName val="㋨가산출서"/>
      <sheetName val="시噔점쉤행"/>
      <sheetName val="횡배수ⴀ토공수량"/>
      <sheetName val="공䠜구간조서"/>
      <sheetName val="배수턵관(䢌)"/>
      <sheetName val="공㬸(신)"/>
      <sheetName val="강ⵐ(Sub)"/>
      <sheetName val="준걵조서Ⱁ지"/>
      <sheetName val="9GNG옴반"/>
      <sheetName val="㶀하(성남)"/>
      <sheetName val="부啘계산서"/>
      <sheetName val="冠사(PE)"/>
      <sheetName val="몰큈재료䂰출"/>
      <sheetName val="䣐_x0000__x0000_갑쥀)"/>
      <sheetName val="䴝괄내역서"/>
      <sheetName val="Nೃ拏-職"/>
      <sheetName val="㏄급표지_"/>
      <sheetName val="부㌀표지_(4)"/>
      <sheetName val="부㌀표지_(3)"/>
      <sheetName val="㶀대표지_(2)"/>
      <sheetName val="보㏄내역_(3)"/>
      <sheetName val="준Ⲁ_내역서"/>
      <sheetName val="⳵사비총ⴄ표"/>
      <sheetName val="1.䷨수장"/>
      <sheetName val="2000ㅄ하반기"/>
      <sheetName val=""/>
      <sheetName val="인ⱴ-측정"/>
      <sheetName val="4.뀴진설Ⳅ"/>
      <sheetName val="type-H"/>
      <sheetName val="4)䠠동표"/>
      <sheetName val="배ⴀ단가조사서"/>
      <sheetName val="䡼위대가(가설)"/>
      <sheetName val="䠑속도로1"/>
      <sheetName val="견䠁대비표"/>
      <sheetName val="교㌀(A1)"/>
      <sheetName val="부윬력정㦬"/>
      <sheetName val="전䰨선로 물량표"/>
      <sheetName val="COPINH"/>
      <sheetName val="공䠅별산출뀴역서"/>
      <sheetName val="䡼위(PN)"/>
      <sheetName val="전기일䠄대가"/>
      <sheetName val="전쉠환매도율"/>
      <sheetName val="䄤직윬-1"/>
      <sheetName val="현噩CODE"/>
      <sheetName val="䈘자䢬단위당"/>
      <sheetName val="일䠄대가(1)"/>
      <sheetName val="Ⰰ격조사서"/>
      <sheetName val="㶀대입찰 내역서"/>
      <sheetName val="자윬집계呜"/>
      <sheetName val="용집"/>
      <sheetName val="2.2_오피스텔(12~32F)"/>
      <sheetName val="기본일위"/>
      <sheetName val="일용직6월"/>
      <sheetName val="이형관중량"/>
      <sheetName val="일위대가(목록)"/>
      <sheetName val="산근(목록)"/>
      <sheetName val="월별손익"/>
      <sheetName val="양덕동"/>
      <sheetName val="추가일위대가"/>
      <sheetName val="COVER-P"/>
      <sheetName val="자동제어"/>
      <sheetName val="화전내"/>
      <sheetName val="일위총괄표"/>
      <sheetName val="252K444"/>
      <sheetName val="하중계산"/>
      <sheetName val="철근량"/>
      <sheetName val="일위대가 집계표"/>
      <sheetName val="일용직"/>
      <sheetName val="중기조종사_단위단가"/>
      <sheetName val="법면"/>
      <sheetName val="배수공1"/>
      <sheetName val="원가계산서(변경)"/>
      <sheetName val="터널대가"/>
      <sheetName val="관개"/>
      <sheetName val="9.1지하2층하부보"/>
      <sheetName val="일대"/>
      <sheetName val="단계별내역 (2)"/>
      <sheetName val="계측기"/>
      <sheetName val="인천제철"/>
      <sheetName val="주요항목별"/>
      <sheetName val="골조"/>
      <sheetName val="퍼스트"/>
      <sheetName val="변경내역"/>
      <sheetName val="4.일위대가"/>
      <sheetName val="제수변수량"/>
      <sheetName val="총수량집계표"/>
      <sheetName val="b_balju_cho"/>
      <sheetName val="성서방향-교대(A2)"/>
      <sheetName val="중기단가"/>
      <sheetName val="표층포설및다짐"/>
      <sheetName val="참조-(1)"/>
      <sheetName val="총괄집계 "/>
      <sheetName val="15100"/>
      <sheetName val="산출근거#2-3"/>
      <sheetName val="工완성공사율"/>
      <sheetName val="지구단위계획"/>
      <sheetName val="다중모드"/>
      <sheetName val="strut type"/>
      <sheetName val="48_x0005__x0000_"/>
      <sheetName val="맨홀되메우기"/>
      <sheetName val="도급내역"/>
      <sheetName val="내역서 (2)"/>
      <sheetName val="Sheet10"/>
      <sheetName val="통합"/>
      <sheetName val="상세도"/>
      <sheetName val="기계 도급내역서"/>
      <sheetName val="철탑공사"/>
      <sheetName val="참고"/>
      <sheetName val="10.경제성분석"/>
      <sheetName val="총체보활공정표"/>
      <sheetName val="수전기기DATA"/>
      <sheetName val="도"/>
      <sheetName val="ETC"/>
      <sheetName val="일위대가1"/>
      <sheetName val="7.전산해석결과"/>
      <sheetName val="4.하중"/>
      <sheetName val="T기성9605"/>
      <sheetName val="비교표"/>
      <sheetName val="제경비율"/>
      <sheetName val="4월예정공정표"/>
      <sheetName val="STEEL BOX 단면설계(SEC.8)"/>
      <sheetName val="기초단가"/>
      <sheetName val="입력데이타(비인쇄용)"/>
      <sheetName val="외주대비 -석축_x0000__x0000__x0000__x0000__x0000__x0012_[후다내역.XLS]견적표지 (3"/>
      <sheetName val="2.2 띠장의 설계"/>
      <sheetName val="자  재"/>
      <sheetName val="건축외주"/>
      <sheetName val="개인별 순위표"/>
      <sheetName val="CM 1"/>
      <sheetName val="ROOF(ALKALI)"/>
      <sheetName val="세골재  T2 변경 현황"/>
      <sheetName val="6_ 안전관리비"/>
      <sheetName val="MODELING"/>
      <sheetName val="환산"/>
      <sheetName val="기술부 VENDOR LIST"/>
      <sheetName val="분전반"/>
      <sheetName val="특별"/>
      <sheetName val="호표"/>
      <sheetName val="임율산출표"/>
      <sheetName val="청주(철골발주의뢰서)"/>
      <sheetName val="자료"/>
      <sheetName val="원가(칠곡다부)"/>
      <sheetName val="다부IC내역"/>
      <sheetName val="원가(재방송)"/>
      <sheetName val="재방송"/>
      <sheetName val="다부내역"/>
      <sheetName val="읍내터널"/>
      <sheetName val="칠곡IC내역"/>
      <sheetName val="내역집계표"/>
      <sheetName val="내역서 (3)"/>
      <sheetName val="대가"/>
      <sheetName val="산출양식"/>
      <sheetName val="대가목록"/>
      <sheetName val="산출양식 (2)"/>
      <sheetName val="토목원가계산서"/>
      <sheetName val="토목원가"/>
      <sheetName val="집계장"/>
      <sheetName val="제외공종"/>
      <sheetName val="선급금사용계획서"/>
      <sheetName val="사용세부내역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가드레일산근"/>
      <sheetName val="수량"/>
      <sheetName val="단가비교"/>
      <sheetName val="적용2002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실행총괄 "/>
      <sheetName val="본체"/>
      <sheetName val="[IL-3.XLSY갑지"/>
      <sheetName val="설비내역서"/>
      <sheetName val="CON'C"/>
      <sheetName val="도급내역서(재노경)"/>
      <sheetName val="4.일위대가목차"/>
      <sheetName val="기계경비(시간당)"/>
      <sheetName val="내역_ver1.0"/>
      <sheetName val="2000,9월 일위"/>
      <sheetName val="단가일람표"/>
      <sheetName val="IL-3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차수공개요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매출현황"/>
      <sheetName val="보온일위"/>
      <sheetName val="49수량"/>
      <sheetName val="단가비교표(노무)"/>
      <sheetName val="수목표준대가"/>
      <sheetName val="변경품셈총괄"/>
      <sheetName val="고창터널(고창방향)"/>
      <sheetName val="변압기 및 발전기 용량"/>
      <sheetName val="냉천부속동"/>
      <sheetName val="공종단가"/>
      <sheetName val="조도계산서 (도서)"/>
      <sheetName val="암거단위"/>
      <sheetName val="보증수수료산출"/>
      <sheetName val="DAN"/>
      <sheetName val="백호우계수"/>
      <sheetName val="대포2교접속"/>
      <sheetName val="천방교접속"/>
      <sheetName val="실행예산서"/>
      <sheetName val="일반전기(2단지-을지)"/>
      <sheetName val="토목공사"/>
      <sheetName val="일위대가(4층원격)"/>
      <sheetName val="BM"/>
      <sheetName val="찍기"/>
      <sheetName val="의왕내역"/>
      <sheetName val="단가대비"/>
      <sheetName val="총괄집계표"/>
      <sheetName val="인수공규격"/>
      <sheetName val="단가(1)"/>
      <sheetName val="적용단위길이"/>
      <sheetName val="일위대가(건축)"/>
      <sheetName val="빌딩 안내"/>
      <sheetName val="기계공사비집계(원안)"/>
      <sheetName val="48단가"/>
      <sheetName val="CABLE"/>
      <sheetName val="CABLE (2)"/>
      <sheetName val="접지수량"/>
      <sheetName val="G.R300경비"/>
      <sheetName val="교수설계"/>
      <sheetName val="공종구간"/>
      <sheetName val="조경일람"/>
      <sheetName val="49단가"/>
      <sheetName val="구간산출"/>
      <sheetName val="노임단가산출근거"/>
      <sheetName val="COST"/>
      <sheetName val="항목등록"/>
      <sheetName val="원가계산서(남측)"/>
      <sheetName val="신고분기설정참고"/>
      <sheetName val="거래처자료등록"/>
      <sheetName val="조도계산"/>
      <sheetName val="국내조달(통합-1)"/>
      <sheetName val="상시"/>
      <sheetName val="주beam"/>
      <sheetName val="9811"/>
      <sheetName val="출력용"/>
      <sheetName val="단가대비표 (3)"/>
      <sheetName val="하부철근수량"/>
      <sheetName val="연결관산출조서"/>
      <sheetName val="내역서적용수량"/>
      <sheetName val="계획집계"/>
      <sheetName val="기계물량"/>
      <sheetName val="비탈면보호공수량산출"/>
      <sheetName val="준공검사원(갑)"/>
      <sheetName val="기성내역서(을) (2)"/>
      <sheetName val="영신토건물가변동"/>
      <sheetName val="변수값"/>
      <sheetName val="중기상차"/>
      <sheetName val="AS복구"/>
      <sheetName val="중기터파기"/>
      <sheetName val="1단계 (2)"/>
      <sheetName val="L_RPTA05_목록"/>
      <sheetName val="동원인원"/>
      <sheetName val="2.1  노무비 평균단가산출"/>
      <sheetName val="예산명세서"/>
      <sheetName val="입상내역"/>
      <sheetName val="단가일람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견"/>
      <sheetName val="#3_일위대가목록"/>
      <sheetName val="Macro(차단기)"/>
      <sheetName val="띘랷랷랷"/>
      <sheetName val="TRE TABLE"/>
      <sheetName val="Requirement(Work Crew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대전-교대(A1-A2)"/>
      <sheetName val="7단가"/>
      <sheetName val="9509"/>
      <sheetName val="총공사원가"/>
      <sheetName val="건축공사원가"/>
      <sheetName val="설비공사원가"/>
      <sheetName val="배관공사기초자료"/>
      <sheetName val="Ekog10"/>
      <sheetName val="AL공사(원)"/>
      <sheetName val="내역서1"/>
      <sheetName val="22수량"/>
      <sheetName val="품목현황"/>
      <sheetName val="출고대장"/>
      <sheetName val="입력DATA"/>
      <sheetName val="asd"/>
      <sheetName val="★도급내역"/>
      <sheetName val="back-data"/>
      <sheetName val="인월수표"/>
      <sheetName val="분전함신설"/>
      <sheetName val="접지1종"/>
      <sheetName val="진입도로B (2)"/>
      <sheetName val="백암비스타내역"/>
      <sheetName val="2.냉난방설비공사"/>
      <sheetName val="7.자동제어공사"/>
      <sheetName val="중강당 내역"/>
      <sheetName val="제-노임"/>
      <sheetName val="AV시스템"/>
      <sheetName val="전체분2회변경"/>
      <sheetName val="산출근거(복구)"/>
      <sheetName val="영창26"/>
      <sheetName val="웅진교-S2"/>
      <sheetName val="횡배수관집현황(2공구)"/>
      <sheetName val="남양주부대"/>
      <sheetName val="기초자료입력및 K치 확인"/>
      <sheetName val="ES조서출력하기"/>
      <sheetName val="등록자료"/>
      <sheetName val="역T형교대(PILE기초)"/>
      <sheetName val="실행내역 "/>
      <sheetName val="수원역(전체분)설계서"/>
      <sheetName val="자재 단가 비교표(견적)"/>
      <sheetName val="자재 단가 비교표"/>
      <sheetName val="BDATA"/>
      <sheetName val="지하"/>
      <sheetName val="건설기계목록"/>
      <sheetName val="일위대가_목록"/>
      <sheetName val="재료단가"/>
      <sheetName val="시중노임"/>
      <sheetName val="지불내역1"/>
      <sheetName val="지질조사"/>
      <sheetName val="암거단위-1련"/>
      <sheetName val="의뢰내역서"/>
      <sheetName val="준공내역서표지"/>
      <sheetName val="䂰출양식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Factor"/>
      <sheetName val="48수량"/>
      <sheetName val="단가비교표_공통1"/>
      <sheetName val="내역(원안-대안)"/>
      <sheetName val="산출목록표"/>
      <sheetName val="전화공사 공량 및 집계표"/>
      <sheetName val="공사착공계"/>
      <sheetName val="참조 (2)"/>
      <sheetName val="6. 직접경비"/>
      <sheetName val="이토변실(A3-LINE)"/>
      <sheetName val="조경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MAIN"/>
      <sheetName val="부표총괄"/>
      <sheetName val="일대목차"/>
      <sheetName val="단가(보완)"/>
      <sheetName val="대가 (보완)"/>
      <sheetName val="단위목록"/>
      <sheetName val="기계경비목록"/>
      <sheetName val="3.자재비(총괄)"/>
      <sheetName val="제출내역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품목납기"/>
      <sheetName val="단가기준"/>
      <sheetName val="횡배수관수량집계"/>
      <sheetName val="우,오수"/>
      <sheetName val="유의사항"/>
      <sheetName val="현장설명"/>
      <sheetName val="특별조건"/>
      <sheetName val="토공갑"/>
      <sheetName val="구조물갑"/>
      <sheetName val="투찰계획서"/>
      <sheetName val="99총공사내역서"/>
      <sheetName val="평야부단가"/>
      <sheetName val="오동"/>
      <sheetName val="대조"/>
      <sheetName val="나한"/>
      <sheetName val="단가대비표(계측)"/>
      <sheetName val="공정외주"/>
      <sheetName val="제조 경영"/>
      <sheetName val="36단가"/>
      <sheetName val="36수량"/>
      <sheetName val="메인거더-크로스빔200연결부"/>
      <sheetName val="기본자료"/>
      <sheetName val="설계서을"/>
      <sheetName val="EQ-R1"/>
      <sheetName val="L-type"/>
      <sheetName val="bearing"/>
      <sheetName val="조내역"/>
      <sheetName val="C지구"/>
      <sheetName val="사내도로"/>
      <sheetName val="4.전기"/>
      <sheetName val="노 무 비"/>
      <sheetName val="노임단가표"/>
      <sheetName val="결선list"/>
      <sheetName val="위치도1"/>
      <sheetName val="자재단가-1"/>
      <sheetName val="도급정산"/>
      <sheetName val="제출내역_(2)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제잡비집계"/>
      <sheetName val="간접1"/>
      <sheetName val="내역서(토목)"/>
      <sheetName val="미납품 현황"/>
      <sheetName val="신설개소별 총집계표(동해-배전)"/>
      <sheetName val="SSMITM"/>
      <sheetName val="B"/>
      <sheetName val="수량산출목록표"/>
      <sheetName val="횡배위치"/>
      <sheetName val="Print"/>
      <sheetName val="MATRLDATA"/>
      <sheetName val="관로분포도"/>
      <sheetName val="일위대가목록(기계)"/>
      <sheetName val="옥외배관기본공량"/>
      <sheetName val="대비2"/>
      <sheetName val="옥외외등집계표"/>
      <sheetName val="유림총괄"/>
      <sheetName val="예산변경원인분석"/>
      <sheetName val="GEN"/>
      <sheetName val="총체"/>
      <sheetName val="실행내역_원본"/>
      <sheetName val="가설건물"/>
      <sheetName val="WING3"/>
      <sheetName val="시설,관리하위"/>
      <sheetName val="대운반(철재)"/>
      <sheetName val="테이블"/>
      <sheetName val="일일현황"/>
      <sheetName val="년차"/>
      <sheetName val="일집"/>
      <sheetName val="cctv예산대비"/>
      <sheetName val="라이닝폼예산대비내역"/>
      <sheetName val="BOX 본체"/>
      <sheetName val="단가삐출"/>
      <sheetName val="시운전연료비"/>
      <sheetName val="지원사무소원가배부내역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주소"/>
      <sheetName val="일위1"/>
      <sheetName val="자재운반단가일람표"/>
      <sheetName val="기계경비목록1"/>
      <sheetName val="흄관수량"/>
      <sheetName val="PROCURE"/>
      <sheetName val="중기사용료"/>
      <sheetName val="우수공,맨홀,집수정"/>
      <sheetName val="MP MOB"/>
      <sheetName val="방음벽기초"/>
      <sheetName val="요약서"/>
      <sheetName val="경성자금"/>
      <sheetName val="철거폐쇄현황"/>
      <sheetName val="상행-교대(A1-A2)"/>
      <sheetName val="옥외"/>
      <sheetName val="청 구"/>
      <sheetName val="교각별철근수량집계표"/>
      <sheetName val="출력X"/>
      <sheetName val="중기일위대밀"/>
      <sheetName val="포장공사"/>
      <sheetName val="kimre scrubber"/>
      <sheetName val="PAINT"/>
      <sheetName val="FRP PIPING 일위대가"/>
      <sheetName val="TCDB"/>
      <sheetName val="세부항목"/>
      <sheetName val="출력자료"/>
      <sheetName val="단지배치도"/>
      <sheetName val="입찰유의사항"/>
      <sheetName val="하도급이행사항"/>
      <sheetName val="공내역 및 견적조건"/>
      <sheetName val="특수조건"/>
      <sheetName val="참석확인"/>
      <sheetName val="단면치수"/>
      <sheetName val="문학간접"/>
      <sheetName val="경비공통"/>
      <sheetName val="-15.0"/>
      <sheetName val="1차설계Ꮗԯ_x0000_"/>
      <sheetName val="1차설계逷≙_xdc00_≙"/>
      <sheetName val="가격"/>
      <sheetName val="2004노형교"/>
      <sheetName val="quotation"/>
      <sheetName val="기본정보"/>
      <sheetName val="기성금내역서"/>
      <sheetName val="일반물자(한국통신)"/>
      <sheetName val="108.수선비"/>
      <sheetName val="맨홀_공사비"/>
      <sheetName val="1월"/>
      <sheetName val="Balance"/>
      <sheetName val="제안실적sum조회"/>
      <sheetName val="Macro3"/>
      <sheetName val="hvac(제어동)"/>
      <sheetName val="Basic"/>
      <sheetName val="info"/>
      <sheetName val="금액"/>
      <sheetName val="위치"/>
      <sheetName val="장척총괄"/>
      <sheetName val="미장"/>
      <sheetName val="용수간선"/>
      <sheetName val="평균높이산출근거"/>
      <sheetName val="횡배수관위치조서"/>
      <sheetName val="암거(2)"/>
      <sheetName val="신평리 권리자명부"/>
      <sheetName val="기초공"/>
      <sheetName val="토  공"/>
      <sheetName val="신규단가산출"/>
      <sheetName val="날개벽(좌,우=45도,75도)"/>
      <sheetName val="6동"/>
      <sheetName val="사  업  비  수  지  예  산  서"/>
      <sheetName val="미드수량"/>
      <sheetName val="배관물량집계(기본)"/>
      <sheetName val="내역서(총)"/>
      <sheetName val="내역(가지)"/>
      <sheetName val="시가지우회도로공내역서"/>
      <sheetName val="전체공사"/>
      <sheetName val="기초단가일람표"/>
      <sheetName val="예산대비"/>
      <sheetName val=" ｹ-ﾌﾞﾙ"/>
      <sheetName val="MIJIBI"/>
      <sheetName val="품목"/>
      <sheetName val="전기2005"/>
      <sheetName val="콘센트신설"/>
      <sheetName val="L형옹벽(key)"/>
      <sheetName val="태화42 "/>
      <sheetName val="수량명세서"/>
      <sheetName val="죽원1교"/>
      <sheetName val="7월11일"/>
      <sheetName val="도급내역서"/>
      <sheetName val="관리비비계상"/>
      <sheetName val="맨홀"/>
      <sheetName val="JJ"/>
      <sheetName val="97 사업추정(WEKI)"/>
      <sheetName val="POOM_MOTO"/>
      <sheetName val="POOM_MOTO2"/>
      <sheetName val="일위목차"/>
      <sheetName val="참조자료"/>
      <sheetName val="일반수량집계표"/>
      <sheetName val="대동교-단면(무장)"/>
      <sheetName val="라멘수량(무장)"/>
      <sheetName val="대동교-단면(아산)"/>
      <sheetName val="토공집계표"/>
      <sheetName val="토공시점"/>
      <sheetName val="토공종점"/>
      <sheetName val="3.관로전환기"/>
      <sheetName val="단위중기"/>
      <sheetName val="SCH"/>
      <sheetName val="제수"/>
      <sheetName val="공기"/>
      <sheetName val="EQ"/>
      <sheetName val="차선"/>
      <sheetName val="차조서"/>
      <sheetName val="일위대가 (PM)"/>
      <sheetName val="라이신_NML"/>
      <sheetName val="PRO_DCI"/>
      <sheetName val="INST_DCI"/>
      <sheetName val="HVAC_DCI"/>
      <sheetName val="PIPE_DCI"/>
      <sheetName val="①idea pipeline"/>
      <sheetName val="Comps"/>
      <sheetName val="교육훈련비6"/>
      <sheetName val="ver2"/>
      <sheetName val="IMP 통일양식"/>
      <sheetName val="LYS 통일양식"/>
      <sheetName val="TB(BS)"/>
      <sheetName val="TB(PL)"/>
      <sheetName val="patch"/>
      <sheetName val="Xunit (단위환산)"/>
      <sheetName val="유통기한 프로그램"/>
      <sheetName val="배부전"/>
      <sheetName val="품종코드"/>
      <sheetName val="1-1.현장정리"/>
      <sheetName val="1-2.토공"/>
      <sheetName val="1-3.WMM,GSB"/>
      <sheetName val="1-4.BITUMINOUS COURSE"/>
      <sheetName val="1-5.BOX CULVERTS"/>
      <sheetName val="1-6.BRIDGE"/>
      <sheetName val="1-7.DRAINAGE"/>
      <sheetName val="1-8.TRAFFIC"/>
      <sheetName val="1-9.MISCELLANEOUS"/>
      <sheetName val="1-10.ELECTRICAL"/>
      <sheetName val="1-12.도급외항목"/>
      <sheetName val="하도내역_(철콘)1"/>
      <sheetName val="조건표_(2)1"/>
      <sheetName val="목차_1"/>
      <sheetName val="7__현장관리비_1"/>
      <sheetName val="노무비_근거1"/>
      <sheetName val="임율_Data1"/>
      <sheetName val="4_LINE"/>
      <sheetName val="7_th"/>
      <sheetName val="_갑지"/>
      <sheetName val="A_LINE"/>
      <sheetName val="5__현장관리비_new__"/>
      <sheetName val="Temporary_Mooring"/>
      <sheetName val="총_원가계산"/>
      <sheetName val="목록"/>
      <sheetName val="계정"/>
      <sheetName val="메서,변+증"/>
      <sheetName val="명일작업계획 (3)"/>
      <sheetName val="연결원본-절대지우지말것"/>
      <sheetName val="검색방"/>
      <sheetName val="일위대가집계표"/>
      <sheetName val="산출서집계HS"/>
      <sheetName val="자동세륜기"/>
      <sheetName val="잔수량(작성)"/>
      <sheetName val="공종보합"/>
      <sheetName val="출력원가"/>
      <sheetName val="공종원가"/>
      <sheetName val="총괄원가"/>
      <sheetName val="아파트"/>
      <sheetName val="상가,복지관"/>
      <sheetName val="주차장"/>
      <sheetName val="경비실"/>
      <sheetName val="목록표"/>
      <sheetName val="임차비용"/>
      <sheetName val="앵커(3안)"/>
      <sheetName val="용선 C.L"/>
      <sheetName val="전 체"/>
      <sheetName val="4동급수"/>
      <sheetName val="토목단가산출"/>
      <sheetName val="표지_(3)2"/>
      <sheetName val="표지_(2)2"/>
      <sheetName val="교각집계_(2)2"/>
      <sheetName val="교각토공_(2)2"/>
      <sheetName val="교각철근_(2)2"/>
      <sheetName val="외주대비_-석축2"/>
      <sheetName val="외주대비-구조물_(2)2"/>
      <sheetName val="견적표지_(3)2"/>
      <sheetName val="_HIT-&gt;HMC_견적(3900)2"/>
      <sheetName val="일__위__대__가__목__록2"/>
      <sheetName val="교각토공__2_2"/>
      <sheetName val="3_공통공사대비2"/>
      <sheetName val="6__안전관리비2"/>
      <sheetName val="HRSG_SMALL072202"/>
      <sheetName val="2차전체변경예정_(2)1"/>
      <sheetName val="토공유동표(전체_당초)1"/>
      <sheetName val="단면_(2)1"/>
      <sheetName val="8_현장관리비1"/>
      <sheetName val="7_안전관리비1"/>
      <sheetName val="8_PILE__(돌출)1"/>
      <sheetName val="b_balju_(2)1"/>
      <sheetName val="중기조종사_단위단가1"/>
      <sheetName val="2_2_오피스텔(12~32F)"/>
      <sheetName val="일위대가_집계표"/>
      <sheetName val="9_1지하2층하부보"/>
      <sheetName val="단계별내역_(2)"/>
      <sheetName val="2_2_띠장의_설계"/>
      <sheetName val="6__안전관리비3"/>
      <sheetName val="자__재"/>
      <sheetName val="개인별_순위표"/>
      <sheetName val="CM_1"/>
      <sheetName val="기술부_VENDOR_LIST"/>
      <sheetName val="외주대비_-석축[후다내역_XLS]견적표지_(3"/>
      <sheetName val="4_일위대가"/>
      <sheetName val="품셈기준"/>
      <sheetName val="설치자재"/>
      <sheetName val="성토도수로현황"/>
      <sheetName val="Chart1"/>
      <sheetName val="조건입력"/>
      <sheetName val="자립흙막이"/>
      <sheetName val="흙막이A"/>
      <sheetName val="흙막이B"/>
      <sheetName val="흙막이B (오산운암)"/>
      <sheetName val="흙막이C"/>
      <sheetName val="타이로드 흙막이"/>
      <sheetName val="타이로드 흙막이(근입장2.5M)"/>
      <sheetName val="어스앙카"/>
      <sheetName val="타이로드"/>
      <sheetName val="타이로드(근입장2.5M)"/>
      <sheetName val="pile 항타"/>
      <sheetName val="pile 항타(디젤)"/>
      <sheetName val="pile 항타 A"/>
      <sheetName val="pile 항타 B"/>
      <sheetName val="pile 항타 C"/>
      <sheetName val="pile 인발"/>
      <sheetName val="pile 인발 A"/>
      <sheetName val="pile 인발 B"/>
      <sheetName val="pile 인발 C"/>
      <sheetName val="토류판"/>
      <sheetName val="H-BEAM설치및철거"/>
      <sheetName val="BRACKET"/>
      <sheetName val="20TON TRAILER"/>
      <sheetName val="토류판 (2)"/>
      <sheetName val="SHEET PILE단가"/>
      <sheetName val="공사기간"/>
      <sheetName val="사업개요"/>
      <sheetName val="현장관리비_입력"/>
      <sheetName val="6.이토처리시간"/>
      <sheetName val="실행(1)"/>
      <sheetName val="공사비집계"/>
      <sheetName val="일일총괄"/>
      <sheetName val="자재비"/>
      <sheetName val="사다리"/>
      <sheetName val="SPEC"/>
      <sheetName val="인적사항"/>
      <sheetName val="인원조직표"/>
      <sheetName val="연장및면적(좌측)"/>
      <sheetName val="배수내역(총수량)"/>
      <sheetName val="투찰추정"/>
      <sheetName val="ESC(K치)"/>
      <sheetName val="CAPVC"/>
      <sheetName val="수완하도"/>
      <sheetName val="김포내역"/>
      <sheetName val="흄관기鬀"/>
      <sheetName val="납부서"/>
      <sheetName val="외주현황.wq1"/>
      <sheetName val="수량-가로등"/>
      <sheetName val="공사명입력"/>
      <sheetName val="물량표S"/>
      <sheetName val="수량산근(출력X)"/>
      <sheetName val="표준화수량집계표(출력X)"/>
      <sheetName val="품셈총괄(출력X)"/>
      <sheetName val="중기산출근거기초"/>
      <sheetName val="회사정보"/>
      <sheetName val="준설량산정표"/>
      <sheetName val="기초자료입력"/>
      <sheetName val="교량"/>
      <sheetName val="배수喘_x001a_"/>
      <sheetName val="내역서-2"/>
      <sheetName val="매인"/>
      <sheetName val="물량표(신)"/>
      <sheetName val="일위대가(산근)"/>
      <sheetName val="단위수량DATA"/>
      <sheetName val="맨홀수량산출(A-LINE)"/>
      <sheetName val="울진항공등화 내역서"/>
      <sheetName val="일 위 대 가 표"/>
      <sheetName val="내역(설계)"/>
      <sheetName val="영흥TL(UP,DOWN) "/>
      <sheetName val="3련 BOX"/>
      <sheetName val="내역서 "/>
      <sheetName val="물량집계표(1c)"/>
      <sheetName val="감가상각"/>
      <sheetName val="채권(하반기)"/>
      <sheetName val="연차일수"/>
      <sheetName val="2004연차사용현황"/>
      <sheetName val="TEMP2"/>
      <sheetName val="BS"/>
      <sheetName val="PL"/>
      <sheetName val="환율"/>
      <sheetName val="도수로집계"/>
      <sheetName val="22인공"/>
      <sheetName val="1-1"/>
      <sheetName val="원하대비"/>
      <sheetName val="공통단가"/>
      <sheetName val="2.1외주"/>
      <sheetName val="2.3노무"/>
      <sheetName val="2.4자재"/>
      <sheetName val="2.2장비"/>
      <sheetName val="2.5경비"/>
      <sheetName val="2.6수목대"/>
      <sheetName val="OPTION"/>
      <sheetName val="실행간접비"/>
      <sheetName val="일위집계"/>
      <sheetName val="결재란"/>
      <sheetName val="소요갑지"/>
      <sheetName val="소요을지"/>
      <sheetName val="접지집계"/>
      <sheetName val="접지지하1층"/>
      <sheetName val="접지지상1층"/>
      <sheetName val="모선자재 집계표"/>
      <sheetName val="케이블집계"/>
      <sheetName val="케이블포설"/>
      <sheetName val="철구물집"/>
      <sheetName val="철구물량"/>
      <sheetName val="기초물량"/>
      <sheetName val="재료의 할증"/>
      <sheetName val="Sheet7"/>
      <sheetName val="Sheet8"/>
      <sheetName val="Sheet11"/>
      <sheetName val="Sheet12"/>
      <sheetName val="Sheet15"/>
      <sheetName val="노무비단가"/>
      <sheetName val="감곡소요"/>
      <sheetName val="C䈀꼬ԯ"/>
      <sheetName val="연돌일위집계"/>
      <sheetName val="0226"/>
      <sheetName val="울산"/>
      <sheetName val="Anti"/>
      <sheetName val="CԀ_x0000_缀"/>
      <sheetName val="아파트건축"/>
      <sheetName val="GRD郅≙"/>
      <sheetName val="고창방향"/>
      <sheetName val="가로등기초"/>
      <sheetName val="eq_dat_x0000_"/>
      <sheetName val="선급금신청서"/>
      <sheetName val="A1(구조물)"/>
      <sheetName val="A1(토공)"/>
      <sheetName val="철근집계표"/>
      <sheetName val="95년12월말"/>
      <sheetName val="단가산출1"/>
      <sheetName val="신천3호용수로"/>
      <sheetName val="통계연보"/>
      <sheetName val="인입관수량총괄"/>
      <sheetName val="D1.2 COF모듈자재 입출재고 (B급)"/>
      <sheetName val="견적颙⿬_x0005_"/>
      <sheetName val="견적颙⿶_x0005_"/>
      <sheetName val="견적_x0005__x0000_"/>
      <sheetName val="견적叐E吜"/>
      <sheetName val="견적颙』_x0005_"/>
      <sheetName val="EACT10"/>
      <sheetName val="F 월별기성수금현황 "/>
      <sheetName val=" "/>
      <sheetName val="EP0618"/>
      <sheetName val="기초부재력검토"/>
      <sheetName val="3BL공동구_x0000__x0000_Ԁ"/>
      <sheetName val="1공구_건정토건_철槜〚"/>
      <sheetName val="부영주택(잡철물)"/>
      <sheetName val="하도계약반영"/>
      <sheetName val="FILE1"/>
      <sheetName val="Proposal"/>
      <sheetName val="간이연락"/>
      <sheetName val="인상효1"/>
      <sheetName val="1И"/>
      <sheetName val="JUCK"/>
      <sheetName val="비목군분류일위"/>
      <sheetName val="TYPE-1"/>
      <sheetName val="220 (2)"/>
      <sheetName val="조ꟕ"/>
      <sheetName val="단가(동바蔨ũ"/>
      <sheetName val="흄관기_x0000_"/>
      <sheetName val="흄관기0"/>
      <sheetName val="편입토지조서"/>
      <sheetName val="치수표"/>
      <sheetName val="총공사Ԁ쭭㠯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대창(장성)"/>
      <sheetName val="99 조정금액"/>
      <sheetName val="월별수입"/>
      <sheetName val="건축공사실행"/>
      <sheetName val="건축원가"/>
      <sheetName val="1차 내역서"/>
      <sheetName val="물량내역서"/>
      <sheetName val="주안3차A-A"/>
      <sheetName val="변경집계표"/>
      <sheetName val="NOM³_x0000_Ԁ"/>
      <sheetName val="NOMֳ_x0000_缀"/>
      <sheetName val="BEND LOSS"/>
      <sheetName val="인제내역"/>
      <sheetName val="업무처리전"/>
      <sheetName val="기계사급자재"/>
      <sheetName val="8설7발"/>
      <sheetName val="토량산출서"/>
      <sheetName val="항목코드"/>
      <sheetName val="할증표"/>
      <sheetName val="설비비4"/>
      <sheetName val="적용단가"/>
      <sheetName val="콘크리트포장"/>
      <sheetName val="암거난간벽집계(2)"/>
      <sheetName val="FANDBS"/>
      <sheetName val="GRDATA"/>
      <sheetName val="SHAFTDBSE"/>
      <sheetName val="표  지"/>
      <sheetName val="설계예시"/>
      <sheetName val="양배수장"/>
      <sheetName val="맨홀토공"/>
      <sheetName val="전기일목(조사가)"/>
      <sheetName val="공사내역"/>
      <sheetName val="수목데이타"/>
      <sheetName val="본실행경비"/>
      <sheetName val="Sikje_inĴ¾_x0000_"/>
      <sheetName val="갑"/>
      <sheetName val="J"/>
      <sheetName val="설계카드"/>
      <sheetName val="공사설명서"/>
      <sheetName val="공사계획서"/>
      <sheetName val="예산조서"/>
      <sheetName val="주요재료비(원본)"/>
      <sheetName val="실행내역서(DCU)"/>
      <sheetName val="중기쥰종사 단위단가"/>
      <sheetName val="일위대가단가표"/>
      <sheetName val="GRD⍠も"/>
      <sheetName val="고암DATA"/>
      <sheetName val="일위대가(통신)"/>
      <sheetName val="보험료산출"/>
      <sheetName val="변경증감내역서"/>
      <sheetName val="자금총괄"/>
      <sheetName val="제잡비"/>
      <sheetName val="대가표(품셈)"/>
      <sheetName val="견적서갑지연속"/>
      <sheetName val="업체별기성"/>
      <sheetName val="토목-물가"/>
      <sheetName val="시약"/>
      <sheetName val="주공기준"/>
      <sheetName val="SAMPLE!"/>
      <sheetName val="FAB별"/>
      <sheetName val="사유서제출현황-2"/>
      <sheetName val="근로자명단2013"/>
      <sheetName val="보강현황"/>
      <sheetName val="VENT"/>
      <sheetName val="준검_내逃ᚹ欃"/>
      <sheetName val="토공 total"/>
      <sheetName val="설계내역2"/>
      <sheetName val="인부신상_x0000__x0000_"/>
      <sheetName val="-배수구조총재료"/>
      <sheetName val="슬래브수량산출"/>
      <sheetName val="토공정보"/>
      <sheetName val="교각토"/>
      <sheetName val="사리부설"/>
      <sheetName val="배명(단가柖"/>
      <sheetName val="새공통"/>
      <sheetName val="TRAY 헹거산출"/>
      <sheetName val="1鶈"/>
      <sheetName val="철집"/>
      <sheetName val="YES-T"/>
      <sheetName val="tra-vat-lieu"/>
      <sheetName val="공량(전기)"/>
      <sheetName val="내역서1999.8최종"/>
      <sheetName val="HW일위"/>
      <sheetName val="3.전기산출기초"/>
      <sheetName val="함열량 db"/>
      <sheetName val="단위중량표"/>
      <sheetName val="고객사 관리 코드"/>
      <sheetName val="1공구_건정토건_토공4"/>
      <sheetName val="1공구_건정토건_철콘4"/>
      <sheetName val="도급표지_4"/>
      <sheetName val="도급표지__(4)4"/>
      <sheetName val="부대표지_(4)4"/>
      <sheetName val="도급표지__(3)4"/>
      <sheetName val="부대표지_(3)4"/>
      <sheetName val="도급표지__(2)4"/>
      <sheetName val="부대표지_(2)4"/>
      <sheetName val="토__목4"/>
      <sheetName val="조__경4"/>
      <sheetName val="전_기4"/>
      <sheetName val="건__축4"/>
      <sheetName val="보도내역_(3)4"/>
      <sheetName val="준검_내역서4"/>
      <sheetName val="내역(최종본4_5)4"/>
      <sheetName val="1_수인터널4"/>
      <sheetName val="설_계4"/>
      <sheetName val="입출재고현황_(2)3"/>
      <sheetName val="6PILE__(돌출)4"/>
      <sheetName val="2_대외공문4"/>
      <sheetName val="AS포장복구_4"/>
      <sheetName val="0_0ControlSheet4"/>
      <sheetName val="0_1keyAssumption4"/>
      <sheetName val="4_내진설계3"/>
      <sheetName val="Sheet1_(2)3"/>
      <sheetName val="1_취수장3"/>
      <sheetName val="BSD_(2)3"/>
      <sheetName val="4_경비_5_영업외수지1"/>
      <sheetName val="_견적서1"/>
      <sheetName val="실행내역서_3"/>
      <sheetName val="96보완계획7_123"/>
      <sheetName val="전차선로_물량표3"/>
      <sheetName val="부대입찰_내역서3"/>
      <sheetName val="1__설계조건_2_단면가정_3__하중계산3"/>
      <sheetName val="DATA_입력란3"/>
      <sheetName val="3BL공동구_수량3"/>
      <sheetName val="제잡비_xls3"/>
      <sheetName val="인건비_3"/>
      <sheetName val="_총괄표3"/>
      <sheetName val="2_고용보험료산출근거3"/>
      <sheetName val="토공(우물통,기타)_3"/>
      <sheetName val="현장관리비_산출내역3"/>
      <sheetName val="현장별계약현황('98_10_31)3"/>
      <sheetName val="97년_추정3"/>
      <sheetName val="Eq__Mobilization3"/>
      <sheetName val="원가계산_(2)3"/>
      <sheetName val="1_설계조건3"/>
      <sheetName val="광통신_견적내역서11"/>
      <sheetName val="할증_1"/>
      <sheetName val="노원열병합__건축공사기성내역서3"/>
      <sheetName val="unit_41"/>
      <sheetName val="플랜트_설치3"/>
      <sheetName val="콤보박스와_리스트박스의_연결3"/>
      <sheetName val="설내역서_2"/>
      <sheetName val="프라임_강변역(4,236)1"/>
      <sheetName val="내___역1"/>
      <sheetName val="집_계_표1"/>
      <sheetName val="2000년_공정표1"/>
      <sheetName val="5_2코핑1"/>
      <sheetName val="배수공_시멘트_및_골재량_산출1"/>
      <sheetName val="7_PILE__(돌출)1"/>
      <sheetName val="P_M_별1"/>
      <sheetName val="CIP_공사2"/>
      <sheetName val="수량산출서_갑지1"/>
      <sheetName val="DATA_입력부1"/>
      <sheetName val="구조______1"/>
      <sheetName val="노무비_1"/>
      <sheetName val="화재_탐지_설비1"/>
      <sheetName val="Customer_Databas1"/>
      <sheetName val="4_일위대가집계1"/>
      <sheetName val="내역서_제출1"/>
      <sheetName val="5__현장관리비(new)_1"/>
      <sheetName val="방배동내역_(총괄)1"/>
      <sheetName val="간_지11"/>
      <sheetName val="2_교량(신설)1"/>
      <sheetName val="EQUIP_LIST1"/>
      <sheetName val="일위대가_(PM)"/>
      <sheetName val="2000_051"/>
      <sheetName val="원내역서_그대로"/>
      <sheetName val="1_3_1절점좌표1"/>
      <sheetName val="1_1설계기준1"/>
      <sheetName val="1_본부별1"/>
      <sheetName val="기초입력_DATA1"/>
      <sheetName val="재활용_악취_먼지DUCT산출1"/>
      <sheetName val="남양시작동자105노65기1_3화1_2"/>
      <sheetName val="관음목장(제출용)자105인97_5"/>
      <sheetName val="전체내역_(2)"/>
      <sheetName val="Hyundai_Unit_cost_xls"/>
      <sheetName val="TABLE_DB"/>
      <sheetName val="쌍용_data_base"/>
      <sheetName val="969910(_R)"/>
      <sheetName val="1062-X방향_"/>
      <sheetName val="5_정산서1"/>
      <sheetName val="PROJECT_BRIEF"/>
      <sheetName val="4_장비손료1"/>
      <sheetName val="단양_00_아파트-세부내역1"/>
      <sheetName val="설계기준_및_하중계산"/>
      <sheetName val="5호광장_(만점)1"/>
      <sheetName val="인천국제_(만점)_(2)1"/>
      <sheetName val="전선_및_전선관"/>
      <sheetName val="VENDOR_LIST"/>
      <sheetName val="Sight_n_M_H"/>
      <sheetName val="단가_"/>
      <sheetName val="매출요약(월별)_-년간"/>
      <sheetName val="Piping_Design_Data"/>
      <sheetName val="4_&amp;_10-inch,_CO2_Combo_&amp;_Sweep"/>
      <sheetName val="1_䷨수장"/>
      <sheetName val="4_뀴진설Ⳅ"/>
      <sheetName val="전䰨선로_물량표"/>
      <sheetName val="㶀대입찰_내역서"/>
      <sheetName val="수목데이타_"/>
      <sheetName val="경비_(1)"/>
      <sheetName val="2F_회의실견적(5_14_일대)"/>
      <sheetName val="108_수선비"/>
      <sheetName val="①idea_pipeline"/>
      <sheetName val="IMP_통일양식"/>
      <sheetName val="LYS_통일양식"/>
      <sheetName val="Xunit_(단위환산)"/>
      <sheetName val="유통기한_프로그램"/>
      <sheetName val="단가_및_재료비"/>
      <sheetName val="산출0"/>
      <sheetName val="PTVT (MAU)"/>
      <sheetName val="기초목"/>
      <sheetName val="125x125"/>
      <sheetName val="TOSHIBA-Structure"/>
      <sheetName val="기계실냉༛彬"/>
      <sheetName val="Div26 - Elect"/>
      <sheetName val="SITE-E"/>
      <sheetName val="NOTE"/>
      <sheetName val="하도내역_(철콘)2"/>
      <sheetName val="조건표_(2)2"/>
      <sheetName val="목차_2"/>
      <sheetName val="7__현장관리비_2"/>
      <sheetName val="노무비_근거2"/>
      <sheetName val="임율_Data2"/>
      <sheetName val="1_설계기준2"/>
      <sheetName val="4_LINE1"/>
      <sheetName val="7_th1"/>
      <sheetName val="_갑지1"/>
      <sheetName val="A_LINE1"/>
      <sheetName val="5__현장관리비_new__1"/>
      <sheetName val="Temporary_Mooring1"/>
      <sheetName val="총_원가계산1"/>
      <sheetName val="중기쥰종사_단위단가"/>
      <sheetName val="1-1_현장정리"/>
      <sheetName val="1-2_토공"/>
      <sheetName val="1-3_WMM,GSB"/>
      <sheetName val="1-4_BITUMINOUS_COURSE"/>
      <sheetName val="1-5_BOX_CULVERTS"/>
      <sheetName val="1-6_BRIDGE"/>
      <sheetName val="1-7_DRAINAGE"/>
      <sheetName val="1-8_TRAFFIC"/>
      <sheetName val="1-9_MISCELLANEOUS"/>
      <sheetName val="1-10_ELECTRICAL"/>
      <sheetName val="1-12_도급외항목"/>
      <sheetName val="4_2_1_마루높이_검토"/>
      <sheetName val="BOX_본체"/>
      <sheetName val="STEEL_BOX_단면설계(SEC_8)"/>
      <sheetName val="6_이토처리시간"/>
      <sheetName val="울진항공등화_내역서"/>
      <sheetName val="영흥TL(UP,DOWN)_"/>
      <sheetName val="일_위_대_가_표"/>
      <sheetName val="PTVT_(MAU)"/>
      <sheetName val="1차_내역서"/>
      <sheetName val="MP_MOB"/>
      <sheetName val="Khoi luong"/>
      <sheetName val="LEGEND"/>
      <sheetName val="Bảng mã VT"/>
      <sheetName val="장비당단가_(1)2"/>
      <sheetName val="Sheet2_(2)2"/>
      <sheetName val="수_량_명_세_서_-_12"/>
      <sheetName val="별표_2"/>
      <sheetName val="2_건축2"/>
      <sheetName val="공정표_2"/>
      <sheetName val="kimre_scrubber"/>
      <sheetName val="내역서_(2)"/>
      <sheetName val="strut_type"/>
      <sheetName val="한성교회_신축공사(050713)_CheckList"/>
      <sheetName val="FRP_PIPING_일위대가"/>
      <sheetName val="48"/>
      <sheetName val="DonGia chetao"/>
      <sheetName val="DonGia VatTuLK"/>
      <sheetName val="인력터파기품"/>
      <sheetName val="표지_(3)3"/>
      <sheetName val="표지_(2)3"/>
      <sheetName val="교각집계_(2)3"/>
      <sheetName val="교각토공_(2)3"/>
      <sheetName val="교각철근_(2)3"/>
      <sheetName val="외주대비_-석축3"/>
      <sheetName val="외주대비-구조물_(2)3"/>
      <sheetName val="견적표지_(3)3"/>
      <sheetName val="_HIT-&gt;HMC_견적(3900)3"/>
      <sheetName val="일__위__대__가__목__록3"/>
      <sheetName val="6__안전관리비4"/>
      <sheetName val="HRSG_SMALL072203"/>
      <sheetName val="교각토공__2_3"/>
      <sheetName val="3_공통공사대비3"/>
      <sheetName val="8_현장관리비2"/>
      <sheetName val="7_안전관리비2"/>
      <sheetName val="2차전체변경예정_(2)2"/>
      <sheetName val="단면_(2)2"/>
      <sheetName val="8_PILE__(돌출)2"/>
      <sheetName val="토공유동표(전체_당초)2"/>
      <sheetName val="b_balju_(2)2"/>
      <sheetName val="중기조종사_단위단가2"/>
      <sheetName val="2_2_오피스텔(12~32F)1"/>
      <sheetName val="일위대가_집계표1"/>
      <sheetName val="6__안전관리비5"/>
      <sheetName val="자__재1"/>
      <sheetName val="개인별_순위표1"/>
      <sheetName val="CM_11"/>
      <sheetName val="기술부_VENDOR_LIST1"/>
      <sheetName val="단계별내역_(2)1"/>
      <sheetName val="제출내역_(2)1"/>
      <sheetName val="2_2_띠장의_설계1"/>
      <sheetName val="9_1지하2층하부보1"/>
      <sheetName val="4_일위대가1"/>
      <sheetName val="명일작업계획_(3)"/>
      <sheetName val="내역서_(3)1"/>
      <sheetName val="산출양식_(2)1"/>
      <sheetName val="전체산출내역서갑(변경)_1"/>
      <sheetName val="A_터파기공1"/>
      <sheetName val="B_측·집1"/>
      <sheetName val="배(자·집)_(2)1"/>
      <sheetName val="2_01측·터·집1"/>
      <sheetName val="땅깍·수_(1-1)1"/>
      <sheetName val="0-52_1"/>
      <sheetName val="콘·다_(2)1"/>
      <sheetName val="기·집_(2)1"/>
      <sheetName val="콘·다_(3)1"/>
      <sheetName val="병원내역집계표_(2)1"/>
      <sheetName val="실행총괄_1"/>
      <sheetName val="[IL-3_XLSY갑지1"/>
      <sheetName val="4_일위대가목차1"/>
      <sheetName val="내역_ver1_01"/>
      <sheetName val="2000,9월_일위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변압기_및_발전기_용량"/>
      <sheetName val="조도계산서_(도서)"/>
      <sheetName val="빌딩_안내"/>
      <sheetName val="CABLE_(2)"/>
      <sheetName val="G_R300경비"/>
      <sheetName val="단가대비표_(3)"/>
      <sheetName val="기성내역서(을)_(2)"/>
      <sheetName val="1단계_(2)"/>
      <sheetName val="2_1__노무비_평균단가산출"/>
      <sheetName val="3_공사비(07년노임단가)"/>
      <sheetName val="3_공사비(단가조사표)"/>
      <sheetName val="3_공사비(물량산출표)"/>
      <sheetName val="3_공사비(일위대가표목록)"/>
      <sheetName val="3_공사비(일위대가표)"/>
      <sheetName val="TRE_TABLE"/>
      <sheetName val="Requirement(Work_Crew)"/>
      <sheetName val="진입도로B_(2)"/>
      <sheetName val="2_냉난방설비공사"/>
      <sheetName val="7_자동제어공사"/>
      <sheetName val="중강당_내역"/>
      <sheetName val="기초자료입력및_K치_확인"/>
      <sheetName val="실행내역_"/>
      <sheetName val="자재_단가_비교표(견적)"/>
      <sheetName val="자재_단가_비교표"/>
      <sheetName val="Bid_Summary"/>
      <sheetName val="이동시_예상비용"/>
      <sheetName val="Seg_1DE비용"/>
      <sheetName val="Transit_비용_감가상각미포함"/>
      <sheetName val="세골재__T2_변경_현황"/>
      <sheetName val="전화공사_공량_및_집계표"/>
      <sheetName val="참조_(2)"/>
      <sheetName val="6__직접경비"/>
      <sheetName val="대가_(보완)"/>
      <sheetName val="3_자재비(총괄)"/>
      <sheetName val="제조_경영"/>
      <sheetName val="4_전기"/>
      <sheetName val="노_무_비"/>
      <sheetName val="미납품_현황"/>
      <sheetName val="신설개소별_총집계표(동해-배전)"/>
      <sheetName val="용선_C_L"/>
      <sheetName val="전_체"/>
      <sheetName val="흙막이B_(오산운암)"/>
      <sheetName val="타이로드_흙막이"/>
      <sheetName val="타이로드_흙막이(근입장2_5M)"/>
      <sheetName val="타이로드(근입장2_5M)"/>
      <sheetName val="pile_항타"/>
      <sheetName val="pile_항타(디젤)"/>
      <sheetName val="pile_항타_A"/>
      <sheetName val="pile_항타_B"/>
      <sheetName val="pile_항타_C"/>
      <sheetName val="pile_인발"/>
      <sheetName val="pile_인발_A"/>
      <sheetName val="pile_인발_B"/>
      <sheetName val="pile_인발_C"/>
      <sheetName val="20TON_TRAILER"/>
      <sheetName val="토류판_(2)"/>
      <sheetName val="SHEET_PILE단가"/>
      <sheetName val="2_1외주"/>
      <sheetName val="2_3노무"/>
      <sheetName val="2_4자재"/>
      <sheetName val="2_2장비"/>
      <sheetName val="2_5경비"/>
      <sheetName val="2_6수목대"/>
      <sheetName val="3련_BOX"/>
      <sheetName val="총괄집계_"/>
      <sheetName val="고객사_관리_코드"/>
      <sheetName val="기존단가 (2)"/>
      <sheetName val="Level-DATA"/>
      <sheetName val="Fr Revit"/>
      <sheetName val="NSA Summary"/>
      <sheetName val="FitOutConfCentre"/>
      <sheetName val="수벽설치(효자)"/>
      <sheetName val="내역(전력)"/>
      <sheetName val="월별계획"/>
      <sheetName val="부대표지_x0000__x0000__x0005__x0000_腰"/>
      <sheetName val="콘크리트"/>
      <sheetName val="䣐"/>
      <sheetName val="GAEYO"/>
      <sheetName val="1.1"/>
      <sheetName val="D.B"/>
      <sheetName val="20관리비율"/>
      <sheetName val="3BL공동구"/>
      <sheetName val="1.청구서"/>
      <sheetName val="2.내역서"/>
      <sheetName val="기성지급예정"/>
      <sheetName val="실지급내역"/>
      <sheetName val="노무비지급"/>
      <sheetName val="표"/>
      <sheetName val="식생블럭단위수량"/>
      <sheetName val="가정급수관"/>
      <sheetName val="_x0000__x0010__x0000_내"/>
      <sheetName val="⑻동원인원산출서⑧"/>
      <sheetName val="변경내역서"/>
      <sheetName val="전압강하"/>
      <sheetName val="LD"/>
      <sheetName val="발주현황"/>
      <sheetName val="0217상가미분양자산"/>
      <sheetName val="벽체면적˱ጐɈី"/>
      <sheetName val="2_1"/>
      <sheetName val="사__업__비__수__지__예__산__서"/>
      <sheetName val="기계_도급내역서"/>
      <sheetName val="10_경제성분석"/>
      <sheetName val="1차설계逷≙≙"/>
      <sheetName val="GiaVT"/>
      <sheetName val="Q'ty"/>
      <sheetName val="chi tiet"/>
      <sheetName val="PPC Summary"/>
      <sheetName val="Worshop"/>
      <sheetName val="ac"/>
      <sheetName val="LPG"/>
      <sheetName val="외주대비-구ꮸ〇"/>
      <sheetName val="조ꌀ"/>
      <sheetName val="조Ꝣ"/>
      <sheetName val="1공구_건정토건_토공5"/>
      <sheetName val="1공구_건정토건_철콘5"/>
      <sheetName val="도급표지_5"/>
      <sheetName val="도급표지__(4)5"/>
      <sheetName val="부대표지_(4)5"/>
      <sheetName val="도급표지__(3)5"/>
      <sheetName val="부대표지_(3)5"/>
      <sheetName val="도급표지__(2)5"/>
      <sheetName val="부대표지_(2)5"/>
      <sheetName val="토__목5"/>
      <sheetName val="조__경5"/>
      <sheetName val="전_기5"/>
      <sheetName val="건__축5"/>
      <sheetName val="보도내역_(3)5"/>
      <sheetName val="준검_내역서5"/>
      <sheetName val="1_수인터널5"/>
      <sheetName val="설_계5"/>
      <sheetName val="0_0ControlSheet5"/>
      <sheetName val="0_1keyAssumption5"/>
      <sheetName val="2_대외공문5"/>
      <sheetName val="6PILE__(돌출)5"/>
      <sheetName val="AS포장복구_5"/>
      <sheetName val="내역(최종본4_5)5"/>
      <sheetName val="입출재고현황_(2)4"/>
      <sheetName val="Sheet1_(2)4"/>
      <sheetName val="노원열병합__건축공사기성내역서4"/>
      <sheetName val="현장별계약현황('98_10_31)4"/>
      <sheetName val="부대입찰_내역서4"/>
      <sheetName val="전차선로_물량표4"/>
      <sheetName val="3BL공동구_수량4"/>
      <sheetName val="BSD_(2)4"/>
      <sheetName val="4_내진설계4"/>
      <sheetName val="토공(우물통,기타)_4"/>
      <sheetName val="96보완계획7_124"/>
      <sheetName val="1_취수장4"/>
      <sheetName val="_총괄표4"/>
      <sheetName val="제잡비_xls4"/>
      <sheetName val="실행내역서_4"/>
      <sheetName val="1__설계조건_2_단면가정_3__하중계산4"/>
      <sheetName val="DATA_입력란4"/>
      <sheetName val="2_고용보험료산출근거4"/>
      <sheetName val="인건비_4"/>
      <sheetName val="원가계산_(2)4"/>
      <sheetName val="콤보박스와_리스트박스의_연결4"/>
      <sheetName val="Eq__Mobilization4"/>
      <sheetName val="1_설계조건4"/>
      <sheetName val="플랜트_설치4"/>
      <sheetName val="97년_추정4"/>
      <sheetName val="현장관리비_산출내역4"/>
      <sheetName val="내___역2"/>
      <sheetName val="프라임_강변역(4,236)2"/>
      <sheetName val="집_계_표2"/>
      <sheetName val="5_2코핑2"/>
      <sheetName val="배수공_시멘트_및_골재량_산출2"/>
      <sheetName val="7_PILE__(돌출)2"/>
      <sheetName val="P_M_별2"/>
      <sheetName val="2000년_공정표2"/>
      <sheetName val="DATA_입력부2"/>
      <sheetName val="설내역서_3"/>
      <sheetName val="광통신_견적내역서12"/>
      <sheetName val="할증_2"/>
      <sheetName val="unit_42"/>
      <sheetName val="CIP_공사3"/>
      <sheetName val="4_경비_5_영업외수지2"/>
      <sheetName val="_견적서2"/>
      <sheetName val="수량산출서_갑지2"/>
      <sheetName val="2_교량(신설)2"/>
      <sheetName val="1_3_1절점좌표2"/>
      <sheetName val="1_1설계기준2"/>
      <sheetName val="5_정산서2"/>
      <sheetName val="2000_052"/>
      <sheetName val="1_본부별2"/>
      <sheetName val="EQUIP_LIST2"/>
      <sheetName val="노무비_2"/>
      <sheetName val="내역서_제출2"/>
      <sheetName val="구조______2"/>
      <sheetName val="간_지12"/>
      <sheetName val="화재_탐지_설비2"/>
      <sheetName val="4_일위대가집계2"/>
      <sheetName val="5__현장관리비(new)_2"/>
      <sheetName val="Customer_Databas2"/>
      <sheetName val="방배동내역_(총괄)2"/>
      <sheetName val="기초입력_DATA2"/>
      <sheetName val="재활용_악취_먼지DUCT산출2"/>
      <sheetName val="4_장비손료2"/>
      <sheetName val="단양_00_아파트-세부내역2"/>
      <sheetName val="5호광장_(만점)2"/>
      <sheetName val="인천국제_(만점)_(2)2"/>
      <sheetName val="전선_및_전선관1"/>
      <sheetName val="VENDOR_LIST1"/>
      <sheetName val="남양시작동자105노65기1_3화1_21"/>
      <sheetName val="관음목장(제출용)자105인97_51"/>
      <sheetName val="원내역서_그대로1"/>
      <sheetName val="PROJECT_BRIEF1"/>
      <sheetName val="설계기준_및_하중계산1"/>
      <sheetName val="1062-X방향_1"/>
      <sheetName val="TABLE_DB1"/>
      <sheetName val="쌍용_data_base1"/>
      <sheetName val="수목데이타_1"/>
      <sheetName val="Sight_n_M_H1"/>
      <sheetName val="단가_1"/>
      <sheetName val="매출요약(월별)_-년간1"/>
      <sheetName val="Piping_Design_Data1"/>
      <sheetName val="4_&amp;_10-inch,_CO2_Combo_&amp;_Sweep1"/>
      <sheetName val="1_䷨수장1"/>
      <sheetName val="4_뀴진설Ⳅ1"/>
      <sheetName val="전䰨선로_물량표1"/>
      <sheetName val="㶀대입찰_내역서1"/>
      <sheetName val="969910(_R)1"/>
      <sheetName val="전체내역_(2)1"/>
      <sheetName val="Hyundai_Unit_cost_xls1"/>
      <sheetName val="2F_회의실견적(5_14_일대)1"/>
      <sheetName val="경비_(1)1"/>
      <sheetName val="단가_및_재료비1"/>
      <sheetName val="97_사업추정(WEKI)"/>
      <sheetName val="-15_0"/>
      <sheetName val="7_전산해석결과"/>
      <sheetName val="4_하중"/>
      <sheetName val="청_구"/>
      <sheetName val="108_수선비1"/>
      <sheetName val="_ｹ-ﾌﾞﾙ"/>
      <sheetName val="공내역_및_견적조건"/>
      <sheetName val="신평리_권리자명부"/>
      <sheetName val="일위대가_(PM)1"/>
      <sheetName val="①idea_pipeline1"/>
      <sheetName val="IMP_통일양식1"/>
      <sheetName val="LYS_통일양식1"/>
      <sheetName val="Xunit_(단위환산)1"/>
      <sheetName val="유통기한_프로그램1"/>
      <sheetName val="토__공"/>
      <sheetName val="내역서_"/>
      <sheetName val="모선자재_집계표"/>
      <sheetName val="재료의_할증"/>
      <sheetName val="D1_2_COF모듈자재_입출재고_(B급)"/>
      <sheetName val="견적颙⿬"/>
      <sheetName val="견적颙⿶"/>
      <sheetName val="견적"/>
      <sheetName val="견적颙』"/>
      <sheetName val="표__지"/>
      <sheetName val="99_조정금액"/>
      <sheetName val="외주현황_wq1"/>
      <sheetName val="태화42_"/>
      <sheetName val="배수喘"/>
      <sheetName val="220_(2)"/>
      <sheetName val="토공_total"/>
      <sheetName val="함열량_db"/>
      <sheetName val="BEND_LOSS"/>
      <sheetName val="3_관로전환기"/>
      <sheetName val="내역서1999_8최종"/>
      <sheetName val="부대표지腰"/>
      <sheetName val="3_전기산출기초"/>
      <sheetName val="F_월별기성수금현황_"/>
      <sheetName val="TRAY_헹거산출"/>
      <sheetName val="기존단가_(2)"/>
      <sheetName val="1_1"/>
      <sheetName val="_"/>
      <sheetName val="횡배수관 토공량 산출"/>
      <sheetName val="원가계산서(기계+소방)"/>
      <sheetName val="기성집계표(기계+소방)"/>
      <sheetName val="기성내역서(기계+소방)"/>
      <sheetName val="표지(기계)"/>
      <sheetName val="기성갑지(기계)"/>
      <sheetName val="금회 청구사항(기계)"/>
      <sheetName val="원가계산서(기계)"/>
      <sheetName val="기성집계표(기계)"/>
      <sheetName val="기성내역서(기계)"/>
      <sheetName val="표지(소방)"/>
      <sheetName val="기성갑지 (소방)"/>
      <sheetName val="금회 청구사항(소방)"/>
      <sheetName val="원가계산서(소방)"/>
      <sheetName val="기성집계표(소방)"/>
      <sheetName val="기성내역서(소방)"/>
      <sheetName val="품의"/>
      <sheetName val="요약표"/>
      <sheetName val="직영"/>
      <sheetName val="외주(보온)"/>
      <sheetName val="외주(NDE)"/>
      <sheetName val="2019년외주공사"/>
      <sheetName val="동강 배관"/>
      <sheetName val="WCR 외주"/>
      <sheetName val="ANLINE"/>
      <sheetName val="ANILINE - OPTION"/>
      <sheetName val="MDI"/>
      <sheetName val="MDI - OPTION"/>
      <sheetName val="CCD"/>
      <sheetName val="수량산출서뺑"/>
      <sheetName val="K2 site Total 내역서"/>
      <sheetName val="부대표지_x0000__x0000__x0005__x0000_䥀"/>
      <sheetName val="행정표준(2惍"/>
      <sheetName val="행정표준(2ネ"/>
      <sheetName val="공종코드"/>
      <sheetName val="타설"/>
      <sheetName val="부대공사비"/>
      <sheetName val="06 일위대가목록"/>
      <sheetName val="합천내역"/>
      <sheetName val="관접합및부설"/>
      <sheetName val="2013년상반기"/>
      <sheetName val="제잡비(주공종)"/>
      <sheetName val="외주대비-구_x0005__x0000_"/>
      <sheetName val="외주대비-구멫⽄"/>
      <sheetName val="수지예산"/>
      <sheetName val="부도어음"/>
      <sheetName val="외주대비x_x0000_Ԁ_x0000_"/>
      <sheetName val="동력부하계산"/>
      <sheetName val="토목단가"/>
      <sheetName val="총괄표 "/>
      <sheetName val="1-׃⼿"/>
      <sheetName val="1-닑⽋"/>
      <sheetName val="1-_x0005__x0000_"/>
      <sheetName val="외주대비-구_x0000__x0000_"/>
      <sheetName val="자판실행"/>
      <sheetName val="구조물터파기ꗤNˠ"/>
      <sheetName val="기초입력ԯ_x0000_缀_x0000__x0000_"/>
      <sheetName val="본장"/>
      <sheetName val="구조ఀ덀_x0000_"/>
      <sheetName val="수정_x0000__x0000_"/>
      <sheetName val="Lumen"/>
      <sheetName val="해외교육"/>
      <sheetName val="foxz"/>
      <sheetName val="Tong hop"/>
      <sheetName val="Phan lap dat"/>
      <sheetName val="Lắp Ráp"/>
      <sheetName val="1_설계기준3"/>
      <sheetName val="8_PILE__(돌출)3"/>
      <sheetName val="표지_(2)4"/>
      <sheetName val="표지_(3)4"/>
      <sheetName val="교각집계_(2)4"/>
      <sheetName val="교각토공_(2)4"/>
      <sheetName val="교각철근_(2)4"/>
      <sheetName val="외주대비_-석축4"/>
      <sheetName val="외주대비-구조물_(2)4"/>
      <sheetName val="견적표지_(3)4"/>
      <sheetName val="_HIT-&gt;HMC_견적(3900)4"/>
      <sheetName val="일__위__대__가__목__록4"/>
      <sheetName val="6__안전관리비6"/>
      <sheetName val="HRSG_SMALL072204"/>
      <sheetName val="교각토공__2_4"/>
      <sheetName val="3_공통공사대비4"/>
      <sheetName val="8_현장관리비3"/>
      <sheetName val="7_안전관리비3"/>
      <sheetName val="하도내역_(철콘)3"/>
      <sheetName val="조건표_(2)3"/>
      <sheetName val="목차_3"/>
      <sheetName val="7__현장관리비_3"/>
      <sheetName val="노무비_근거3"/>
      <sheetName val="임율_Data3"/>
      <sheetName val="2차전체변경예정_(2)3"/>
      <sheetName val="단면_(2)3"/>
      <sheetName val="토공유동표(전체_당초)3"/>
      <sheetName val="b_balju_(2)3"/>
      <sheetName val="4_LINE2"/>
      <sheetName val="7_th2"/>
      <sheetName val="_갑지2"/>
      <sheetName val="A_LINE2"/>
      <sheetName val="5__현장관리비_new__2"/>
      <sheetName val="Temporary_Mooring2"/>
      <sheetName val="중기조종사_단위단가3"/>
      <sheetName val="총_원가계산2"/>
      <sheetName val="제출내역_(2)2"/>
      <sheetName val="2_2_오피스텔(12~32F)2"/>
      <sheetName val="일위대가_집계표2"/>
      <sheetName val="6__안전관리비7"/>
      <sheetName val="자__재2"/>
      <sheetName val="개인별_순위표2"/>
      <sheetName val="CM_12"/>
      <sheetName val="기술부_VENDOR_LIST2"/>
      <sheetName val="단계별내역_(2)2"/>
      <sheetName val="2_2_띠장의_설계2"/>
      <sheetName val="내역서_(2)1"/>
      <sheetName val="총괄집계_1"/>
      <sheetName val="한성교회_신축공사(050713)_CheckList1"/>
      <sheetName val="9_1지하2층하부보2"/>
      <sheetName val="4_일위대가2"/>
      <sheetName val="1-1_현장정리1"/>
      <sheetName val="1-2_토공1"/>
      <sheetName val="1-3_WMM,GSB1"/>
      <sheetName val="1-4_BITUMINOUS_COURSE1"/>
      <sheetName val="1-5_BOX_CULVERTS1"/>
      <sheetName val="1-6_BRIDGE1"/>
      <sheetName val="1-7_DRAINAGE1"/>
      <sheetName val="1-8_TRAFFIC1"/>
      <sheetName val="1-9_MISCELLANEOUS1"/>
      <sheetName val="1-10_ELECTRICAL1"/>
      <sheetName val="1-12_도급외항목1"/>
      <sheetName val="4_2_1_마루높이_검토1"/>
      <sheetName val="BOX_본체1"/>
      <sheetName val="MP_MOB1"/>
      <sheetName val="명일작업계획_(3)1"/>
      <sheetName val="내역서_(3)2"/>
      <sheetName val="산출양식_(2)2"/>
      <sheetName val="전체산출내역서갑(변경)_2"/>
      <sheetName val="A_터파기공2"/>
      <sheetName val="B_측·집2"/>
      <sheetName val="배(자·집)_(2)2"/>
      <sheetName val="2_01측·터·집2"/>
      <sheetName val="땅깍·수_(1-1)2"/>
      <sheetName val="0-52_2"/>
      <sheetName val="콘·다_(2)2"/>
      <sheetName val="기·집_(2)2"/>
      <sheetName val="콘·다_(3)2"/>
      <sheetName val="병원내역집계표_(2)2"/>
      <sheetName val="실행총괄_2"/>
      <sheetName val="[IL-3_XLSY갑지2"/>
      <sheetName val="4_일위대가목차2"/>
      <sheetName val="내역_ver1_02"/>
      <sheetName val="2000,9월_일위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변압기_및_발전기_용량1"/>
      <sheetName val="조도계산서_(도서)1"/>
      <sheetName val="빌딩_안내1"/>
      <sheetName val="CABLE_(2)1"/>
      <sheetName val="G_R300경비1"/>
      <sheetName val="단가대비표_(3)1"/>
      <sheetName val="기성내역서(을)_(2)1"/>
      <sheetName val="1단계_(2)1"/>
      <sheetName val="2_1__노무비_평균단가산출1"/>
      <sheetName val="3_공사비(07년노임단가)1"/>
      <sheetName val="3_공사비(단가조사표)1"/>
      <sheetName val="3_공사비(물량산출표)1"/>
      <sheetName val="3_공사비(일위대가표목록)1"/>
      <sheetName val="3_공사비(일위대가표)1"/>
      <sheetName val="TRE_TABLE1"/>
      <sheetName val="Requirement(Work_Crew)1"/>
      <sheetName val="진입도로B_(2)1"/>
      <sheetName val="2_냉난방설비공사1"/>
      <sheetName val="7_자동제어공사1"/>
      <sheetName val="중강당_내역1"/>
      <sheetName val="기초자료입력및_K치_확인1"/>
      <sheetName val="실행내역_1"/>
      <sheetName val="자재_단가_비교표(견적)1"/>
      <sheetName val="자재_단가_비교표1"/>
      <sheetName val="Bid_Summary1"/>
      <sheetName val="이동시_예상비용1"/>
      <sheetName val="Seg_1DE비용1"/>
      <sheetName val="Transit_비용_감가상각미포함1"/>
      <sheetName val="세골재__T2_변경_현황1"/>
      <sheetName val="전화공사_공량_및_집계표1"/>
      <sheetName val="참조_(2)1"/>
      <sheetName val="6__직접경비1"/>
      <sheetName val="대가_(보완)1"/>
      <sheetName val="3_자재비(총괄)1"/>
      <sheetName val="제조_경영1"/>
      <sheetName val="4_전기1"/>
      <sheetName val="노_무_비1"/>
      <sheetName val="미납품_현황1"/>
      <sheetName val="신설개소별_총집계표(동해-배전)1"/>
      <sheetName val="용선_C_L1"/>
      <sheetName val="전_체1"/>
      <sheetName val="STEEL_BOX_단면설계(SEC_8)1"/>
      <sheetName val="흙막이B_(오산운암)1"/>
      <sheetName val="타이로드_흙막이1"/>
      <sheetName val="타이로드_흙막이(근입장2_5M)1"/>
      <sheetName val="타이로드(근입장2_5M)1"/>
      <sheetName val="pile_항타1"/>
      <sheetName val="pile_항타(디젤)1"/>
      <sheetName val="pile_항타_A1"/>
      <sheetName val="pile_항타_B1"/>
      <sheetName val="pile_항타_C1"/>
      <sheetName val="pile_인발1"/>
      <sheetName val="pile_인발_A1"/>
      <sheetName val="pile_인발_B1"/>
      <sheetName val="pile_인발_C1"/>
      <sheetName val="20TON_TRAILER1"/>
      <sheetName val="토류판_(2)1"/>
      <sheetName val="SHEET_PILE단가1"/>
      <sheetName val="6_이토처리시간1"/>
      <sheetName val="울진항공등화_내역서1"/>
      <sheetName val="영흥TL(UP,DOWN)_1"/>
      <sheetName val="일_위_대_가_표1"/>
      <sheetName val="고객사_관리_코드1"/>
      <sheetName val="2_1외주1"/>
      <sheetName val="2_3노무1"/>
      <sheetName val="2_4자재1"/>
      <sheetName val="2_2장비1"/>
      <sheetName val="2_5경비1"/>
      <sheetName val="2_6수목대1"/>
      <sheetName val="3련_BOX1"/>
      <sheetName val="중기쥰종사_단위단가1"/>
      <sheetName val="PTVT_(MAU)1"/>
      <sheetName val="chi_tiet"/>
      <sheetName val="PPC_Summary"/>
      <sheetName val="chiettinh"/>
      <sheetName val="Parem"/>
      <sheetName val="THVT"/>
      <sheetName val="장비당단가_(1)3"/>
      <sheetName val="Sheet2_(2)3"/>
      <sheetName val="수_량_명_세_서_-_13"/>
      <sheetName val="별표_3"/>
      <sheetName val="2_건축3"/>
      <sheetName val="공정표_3"/>
      <sheetName val="1차_내역서1"/>
      <sheetName val="kimre_scrubber1"/>
      <sheetName val="strut_type1"/>
      <sheetName val="FRP_PIPING_일위대가1"/>
      <sheetName val="Div26_-_Elect"/>
      <sheetName val="Bảng_mã_VT"/>
      <sheetName val="Khoi_luong"/>
      <sheetName val="DonGia_chetao"/>
      <sheetName val="DonGia_VatTuLK"/>
      <sheetName val="Fr_Revit"/>
      <sheetName val="NSA_Summary"/>
      <sheetName val="1공구_건정토건_토공6"/>
      <sheetName val="1공구_건정토건_철콘6"/>
      <sheetName val="도급표지_6"/>
      <sheetName val="도급표지__(4)6"/>
      <sheetName val="부대표지_(4)6"/>
      <sheetName val="도급표지__(3)6"/>
      <sheetName val="부대표지_(3)6"/>
      <sheetName val="도급표지__(2)6"/>
      <sheetName val="부대표지_(2)6"/>
      <sheetName val="토__목6"/>
      <sheetName val="조__경6"/>
      <sheetName val="전_기6"/>
      <sheetName val="건__축6"/>
      <sheetName val="보도내역_(3)6"/>
      <sheetName val="준검_내역서6"/>
      <sheetName val="1_수인터널6"/>
      <sheetName val="2_대외공문6"/>
      <sheetName val="6PILE__(돌출)6"/>
      <sheetName val="AS포장복구_6"/>
      <sheetName val="설_계6"/>
      <sheetName val="내역(최종본4_5)6"/>
      <sheetName val="0_0ControlSheet6"/>
      <sheetName val="0_1keyAssumption6"/>
      <sheetName val="Sheet1_(2)5"/>
      <sheetName val="입출재고현황_(2)5"/>
      <sheetName val="전차선로_물량표5"/>
      <sheetName val="노원열병합__건축공사기성내역서5"/>
      <sheetName val="1_취수장5"/>
      <sheetName val="_총괄표5"/>
      <sheetName val="96보완계획7_125"/>
      <sheetName val="BSD_(2)5"/>
      <sheetName val="4_내진설계5"/>
      <sheetName val="3BL공동구_수량5"/>
      <sheetName val="실행내역서_5"/>
      <sheetName val="부대입찰_내역서5"/>
      <sheetName val="1__설계조건_2_단면가정_3__하중계산5"/>
      <sheetName val="DATA_입력란5"/>
      <sheetName val="1_설계조건5"/>
      <sheetName val="2_고용보험료산출근거5"/>
      <sheetName val="제잡비_xls5"/>
      <sheetName val="인건비_5"/>
      <sheetName val="콤보박스와_리스트박스의_연결5"/>
      <sheetName val="4_경비_5_영업외수지3"/>
      <sheetName val="_견적서3"/>
      <sheetName val="현장별계약현황('98_10_31)5"/>
      <sheetName val="토공(우물통,기타)_5"/>
      <sheetName val="플랜트_설치5"/>
      <sheetName val="원가계산_(2)5"/>
      <sheetName val="Eq__Mobilization5"/>
      <sheetName val="장비당단가_(1)4"/>
      <sheetName val="Sheet2_(2)4"/>
      <sheetName val="97년_추정5"/>
      <sheetName val="현장관리비_산출내역5"/>
      <sheetName val="2000년_공정표3"/>
      <sheetName val="수_량_명_세_서_-_14"/>
      <sheetName val="광통신_견적내역서13"/>
      <sheetName val="할증_3"/>
      <sheetName val="unit_43"/>
      <sheetName val="1_설계기준4"/>
      <sheetName val="별표_4"/>
      <sheetName val="2_건축4"/>
      <sheetName val="공정표_4"/>
      <sheetName val="설내역서_4"/>
      <sheetName val="프라임_강변역(4,236)3"/>
      <sheetName val="내___역3"/>
      <sheetName val="집_계_표3"/>
      <sheetName val="8_PILE__(돌출)4"/>
      <sheetName val="5_2코핑3"/>
      <sheetName val="배수공_시멘트_및_골재량_산출3"/>
      <sheetName val="7_PILE__(돌출)3"/>
      <sheetName val="P_M_별3"/>
      <sheetName val="CIP_공사4"/>
      <sheetName val="표지_(2)5"/>
      <sheetName val="수량산출서_갑지3"/>
      <sheetName val="DATA_입력부3"/>
      <sheetName val="표지_(3)5"/>
      <sheetName val="교각집계_(2)5"/>
      <sheetName val="교각토공_(2)5"/>
      <sheetName val="교각철근_(2)5"/>
      <sheetName val="외주대비_-석축5"/>
      <sheetName val="외주대비-구조물_(2)5"/>
      <sheetName val="견적표지_(3)5"/>
      <sheetName val="_HIT-&gt;HMC_견적(3900)5"/>
      <sheetName val="일__위__대__가__목__록5"/>
      <sheetName val="6__안전관리비8"/>
      <sheetName val="HRSG_SMALL072205"/>
      <sheetName val="교각토공__2_5"/>
      <sheetName val="3_공통공사대비5"/>
      <sheetName val="8_현장관리비4"/>
      <sheetName val="7_안전관리비4"/>
      <sheetName val="하도내역_(철콘)4"/>
      <sheetName val="조건표_(2)4"/>
      <sheetName val="목차_4"/>
      <sheetName val="7__현장관리비_4"/>
      <sheetName val="노무비_근거4"/>
      <sheetName val="임율_Data4"/>
      <sheetName val="2차전체변경예정_(2)4"/>
      <sheetName val="단면_(2)4"/>
      <sheetName val="토공유동표(전체_당초)4"/>
      <sheetName val="구조______3"/>
      <sheetName val="b_balju_(2)4"/>
      <sheetName val="노무비_3"/>
      <sheetName val="화재_탐지_설비3"/>
      <sheetName val="Customer_Databas3"/>
      <sheetName val="4_LINE3"/>
      <sheetName val="7_th3"/>
      <sheetName val="_갑지3"/>
      <sheetName val="4_일위대가집계3"/>
      <sheetName val="내역서_제출3"/>
      <sheetName val="A_LINE3"/>
      <sheetName val="5__현장관리비(new)_3"/>
      <sheetName val="방배동내역_(총괄)3"/>
      <sheetName val="간_지13"/>
      <sheetName val="5__현장관리비_new__3"/>
      <sheetName val="Temporary_Mooring3"/>
      <sheetName val="중기조종사_단위단가4"/>
      <sheetName val="총_원가계산3"/>
      <sheetName val="2_교량(신설)3"/>
      <sheetName val="EQUIP_LIST3"/>
      <sheetName val="일위대가_(PM)2"/>
      <sheetName val="2000_053"/>
      <sheetName val="원내역서_그대로2"/>
      <sheetName val="1_3_1절점좌표3"/>
      <sheetName val="1_1설계기준3"/>
      <sheetName val="1_본부별3"/>
      <sheetName val="기초입력_DATA3"/>
      <sheetName val="재활용_악취_먼지DUCT산출3"/>
      <sheetName val="남양시작동자105노65기1_3화1_22"/>
      <sheetName val="관음목장(제출용)자105인97_52"/>
      <sheetName val="전체내역_(2)2"/>
      <sheetName val="Hyundai_Unit_cost_xls2"/>
      <sheetName val="제출내역_(2)3"/>
      <sheetName val="TABLE_DB2"/>
      <sheetName val="쌍용_data_base2"/>
      <sheetName val="969910(_R)2"/>
      <sheetName val="1062-X방향_2"/>
      <sheetName val="5_정산서3"/>
      <sheetName val="PROJECT_BRIEF2"/>
      <sheetName val="4_장비손료3"/>
      <sheetName val="①idea_pipeline2"/>
      <sheetName val="IMP_통일양식2"/>
      <sheetName val="LYS_통일양식2"/>
      <sheetName val="Xunit_(단위환산)2"/>
      <sheetName val="유통기한_프로그램2"/>
      <sheetName val="2_2_오피스텔(12~32F)3"/>
      <sheetName val="일위대가_집계표3"/>
      <sheetName val="6__안전관리비9"/>
      <sheetName val="자__재3"/>
      <sheetName val="개인별_순위표3"/>
      <sheetName val="CM_13"/>
      <sheetName val="기술부_VENDOR_LIST3"/>
      <sheetName val="단계별내역_(2)3"/>
      <sheetName val="2_2_띠장의_설계3"/>
      <sheetName val="경비_(1)2"/>
      <sheetName val="2F_회의실견적(5_14_일대)2"/>
      <sheetName val="단양_00_아파트-세부내역3"/>
      <sheetName val="VENDOR_LIST2"/>
      <sheetName val="단가_2"/>
      <sheetName val="108_수선비2"/>
      <sheetName val="1차_내역서2"/>
      <sheetName val="중기쥰종사_단위단가2"/>
      <sheetName val="1-1_현장정리2"/>
      <sheetName val="1-2_토공2"/>
      <sheetName val="1-3_WMM,GSB2"/>
      <sheetName val="1-4_BITUMINOUS_COURSE2"/>
      <sheetName val="1-5_BOX_CULVERTS2"/>
      <sheetName val="1-6_BRIDGE2"/>
      <sheetName val="1-7_DRAINAGE2"/>
      <sheetName val="1-8_TRAFFIC2"/>
      <sheetName val="1-9_MISCELLANEOUS2"/>
      <sheetName val="1-10_ELECTRICAL2"/>
      <sheetName val="1-12_도급외항목2"/>
      <sheetName val="9_1지하2층하부보3"/>
      <sheetName val="4_2_1_마루높이_검토2"/>
      <sheetName val="4_일위대가3"/>
      <sheetName val="BOX_본체2"/>
      <sheetName val="STEEL_BOX_단면설계(SEC_8)2"/>
      <sheetName val="6_이토처리시간2"/>
      <sheetName val="울진항공등화_내역서2"/>
      <sheetName val="영흥TL(UP,DOWN)_2"/>
      <sheetName val="일_위_대_가_표2"/>
      <sheetName val="PTVT_(MAU)2"/>
      <sheetName val="5호광장_(만점)3"/>
      <sheetName val="인천국제_(만점)_(2)3"/>
      <sheetName val="전선_및_전선관2"/>
      <sheetName val="설계기준_및_하중계산2"/>
      <sheetName val="Sight_n_M_H2"/>
      <sheetName val="매출요약(월별)_-년간2"/>
      <sheetName val="Piping_Design_Data2"/>
      <sheetName val="4_&amp;_10-inch,_CO2_Combo_&amp;_Sweep2"/>
      <sheetName val="1_䷨수장2"/>
      <sheetName val="4_뀴진설Ⳅ2"/>
      <sheetName val="전䰨선로_물량표2"/>
      <sheetName val="㶀대입찰_내역서2"/>
      <sheetName val="수목데이타_2"/>
      <sheetName val="kimre_scrubber2"/>
      <sheetName val="내역서_(2)2"/>
      <sheetName val="strut_type2"/>
      <sheetName val="한성교회_신축공사(050713)_CheckList2"/>
      <sheetName val="FRP_PIPING_일위대가2"/>
      <sheetName val="총괄집계_2"/>
      <sheetName val="MP_MOB2"/>
      <sheetName val="명일작업계획_(3)2"/>
      <sheetName val="내역서_(3)3"/>
      <sheetName val="산출양식_(2)3"/>
      <sheetName val="전체산출내역서갑(변경)_3"/>
      <sheetName val="A_터파기공3"/>
      <sheetName val="B_측·집3"/>
      <sheetName val="배(자·집)_(2)3"/>
      <sheetName val="2_01측·터·집3"/>
      <sheetName val="땅깍·수_(1-1)3"/>
      <sheetName val="0-52_3"/>
      <sheetName val="콘·다_(2)3"/>
      <sheetName val="기·집_(2)3"/>
      <sheetName val="콘·다_(3)3"/>
      <sheetName val="병원내역집계표_(2)3"/>
      <sheetName val="실행총괄_3"/>
      <sheetName val="[IL-3_XLSY갑지3"/>
      <sheetName val="4_일위대가목차3"/>
      <sheetName val="내역_ver1_03"/>
      <sheetName val="2000,9월_일위3"/>
      <sheetName val="1_노무비명세서(해동)3"/>
      <sheetName val="1_노무비명세서(토목)3"/>
      <sheetName val="2_노무비명세서(해동)3"/>
      <sheetName val="2_노무비명세서(수직보호망)3"/>
      <sheetName val="2_노무비명세서(난간대)3"/>
      <sheetName val="2_사진대지3"/>
      <sheetName val="3_사진대지3"/>
      <sheetName val="변압기_및_발전기_용량2"/>
      <sheetName val="조도계산서_(도서)2"/>
      <sheetName val="빌딩_안내2"/>
      <sheetName val="CABLE_(2)2"/>
      <sheetName val="G_R300경비2"/>
      <sheetName val="단가대비표_(3)2"/>
      <sheetName val="기성내역서(을)_(2)2"/>
      <sheetName val="1단계_(2)2"/>
      <sheetName val="2_1__노무비_평균단가산출2"/>
      <sheetName val="3_공사비(07년노임단가)2"/>
      <sheetName val="3_공사비(단가조사표)2"/>
      <sheetName val="3_공사비(물량산출표)2"/>
      <sheetName val="3_공사비(일위대가표목록)2"/>
      <sheetName val="3_공사비(일위대가표)2"/>
      <sheetName val="TRE_TABLE2"/>
      <sheetName val="Requirement(Work_Crew)2"/>
      <sheetName val="진입도로B_(2)2"/>
      <sheetName val="2_냉난방설비공사2"/>
      <sheetName val="7_자동제어공사2"/>
      <sheetName val="중강당_내역2"/>
      <sheetName val="기초자료입력및_K치_확인2"/>
      <sheetName val="실행내역_2"/>
      <sheetName val="자재_단가_비교표(견적)2"/>
      <sheetName val="자재_단가_비교표2"/>
      <sheetName val="Bid_Summary2"/>
      <sheetName val="이동시_예상비용2"/>
      <sheetName val="Seg_1DE비용2"/>
      <sheetName val="Transit_비용_감가상각미포함2"/>
      <sheetName val="세골재__T2_변경_현황2"/>
      <sheetName val="전화공사_공량_및_집계표2"/>
      <sheetName val="참조_(2)2"/>
      <sheetName val="6__직접경비2"/>
      <sheetName val="대가_(보완)2"/>
      <sheetName val="3_자재비(총괄)2"/>
      <sheetName val="제조_경영2"/>
      <sheetName val="4_전기2"/>
      <sheetName val="노_무_비2"/>
      <sheetName val="미납품_현황2"/>
      <sheetName val="신설개소별_총집계표(동해-배전)2"/>
      <sheetName val="용선_C_L2"/>
      <sheetName val="전_체2"/>
      <sheetName val="흙막이B_(오산운암)2"/>
      <sheetName val="타이로드_흙막이2"/>
      <sheetName val="타이로드_흙막이(근입장2_5M)2"/>
      <sheetName val="타이로드(근입장2_5M)2"/>
      <sheetName val="pile_항타2"/>
      <sheetName val="pile_항타(디젤)2"/>
      <sheetName val="pile_항타_A2"/>
      <sheetName val="pile_항타_B2"/>
      <sheetName val="pile_항타_C2"/>
      <sheetName val="pile_인발2"/>
      <sheetName val="pile_인발_A2"/>
      <sheetName val="pile_인발_B2"/>
      <sheetName val="pile_인발_C2"/>
      <sheetName val="20TON_TRAILER2"/>
      <sheetName val="토류판_(2)2"/>
      <sheetName val="SHEET_PILE단가2"/>
      <sheetName val="함열량_db1"/>
      <sheetName val="10_경제성분석1"/>
      <sheetName val="단가_및_재료비2"/>
      <sheetName val="기계_도급내역서1"/>
      <sheetName val="-15_01"/>
      <sheetName val="고객사_관리_코드2"/>
      <sheetName val="사__업__비__수__지__예__산__서1"/>
      <sheetName val="Div26_-_Elect1"/>
      <sheetName val="2_1외주2"/>
      <sheetName val="2_3노무2"/>
      <sheetName val="2_4자재2"/>
      <sheetName val="2_2장비2"/>
      <sheetName val="2_5경비2"/>
      <sheetName val="2_6수목대2"/>
      <sheetName val="3련_BOX2"/>
      <sheetName val="모선자재_집계표1"/>
      <sheetName val="재료의_할증1"/>
      <sheetName val="내역서_1"/>
      <sheetName val="공내역_및_견적조건1"/>
      <sheetName val="2_11"/>
      <sheetName val="Bảng_mã_VT1"/>
      <sheetName val="Khoi_luong1"/>
      <sheetName val="DonGia_chetao1"/>
      <sheetName val="DonGia_VatTuLK1"/>
      <sheetName val="표__지1"/>
      <sheetName val="D1_2_COF모듈자재_입출재고_(B급)1"/>
      <sheetName val="Fr_Revit1"/>
      <sheetName val="NSA_Summary1"/>
      <sheetName val="Rate"/>
      <sheetName val="Kiem-Toan"/>
      <sheetName val="gVL"/>
      <sheetName val="Quantity"/>
      <sheetName val="중소기업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KEY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Prelims"/>
      <sheetName val="cong thuc tinh chi tiet"/>
      <sheetName val="00000000"/>
      <sheetName val="cong_thuc_tinh_chi_tiet"/>
      <sheetName val="cong_thuc_tinh_chi_tiet1"/>
      <sheetName val="장비분석"/>
      <sheetName val="외주대비 -석축_x0000__x0000__x0000__x"/>
      <sheetName val="_IL-3.XLSY갑지"/>
      <sheetName val="_IL-3_XLSY갑지"/>
      <sheetName val="외주대비_-석축_후다내역_XLS_견적표지_(3"/>
      <sheetName val="_IL-3_XLSY갑지1"/>
      <sheetName val="_IL-3_XLSY갑지2"/>
      <sheetName val="_IL-3_XLSY갑지3"/>
      <sheetName val="KET CAU- MJV2"/>
      <sheetName val="Ví dụ"/>
      <sheetName val="Gia VLNCMTC"/>
      <sheetName val="1_MV"/>
      <sheetName val="SEX"/>
      <sheetName val="IBASE"/>
      <sheetName val="MTC"/>
      <sheetName val="外構・目次"/>
      <sheetName val="工場棟・目次"/>
      <sheetName val="事務棟・目次"/>
      <sheetName val="GC산출"/>
      <sheetName val="cable산출"/>
      <sheetName val="연평잔"/>
      <sheetName val="Efficiency"/>
      <sheetName val="수로BOX"/>
      <sheetName val="구조怀ྋĀ"/>
      <sheetName val="계약대비내역서 (부경)"/>
      <sheetName val="집행대비내역서 (부경)"/>
      <sheetName val="계약그라우팅.포장"/>
      <sheetName val="계약사무실조경 "/>
      <sheetName val="평가내역"/>
      <sheetName val="부대표지_x0000__x0000__x0005__x0000_⽠"/>
      <sheetName val="Config"/>
      <sheetName val="토공계산서(부체도로)"/>
      <sheetName val="계산내역(설비)"/>
      <sheetName val="2.입력sheet"/>
      <sheetName val="도시정비"/>
      <sheetName val="개발"/>
      <sheetName val="도시정비 "/>
      <sheetName val="민간"/>
      <sheetName val="PIPING"/>
      <sheetName val="일위대가Ȓ_x0000_"/>
      <sheetName val="일위대가顔-"/>
      <sheetName val="호곡중학교"/>
      <sheetName val="철근׃"/>
      <sheetName val="템플릿"/>
      <sheetName val="인부신상헾⼳"/>
      <sheetName val="3.1.6 전산처리결과"/>
      <sheetName val="CF_DT"/>
      <sheetName val="총공사_x0000__x0000_Ԁ"/>
      <sheetName val="부대표지츀 _x0000__x0000_얈"/>
      <sheetName val="부대표지츀 _x0000__x0000_篐"/>
      <sheetName val="수량산출서_x0010__x0000_"/>
      <sheetName val="기초데이타"/>
      <sheetName val="오억미만"/>
      <sheetName val="코드일람표"/>
      <sheetName val="용산1(해보)"/>
      <sheetName val="매입"/>
      <sheetName val="Bab泅啢堀㭔*"/>
      <sheetName val="수량산출서_x0000__x0000__x0005_"/>
      <sheetName val="01. DATA"/>
      <sheetName val="건_′近丂"/>
      <sheetName val="건_ê_x0000_Ԁ"/>
      <sheetName val="교각怀"/>
      <sheetName val="경비_원본"/>
      <sheetName val="A-100전제"/>
      <sheetName val="갑지 1회"/>
      <sheetName val="표지1회"/>
      <sheetName val="18.07"/>
      <sheetName val="갑지 2회"/>
      <sheetName val="표지2회"/>
      <sheetName val="18.08"/>
      <sheetName val="갑지 3회"/>
      <sheetName val="표지3회"/>
      <sheetName val="18.09"/>
      <sheetName val="갑지 4회"/>
      <sheetName val="표지4회"/>
      <sheetName val="18.10"/>
      <sheetName val="갑지 5회"/>
      <sheetName val="표지5회"/>
      <sheetName val="18.11"/>
      <sheetName val="갑지 6회"/>
      <sheetName val="표지6회"/>
      <sheetName val="18.12"/>
      <sheetName val="갑지 7회"/>
      <sheetName val="표지7회"/>
      <sheetName val="19.01"/>
      <sheetName val="갑지 8회"/>
      <sheetName val="표지8회"/>
      <sheetName val="19.02"/>
      <sheetName val="갑지 9회"/>
      <sheetName val="표지 9회"/>
      <sheetName val="19.03"/>
      <sheetName val="갑지 10회"/>
      <sheetName val="표지 10회"/>
      <sheetName val="19.04"/>
      <sheetName val="갑지 11회"/>
      <sheetName val="표지 11회"/>
      <sheetName val="19.05"/>
      <sheetName val="갑지 12회"/>
      <sheetName val="표지 12회"/>
      <sheetName val="19.06"/>
      <sheetName val="갑지 13회"/>
      <sheetName val="표지 13회"/>
      <sheetName val="19.07"/>
      <sheetName val="갑지 14회"/>
      <sheetName val="표지 14회"/>
      <sheetName val="19.08"/>
      <sheetName val="BD운반거리"/>
      <sheetName val="견적_x0005_"/>
      <sheetName val="CԀ"/>
      <sheetName val="chitiet"/>
      <sheetName val="Sikje_in_x0005__x0000_"/>
      <sheetName val="샌딩 에폭시 도장"/>
      <sheetName val="2련간지"/>
      <sheetName val="시험연구비상각"/>
      <sheetName val="Summary VO No.3"/>
      <sheetName val="Breakdown"/>
      <sheetName val="VO No.3.1"/>
      <sheetName val="VO No.3.2"/>
      <sheetName val="VO No.3.3"/>
      <sheetName val="VO No.3.4"/>
      <sheetName val="VO No.3.5"/>
      <sheetName val="VO No.3.6"/>
      <sheetName val="VO No.3.7"/>
      <sheetName val="VO No.3.8"/>
      <sheetName val="견적표지_(3"/>
      <sheetName val="SCOPE OF WORK"/>
      <sheetName val="BG"/>
      <sheetName val="대3류 "/>
      <sheetName val="외주대비 ᨀ晙ԯ"/>
      <sheetName val="入力作成表"/>
      <sheetName val="D_MUC"/>
      <sheetName val="내역서-설비"/>
      <sheetName val="전도금정산서(27)"/>
      <sheetName val="3.단가산출서"/>
      <sheetName val="4.단가산출기초"/>
      <sheetName val="서울대규장각(가시설흙막이)"/>
      <sheetName val="재무가정"/>
      <sheetName val="사전공사"/>
      <sheetName val="NOM³"/>
      <sheetName val="NOMֳ"/>
      <sheetName val="기초입력ԯ"/>
      <sheetName val="외주대비x"/>
      <sheetName val="아파트급수지하PIT층평면도(평면도)"/>
      <sheetName val="교대(A1-A2)"/>
      <sheetName val="별표총괄"/>
      <sheetName val="사용성검토"/>
      <sheetName val="물가변동 총괄서"/>
      <sheetName val="수량조서(신)"/>
      <sheetName val="EUL"/>
      <sheetName val="해평견적"/>
      <sheetName val="공종별"/>
      <sheetName val="취수탑"/>
      <sheetName val="부속동"/>
      <sheetName val="도시가스현황"/>
      <sheetName val="7.1유효폭"/>
      <sheetName val="Sheet17"/>
      <sheetName val="허용전류-IEC"/>
      <sheetName val="허용전류-IEC DATA"/>
      <sheetName val="방배동내역(한영)"/>
      <sheetName val="노무비계"/>
      <sheetName val="36+45-113-18+19+20I"/>
      <sheetName val="본선 토공 분배표"/>
      <sheetName val="출자한도"/>
      <sheetName val="변경내역대비표(2)"/>
      <sheetName val="침하계"/>
      <sheetName val="을 2"/>
      <sheetName val="을 1"/>
      <sheetName val="토공 갑지"/>
      <sheetName val="구조물견적"/>
      <sheetName val="실적"/>
      <sheetName val="입력(K0)"/>
      <sheetName val="물량"/>
      <sheetName val="장비내역서"/>
      <sheetName val="D01"/>
      <sheetName val="D02"/>
      <sheetName val="CIVIL"/>
      <sheetName val="단가조사표"/>
      <sheetName val="붙임5"/>
      <sheetName val="작업방"/>
      <sheetName val="총괄k"/>
      <sheetName val="MAT"/>
      <sheetName val="각사별공사비분개 "/>
      <sheetName val="1,2,3,4,5단위수량"/>
      <sheetName val="별표"/>
      <sheetName val="자재조사표"/>
      <sheetName val="변수데이타"/>
      <sheetName val="설계개요"/>
      <sheetName val="터널전기"/>
      <sheetName val="해외법인"/>
      <sheetName val="물가변동_총괄서"/>
      <sheetName val="허용전류-IEC_DATA"/>
      <sheetName val="7_1유효폭"/>
      <sheetName val="본선_토공_분배표"/>
      <sheetName val="설계흐름도"/>
      <sheetName val="발생토"/>
      <sheetName val="정SW_원_"/>
      <sheetName val="안전건강연금"/>
      <sheetName val="건축실적"/>
      <sheetName val="고용퇴직"/>
      <sheetName val="기계실적"/>
      <sheetName val="물가기준년"/>
      <sheetName val="노임산재"/>
      <sheetName val="장비기준"/>
      <sheetName val="조경수목"/>
      <sheetName val="토목실적"/>
      <sheetName val="계수시트"/>
      <sheetName val="일년TOTAL"/>
      <sheetName val="유기공정"/>
      <sheetName val="공내역서"/>
      <sheetName val="적용률"/>
      <sheetName val="자바라1"/>
      <sheetName val="해외 연수비용 계산-삭제"/>
      <sheetName val="해외 기술훈련비 (합계)"/>
      <sheetName val="D-3109"/>
      <sheetName val="Pier 3"/>
      <sheetName val="기성집계"/>
      <sheetName val="와동25-3(변경)"/>
      <sheetName val="관로토공"/>
      <sheetName val="기초"/>
      <sheetName val="공종별수량집계"/>
      <sheetName val="2006납품"/>
      <sheetName val="신천교(음성)"/>
      <sheetName val="암거날개벽"/>
      <sheetName val="S1"/>
      <sheetName val="옹벽(수량)"/>
      <sheetName val="Tender"/>
      <sheetName val="BOX(1.5X1.5)"/>
      <sheetName val="결재갑지"/>
      <sheetName val="외자배분"/>
      <sheetName val="외자내역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시설일위"/>
      <sheetName val="소요자재"/>
      <sheetName val="노무산출서"/>
      <sheetName val="맨홀토공산출"/>
      <sheetName val="7-3단면_상시"/>
      <sheetName val="12호기내역서(건축분)"/>
      <sheetName val="TYPE A"/>
      <sheetName val="옹벽수량집계"/>
      <sheetName val="1SPAN"/>
      <sheetName val="국공유지및사유지"/>
      <sheetName val="K55수출"/>
      <sheetName val="변경원가서갑"/>
      <sheetName val="기경집계"/>
      <sheetName val="물가변동_총괄서1"/>
      <sheetName val="허용전류-IEC_DATA1"/>
      <sheetName val="7_1유효폭1"/>
      <sheetName val="본선_토공_분배표1"/>
      <sheetName val="을_2"/>
      <sheetName val="을_1"/>
      <sheetName val="토공_갑지"/>
      <sheetName val="Pier_3"/>
      <sheetName val="각사별공사비분개_"/>
      <sheetName val="해외_연수비용_계산-삭제"/>
      <sheetName val="해외_기술훈련비_(합계)"/>
      <sheetName val="구성비"/>
      <sheetName val="포장물량집계"/>
      <sheetName val="WEON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매립"/>
      <sheetName val="1안98Billing"/>
      <sheetName val="설비원가"/>
      <sheetName val="장비투입 (2)"/>
      <sheetName val="CC16-내역서"/>
      <sheetName val="시설물일위"/>
      <sheetName val="1ST"/>
      <sheetName val="96까지"/>
      <sheetName val="97년"/>
      <sheetName val="98이후"/>
      <sheetName val="#10거푸집유로폼(0~7m)"/>
      <sheetName val="상부하중"/>
      <sheetName val="풍하중1"/>
      <sheetName val="L형옹벽단위수량(35)"/>
      <sheetName val="L형옹벽단위수량(25)"/>
      <sheetName val="영업2"/>
      <sheetName val="C &amp; G RHS"/>
      <sheetName val="건축공사요약표"/>
      <sheetName val="집계내역서(가압장)"/>
      <sheetName val="흐름도"/>
      <sheetName val="5.3 단면가정"/>
      <sheetName val="원가1(기계)"/>
      <sheetName val="단기차입금"/>
      <sheetName val="유용원석량소요시기검토안"/>
      <sheetName val="공사수행방안"/>
      <sheetName val="토공사(단지)"/>
      <sheetName val="EKOG10건축"/>
      <sheetName val="시추주상도"/>
      <sheetName val="지질조사분석"/>
      <sheetName val="ITB COST"/>
      <sheetName val="공내역"/>
      <sheetName val="제품"/>
      <sheetName val="CLAUSE"/>
      <sheetName val="CATCH BASIN"/>
      <sheetName val="SLAB&quot;1&quot;"/>
      <sheetName val="단가산출2"/>
      <sheetName val="투자효율분석"/>
      <sheetName val="기지국"/>
      <sheetName val="jobhist"/>
      <sheetName val="신림자금"/>
      <sheetName val="수질정화시설"/>
      <sheetName val="목표세부명세"/>
      <sheetName val="실시공"/>
      <sheetName val="Man Hole"/>
      <sheetName val="°©Áö"/>
      <sheetName val="선로정수계산"/>
      <sheetName val="CON포장수량"/>
      <sheetName val="ACUNIT"/>
      <sheetName val="CONUNIT"/>
      <sheetName val="L_type"/>
      <sheetName val="40단가산출서"/>
      <sheetName val="40집계"/>
      <sheetName val="증가분"/>
      <sheetName val="증가수정"/>
      <sheetName val="문의사항"/>
      <sheetName val="수수료율표"/>
      <sheetName val="토공산출(주차장)"/>
      <sheetName val="STRA2"/>
      <sheetName val="관로토공집계표"/>
      <sheetName val="WEIGHT LIST"/>
      <sheetName val="POL6차-PIPING"/>
      <sheetName val="산#2-1 (2)"/>
      <sheetName val="산#3-1"/>
      <sheetName val="설산1.나"/>
      <sheetName val="본사S"/>
      <sheetName val="교대시점"/>
      <sheetName val="1.토공"/>
      <sheetName val="부대공사"/>
      <sheetName val="구역화물"/>
      <sheetName val="차도조도계산"/>
      <sheetName val="공통비(전체)"/>
      <sheetName val="2연BOX"/>
      <sheetName val="DC-2303"/>
      <sheetName val="O＆P"/>
      <sheetName val="결재판(삭제하지말아주세요)"/>
      <sheetName val="Process Piping"/>
      <sheetName val="산출2-기기동력"/>
      <sheetName val="관급자재집계표"/>
      <sheetName val="배수유공블럭"/>
      <sheetName val="40총괄"/>
      <sheetName val="SCHEDULE"/>
      <sheetName val="C-직노1"/>
      <sheetName val="data2"/>
      <sheetName val="S003031"/>
      <sheetName val="기성내역서"/>
      <sheetName val="하수BOX이설"/>
      <sheetName val="할증"/>
      <sheetName val="방조제+선착장+배수갑문+부대공+1-2방조제"/>
      <sheetName val="계산근거"/>
      <sheetName val="plan&amp;section of foundation"/>
      <sheetName val="design criteria"/>
      <sheetName val="__"/>
      <sheetName val="산출3-유도등"/>
      <sheetName val="산출2-동력"/>
      <sheetName val="산출2-피뢰침"/>
      <sheetName val="덤프"/>
      <sheetName val="견적990322"/>
      <sheetName val="원형맨홀수량"/>
      <sheetName val="woo(mac)"/>
      <sheetName val="archi(본사)"/>
      <sheetName val="교통신호등"/>
      <sheetName val="CAL"/>
      <sheetName val="성곽내역서"/>
      <sheetName val="수량산출서-2"/>
      <sheetName val="Koreasea"/>
      <sheetName val="중동공구"/>
      <sheetName val="예가대비"/>
      <sheetName val="집1"/>
      <sheetName val="철근총괄집계표"/>
      <sheetName val="개화1교"/>
      <sheetName val="3차설계"/>
      <sheetName val="106C0300"/>
      <sheetName val="산출내역(K2)"/>
      <sheetName val="투찰"/>
      <sheetName val="전체제잡비"/>
      <sheetName val="공종별집계표"/>
      <sheetName val="자재 집계표"/>
      <sheetName val="Raw Data"/>
      <sheetName val="S9"/>
      <sheetName val="S14"/>
      <sheetName val="물가변동_총괄서2"/>
      <sheetName val="허용전류-IEC_DATA2"/>
      <sheetName val="본선_토공_분배표2"/>
      <sheetName val="7_1유효폭2"/>
      <sheetName val="토공_갑지1"/>
      <sheetName val="각사별공사비분개_1"/>
      <sheetName val="을_21"/>
      <sheetName val="을_11"/>
      <sheetName val="Pier_31"/>
      <sheetName val="_1"/>
      <sheetName val="해외_연수비용_계산-삭제1"/>
      <sheetName val="해외_기술훈련비_(합계)1"/>
      <sheetName val="TYPE_A"/>
      <sheetName val="BOX(1_5X1_5)"/>
      <sheetName val="장비투입_(2)"/>
      <sheetName val="C_&amp;_G_RHS"/>
      <sheetName val="5_3_단면가정"/>
      <sheetName val="ITB_COST"/>
      <sheetName val="CATCH_BASIN"/>
      <sheetName val="Man_Hole"/>
      <sheetName val="Process_Piping"/>
      <sheetName val="도장수량(하1)"/>
      <sheetName val="주형"/>
      <sheetName val="PILE"/>
      <sheetName val="배관내역"/>
      <sheetName val="산출서양식01"/>
      <sheetName val="내역서(기성청구)"/>
      <sheetName val="960318-1"/>
      <sheetName val="PHC파일 천공 및 항타"/>
      <sheetName val="COA-17"/>
      <sheetName val="C-18"/>
      <sheetName val="FLA"/>
      <sheetName val="Rect. 10"/>
      <sheetName val="전_x0000_"/>
      <sheetName val="옥외 전력간선공사"/>
      <sheetName val="출장㺎Ă"/>
      <sheetName val="여흥"/>
      <sheetName val="실唉역서"/>
      <sheetName val="㶀하ረ성남)"/>
      <sheetName val="㶀대표지_(鰲)"/>
      <sheetName val="⳵사塄총ⴄ표"/>
      <sheetName val="배ⴀ단가조사䄜"/>
      <sheetName val="공䠅별산출뀴䃭서"/>
      <sheetName val="옹벽ꏨ면치수"/>
      <sheetName val="맨홀메우기"/>
      <sheetName val="1_설계기준倱"/>
      <sheetName val="현장´_x0000_Ԁ_x0000_"/>
      <sheetName val="연령현황"/>
      <sheetName val="1차설계逷≙?≙"/>
      <sheetName val="수량산출서_x0010_"/>
      <sheetName val="총공사"/>
      <sheetName val="부대표지츀 "/>
      <sheetName val="건_ê"/>
      <sheetName val="투찰금액"/>
      <sheetName val="1공구_건정토건_토공7"/>
      <sheetName val="1공구_건정토건_철콘7"/>
      <sheetName val="도급표지_7"/>
      <sheetName val="도급표지__(4)7"/>
      <sheetName val="부대표지_(4)7"/>
      <sheetName val="도급표지__(3)7"/>
      <sheetName val="부대표지_(3)7"/>
      <sheetName val="도급표지__(2)7"/>
      <sheetName val="부대표지_(2)7"/>
      <sheetName val="토__목7"/>
      <sheetName val="조__경7"/>
      <sheetName val="전_기7"/>
      <sheetName val="건__축7"/>
      <sheetName val="보도내역_(3)7"/>
      <sheetName val="준검_내역서7"/>
      <sheetName val="2_대외공문7"/>
      <sheetName val="0_0ControlSheet7"/>
      <sheetName val="0_1keyAssumption7"/>
      <sheetName val="1_수인터널7"/>
      <sheetName val="6PILE__(돌출)7"/>
      <sheetName val="설_계7"/>
      <sheetName val="AS포장복구_7"/>
      <sheetName val="현장별계약현황('98_10_31)6"/>
      <sheetName val="Sheet1_(2)6"/>
      <sheetName val="입출재고현황_(2)6"/>
      <sheetName val="내역(최종본4_5)7"/>
      <sheetName val="96보완계획7_126"/>
      <sheetName val="전차선로_물량표6"/>
      <sheetName val="4_내진설계6"/>
      <sheetName val="BSD_(2)6"/>
      <sheetName val="1_취수장6"/>
      <sheetName val="_총괄표6"/>
      <sheetName val="실행내역서_6"/>
      <sheetName val="노원열병합__건축공사기성내역서6"/>
      <sheetName val="부대입찰_내역서6"/>
      <sheetName val="3BL공동구_수량6"/>
      <sheetName val="토공(우물통,기타)_6"/>
      <sheetName val="1__설계조건_2_단면가정_3__하중계산6"/>
      <sheetName val="DATA_입력란6"/>
      <sheetName val="1_설계조건6"/>
      <sheetName val="플랜트_설치6"/>
      <sheetName val="인건비_6"/>
      <sheetName val="제잡비_xls6"/>
      <sheetName val="2_고용보험료산출근거6"/>
      <sheetName val="원가계산_(2)6"/>
      <sheetName val="Eq__Mobilization6"/>
      <sheetName val="콤보박스와_리스트박스의_연결6"/>
      <sheetName val="설내역서_5"/>
      <sheetName val="97년_추정6"/>
      <sheetName val="현장관리비_산출내역6"/>
      <sheetName val="장비당단가_(1)5"/>
      <sheetName val="Sheet2_(2)5"/>
      <sheetName val="1_설계기준5"/>
      <sheetName val="내___역4"/>
      <sheetName val="집_계_표4"/>
      <sheetName val="프라임_강변역(4,236)4"/>
      <sheetName val="8_PILE__(돌출)5"/>
      <sheetName val="2000년_공정표4"/>
      <sheetName val="수_량_명_세_서_-_15"/>
      <sheetName val="2_건축5"/>
      <sheetName val="2_교량(신설)4"/>
      <sheetName val="5_2코핑4"/>
      <sheetName val="공정표_5"/>
      <sheetName val="P_M_별4"/>
      <sheetName val="배수공_시멘트_및_골재량_산출4"/>
      <sheetName val="7_PILE__(돌출)4"/>
      <sheetName val="DATA_입력부4"/>
      <sheetName val="수량산출서_갑지4"/>
      <sheetName val="별표_5"/>
      <sheetName val="CIP_공사5"/>
      <sheetName val="1_3_1절점좌표4"/>
      <sheetName val="1_1설계기준4"/>
      <sheetName val="표지_(2)6"/>
      <sheetName val="광통신_견적내역서14"/>
      <sheetName val="할증_4"/>
      <sheetName val="unit_44"/>
      <sheetName val="4_경비_5_영업외수지4"/>
      <sheetName val="_견적서4"/>
      <sheetName val="표지_(3)6"/>
      <sheetName val="교각집계_(2)6"/>
      <sheetName val="교각토공_(2)6"/>
      <sheetName val="교각철근_(2)6"/>
      <sheetName val="외주대비_-석축6"/>
      <sheetName val="1_본부별4"/>
      <sheetName val="2000_054"/>
      <sheetName val="외주대비-구조물_(2)6"/>
      <sheetName val="견적표지_(3)6"/>
      <sheetName val="_HIT-&gt;HMC_견적(3900)6"/>
      <sheetName val="일__위__대__가__목__록6"/>
      <sheetName val="교각토공__2_6"/>
      <sheetName val="HRSG_SMALL072206"/>
      <sheetName val="6__안전관리비10"/>
      <sheetName val="하도내역_(철콘)5"/>
      <sheetName val="3_공통공사대비6"/>
      <sheetName val="노무비_근거5"/>
      <sheetName val="조건표_(2)5"/>
      <sheetName val="임율_Data5"/>
      <sheetName val="2차전체변경예정_(2)5"/>
      <sheetName val="토공유동표(전체_당초)5"/>
      <sheetName val="목차_5"/>
      <sheetName val="단면_(2)5"/>
      <sheetName val="b_balju_(2)5"/>
      <sheetName val="8_현장관리비5"/>
      <sheetName val="7_안전관리비5"/>
      <sheetName val="7__현장관리비_5"/>
      <sheetName val="노무비_4"/>
      <sheetName val="내역서_제출4"/>
      <sheetName val="구조______4"/>
      <sheetName val="간_지14"/>
      <sheetName val="화재_탐지_설비4"/>
      <sheetName val="4_일위대가집계4"/>
      <sheetName val="5__현장관리비(new)_4"/>
      <sheetName val="Customer_Databas4"/>
      <sheetName val="방배동내역_(총괄)4"/>
      <sheetName val="기초입력_DATA4"/>
      <sheetName val="EQUIP_LIST4"/>
      <sheetName val="재활용_악취_먼지DUCT산출4"/>
      <sheetName val="남양시작동자105노65기1_3화1_23"/>
      <sheetName val="관음목장(제출용)자105인97_53"/>
      <sheetName val="전체내역_(2)3"/>
      <sheetName val="Hyundai_Unit_cost_xls3"/>
      <sheetName val="4_장비손료4"/>
      <sheetName val="단양_00_아파트-세부내역4"/>
      <sheetName val="원내역서_그대로3"/>
      <sheetName val="PROJECT_BRIEF3"/>
      <sheetName val="Sight_n_M_H3"/>
      <sheetName val="단가_3"/>
      <sheetName val="4_LINE4"/>
      <sheetName val="7_th4"/>
      <sheetName val="_갑지4"/>
      <sheetName val="A_LINE4"/>
      <sheetName val="5__현장관리비_new__4"/>
      <sheetName val="Temporary_Mooring4"/>
      <sheetName val="중기조종사_단위단가5"/>
      <sheetName val="총_원가계산4"/>
      <sheetName val="매출요약(월별)_-년간3"/>
      <sheetName val="Piping_Design_Data3"/>
      <sheetName val="4_&amp;_10-inch,_CO2_Combo_&amp;_Sweep3"/>
      <sheetName val="5_정산서4"/>
      <sheetName val="5호광장_(만점)4"/>
      <sheetName val="인천국제_(만점)_(2)4"/>
      <sheetName val="전선_및_전선관3"/>
      <sheetName val="VENDOR_LIST3"/>
      <sheetName val="설계기준_및_하중계산3"/>
      <sheetName val="수목데이타_3"/>
      <sheetName val="1062-X방향_3"/>
      <sheetName val="TABLE_DB3"/>
      <sheetName val="쌍용_data_base3"/>
      <sheetName val="제출내역_(2)4"/>
      <sheetName val="969910(_R)3"/>
      <sheetName val="2F_회의실견적(5_14_일대)3"/>
      <sheetName val="경비_(1)3"/>
      <sheetName val="2_2_오피스텔(12~32F)4"/>
      <sheetName val="일위대가_집계표4"/>
      <sheetName val="9_1지하2층하부보4"/>
      <sheetName val="단계별내역_(2)4"/>
      <sheetName val="4_일위대가4"/>
      <sheetName val="한성교회_신축공사(050713)_CheckList3"/>
      <sheetName val="단가_및_재료비3"/>
      <sheetName val="1_䷨수장3"/>
      <sheetName val="4_뀴진설Ⳅ3"/>
      <sheetName val="전䰨선로_물량표3"/>
      <sheetName val="㶀대입찰_내역서3"/>
      <sheetName val="내역서_(2)3"/>
      <sheetName val="strut_type3"/>
      <sheetName val="10_경제성분석2"/>
      <sheetName val="총괄집계_3"/>
      <sheetName val="2_12"/>
      <sheetName val="기계_도급내역서2"/>
      <sheetName val="kimre_scrubber3"/>
      <sheetName val="108_수선비3"/>
      <sheetName val="FRP_PIPING_일위대가3"/>
      <sheetName val="-15_02"/>
      <sheetName val="개인별_순위표4"/>
      <sheetName val="사__업__비__수__지__예__산__서2"/>
      <sheetName val="CM_14"/>
      <sheetName val="청_구1"/>
      <sheetName val="공내역_및_견적조건2"/>
      <sheetName val="STEEL_BOX_단면설계(SEC_8)3"/>
      <sheetName val="2_2_띠장의_설계4"/>
      <sheetName val="자__재4"/>
      <sheetName val="세골재__T2_변경_현황3"/>
      <sheetName val="6__안전관리비11"/>
      <sheetName val="기술부_VENDOR_LIST4"/>
      <sheetName val="4_2_1_마루높이_검토3"/>
      <sheetName val="내역서_(3)4"/>
      <sheetName val="산출양식_(2)4"/>
      <sheetName val="전체산출내역서갑(변경)_4"/>
      <sheetName val="A_터파기공4"/>
      <sheetName val="B_측·집4"/>
      <sheetName val="배(자·집)_(2)4"/>
      <sheetName val="2_01측·터·집4"/>
      <sheetName val="땅깍·수_(1-1)4"/>
      <sheetName val="0-52_4"/>
      <sheetName val="콘·다_(2)4"/>
      <sheetName val="기·집_(2)4"/>
      <sheetName val="콘·다_(3)4"/>
      <sheetName val="병원내역집계표_(2)4"/>
      <sheetName val="실행총괄_4"/>
      <sheetName val="[IL-3_XLSY갑지4"/>
      <sheetName val="4_일위대가목차4"/>
      <sheetName val="내역_ver1_04"/>
      <sheetName val="2000,9월_일위4"/>
      <sheetName val="1_노무비명세서(해동)4"/>
      <sheetName val="1_노무비명세서(토목)4"/>
      <sheetName val="2_노무비명세서(해동)4"/>
      <sheetName val="2_노무비명세서(수직보호망)4"/>
      <sheetName val="2_노무비명세서(난간대)4"/>
      <sheetName val="2_사진대지4"/>
      <sheetName val="3_사진대지4"/>
      <sheetName val="변압기_및_발전기_용량3"/>
      <sheetName val="조도계산서_(도서)3"/>
      <sheetName val="빌딩_안내3"/>
      <sheetName val="CABLE_(2)3"/>
      <sheetName val="G_R300경비3"/>
      <sheetName val="단가대비표_(3)3"/>
      <sheetName val="기성내역서(을)_(2)3"/>
      <sheetName val="1단계_(2)3"/>
      <sheetName val="2_1__노무비_평균단가산출3"/>
      <sheetName val="3_공사비(07년노임단가)3"/>
      <sheetName val="3_공사비(단가조사표)3"/>
      <sheetName val="3_공사비(물량산출표)3"/>
      <sheetName val="3_공사비(일위대가표목록)3"/>
      <sheetName val="3_공사비(일위대가표)3"/>
      <sheetName val="TRE_TABLE3"/>
      <sheetName val="Requirement(Work_Crew)3"/>
      <sheetName val="진입도로B_(2)3"/>
      <sheetName val="2_냉난방설비공사3"/>
      <sheetName val="7_자동제어공사3"/>
      <sheetName val="중강당_내역3"/>
      <sheetName val="기초자료입력및_K치_확인3"/>
      <sheetName val="실행내역_3"/>
      <sheetName val="자재_단가_비교표(견적)3"/>
      <sheetName val="자재_단가_비교표3"/>
      <sheetName val="Bid_Summary3"/>
      <sheetName val="이동시_예상비용3"/>
      <sheetName val="Seg_1DE비용3"/>
      <sheetName val="Transit_비용_감가상각미포함3"/>
      <sheetName val="전화공사_공량_및_집계표3"/>
      <sheetName val="참조_(2)3"/>
      <sheetName val="6__직접경비3"/>
      <sheetName val="대가_(보완)3"/>
      <sheetName val="3_자재비(총괄)3"/>
      <sheetName val="제조_경영3"/>
      <sheetName val="4_전기3"/>
      <sheetName val="노_무_비3"/>
      <sheetName val="미납품_현황3"/>
      <sheetName val="신설개소별_총집계표(동해-배전)3"/>
      <sheetName val="BOX_본체3"/>
      <sheetName val="MP_MOB3"/>
      <sheetName val="일위대가_(PM)3"/>
      <sheetName val="7_전산해석결과1"/>
      <sheetName val="4_하중1"/>
      <sheetName val="①idea_pipeline3"/>
      <sheetName val="IMP_통일양식3"/>
      <sheetName val="LYS_통일양식3"/>
      <sheetName val="Xunit_(단위환산)3"/>
      <sheetName val="유통기한_프로그램3"/>
      <sheetName val="1-1_현장정리3"/>
      <sheetName val="1-2_토공3"/>
      <sheetName val="1-3_WMM,GSB3"/>
      <sheetName val="1-4_BITUMINOUS_COURSE3"/>
      <sheetName val="1-5_BOX_CULVERTS3"/>
      <sheetName val="1-6_BRIDGE3"/>
      <sheetName val="1-7_DRAINAGE3"/>
      <sheetName val="1-8_TRAFFIC3"/>
      <sheetName val="1-9_MISCELLANEOUS3"/>
      <sheetName val="1-10_ELECTRICAL3"/>
      <sheetName val="1-12_도급외항목3"/>
      <sheetName val="명일작업계획_(3)3"/>
      <sheetName val="용선_C_L3"/>
      <sheetName val="전_체3"/>
      <sheetName val="흙막이B_(오산운암)3"/>
      <sheetName val="타이로드_흙막이3"/>
      <sheetName val="타이로드_흙막이(근입장2_5M)3"/>
      <sheetName val="타이로드(근입장2_5M)3"/>
      <sheetName val="pile_항타3"/>
      <sheetName val="pile_항타(디젤)3"/>
      <sheetName val="pile_항타_A3"/>
      <sheetName val="pile_항타_B3"/>
      <sheetName val="pile_항타_C3"/>
      <sheetName val="pile_인발3"/>
      <sheetName val="pile_인발_A3"/>
      <sheetName val="pile_인발_B3"/>
      <sheetName val="pile_인발_C3"/>
      <sheetName val="20TON_TRAILER3"/>
      <sheetName val="토류판_(2)3"/>
      <sheetName val="SHEET_PILE단가3"/>
      <sheetName val="6_이토처리시간3"/>
      <sheetName val="1차_내역서3"/>
      <sheetName val="울진항공등화_내역서3"/>
      <sheetName val="일_위_대_가_표3"/>
      <sheetName val="영흥TL(UP,DOWN)_3"/>
      <sheetName val="3련_BOX3"/>
      <sheetName val="내역서_2"/>
      <sheetName val="2_1외주3"/>
      <sheetName val="2_3노무3"/>
      <sheetName val="2_4자재3"/>
      <sheetName val="2_2장비3"/>
      <sheetName val="2_5경비3"/>
      <sheetName val="2_6수목대3"/>
      <sheetName val="모선자재_집계표2"/>
      <sheetName val="재료의_할증2"/>
      <sheetName val="D1_2_COF모듈자재_입출재고_(B급)2"/>
      <sheetName val="표__지2"/>
      <sheetName val="중기쥰종사_단위단가3"/>
      <sheetName val="함열량_db2"/>
      <sheetName val="고객사_관리_코드3"/>
      <sheetName val="PTVT_(MAU)3"/>
      <sheetName val="기존단가_(2)1"/>
      <sheetName val="D_B"/>
      <sheetName val="금회_청구사항(기계)"/>
      <sheetName val="기성갑지_(소방)"/>
      <sheetName val="금회_청구사항(소방)"/>
      <sheetName val="K2_site_Total_내역서"/>
      <sheetName val="1_청구서"/>
      <sheetName val="2_내역서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Div26_-_Elect2"/>
      <sheetName val="Khoi_luong2"/>
      <sheetName val="Bảng_mã_VT2"/>
      <sheetName val="DonGia_chetao2"/>
      <sheetName val="DonGia_VatTuLK2"/>
      <sheetName val="Fr_Revit2"/>
      <sheetName val="NSA_Summary2"/>
      <sheetName val="chi_tiet1"/>
      <sheetName val="PPC_Summary1"/>
      <sheetName val="Tong_hop"/>
      <sheetName val="Phan_lap_dat"/>
      <sheetName val="Lắp_Ráp"/>
      <sheetName val="동강_배관"/>
      <sheetName val="WCR_외주"/>
      <sheetName val="ANILINE_-_OPTION"/>
      <sheetName val="MDI_-_OPTION"/>
      <sheetName val="총괄표_"/>
      <sheetName val="계약대비내역서_(부경)"/>
      <sheetName val="집행대비내역서_(부경)"/>
      <sheetName val="계약그라우팅_포장"/>
      <sheetName val="계약사무실조경_"/>
      <sheetName val="횡배수관_토공량_산출"/>
      <sheetName val="부대표지䥀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NS_Lán_trại"/>
      <sheetName val="Check_cong_no_NC"/>
      <sheetName val="cong_thuc_tinh_chi_tiet2"/>
      <sheetName val="외주대비_-석축_x"/>
      <sheetName val="_IL-3_XLSY갑지4"/>
      <sheetName val="KET_CAU-_MJV2"/>
      <sheetName val="Ví_dụ"/>
      <sheetName val="Gia_VLNCMTC"/>
      <sheetName val="06_일위대가목록"/>
      <sheetName val="1공구_건정토건_토공8"/>
      <sheetName val="1공구_건정토건_철콘8"/>
      <sheetName val="도급표지_8"/>
      <sheetName val="도급표지__(4)8"/>
      <sheetName val="부대표지_(4)8"/>
      <sheetName val="도급표지__(3)8"/>
      <sheetName val="부대표지_(3)8"/>
      <sheetName val="도급표지__(2)8"/>
      <sheetName val="부대표지_(2)8"/>
      <sheetName val="토__목8"/>
      <sheetName val="조__경8"/>
      <sheetName val="전_기8"/>
      <sheetName val="건__축8"/>
      <sheetName val="보도내역_(3)8"/>
      <sheetName val="준검_내역서8"/>
      <sheetName val="1_수인터널8"/>
      <sheetName val="2_대외공문8"/>
      <sheetName val="설_계8"/>
      <sheetName val="6PILE__(돌출)8"/>
      <sheetName val="AS포장복구_8"/>
      <sheetName val="입출재고현황_(2)7"/>
      <sheetName val="0_0ControlSheet8"/>
      <sheetName val="0_1keyAssumption8"/>
      <sheetName val="4_내진설계7"/>
      <sheetName val="내역(최종본4_5)8"/>
      <sheetName val="Sheet1_(2)7"/>
      <sheetName val="BSD_(2)7"/>
      <sheetName val="1_취수장7"/>
      <sheetName val="부대입찰_내역서7"/>
      <sheetName val="전차선로_물량표7"/>
      <sheetName val="토공(우물통,기타)_7"/>
      <sheetName val="_총괄표7"/>
      <sheetName val="현장관리비_산출내역7"/>
      <sheetName val="제잡비_xls7"/>
      <sheetName val="3BL공동구_수량7"/>
      <sheetName val="현장별계약현황('98_10_31)7"/>
      <sheetName val="96보완계획7_127"/>
      <sheetName val="97년_추정7"/>
      <sheetName val="인건비_7"/>
      <sheetName val="1__설계조건_2_단면가정_3__하중계산7"/>
      <sheetName val="DATA_입력란7"/>
      <sheetName val="실행내역서_7"/>
      <sheetName val="1_설계조건7"/>
      <sheetName val="2_고용보험료산출근거7"/>
      <sheetName val="노원열병합__건축공사기성내역서7"/>
      <sheetName val="Eq__Mobilization7"/>
      <sheetName val="원가계산_(2)7"/>
      <sheetName val="장비당단가_(1)6"/>
      <sheetName val="Sheet2_(2)6"/>
      <sheetName val="내___역5"/>
      <sheetName val="1_설계기준6"/>
      <sheetName val="프라임_강변역(4,236)5"/>
      <sheetName val="플랜트_설치7"/>
      <sheetName val="8_PILE__(돌출)6"/>
      <sheetName val="콤보박스와_리스트박스의_연결7"/>
      <sheetName val="2000년_공정표5"/>
      <sheetName val="수_량_명_세_서_-_16"/>
      <sheetName val="설내역서_6"/>
      <sheetName val="2_건축6"/>
      <sheetName val="집_계_표5"/>
      <sheetName val="2_교량(신설)5"/>
      <sheetName val="5_2코핑5"/>
      <sheetName val="공정표_6"/>
      <sheetName val="P_M_별5"/>
      <sheetName val="표지_(3)7"/>
      <sheetName val="표지_(2)7"/>
      <sheetName val="교각집계_(2)7"/>
      <sheetName val="교각토공_(2)7"/>
      <sheetName val="교각철근_(2)7"/>
      <sheetName val="외주대비_-석축7"/>
      <sheetName val="외주대비-구조물_(2)7"/>
      <sheetName val="견적표지_(3)7"/>
      <sheetName val="_HIT-&gt;HMC_견적(3900)7"/>
      <sheetName val="일__위__대__가__목__록7"/>
      <sheetName val="교각토공__2_7"/>
      <sheetName val="HRSG_SMALL072207"/>
      <sheetName val="6__안전관리비12"/>
      <sheetName val="하도내역_(철콘)6"/>
      <sheetName val="3_공통공사대비7"/>
      <sheetName val="노무비_근거6"/>
      <sheetName val="조건표_(2)6"/>
      <sheetName val="별표_6"/>
      <sheetName val="임율_Data6"/>
      <sheetName val="2차전체변경예정_(2)6"/>
      <sheetName val="토공유동표(전체_당초)6"/>
      <sheetName val="목차_6"/>
      <sheetName val="단면_(2)6"/>
      <sheetName val="b_balju_(2)6"/>
      <sheetName val="8_현장관리비6"/>
      <sheetName val="7_안전관리비6"/>
      <sheetName val="7__현장관리비_6"/>
      <sheetName val="노무비_5"/>
      <sheetName val="내역서_제출5"/>
      <sheetName val="구조______5"/>
      <sheetName val="간_지15"/>
      <sheetName val="화재_탐지_설비5"/>
      <sheetName val="4_일위대가집계5"/>
      <sheetName val="5__현장관리비(new)_5"/>
      <sheetName val="Customer_Databas5"/>
      <sheetName val="방배동내역_(총괄)5"/>
      <sheetName val="배수공_시멘트_및_골재량_산출5"/>
      <sheetName val="7_PILE__(돌출)5"/>
      <sheetName val="CIP_공사6"/>
      <sheetName val="광통신_견적내역서15"/>
      <sheetName val="할증_5"/>
      <sheetName val="unit_45"/>
      <sheetName val="DATA_입력부5"/>
      <sheetName val="수량산출서_갑지5"/>
      <sheetName val="남양시작동자105노65기1_3화1_24"/>
      <sheetName val="관음목장(제출용)자105인97_54"/>
      <sheetName val="1_본부별5"/>
      <sheetName val="1_3_1절점좌표5"/>
      <sheetName val="1_1설계기준5"/>
      <sheetName val="2000_055"/>
      <sheetName val="기초입력_DATA5"/>
      <sheetName val="단양_00_아파트-세부내역5"/>
      <sheetName val="4_경비_5_영업외수지5"/>
      <sheetName val="_견적서5"/>
      <sheetName val="EQUIP_LIST5"/>
      <sheetName val="Piping_Design_Data4"/>
      <sheetName val="4_&amp;_10-inch,_CO2_Combo_&amp;_Sweep4"/>
      <sheetName val="Sight_n_M_H4"/>
      <sheetName val="4_장비손료5"/>
      <sheetName val="2F_회의실견적(5_14_일대)4"/>
      <sheetName val="재활용_악취_먼지DUCT산출5"/>
      <sheetName val="전체내역_(2)4"/>
      <sheetName val="Hyundai_Unit_cost_xls4"/>
      <sheetName val="969910(_R)4"/>
      <sheetName val="원내역서_그대로4"/>
      <sheetName val="5_정산서5"/>
      <sheetName val="수목데이타_4"/>
      <sheetName val="1062-X방향_4"/>
      <sheetName val="TABLE_DB4"/>
      <sheetName val="쌍용_data_base4"/>
      <sheetName val="경비_(1)4"/>
      <sheetName val="설계기준_및_하중계산4"/>
      <sheetName val="PROJECT_BRIEF4"/>
      <sheetName val="5호광장_(만점)5"/>
      <sheetName val="인천국제_(만점)_(2)5"/>
      <sheetName val="전선_및_전선관4"/>
      <sheetName val="VENDOR_LIST4"/>
      <sheetName val="중기조종사_단위단가6"/>
      <sheetName val="5__현장관리비_new__5"/>
      <sheetName val="Temporary_Mooring5"/>
      <sheetName val="A_LINE5"/>
      <sheetName val="제출내역_(2)5"/>
      <sheetName val="2_2_오피스텔(12~32F)5"/>
      <sheetName val="_갑지5"/>
      <sheetName val="일위대가_집계표5"/>
      <sheetName val="9_1지하2층하부보5"/>
      <sheetName val="단계별내역_(2)5"/>
      <sheetName val="총_원가계산5"/>
      <sheetName val="4_일위대가5"/>
      <sheetName val="단가_4"/>
      <sheetName val="4_LINE5"/>
      <sheetName val="7_th5"/>
      <sheetName val="매출요약(월별)_-년간4"/>
      <sheetName val="한성교회_신축공사(050713)_CheckList4"/>
      <sheetName val="단가_및_재료비4"/>
      <sheetName val="1_䷨수장4"/>
      <sheetName val="4_뀴진설Ⳅ4"/>
      <sheetName val="전䰨선로_물량표4"/>
      <sheetName val="㶀대입찰_내역서4"/>
      <sheetName val="내역서_(2)4"/>
      <sheetName val="strut_type4"/>
      <sheetName val="10_경제성분석3"/>
      <sheetName val="총괄집계_4"/>
      <sheetName val="2_13"/>
      <sheetName val="기계_도급내역서3"/>
      <sheetName val="kimre_scrubber4"/>
      <sheetName val="108_수선비4"/>
      <sheetName val="FRP_PIPING_일위대가4"/>
      <sheetName val="-15_03"/>
      <sheetName val="개인별_순위표5"/>
      <sheetName val="사__업__비__수__지__예__산__서3"/>
      <sheetName val="CM_15"/>
      <sheetName val="청_구2"/>
      <sheetName val="공내역_및_견적조건3"/>
      <sheetName val="_ｹ-ﾌﾞﾙ1"/>
      <sheetName val="97_사업추정(WEKI)1"/>
      <sheetName val="STEEL_BOX_단면설계(SEC_8)4"/>
      <sheetName val="2_2_띠장의_설계5"/>
      <sheetName val="자__재5"/>
      <sheetName val="세골재__T2_변경_현황4"/>
      <sheetName val="6__안전관리비13"/>
      <sheetName val="기술부_VENDOR_LIST5"/>
      <sheetName val="4_2_1_마루높이_검토4"/>
      <sheetName val="내역서_(3)5"/>
      <sheetName val="산출양식_(2)5"/>
      <sheetName val="전체산출내역서갑(변경)_5"/>
      <sheetName val="A_터파기공5"/>
      <sheetName val="B_측·집5"/>
      <sheetName val="배(자·집)_(2)5"/>
      <sheetName val="2_01측·터·집5"/>
      <sheetName val="땅깍·수_(1-1)5"/>
      <sheetName val="0-52_5"/>
      <sheetName val="콘·다_(2)5"/>
      <sheetName val="기·집_(2)5"/>
      <sheetName val="콘·다_(3)5"/>
      <sheetName val="병원내역집계표_(2)5"/>
      <sheetName val="실행총괄_5"/>
      <sheetName val="[IL-3_XLSY갑지5"/>
      <sheetName val="4_일위대가목차5"/>
      <sheetName val="내역_ver1_05"/>
      <sheetName val="2000,9월_일위5"/>
      <sheetName val="1_노무비명세서(해동)5"/>
      <sheetName val="1_노무비명세서(토목)5"/>
      <sheetName val="2_노무비명세서(해동)5"/>
      <sheetName val="2_노무비명세서(수직보호망)5"/>
      <sheetName val="2_노무비명세서(난간대)5"/>
      <sheetName val="2_사진대지5"/>
      <sheetName val="3_사진대지5"/>
      <sheetName val="변압기_및_발전기_용량4"/>
      <sheetName val="조도계산서_(도서)4"/>
      <sheetName val="빌딩_안내4"/>
      <sheetName val="CABLE_(2)4"/>
      <sheetName val="G_R300경비4"/>
      <sheetName val="단가대비표_(3)4"/>
      <sheetName val="기성내역서(을)_(2)4"/>
      <sheetName val="1단계_(2)4"/>
      <sheetName val="2_1__노무비_평균단가산출4"/>
      <sheetName val="3_공사비(07년노임단가)4"/>
      <sheetName val="3_공사비(단가조사표)4"/>
      <sheetName val="3_공사비(물량산출표)4"/>
      <sheetName val="3_공사비(일위대가표목록)4"/>
      <sheetName val="3_공사비(일위대가표)4"/>
      <sheetName val="TRE_TABLE4"/>
      <sheetName val="Requirement(Work_Crew)4"/>
      <sheetName val="진입도로B_(2)4"/>
      <sheetName val="2_냉난방설비공사4"/>
      <sheetName val="7_자동제어공사4"/>
      <sheetName val="중강당_내역4"/>
      <sheetName val="기초자료입력및_K치_확인4"/>
      <sheetName val="실행내역_4"/>
      <sheetName val="자재_단가_비교표(견적)4"/>
      <sheetName val="자재_단가_비교표4"/>
      <sheetName val="Bid_Summary4"/>
      <sheetName val="이동시_예상비용4"/>
      <sheetName val="Seg_1DE비용4"/>
      <sheetName val="Transit_비용_감가상각미포함4"/>
      <sheetName val="전화공사_공량_및_집계표4"/>
      <sheetName val="참조_(2)4"/>
      <sheetName val="6__직접경비4"/>
      <sheetName val="대가_(보완)4"/>
      <sheetName val="3_자재비(총괄)4"/>
      <sheetName val="제조_경영4"/>
      <sheetName val="4_전기4"/>
      <sheetName val="노_무_비4"/>
      <sheetName val="미납품_현황4"/>
      <sheetName val="신설개소별_총집계표(동해-배전)4"/>
      <sheetName val="BOX_본체4"/>
      <sheetName val="MP_MOB4"/>
      <sheetName val="신평리_권리자명부1"/>
      <sheetName val="일위대가_(PM)4"/>
      <sheetName val="7_전산해석결과2"/>
      <sheetName val="4_하중2"/>
      <sheetName val="①idea_pipeline4"/>
      <sheetName val="IMP_통일양식4"/>
      <sheetName val="LYS_통일양식4"/>
      <sheetName val="Xunit_(단위환산)4"/>
      <sheetName val="유통기한_프로그램4"/>
      <sheetName val="1-1_현장정리4"/>
      <sheetName val="1-2_토공4"/>
      <sheetName val="1-3_WMM,GSB4"/>
      <sheetName val="1-4_BITUMINOUS_COURSE4"/>
      <sheetName val="1-5_BOX_CULVERTS4"/>
      <sheetName val="1-6_BRIDGE4"/>
      <sheetName val="1-7_DRAINAGE4"/>
      <sheetName val="1-8_TRAFFIC4"/>
      <sheetName val="1-9_MISCELLANEOUS4"/>
      <sheetName val="1-10_ELECTRICAL4"/>
      <sheetName val="1-12_도급외항목4"/>
      <sheetName val="명일작업계획_(3)4"/>
      <sheetName val="용선_C_L4"/>
      <sheetName val="전_체4"/>
      <sheetName val="흙막이B_(오산운암)4"/>
      <sheetName val="타이로드_흙막이4"/>
      <sheetName val="타이로드_흙막이(근입장2_5M)4"/>
      <sheetName val="타이로드(근입장2_5M)4"/>
      <sheetName val="pile_항타4"/>
      <sheetName val="pile_항타(디젤)4"/>
      <sheetName val="pile_항타_A4"/>
      <sheetName val="pile_항타_B4"/>
      <sheetName val="pile_항타_C4"/>
      <sheetName val="pile_인발4"/>
      <sheetName val="pile_인발_A4"/>
      <sheetName val="pile_인발_B4"/>
      <sheetName val="pile_인발_C4"/>
      <sheetName val="20TON_TRAILER4"/>
      <sheetName val="토류판_(2)4"/>
      <sheetName val="SHEET_PILE단가4"/>
      <sheetName val="6_이토처리시간4"/>
      <sheetName val="태화42_1"/>
      <sheetName val="외주현황_wq11"/>
      <sheetName val="1차_내역서4"/>
      <sheetName val="220_(2)1"/>
      <sheetName val="토__공1"/>
      <sheetName val="울진항공등화_내역서4"/>
      <sheetName val="일_위_대_가_표4"/>
      <sheetName val="영흥TL(UP,DOWN)_4"/>
      <sheetName val="3련_BOX4"/>
      <sheetName val="내역서_3"/>
      <sheetName val="2_1외주4"/>
      <sheetName val="2_3노무4"/>
      <sheetName val="2_4자재4"/>
      <sheetName val="2_2장비4"/>
      <sheetName val="2_5경비4"/>
      <sheetName val="2_6수목대4"/>
      <sheetName val="모선자재_집계표3"/>
      <sheetName val="재료의_할증3"/>
      <sheetName val="D1_2_COF모듈자재_입출재고_(B급)3"/>
      <sheetName val="BEND_LOSS1"/>
      <sheetName val="토공_total1"/>
      <sheetName val="3_관로전환기1"/>
      <sheetName val="F_월별기성수금현황_1"/>
      <sheetName val="내역서1999_8최종1"/>
      <sheetName val="3_전기산출기초1"/>
      <sheetName val="고객사_관리_코드4"/>
      <sheetName val="중기쥰종사_단위단가4"/>
      <sheetName val="금회_청구사항(기계)1"/>
      <sheetName val="기성갑지_(소방)1"/>
      <sheetName val="금회_청구사항(소방)1"/>
      <sheetName val="함열량_db3"/>
      <sheetName val="PTVT_(MAU)4"/>
      <sheetName val="99_조정금액1"/>
      <sheetName val="D_B1"/>
      <sheetName val="기존단가_(2)2"/>
      <sheetName val="TRAY_헹거산출1"/>
      <sheetName val="1_청구서1"/>
      <sheetName val="2_내역서1"/>
      <sheetName val="표__지3"/>
      <sheetName val="1_11"/>
      <sheetName val="K2_site_Total_내역서1"/>
      <sheetName val="Div26_-_Elect3"/>
      <sheetName val="Khoi_luong3"/>
      <sheetName val="Bảng_mã_VT3"/>
      <sheetName val="DonGia_chetao3"/>
      <sheetName val="DonGia_VatTuLK3"/>
      <sheetName val="Fr_Revit3"/>
      <sheetName val="NSA_Summary3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chi_tiet2"/>
      <sheetName val="PPC_Summary2"/>
      <sheetName val="Tong_hop1"/>
      <sheetName val="Phan_lap_dat1"/>
      <sheetName val="Lắp_Ráp1"/>
      <sheetName val="동강_배관1"/>
      <sheetName val="WCR_외주1"/>
      <sheetName val="ANILINE_-_OPTION1"/>
      <sheetName val="MDI_-_OPTION1"/>
      <sheetName val="총괄표_1"/>
      <sheetName val="계약대비내역서_(부경)1"/>
      <sheetName val="집행대비내역서_(부경)1"/>
      <sheetName val="계약그라우팅_포장1"/>
      <sheetName val="계약사무실조경_1"/>
      <sheetName val="횡배수관_토공량_산출1"/>
      <sheetName val="Phieu_trinh_ky_cấu_tháp1"/>
      <sheetName val="Phieu_trinh_ky_VTP1"/>
      <sheetName val="KS-VL_rời1"/>
      <sheetName val="Tai_san1"/>
      <sheetName val="Check_dong_tien1"/>
      <sheetName val="Chi_phí_SDTS1"/>
      <sheetName val="Check_COST1"/>
      <sheetName val="DATA_HD1"/>
      <sheetName val="Tong_hop_1TM1"/>
      <sheetName val="NS_Lán_trại1"/>
      <sheetName val="Check_cong_no_NC1"/>
      <sheetName val="cong_thuc_tinh_chi_tiet3"/>
      <sheetName val="_IL-3_XLSY갑지5"/>
      <sheetName val="KET_CAU-_MJV21"/>
      <sheetName val="Ví_dụ1"/>
      <sheetName val="Gia_VLNCMTC1"/>
      <sheetName val="06_일위대가목록1"/>
      <sheetName val="부대표지⽠"/>
      <sheetName val="도시정비_"/>
      <sheetName val="3_1_6_전산처리결과"/>
      <sheetName val="1공구_건정토건_토공9"/>
      <sheetName val="1공구_건정토건_철콘9"/>
      <sheetName val="도급표지_9"/>
      <sheetName val="도급표지__(4)9"/>
      <sheetName val="부대표지_(4)9"/>
      <sheetName val="도급표지__(3)9"/>
      <sheetName val="부대표지_(3)9"/>
      <sheetName val="도급표지__(2)9"/>
      <sheetName val="부대표지_(2)9"/>
      <sheetName val="토__목9"/>
      <sheetName val="조__경9"/>
      <sheetName val="전_기9"/>
      <sheetName val="건__축9"/>
      <sheetName val="보도내역_(3)9"/>
      <sheetName val="준검_내역서9"/>
      <sheetName val="1_수인터널9"/>
      <sheetName val="2_대외공문9"/>
      <sheetName val="설_계9"/>
      <sheetName val="6PILE__(돌출)9"/>
      <sheetName val="AS포장복구_9"/>
      <sheetName val="입출재고현황_(2)8"/>
      <sheetName val="0_0ControlSheet9"/>
      <sheetName val="0_1keyAssumption9"/>
      <sheetName val="4_내진설계8"/>
      <sheetName val="내역(최종본4_5)9"/>
      <sheetName val="Sheet1_(2)8"/>
      <sheetName val="BSD_(2)8"/>
      <sheetName val="1_취수장8"/>
      <sheetName val="부대입찰_내역서8"/>
      <sheetName val="전차선로_물량표8"/>
      <sheetName val="토공(우물통,기타)_8"/>
      <sheetName val="_총괄표8"/>
      <sheetName val="현장관리비_산출내역8"/>
      <sheetName val="제잡비_xls8"/>
      <sheetName val="3BL공동구_수량8"/>
      <sheetName val="현장별계약현황('98_10_31)8"/>
      <sheetName val="96보완계획7_128"/>
      <sheetName val="97년_추정8"/>
      <sheetName val="인건비_8"/>
      <sheetName val="1__설계조건_2_단면가정_3__하중계산8"/>
      <sheetName val="DATA_입력란8"/>
      <sheetName val="실행내역서_8"/>
      <sheetName val="1_설계조건8"/>
      <sheetName val="2_고용보험료산출근거8"/>
      <sheetName val="노원열병합__건축공사기성내역서8"/>
      <sheetName val="Eq__Mobilization8"/>
      <sheetName val="원가계산_(2)8"/>
      <sheetName val="장비당단가_(1)7"/>
      <sheetName val="Sheet2_(2)7"/>
      <sheetName val="내___역6"/>
      <sheetName val="1_설계기준7"/>
      <sheetName val="프라임_강변역(4,236)6"/>
      <sheetName val="플랜트_설치8"/>
      <sheetName val="8_PILE__(돌출)7"/>
      <sheetName val="콤보박스와_리스트박스의_연결8"/>
      <sheetName val="2000년_공정표6"/>
      <sheetName val="수_량_명_세_서_-_17"/>
      <sheetName val="설내역서_7"/>
      <sheetName val="2_건축7"/>
      <sheetName val="집_계_표6"/>
      <sheetName val="2_교량(신설)6"/>
      <sheetName val="5_2코핑6"/>
      <sheetName val="공정표_7"/>
      <sheetName val="P_M_별6"/>
      <sheetName val="표지_(3)8"/>
      <sheetName val="표지_(2)8"/>
      <sheetName val="교각집계_(2)8"/>
      <sheetName val="교각토공_(2)8"/>
      <sheetName val="교각철근_(2)8"/>
      <sheetName val="외주대비_-석축8"/>
      <sheetName val="외주대비-구조물_(2)8"/>
      <sheetName val="견적표지_(3)8"/>
      <sheetName val="_HIT-&gt;HMC_견적(3900)8"/>
      <sheetName val="일__위__대__가__목__록8"/>
      <sheetName val="교각토공__2_8"/>
      <sheetName val="HRSG_SMALL072208"/>
      <sheetName val="6__안전관리비14"/>
      <sheetName val="하도내역_(철콘)7"/>
      <sheetName val="3_공통공사대비8"/>
      <sheetName val="노무비_근거7"/>
      <sheetName val="조건표_(2)7"/>
      <sheetName val="별표_7"/>
      <sheetName val="임율_Data7"/>
      <sheetName val="2차전체변경예정_(2)7"/>
      <sheetName val="토공유동표(전체_당초)7"/>
      <sheetName val="목차_7"/>
      <sheetName val="단면_(2)7"/>
      <sheetName val="b_balju_(2)7"/>
      <sheetName val="8_현장관리비7"/>
      <sheetName val="7_안전관리비7"/>
      <sheetName val="7__현장관리비_7"/>
      <sheetName val="노무비_6"/>
      <sheetName val="내역서_제출6"/>
      <sheetName val="구조______6"/>
      <sheetName val="간_지16"/>
      <sheetName val="화재_탐지_설비6"/>
      <sheetName val="4_일위대가집계6"/>
      <sheetName val="5__현장관리비(new)_6"/>
      <sheetName val="Customer_Databas6"/>
      <sheetName val="방배동내역_(총괄)6"/>
      <sheetName val="배수공_시멘트_및_골재량_산출6"/>
      <sheetName val="7_PILE__(돌출)6"/>
      <sheetName val="CIP_공사7"/>
      <sheetName val="광통신_견적내역서16"/>
      <sheetName val="할증_6"/>
      <sheetName val="unit_46"/>
      <sheetName val="DATA_입력부6"/>
      <sheetName val="수량산출서_갑지6"/>
      <sheetName val="남양시작동자105노65기1_3화1_25"/>
      <sheetName val="관음목장(제출용)자105인97_55"/>
      <sheetName val="1_본부별6"/>
      <sheetName val="1_3_1절점좌표6"/>
      <sheetName val="1_1설계기준6"/>
      <sheetName val="2000_056"/>
      <sheetName val="기초입력_DATA6"/>
      <sheetName val="단양_00_아파트-세부내역6"/>
      <sheetName val="4_경비_5_영업외수지6"/>
      <sheetName val="_견적서6"/>
      <sheetName val="EQUIP_LIST6"/>
      <sheetName val="Piping_Design_Data5"/>
      <sheetName val="4_&amp;_10-inch,_CO2_Combo_&amp;_Sweep5"/>
      <sheetName val="Sight_n_M_H5"/>
      <sheetName val="4_장비손료6"/>
      <sheetName val="2F_회의실견적(5_14_일대)5"/>
      <sheetName val="재활용_악취_먼지DUCT산출6"/>
      <sheetName val="전체내역_(2)5"/>
      <sheetName val="Hyundai_Unit_cost_xls5"/>
      <sheetName val="969910(_R)5"/>
      <sheetName val="원내역서_그대로5"/>
      <sheetName val="5_정산서6"/>
      <sheetName val="수목데이타_5"/>
      <sheetName val="1062-X방향_5"/>
      <sheetName val="TABLE_DB5"/>
      <sheetName val="쌍용_data_base5"/>
      <sheetName val="경비_(1)5"/>
      <sheetName val="설계기준_및_하중계산5"/>
      <sheetName val="PROJECT_BRIEF5"/>
      <sheetName val="5호광장_(만점)6"/>
      <sheetName val="인천국제_(만점)_(2)6"/>
      <sheetName val="전선_및_전선관5"/>
      <sheetName val="VENDOR_LIST5"/>
      <sheetName val="중기조종사_단위단가7"/>
      <sheetName val="5__현장관리비_new__6"/>
      <sheetName val="Temporary_Mooring6"/>
      <sheetName val="A_LINE6"/>
      <sheetName val="제출내역_(2)6"/>
      <sheetName val="2_2_오피스텔(12~32F)6"/>
      <sheetName val="_갑지6"/>
      <sheetName val="일위대가_집계표6"/>
      <sheetName val="9_1지하2층하부보6"/>
      <sheetName val="단계별내역_(2)6"/>
      <sheetName val="총_원가계산6"/>
      <sheetName val="4_일위대가6"/>
      <sheetName val="단가_5"/>
      <sheetName val="4_LINE6"/>
      <sheetName val="7_th6"/>
      <sheetName val="매출요약(월별)_-년간5"/>
      <sheetName val="한성교회_신축공사(050713)_CheckList5"/>
      <sheetName val="단가_및_재료비5"/>
      <sheetName val="1_䷨수장5"/>
      <sheetName val="4_뀴진설Ⳅ5"/>
      <sheetName val="전䰨선로_물량표5"/>
      <sheetName val="㶀대입찰_내역서5"/>
      <sheetName val="내역서_(2)5"/>
      <sheetName val="strut_type5"/>
      <sheetName val="10_경제성분석4"/>
      <sheetName val="총괄집계_5"/>
      <sheetName val="2_14"/>
      <sheetName val="기계_도급내역서4"/>
      <sheetName val="kimre_scrubber5"/>
      <sheetName val="108_수선비5"/>
      <sheetName val="FRP_PIPING_일위대가5"/>
      <sheetName val="-15_04"/>
      <sheetName val="개인별_순위표6"/>
      <sheetName val="사__업__비__수__지__예__산__서4"/>
      <sheetName val="CM_16"/>
      <sheetName val="청_구3"/>
      <sheetName val="공내역_및_견적조건4"/>
      <sheetName val="_ｹ-ﾌﾞﾙ2"/>
      <sheetName val="97_사업추정(WEKI)2"/>
      <sheetName val="STEEL_BOX_단면설계(SEC_8)5"/>
      <sheetName val="2_2_띠장의_설계6"/>
      <sheetName val="자__재6"/>
      <sheetName val="세골재__T2_변경_현황5"/>
      <sheetName val="6__안전관리비15"/>
      <sheetName val="기술부_VENDOR_LIST6"/>
      <sheetName val="4_2_1_마루높이_검토5"/>
      <sheetName val="내역서_(3)6"/>
      <sheetName val="산출양식_(2)6"/>
      <sheetName val="전체산출내역서갑(변경)_6"/>
      <sheetName val="A_터파기공6"/>
      <sheetName val="B_측·집6"/>
      <sheetName val="배(자·집)_(2)6"/>
      <sheetName val="2_01측·터·집6"/>
      <sheetName val="땅깍·수_(1-1)6"/>
      <sheetName val="0-52_6"/>
      <sheetName val="콘·다_(2)6"/>
      <sheetName val="기·집_(2)6"/>
      <sheetName val="콘·다_(3)6"/>
      <sheetName val="병원내역집계표_(2)6"/>
      <sheetName val="실행총괄_6"/>
      <sheetName val="[IL-3_XLSY갑지6"/>
      <sheetName val="4_일위대가목차6"/>
      <sheetName val="내역_ver1_06"/>
      <sheetName val="2000,9월_일위6"/>
      <sheetName val="1_노무비명세서(해동)6"/>
      <sheetName val="1_노무비명세서(토목)6"/>
      <sheetName val="2_노무비명세서(해동)6"/>
      <sheetName val="2_노무비명세서(수직보호망)6"/>
      <sheetName val="2_노무비명세서(난간대)6"/>
      <sheetName val="2_사진대지6"/>
      <sheetName val="3_사진대지6"/>
      <sheetName val="변압기_및_발전기_용량5"/>
      <sheetName val="조도계산서_(도서)5"/>
      <sheetName val="빌딩_안내5"/>
      <sheetName val="CABLE_(2)5"/>
      <sheetName val="G_R300경비5"/>
      <sheetName val="단가대비표_(3)5"/>
      <sheetName val="기성내역서(을)_(2)5"/>
      <sheetName val="1단계_(2)5"/>
      <sheetName val="2_1__노무비_평균단가산출5"/>
      <sheetName val="3_공사비(07년노임단가)5"/>
      <sheetName val="3_공사비(단가조사표)5"/>
      <sheetName val="3_공사비(물량산출표)5"/>
      <sheetName val="3_공사비(일위대가표목록)5"/>
      <sheetName val="3_공사비(일위대가표)5"/>
      <sheetName val="TRE_TABLE5"/>
      <sheetName val="Requirement(Work_Crew)5"/>
      <sheetName val="진입도로B_(2)5"/>
      <sheetName val="2_냉난방설비공사5"/>
      <sheetName val="7_자동제어공사5"/>
      <sheetName val="중강당_내역5"/>
      <sheetName val="기초자료입력및_K치_확인5"/>
      <sheetName val="실행내역_5"/>
      <sheetName val="자재_단가_비교표(견적)5"/>
      <sheetName val="자재_단가_비교표5"/>
      <sheetName val="Bid_Summary5"/>
      <sheetName val="이동시_예상비용5"/>
      <sheetName val="Seg_1DE비용5"/>
      <sheetName val="Transit_비용_감가상각미포함5"/>
      <sheetName val="전화공사_공량_및_집계표5"/>
      <sheetName val="참조_(2)5"/>
      <sheetName val="6__직접경비5"/>
      <sheetName val="대가_(보완)5"/>
      <sheetName val="3_자재비(총괄)5"/>
      <sheetName val="제조_경영5"/>
      <sheetName val="4_전기5"/>
      <sheetName val="노_무_비5"/>
      <sheetName val="미납품_현황5"/>
      <sheetName val="신설개소별_총집계표(동해-배전)5"/>
      <sheetName val="BOX_본체5"/>
      <sheetName val="MP_MOB5"/>
      <sheetName val="신평리_권리자명부2"/>
      <sheetName val="일위대가_(PM)5"/>
      <sheetName val="7_전산해석결과3"/>
      <sheetName val="4_하중3"/>
      <sheetName val="①idea_pipeline5"/>
      <sheetName val="IMP_통일양식5"/>
      <sheetName val="LYS_통일양식5"/>
      <sheetName val="Xunit_(단위환산)5"/>
      <sheetName val="유통기한_프로그램5"/>
      <sheetName val="1-1_현장정리5"/>
      <sheetName val="1-2_토공5"/>
      <sheetName val="1-3_WMM,GSB5"/>
      <sheetName val="1-4_BITUMINOUS_COURSE5"/>
      <sheetName val="1-5_BOX_CULVERTS5"/>
      <sheetName val="1-6_BRIDGE5"/>
      <sheetName val="1-7_DRAINAGE5"/>
      <sheetName val="1-8_TRAFFIC5"/>
      <sheetName val="1-9_MISCELLANEOUS5"/>
      <sheetName val="1-10_ELECTRICAL5"/>
      <sheetName val="1-12_도급외항목5"/>
      <sheetName val="명일작업계획_(3)5"/>
      <sheetName val="용선_C_L5"/>
      <sheetName val="전_체5"/>
      <sheetName val="흙막이B_(오산운암)5"/>
      <sheetName val="타이로드_흙막이5"/>
      <sheetName val="타이로드_흙막이(근입장2_5M)5"/>
      <sheetName val="타이로드(근입장2_5M)5"/>
      <sheetName val="pile_항타5"/>
      <sheetName val="pile_항타(디젤)5"/>
      <sheetName val="pile_항타_A5"/>
      <sheetName val="pile_항타_B5"/>
      <sheetName val="pile_항타_C5"/>
      <sheetName val="pile_인발5"/>
      <sheetName val="pile_인발_A5"/>
      <sheetName val="pile_인발_B5"/>
      <sheetName val="pile_인발_C5"/>
      <sheetName val="20TON_TRAILER5"/>
      <sheetName val="토류판_(2)5"/>
      <sheetName val="SHEET_PILE단가5"/>
      <sheetName val="6_이토처리시간5"/>
      <sheetName val="태화42_2"/>
      <sheetName val="외주현황_wq12"/>
      <sheetName val="1차_내역서5"/>
      <sheetName val="220_(2)2"/>
      <sheetName val="토__공2"/>
      <sheetName val="울진항공등화_내역서5"/>
      <sheetName val="일_위_대_가_표5"/>
      <sheetName val="영흥TL(UP,DOWN)_5"/>
      <sheetName val="3련_BOX5"/>
      <sheetName val="내역서_4"/>
      <sheetName val="2_1외주5"/>
      <sheetName val="2_3노무5"/>
      <sheetName val="2_4자재5"/>
      <sheetName val="2_2장비5"/>
      <sheetName val="2_5경비5"/>
      <sheetName val="2_6수목대5"/>
      <sheetName val="모선자재_집계표4"/>
      <sheetName val="재료의_할증4"/>
      <sheetName val="D1_2_COF모듈자재_입출재고_(B급)4"/>
      <sheetName val="BEND_LOSS2"/>
      <sheetName val="토공_total2"/>
      <sheetName val="3_관로전환기2"/>
      <sheetName val="F_월별기성수금현황_2"/>
      <sheetName val="내역서1999_8최종2"/>
      <sheetName val="3_전기산출기초2"/>
      <sheetName val="고객사_관리_코드5"/>
      <sheetName val="중기쥰종사_단위단가5"/>
      <sheetName val="_2"/>
      <sheetName val="금회_청구사항(기계)2"/>
      <sheetName val="기성갑지_(소방)2"/>
      <sheetName val="금회_청구사항(소방)2"/>
      <sheetName val="함열량_db4"/>
      <sheetName val="PTVT_(MAU)5"/>
      <sheetName val="99_조정금액2"/>
      <sheetName val="D_B2"/>
      <sheetName val="기존단가_(2)3"/>
      <sheetName val="TRAY_헹거산출2"/>
      <sheetName val="1_청구서2"/>
      <sheetName val="2_내역서2"/>
      <sheetName val="표__지4"/>
      <sheetName val="1_12"/>
      <sheetName val="K2_site_Total_내역서2"/>
      <sheetName val="Div26_-_Elect4"/>
      <sheetName val="Khoi_luong4"/>
      <sheetName val="Bảng_mã_VT4"/>
      <sheetName val="DonGia_chetao4"/>
      <sheetName val="DonGia_VatTuLK4"/>
      <sheetName val="Fr_Revit4"/>
      <sheetName val="NSA_Summary4"/>
      <sheetName val="일위대가56-1_2"/>
      <sheetName val="일위대가71-1_2"/>
      <sheetName val="일위대가74-1_2"/>
      <sheetName val="일위대가76-1_2"/>
      <sheetName val="일위대가77-1_2"/>
      <sheetName val="일위대가78-1_2"/>
      <sheetName val="chi_tiet3"/>
      <sheetName val="PPC_Summary3"/>
      <sheetName val="Tong_hop2"/>
      <sheetName val="Phan_lap_dat2"/>
      <sheetName val="Lắp_Ráp2"/>
      <sheetName val="동강_배관2"/>
      <sheetName val="WCR_외주2"/>
      <sheetName val="ANILINE_-_OPTION2"/>
      <sheetName val="MDI_-_OPTION2"/>
      <sheetName val="총괄표_2"/>
      <sheetName val="계약대비내역서_(부경)2"/>
      <sheetName val="집행대비내역서_(부경)2"/>
      <sheetName val="계약그라우팅_포장2"/>
      <sheetName val="계약사무실조경_2"/>
      <sheetName val="횡배수관_토공량_산출2"/>
      <sheetName val="Phieu_trinh_ky_cấu_tháp2"/>
      <sheetName val="Phieu_trinh_ky_VTP2"/>
      <sheetName val="KS-VL_rời2"/>
      <sheetName val="Tai_san2"/>
      <sheetName val="Check_dong_tien2"/>
      <sheetName val="Chi_phí_SDTS2"/>
      <sheetName val="Check_COST2"/>
      <sheetName val="DATA_HD2"/>
      <sheetName val="Tong_hop_1TM2"/>
      <sheetName val="NS_Lán_trại2"/>
      <sheetName val="Check_cong_no_NC2"/>
      <sheetName val="cong_thuc_tinh_chi_tiet4"/>
      <sheetName val="_IL-3_XLSY갑지6"/>
      <sheetName val="KET_CAU-_MJV22"/>
      <sheetName val="Ví_dụ2"/>
      <sheetName val="Gia_VLNCMTC2"/>
      <sheetName val="06_일위대가목록2"/>
      <sheetName val="도시정비_1"/>
      <sheetName val="3_1_6_전산처리결과1"/>
      <sheetName val="SIL98"/>
      <sheetName val="제품목록"/>
      <sheetName val="중사"/>
      <sheetName val="위생悱"/>
      <sheetName val="Summary"/>
      <sheetName val="H. MECHANICAL"/>
      <sheetName val="J. FIRE FIGHTING"/>
      <sheetName val="MECHANICAL"/>
      <sheetName val="Sàn T1"/>
      <sheetName val="Lỗ thông gió"/>
      <sheetName val="CodeSheet"/>
      <sheetName val="DI-ESTI"/>
      <sheetName val="Bang gia 2011.10.12"/>
      <sheetName val="[후다_x0001_ _x0010__x0000__x0003_ _x0010__x0000__x0001__x0000__x0010__x0000__x0001_ _x0010__x0000__x0003_"/>
      <sheetName val="Thống kê"/>
      <sheetName val="Sikje_in"/>
      <sheetName val="샌딩_에폭시_도장"/>
      <sheetName val="외주대비_ᨀ晙ԯ"/>
      <sheetName val="유통간부"/>
      <sheetName val="장기"/>
      <sheetName val="수정계획3"/>
      <sheetName val="시작"/>
      <sheetName val="받을어음"/>
      <sheetName val="유가증권"/>
      <sheetName val="대손상각"/>
      <sheetName val="HS"/>
      <sheetName val="Sikje_in_x0005_"/>
      <sheetName val="Tai khoan"/>
      <sheetName val="Summary_VO_No_3"/>
      <sheetName val="VO_No_3_1"/>
      <sheetName val="VO_No_3_2"/>
      <sheetName val="VO_No_3_3"/>
      <sheetName val="VO_No_3_4"/>
      <sheetName val="VO_No_3_5"/>
      <sheetName val="VO_No_3_6"/>
      <sheetName val="VO_No_3_7"/>
      <sheetName val="VO_No_3_8"/>
      <sheetName val="SCOPE_OF_WORK"/>
      <sheetName val="대3류_"/>
      <sheetName val="Sàn_T1"/>
      <sheetName val="Lỗ_thông_gió"/>
      <sheetName val="Index"/>
      <sheetName val="샌딩_에폭시_도장1"/>
      <sheetName val="외주대비_ᨀ晙ԯ1"/>
      <sheetName val="[후다___"/>
      <sheetName val="Thống_kê"/>
      <sheetName val="3_단가산출서"/>
      <sheetName val="4_단가산출기초"/>
      <sheetName val="H__MECHANICAL"/>
      <sheetName val="J__FIRE_FIGHTING"/>
      <sheetName val="동업계매출속보"/>
      <sheetName val="GI-LIST"/>
      <sheetName val="중기사용료 (2)"/>
      <sheetName val="목창호"/>
      <sheetName val="총물량"/>
      <sheetName val="投标材料清单 "/>
      <sheetName val="ጳ_x0000__x0000_Ⴔጳ_x0000__x0000_Lጴ_x0000__x0000_ ጵ_x0000__x0000_ ጶ_x0000__x0000_ఀጷ_x0000__x0000_ ጸ_x0000_"/>
      <sheetName val="ጷ_x0000__x0000_Ⴔጸ_x0000__x0000_Lጿ_x0000__x0000_Rጿ_x0000__x0000_Sጊ_x0000__x0000_Lጊ_x0000__x0000_2ጱ"/>
      <sheetName val="ጳ_x0000__x0000_Ⴔጳ_x0000__x0000_Lጴ_x0000__x0000__ጵ_x0000__x0000__ጶ_x0000__x0000_ఀጷ_x0000__x0000__ጸ_x0000_"/>
      <sheetName val="ጳ_x0000__x0000_Ⴔጳ_x0000__x0000_Lጴ_x0000__x0000_Rጳ_x0000__x0000_Sጳ_x0000__x0000_Lጴ_x0000__x0000_2ጵ"/>
      <sheetName val="ጳ_x0000__x0000_Ⴔጴ_x0000__x0000_Lጳ_x0000__x0000_0ጳ_x0000__x0000_Șጴ_x0000__x0000_Șጵ_x0000__x0000_"/>
      <sheetName val="ጱ_x0000__x0000_Ⴔጲ_x0000__x0000_Lፍ_x0000__x0000_uጳ_x0000__x0000_mጳ_x0000__x0000_Dጴ_x0000__x0000_bጳ_x0000_"/>
      <sheetName val="ጊ_x0000__x0000_Ⴔጱ_x0000__x0000_Lጲ_x0000__x0000_.ድ_x0000__x0000_nጳ_x0000__x0000_lጳ_x0000__x0000_eጴ"/>
      <sheetName val="ጵ_x0000__x0000_Ⴔጶ_x0000__x0000_Lጷ_x0000__x0000_.ጸ_x0000__x0000_yጿ_x0000__x0000_uጿ_x0000__x0000_iጊ_x0000_"/>
      <sheetName val="ጊ_x0000__x0000_Ⴔጱ_x0000__x0000_Lጲ_x0000__x0000_-ድ_x0000__x0000_Lጳ_x0000__x0000_(ጳ_x0000__x0000_"/>
      <sheetName val="ጿ_x0000__x0000_Ⴔጿ_x0000__x0000_Lጊ_x0000__x0000_ېጱ_x0000__x0000_ ጲ_x0000__x0000_೵ድ_x0000__x0000_Ⴔጳ_x0000_"/>
      <sheetName val="ጊ_x0000__x0000_Ⴔጊ_x0000__x0000_Lጱ_x0000__x0000_᳴ጲ_x0000__x0000_ ድ_x0000__x0000_ᰕጳ_x0000__x0000_װጳ"/>
      <sheetName val="ጸ_x0000__x0000_Ⴔጿ_x0000__x0000_Lጿ_x0000__x0000_qጊ_x0000__x0000_oጊ_x0000__x0000_iጱ_x0000__x0000_iጲ_x0000_"/>
      <sheetName val="ጳ_x0000__x0000_Ⴔጴ_x0000__x0000_Lጳ_x0000__x0000__ጳ_x0000__x0000_nጴ_x0000__x0000_lጵ_x0000__x0000_eጶ"/>
      <sheetName val="ጿ_x0000__x0000_Ⴔጿ_x0000__x0000_Lጊ_x0000__x0000__ጊ_x0000__x0000_yጱ_x0000__x0000_uጲ_x0000__x0000_iድ_x0000_"/>
      <sheetName val="ፍ_x0000__x0000_Ⴔጳ_x0000__x0000_Lጳ_x0000__x0000_Nጴ_x0000__x0000_(ጳ_x0000__x0000_ᖥጳ_x0000__x0000_)"/>
      <sheetName val="ጿ_x0000__x0000_Ⴔጿ_x0000__x0000_Lጊ_x0000__x0000_Cጱ_x0000__x0000_4ጲ_x0000__x0000_Ĥፍ_x0000__x0000_"/>
      <sheetName val="ጳ_x0000__x0000_Ⴔጳ_x0000__x0000_Lጴ_x0000__x0000_෠ጳ_x0000__x0000_ೠጳ_x0000__x0000_2ጴ_x0000__x0000_Pጵ"/>
      <sheetName val="ጶ_x0000__x0000_Ⴔጷ_x0000__x0000_Lጸ_x0000__x0000_ ጿ_x0000__x0000_ ጿ_x0000__x0000_ ጊ_x0000__x0000_"/>
      <sheetName val="ጳ_x0000__x0000_Ⴔጴ_x0000__x0000_Lጳ_x0000__x0000_ބጳ_x0000__x0000_کጴ_x0000__x0000_ឌጵ_x0000__x0000_"/>
      <sheetName val="ጊ_x0000__x0000_Ⴔጊ_x0000__x0000_Lጱ_x0000__x0000_ބጲ_x0000__x0000_کድ_x0000__x0000_ឌጳ_x0000__x0000_"/>
      <sheetName val="ጳ_x0000__x0000_Ⴔጳ_x0000__x0000_Lጴ_x0000__x0000_᝼ጵ_x0000__x0000_᳀ጶ_x0000__x0000_,ጷ_x0000__x0000_)"/>
      <sheetName val="ጿ_x0000__x0000_Ⴔጊ_x0000__x0000_Lጱ_x0000__x0000_Șጲ_x0000__x0000_ᩘድ_x0000__x0000_ ጳ_x0000__x0000_ ጳ_x0000_"/>
      <sheetName val="ድ_x0000__x0000_Ⴔጳ_x0000__x0000_Lጳ_x0000__x0000_.ጴ_x0000__x0000_ഀጳ_x0000__x0000_nጳ_x0000__x0000_ "/>
      <sheetName val="ጴ_x0000__x0000_Ⴔጵ_x0000__x0000_Lጶ_x0000__x0000__ጷ_x0000__x0000_ഀጸ_x0000__x0000_nጿ_x0000__x0000_ "/>
      <sheetName val="ጳ_x0000__x0000_Ⴔጴ_x0000__x0000_Lጵ_x0000__x0000_.ጶ_x0000__x0000_ᔼጷ_x0000__x0000_1ጸ_x0000__x0000_2ጿ_x0000_"/>
      <sheetName val="ጲ_x0000__x0000_Ⴔድ_x0000__x0000_Lጳ_x0000__x0000_Rጳ_x0000__x0000_aጴ_x0000__x0000_lጳ_x0000__x0000_oጳ"/>
      <sheetName val="ጊ_x0000__x0000_Ⴔጱ_x0000__x0000_Lጲ_x0000__x0000_Rድ_x0000__x0000_Dጳ_x0000__x0000_(ጳ_x0000__x0000_๘ጴ"/>
      <sheetName val="ጴ_x0000__x0000_Ⴔጵ_x0000__x0000_Lጶ_x0000__x0000_֑ጷ_x0000__x0000_0ጸ_x0000__x0000_1ጿ_x0000__x0000_0ጿ"/>
      <sheetName val="ጸ_x0000__x0000_Ⴔጿ_x0000__x0000_Lጿ_x0000__x0000_Ƞጊ_x0000__x0000_Eጱ_x0000__x0000_Rጲ_x0000__x0000_Sፍ"/>
      <sheetName val="ጵ_x0000__x0000_Ⴔጶ_x0000__x0000_Lጷ_x0000__x0000_-ጸ_x0000__x0000_Oጿ_x0000__x0000_Uጿ_x0000__x0000_Rጊ_x0000_"/>
      <sheetName val="ጳ_x0000__x0000_Ⴔጴ_x0000__x0000_Lጵ_x0000__x0000_-ጶ_x0000__x0000_Eጷ_x0000__x0000_Tጸ_x0000__x0000_Aጿ"/>
      <sheetName val="ጸ_x0000__x0000_Ⴔጿ_x0000__x0000_Lጿ_x0000__x0000_.ጊ_x0000__x0000_ ጱ_x0000__x0000_ݴጲ_x0000__x0000_"/>
      <sheetName val="ጱ_x0000__x0000_Ⴔጲ_x0000__x0000_Lድ_x0000__x0000_ࣼጳ_x0000__x0000_൬ጳ_x0000__x0000_(ጴ_x0000__x0000_"/>
      <sheetName val="ጴ_x0000__x0000_Ⴔጳ_x0000__x0000_Lጳ_x0000__x0000_Rጴ_x0000__x0000_Sጵ_x0000__x0000_Lጶ_x0000__x0000_2ጷ_x0000_"/>
      <sheetName val="ጿ_x0000__x0000_Ⴔጿ_x0000__x0000_Lጊ_x0000__x0000_uጱ_x0000__x0000_mጲ_x0000__x0000_Dድ_x0000__x0000_bጳ_x0000_"/>
      <sheetName val="ጴ_x0000__x0000_Ⴔጳ_x0000__x0000_Lጳ_x0000__x0000__ጴ_x0000__x0000_nጵ_x0000__x0000_lጶ_x0000__x0000_eጷ_x0000_"/>
      <sheetName val="ጶ_x0000__x0000_Ⴔጷ_x0000__x0000_Lጸ_x0000__x0000_ېጿ_x0000__x0000__ጿ_x0000__x0000_೵ጊ_x0000__x0000_Ⴔጱ_x0000_"/>
      <sheetName val="ጳ_x0000__x0000_Ⴔጳ_x0000__x0000_Lጴ_x0000__x0000__ጳ_x0000__x0000_ഀጳ_x0000__x0000_nጴ_x0000__x0000__"/>
      <sheetName val="ጿ_x0000__x0000_Ⴔጊ_x0000__x0000_Lጊ_x0000__x0000__ጱ_x0000__x0000_ഀጲ_x0000__x0000_nድ_x0000__x0000__"/>
      <sheetName val="ጵ_x0000__x0000_Ⴔጶ_x0000__x0000_Lጷ_x0000__x0000_qጸ_x0000__x0000_oጿ_x0000__x0000_iጿ_x0000__x0000_iጊ_x0000_"/>
      <sheetName val="ጲ_x0000__x0000_Ⴔድ_x0000__x0000_Lጳ_x0000__x0000_᳴ጳ_x0000__x0000__ጴ_x0000__x0000_ᰕጳ_x0000__x0000_װጳ"/>
      <sheetName val="ጶ_x0000__x0000_Ⴔጷ_x0000__x0000_Lጸ_x0000__x0000__ጿ_x0000__x0000__ጿ_x0000__x0000__ጊ_x0000__x0000_"/>
      <sheetName val="ጱ_x0000__x0000_Ⴔጲ_x0000__x0000_Lድ_x0000__x0000_᝼ጳ_x0000__x0000_᳀ጳ_x0000__x0000_,ጴ_x0000__x0000_)"/>
      <sheetName val="ጷ_x0000__x0000_Ⴔጸ_x0000__x0000_Lጿ_x0000__x0000_Șጿ_x0000__x0000_ᩘጊ_x0000__x0000__ጱ_x0000__x0000__ጲ_x0000_"/>
      <sheetName val="ድ_x0000__x0000_Ⴔጳ_x0000__x0000_Lጳ_x0000__x0000_ᰘጴ_x0000__x0000_ࠄጳ_x0000__x0000_ഈጳ_x0000__x0000_Ṅጴ"/>
      <sheetName val="ጲ_x0000__x0000_Ⴔድ_x0000__x0000_Lጳ_x0000__x0000__ጳ_x0000__x0000_nጴ_x0000__x0000_lጳ_x0000__x0000_eጳ_x0000_"/>
      <sheetName val="ጳ_x0000__x0000_Ⴔጳ_x0000__x0000_Lጴ_x0000__x0000_᳴ጵ_x0000__x0000__ጶ_x0000__x0000_ᰕጷ_x0000__x0000_װጸ_x0000_"/>
      <sheetName val="ጊ_x0000__x0000_Ⴔጱ_x0000__x0000_Lጲ_x0000__x0000_ࠑድ_x0000__x0000_°ጳ_x0000__x0000_2ጳ_x0000__x0000_0"/>
      <sheetName val="ጿ_x0000__x0000_Ⴔጊ_x0000__x0000_Lጱ_x0000__x0000_ᙜጲ_x0000__x0000_෨ድ_x0000__x0000_Dጳ_x0000__x0000_°ጳ"/>
      <sheetName val="ጿ_x0000__x0000_Ⴔጊ_x0000__x0000_Lጱ_x0000__x0000_Rጲ_x0000__x0000_Cድ_x0000__x0000_Rጳ_x0000__x0000_"/>
      <sheetName val="ጴ_x0000__x0000_Ⴔጳ_x0000__x0000_Lጳ_x0000__x0000_iጴ_x0000__x0000_ ጵ_x0000__x0000_eጶ_x0000__x0000_e"/>
      <sheetName val="ጵ_x0000__x0000_Ⴔጶ_x0000__x0000_Lጷ_x0000__x0000_ᝥጸ_x0000__x0000_Uጿ_x0000__x0000_Oጿ_x0000__x0000_ "/>
      <sheetName val="ጳ_x0000__x0000_Ⴔጴ_x0000__x0000_Lጵ_x0000__x0000_֑ጶ_x0000__x0000_ ጷ_x0000__x0000_-ጸ_x0000__x0000_׭"/>
      <sheetName val="ጳ_x0000__x0000_Ⴔጳ_x0000__x0000_Lጴ_x0000__x0000_಴ጵ_x0000__x0000_׭ጶ_x0000__x0000_᳀ጷ_x0000__x0000_"/>
      <sheetName val="ጴ_x0000__x0000_Ⴔጵ_x0000__x0000_Lጶ_x0000__x0000_ඕጷ_x0000__x0000_ఐጸ_x0000__x0000_սጿ_x0000__x0000_"/>
      <sheetName val="ጲ_x0000__x0000_Ⴔድ_x0000__x0000_Lጳ_x0000__x0000_.ጳ_x0000__x0000_᪅ጴ_x0000__x0000_Șጳ_x0000__x0000_᧝ጳ"/>
      <sheetName val="ጸ_x0000__x0000_Ⴔጿ_x0000__x0000_Lጿ_x0000__x0000_.ጊ_x0000__x0000_᪅ጊ_x0000__x0000_ႜጱ_x0000__x0000_"/>
      <sheetName val="ጴ_x0000__x0000_Ⴔጵ_x0000__x0000_Lጶ_x0000__x0000_.ጷ_x0000__x0000_ᅸጸ_x0000__x0000_Ꮙጿ_x0000__x0000_°ጿ"/>
      <sheetName val="ጶ_x0000__x0000_Ⴔጷ_x0000__x0000_Lጸ_x0000__x0000_.ጿ_x0000__x0000_(ጿ_x0000__x0000_ᅸጊ_x0000__x0000_)"/>
      <sheetName val="ጳ_x0000__x0000_Ⴔጴ_x0000__x0000_Lጴ_x0000__x0000_.ፊ_x0000__x0000_(ጵ_x0000__x0000_ఀፋ_x0000__x0000_)"/>
      <sheetName val="ጊ_x0000__x0000_Ⴔጱ_x0000__x0000_Lጲ_x0000__x0000_ഈድ_x0000__x0000_ᠥጳ_x0000__x0000_๘ጳ_x0000__x0000_"/>
      <sheetName val="ጊ_x0000__x0000_Ⴔጱ_x0000__x0000_Lጲ_x0000__x0000_Tድ_x0000__x0000_(ጳ_x0000__x0000_Eጳ_x0000__x0000_"/>
      <sheetName val="ጱ_x0000__x0000_Ⴔጲ_x0000__x0000_Lድ_x0000__x0000_ެጳ_x0000__x0000_ ጳ_x0000__x0000_(ጴ_x0000__x0000_"/>
      <sheetName val="ጷ_x0000__x0000_Ⴔጸ_x0000__x0000_Lጿ_x0000__x0000_೨ጿ_x0000__x0000_Tጊ_x0000__x0000_ಽጊ_x0000__x0000_"/>
      <sheetName val="ጿ_x0000__x0000_Ⴔጿ_x0000__x0000_Lጊ_x0000__x0000_ᙔጱ_x0000__x0000_೵ጲ_x0000__x0000_ ድ_x0000__x0000_"/>
      <sheetName val="ጴ_x0000__x0000_Ⴔጳ_x0000__x0000_Lጳ_x0000__x0000_ᆠጴ_x0000__x0000_Aጵ_x0000__x0000_Iጶ_x0000__x0000_"/>
      <sheetName val="ድ_x0000__x0000_Ⴔጳ_x0000__x0000_Lጳ_x0000__x0000_಴ጴ_x0000__x0000_׭ጳ_x0000__x0000_᳀ጳ_x0000__x0000_"/>
      <sheetName val="ጱ_x0000__x0000_Ⴔጲ_x0000__x0000_Lድ_x0000__x0000_ಜጳ_x0000__x0000_(ጳ_x0000__x0000_ ጴ_x0000__x0000_"/>
      <sheetName val="ጷ_x0000__x0000_Ⴔጸ_x0000__x0000_Lጿ_x0000__x0000_ݸጿ_x0000__x0000_ၬጊ_x0000__x0000_2ጊ_x0000__x0000_ರጱ"/>
      <sheetName val="ጵ_x0000__x0000_Ⴔጶ_x0000__x0000_Lጷ_x0000__x0000__ጸ_x0000__x0000_᪅ጿ_x0000__x0000_Șጿ_x0000__x0000_᧝ጊ"/>
      <sheetName val="ጳ_x0000__x0000_Ⴔጴ_x0000__x0000_Lጳ_x0000__x0000__ጳ_x0000__x0000_᪅ጴ_x0000__x0000_ႜጵ_x0000__x0000_"/>
      <sheetName val="ጳ_x0000__x0000_Ⴔጳ_x0000__x0000_Lጴ_x0000__x0000_ࣼጳ_x0000__x0000_൬ጳ_x0000__x0000_(ጴ_x0000__x0000_"/>
      <sheetName val="ጳ_x0000__x0000_Ⴔጴ_x0000__x0000_Lጳ_x0000__x0000_Rጳ_x0000__x0000_Sጴ_x0000__x0000_Lጵ_x0000__x0000_2ጶ_x0000_"/>
      <sheetName val="ጿ_x0000__x0000_Ⴔጿ_x0000__x0000_Lጊ_x0000__x0000_నጊ_x0000__x0000_ಽጱ_x0000__x0000_(ጲ_x0000__x0000_"/>
      <sheetName val="ጿ_x0000__x0000_Ⴔጊ_x0000__x0000_Lጊ_x0000__x0000_೵ጱ_x0000__x0000_(ጲ_x0000__x0000_ዹድ_x0000__x0000_"/>
      <sheetName val="ጳ_x0000__x0000_Ⴔጳ_x0000__x0000_Lጴ_x0000__x0000__ጳ_x0000__x0000_Eጳ_x0000__x0000_Ꮜጴ_x0000__x0000_"/>
      <sheetName val="ጷ_x0000__x0000_Ⴔጸ_x0000__x0000_Lጿ_x0000__x0000__ጿ_x0000__x0000_ᔼጊ_x0000__x0000_1ጱ_x0000__x0000_2ጲ_x0000_"/>
      <sheetName val="ጳ_x0000__x0000_Ⴔጳ_x0000__x0000_Lጴ_x0000__x0000_Ƞጴ_x0000__x0000_Eፊ_x0000__x0000_Rጵ_x0000__x0000_Sፋ"/>
      <sheetName val="ጸ_x0000__x0000_Ⴔጿ_x0000__x0000_Lጿ_x0000__x0000_ݴጊ_x0000__x0000_෼ጱ_x0000__x0000_.ጲ_x0000__x0000_"/>
      <sheetName val="ድ_x0000__x0000_Ⴔጳ_x0000__x0000_Lጳ_x0000__x0000_0ጴ_x0000__x0000_ ጳ_x0000__x0000_Iጳ_x0000__x0000_"/>
      <sheetName val="ጊ_x0000__x0000_Ⴔጱ_x0000__x0000_Lጲ_x0000__x0000_ಜድ_x0000__x0000_(ጳ_x0000__x0000__ጳ_x0000__x0000_"/>
      <sheetName val="ጿ_x0000__x0000_Ⴔጊ_x0000__x0000_Lጱ_x0000__x0000_rጲ_x0000__x0000_(ድ_x0000__x0000_tጳ_x0000__x0000_rጳ"/>
      <sheetName val="ጴ_x0000__x0000_Ⴔጵ_x0000__x0000_Lጶ_x0000__x0000_᚝ጷ_x0000__x0000_Ոጸ_x0000__x0000_)ጿ_x0000__x0000_"/>
      <sheetName val="ጸ_x0000__x0000_Ⴔጿ_x0000__x0000_Lጿ_x0000__x0000_iጊ_x0000__x0000_ ጱ_x0000__x0000_uጲ_x0000__x0000_r"/>
      <sheetName val="ጊ후다내역.XLS]0_0ControlSheet3"/>
      <sheetName val="ጳ_x0000__x0000_Ⴔጴ_x0000__x0000_Lጳ_x0000__x0000_᳴ጳ_x0000__x0000__ጴ_x0000__x0000_ᰕጵ_x0000__x0000_װጶ_x0000_"/>
      <sheetName val="ጴ_x0000__x0000_Ⴔጳ_x0000__x0000_Lጳ_x0000__x0000_֑ጴ_x0000__x0000__ጵ_x0000__x0000_-ጶ_x0000__x0000_׭"/>
      <sheetName val="ጳ_x0000__x0000_Ⴔጳ_x0000__x0000_Lጴ_x0000__x0000_ᙜጵ_x0000__x0000_෨ጶ_x0000__x0000_Dጷ_x0000__x0000_°ጸ"/>
      <sheetName val="ጿ_x0000__x0000_ゴጊ_x0000__x0000_Lዷ_x0000__x0000_R፞_x0000__x0000_I፟_x0000__x0000_G፠_x0000__x0000_ጀ፠"/>
      <sheetName val="ጶ_x0000__x0000_Ⴔጷ_x0000__x0000_Lጸ_x0000__x0000__ጿ_x0000__x0000_ഀጿ_x0000__x0000_nጊ_x0000__x0000__ጱ"/>
      <sheetName val="ጵ_x0000__x0000_Ⴔጶ_x0000__x0000_Lጷ_x0000__x0000__ጸ_x0000__x0000_ഀጿ_x0000__x0000_nጿ_x0000__x0000__ጊ"/>
      <sheetName val="ጳ_x0000__x0000_Ⴔጴ_x0000__x0000_Lጵ_x0000__x0000__ጶ_x0000__x0000_Eጷ_x0000__x0000_Ꮜጸ_x0000__x0000_"/>
      <sheetName val="ጱ_x0000__x0000_Ⴔጲ_x0000__x0000_Lድ_x0000__x0000__ጳ_x0000__x0000__ጳ_x0000__x0000__ጴ_x0000__x0000_1"/>
      <sheetName val="ድ_x0000__x0000_Ⴔጳ_x0000__x0000_Lጳ_x0000__x0000_᝼ጴ_x0000__x0000_᳀ጳ_x0000__x0000_,ጳ_x0000__x0000_)ጴ"/>
      <sheetName val="ጶ_x0000__x0000_Ⴔጷ_x0000__x0000_Lጸ_x0000__x0000_-ጿ_x0000__x0000_Oጿ_x0000__x0000_Uጊ_x0000__x0000_Rፕ_x0000_"/>
      <sheetName val="ጿ_x0000__x0000_Ⴔጿ_x0000__x0000_Lጊ_x0000__x0000_-ጱ_x0000__x0000_Eጲ_x0000__x0000_Tድ_x0000__x0000_Aጳ"/>
      <sheetName val="ጷ_x0000__x0000_Ⴔጸ_x0000__x0000_Lጿ_x0000__x0000__ጿ_x0000__x0000__ጊ_x0000__x0000_ݴጱ_x0000__x0000_"/>
      <sheetName val="ጲ_x0000__x0000_Ⴔድ_x0000__x0000_Lጳ_x0000__x0000_ᝥጳ_x0000__x0000_Uጴ_x0000__x0000_Oጳ_x0000__x0000__"/>
      <sheetName val="ፘ_x0000__x0000_Ⴔፘ_x0000__x0000_Lፙ_x0000__x0000_Rፘ_x0000__x0000_Cፘ_x0000__x0000_Rፙ_x0000__x0000_"/>
      <sheetName val="፝_x0000__x0000_Ⴔጿ_x0000__x0000_Lጿ_x0000__x0000_iጊ_x0000__x0000__ዷ_x0000__x0000_e፞_x0000__x0000_e"/>
      <sheetName val="፡_x0000__x0000_Ⴔ፠_x0000__x0000_L፠_x0000__x0000_ࣼ፡_x0000__x0000_൬።_x0000__x0000_(፣_x0000__x0000_"/>
      <sheetName val="፠_x0000__x0000_Ⴔ፡_x0000__x0000_L።_x0000__x0000_R፣_x0000__x0000_S፤_x0000__x0000_Lጿ_x0000__x0000_2ጿ_x0000_"/>
      <sheetName val="ጊ_x0000__x0000_Ⴔጊ_x0000__x0000_Lጊ_x0000__x0000_నጊ_x0000__x0000_ಽጊ_x0000__x0000_(፥_x0000__x0000_"/>
      <sheetName val="፥_x0000__x0000_Ⴔ፦_x0000__x0000_L፥_x0000__x0000__ጊ_x0000__x0000_Eጊ_x0000__x0000_Ꮜጊ_x0000__x0000_"/>
      <sheetName val="ጲ_x0000__x0000_Ⴔድ_x0000__x0000_Lጳ_x0000__x0000_Iጳ_x0000__x0000__ጴ_x0000__x0000_Yጳ_x0000__x0000_"/>
      <sheetName val="ጳ_x0000__x0000_Ⴔጳ_x0000__x0000_Lጴ_x0000__x0000__ጳ_x0000__x0000_᪅ጳ_x0000__x0000_ᕴጴ_x0000__x0000_"/>
      <sheetName val="Dầm 1"/>
      <sheetName val="Unit Rate(non print)"/>
      <sheetName val="Bang TH"/>
      <sheetName val="Shelves"/>
      <sheetName val="0"/>
      <sheetName val="Cọc nhồi"/>
      <sheetName val="MTL(AG)"/>
      <sheetName val="Notes"/>
      <sheetName val="5.NKTC"/>
      <sheetName val="4.BBNT-LĐ"/>
      <sheetName val="01__DATA"/>
      <sheetName val="Tai_khoan"/>
      <sheetName val="중기사용료_(2)"/>
      <sheetName val="BTRA"/>
      <sheetName val="[후다_x0001_ _x0010_"/>
      <sheetName val="외주대비 -석축?????_x0012_[후다내역.XLS]견적표지 (3"/>
      <sheetName val="䣐??갑쥀)"/>
      <sheetName val="48_x0005_?"/>
      <sheetName val="1차설계Ꮗԯ?"/>
      <sheetName val="Sikje_inĴ¾?"/>
      <sheetName val="eq_dat?"/>
      <sheetName val="3BL공동구??Ԁ"/>
      <sheetName val="외주대비 -석축???_x"/>
      <sheetName val="Sikje_in_x0005_?"/>
      <sheetName val="CԀ?缀"/>
      <sheetName val="_후다_x0001_ _x0010__x0000__x0003"/>
      <sheetName val="5.6 NTKL ĐHKK "/>
      <sheetName val="5.12 NTKL PCCC"/>
      <sheetName val="ThongSo"/>
      <sheetName val="ጳ"/>
      <sheetName val="ጷ"/>
      <sheetName val="ጱ"/>
      <sheetName val="ጊ"/>
      <sheetName val="ጵ"/>
      <sheetName val="ጿ"/>
      <sheetName val="ጸ"/>
      <sheetName val="ፍ"/>
      <sheetName val="ጶ"/>
      <sheetName val="ድ"/>
      <sheetName val="ጴ"/>
      <sheetName val="ጲ"/>
      <sheetName val="ፘ"/>
      <sheetName val="፡"/>
      <sheetName val="፠"/>
      <sheetName val="፥"/>
      <sheetName val="新规"/>
      <sheetName val="D &amp; W sizes"/>
      <sheetName val="Package1"/>
      <sheetName val="tra_vat_lieu"/>
      <sheetName val="ptvt"/>
      <sheetName val="_후다_x0001_ _x0010_"/>
      <sheetName val="Goc CC"/>
      <sheetName val="Gtvl"/>
      <sheetName val="Thkp"/>
      <sheetName val="Gia_THKP"/>
      <sheetName val="GiaTH_PT2"/>
      <sheetName val="Sàn tầng 01 ( old )"/>
      <sheetName val="Gia thanh chuoi su"/>
      <sheetName val="Tiep dia"/>
      <sheetName val="Don gia vung III-Can Tho"/>
      <sheetName val="TH MEP"/>
      <sheetName val=" DATA"/>
      <sheetName val="0.Bìa"/>
      <sheetName val="1.Mục lục"/>
      <sheetName val="2.Phiếu kiểm tra"/>
      <sheetName val="BM-06a Mẫu chứng chỉ thanh toán"/>
      <sheetName val="3.Bảng TT giá trị thực hiện"/>
      <sheetName val="4.Bảng TT KL thực hiện"/>
      <sheetName val="6.KL DD chi tiết"/>
      <sheetName val="5.công nhật"/>
      <sheetName val="ROW 3a-chi tiết"/>
      <sheetName val="ROW 5- chi tiết"/>
      <sheetName val="ROW 6- chi tiết"/>
      <sheetName val="KL khoán đổ bê tông T7"/>
      <sheetName val="6. Bảng TT giá trị giảm trừ HĐ"/>
      <sheetName val="6. Hồ sơ đính kèm"/>
      <sheetName val="금속및금속창호"/>
      <sheetName val="근생APT-신마감"/>
      <sheetName val="복지관_FIART"/>
      <sheetName val="근생APT-FIART"/>
      <sheetName val="근생-FIART"/>
      <sheetName val="공사비대비표(을지)"/>
      <sheetName val="일위(열차무선)"/>
      <sheetName val="(A)내역서"/>
      <sheetName val="분뇨"/>
      <sheetName val="구의동공내역서"/>
      <sheetName val="운동장 (2)"/>
      <sheetName val="일대목록표"/>
      <sheetName val="99년원가"/>
      <sheetName val="산출(1~20)"/>
      <sheetName val="신고조서"/>
      <sheetName val="판정1교토공"/>
      <sheetName val="특별땅고르기"/>
      <sheetName val="직접공사비"/>
      <sheetName val="조인트"/>
      <sheetName val="데리네И̏䨸ɟ"/>
      <sheetName val="주공 갑지"/>
      <sheetName val="마스터02"/>
      <sheetName val="데리네鶈㇨ᓣ"/>
      <sheetName val="입력데이타(비É"/>
      <sheetName val="외주대비 -석É"/>
      <sheetName val="5.2.6~7공사요율"/>
      <sheetName val="내역(최종본浳き_x0000__x0000_"/>
      <sheetName val="내역(최종본浳⿢_x0000__x0000_"/>
      <sheetName val="내역(최종본浳ぁ_x0000__x0000_"/>
      <sheetName val="5월건강보험(일용직)"/>
      <sheetName val="04.12월건강보험(일용직)"/>
      <sheetName val="inputdata"/>
      <sheetName val="도수로수량산출"/>
      <sheetName val="관급현황"/>
      <sheetName val="기술조건"/>
      <sheetName val="1.내역(청.하역장전등)"/>
      <sheetName val="정화조"/>
      <sheetName val="공사개요-C"/>
      <sheetName val="입찰견적보고서"/>
      <sheetName val="안전장치"/>
      <sheetName val="설원"/>
      <sheetName val="일위목록-기"/>
      <sheetName val="리스트"/>
      <sheetName val="보도내 _x0000__x0000_䪾"/>
      <sheetName val="2.원가집계"/>
      <sheetName val="FAX"/>
      <sheetName val="정산내역"/>
      <sheetName val="기본자료(실행)"/>
      <sheetName val="제품현황"/>
      <sheetName val="05 유류비자금청구(완)"/>
      <sheetName val="인건蠉"/>
      <sheetName val="비용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공사비예산서"/>
      <sheetName val="배수관연장조서"/>
      <sheetName val="산출"/>
      <sheetName val="예산조서(전송)"/>
      <sheetName val="투자예산"/>
      <sheetName val="점ᥰ@띘"/>
      <sheetName val="점ᤠ@띘"/>
      <sheetName val="점៰2띘"/>
      <sheetName val="grid (1)"/>
      <sheetName val="Macro4"/>
      <sheetName val="기성"/>
      <sheetName val="경율산정.XLS"/>
      <sheetName val="PAD TR보호대기초"/>
      <sheetName val="RD제품개발투자비(매가)"/>
      <sheetName val="예산"/>
      <sheetName val="ELECTR蔨ũ"/>
      <sheetName val="계림(함평)"/>
      <sheetName val="계림(장성)"/>
      <sheetName val="직재"/>
      <sheetName val="BOQFinishing"/>
      <sheetName val="일반전기"/>
      <sheetName val="1공구_건정토건_토_x0000__x0000_"/>
      <sheetName val="자재단가표"/>
      <sheetName val="gyun"/>
      <sheetName val="갑漅⿊"/>
      <sheetName val="18.궤도재료"/>
      <sheetName val="외Å_x0000_怀"/>
      <sheetName val="측구_x0000_"/>
      <sheetName val="Pag_hal"/>
      <sheetName val="THMAVT"/>
      <sheetName val="electrical"/>
      <sheetName val="Gia"/>
      <sheetName val="IMF Code"/>
      <sheetName val="샌딩_에폭시_도장2"/>
      <sheetName val="Summary_VO_No_31"/>
      <sheetName val="VO_No_3_11"/>
      <sheetName val="VO_No_3_21"/>
      <sheetName val="VO_No_3_31"/>
      <sheetName val="VO_No_3_41"/>
      <sheetName val="VO_No_3_51"/>
      <sheetName val="VO_No_3_61"/>
      <sheetName val="VO_No_3_71"/>
      <sheetName val="VO_No_3_81"/>
      <sheetName val="대3류_1"/>
      <sheetName val="SCOPE_OF_WORK1"/>
      <sheetName val="Sàn_T11"/>
      <sheetName val="Lỗ_thông_gió1"/>
      <sheetName val="외주대비_ᨀ晙ԯ2"/>
      <sheetName val="Thống_kê1"/>
      <sheetName val="3_단가산출서1"/>
      <sheetName val="4_단가산출기초1"/>
      <sheetName val="H__MECHANICAL1"/>
      <sheetName val="J__FIRE_FIGHTING1"/>
      <sheetName val="01__DATA1"/>
      <sheetName val="Sikje_in"/>
      <sheetName val="Tai_khoan1"/>
      <sheetName val="Bang_gia_2011_10_12"/>
      <sheetName val="중기사용료_(2)1"/>
      <sheetName val="投标材料清单_"/>
      <sheetName val="ጳႴጳLጴ_ጵ_ጶఀጷ_ጸ1"/>
      <sheetName val="ጊႴጱLጲ_ድnጳlጳeጴ"/>
      <sheetName val="ጵႴጶLጷ_ጸyጿuጿiጊ"/>
      <sheetName val="ጿႴጿLጊېጱ_ጲ೵ድႴጳ"/>
      <sheetName val="ጊႴጊLጱ᳴ጲ_ድᰕጳװጳ"/>
      <sheetName val="ጶႴጷLጸ_ጿ_ጿ_ጊ1"/>
      <sheetName val="ጿႴጊLጱȘጲᩘድ_ጳ_ጳ"/>
      <sheetName val="ድႴጳLጳ_ጴഀጳnጳ_"/>
      <sheetName val="ጴႴጵLጶ_ጷഀጸnጿ_"/>
      <sheetName val="ጳႴጴLጵ_ጶᔼጷ1ጸ2ጿ"/>
      <sheetName val="ጸႴጿLጿ_ጊ_ጱݴጲ"/>
      <sheetName val="ጴႴጳLጳiጴ_ጵeጶe"/>
      <sheetName val="ጵႴጶLጷᝥጸUጿOጿ_"/>
      <sheetName val="ጳႴጴLጵ֑ጶ_ጷ-ጸ׭"/>
      <sheetName val="ጲႴድLጳ_ጳ᪅ጴȘጳ᧝ጳ"/>
      <sheetName val="ጸႴጿLጿ_ጊ᪅ጊႜጱ"/>
      <sheetName val="ጴႴጵLጶ_ጷᅸጸᏉጿ°ጿ"/>
      <sheetName val="ጶႴጷLጸ_ጿ(ጿᅸጊ)"/>
      <sheetName val="ጳႴጴLጴ_ፊ(ጵఀፋ)"/>
      <sheetName val="ጱႴጲLድެጳ_ጳ(ጴ"/>
      <sheetName val="ጿႴጿLጊᙔጱ೵ጲ_ድ"/>
      <sheetName val="ጱႴጲLድಜጳ(ጳ_ጴ"/>
      <sheetName val="ጸႴጿLጿݴጊ෼ጱ_ጲ"/>
      <sheetName val="ድႴጳLጳ0ጴ_ጳIጳ"/>
      <sheetName val="ጸႴጿLጿiጊ_ጱuጲr"/>
      <sheetName val="ጊ후다내역_XLS]0_0ControlSheet3"/>
      <sheetName val="Dầm_1"/>
      <sheetName val="Unit_Rate(non_print)"/>
      <sheetName val="Cọc_nhồi"/>
      <sheetName val="Bang_TH"/>
      <sheetName val="5_6_NTKL_ĐHKK_"/>
      <sheetName val="5_12_NTKL_PCCC"/>
      <sheetName val="_후다__x0003"/>
      <sheetName val="[후다_"/>
      <sheetName val="_후다_"/>
      <sheetName val="5_NKTC"/>
      <sheetName val="4_BBNT-LĐ"/>
      <sheetName val="_DATA"/>
      <sheetName val="0_Bìa"/>
      <sheetName val="1_Mục_lục"/>
      <sheetName val="2_Phiếu_kiểm_tra"/>
      <sheetName val="BM-06a_Mẫu_chứng_chỉ_thanh_toán"/>
      <sheetName val="3_Bảng_TT_giá_trị_thực_hiện"/>
      <sheetName val="4_Bảng_TT_KL_thực_hiện"/>
      <sheetName val="6_KL_DD_chi_tiết"/>
      <sheetName val="5_công_nhật"/>
      <sheetName val="ROW_3a-chi_tiết"/>
      <sheetName val="ROW_5-_chi_tiết"/>
      <sheetName val="ROW_6-_chi_tiết"/>
      <sheetName val="KL_khoán_đổ_bê_tông_T7"/>
      <sheetName val="6__Bảng_TT_giá_trị_giảm_trừ_HĐ"/>
      <sheetName val="6__Hồ_sơ_đính_kèm"/>
      <sheetName val="Sàn_tầng_01_(_old_)"/>
      <sheetName val="Gia_thanh_chuoi_su"/>
      <sheetName val="Tiep_dia"/>
      <sheetName val="Don_gia_vung_III-Can_Tho"/>
      <sheetName val="TH_MEP"/>
      <sheetName val="D_&amp;_W_sizes"/>
      <sheetName val="Goc_CC"/>
      <sheetName val="외주대비_-석축?????[후다내역_XLS]견적표지_(3"/>
      <sheetName val="48?"/>
      <sheetName val="외주대비_-석축???_x"/>
      <sheetName val="Sikje_in?"/>
      <sheetName val="IMF_Code"/>
      <sheetName val="Elec LG"/>
      <sheetName val="3.1"/>
      <sheetName val="3.10"/>
      <sheetName val="3.2"/>
      <sheetName val="3.3"/>
      <sheetName val="3.4"/>
      <sheetName val="3.5"/>
      <sheetName val="3.6"/>
      <sheetName val="3.7"/>
      <sheetName val="3.8"/>
      <sheetName val="3.9"/>
      <sheetName val="Ref"/>
      <sheetName val="8월차잔"/>
      <sheetName val="시설이용권명세서"/>
      <sheetName val="전기일위목록"/>
      <sheetName val="운동장_(2)"/>
      <sheetName val="외주대비_-석É"/>
      <sheetName val="ESTI."/>
      <sheetName val="1.Requisition(E)"/>
      <sheetName val="dtct cong"/>
      <sheetName val="単価表"/>
      <sheetName val="SLCONG"/>
      <sheetName val="SLGA"/>
      <sheetName val="手动计画"/>
      <sheetName val="DTCT"/>
      <sheetName val="TL rieng"/>
      <sheetName val="Kihon-Jiko"/>
      <sheetName val="電気設備表"/>
      <sheetName val="DI_ESTI"/>
      <sheetName val="Doi so"/>
      <sheetName val="시멘혷_xdf67__x0000__x0000_"/>
      <sheetName val="시멘혾_xdf67__x0000__x0000_"/>
      <sheetName val="홈용접표"/>
      <sheetName val="፝"/>
      <sheetName val="내역 "/>
      <sheetName val="간접비 총괄표"/>
      <sheetName val="표지 ¬_x0000__x0000_"/>
      <sheetName val="본댐설계"/>
      <sheetName val="1차3회-개소별명세서-빨간색-인쇄용(2187_x0000__x0000_"/>
      <sheetName val="변경요청내역"/>
      <sheetName val="원가 (2)"/>
      <sheetName val="BREAKDOW_x0000__x0000_Ԁ_x0000_瀀㄂ᗖ"/>
      <sheetName val="BREAKDOW_x0000__x0000_Ԁ_x0000_　柳ᤍ"/>
      <sheetName val="BREAKDOW頀ᵛ瀞囏_x001c__x0000_攀"/>
      <sheetName val="BREAKDOW_x0000__x0000_Ԁ_x0000_ 횱_xd9c1_"/>
      <sheetName val="피벗테이블데이터분석"/>
      <sheetName val="표지 (3_x0005_"/>
      <sheetName val="_x0000__x0008__x0000__x0005__x0000_"/>
      <sheetName val="_x0000__x0004__x0000__x0004__x0000_"/>
      <sheetName val="_x0000__x0003__x0000__x0004__x0000__x0000__x0000__x0000_"/>
      <sheetName val="단가산출서(토공사)"/>
      <sheetName val="위생䲀æ"/>
      <sheetName val="현장´"/>
      <sheetName val="HVAC"/>
      <sheetName val="DG"/>
      <sheetName val="NHÀ NHẬP LIỆU"/>
      <sheetName val="MÓNG SILO"/>
      <sheetName val="단가(강재운_x0000__x0000_"/>
      <sheetName val="가시설흙막이"/>
      <sheetName val="3BL공동구__x0000__x0000_"/>
      <sheetName val="수⋜Ɇ녈"/>
      <sheetName val="[회다내역,X켊楳켎攳嶪剃嶮布쵌섌)"/>
      <sheetName val="4ⶌ쌈"/>
      <sheetName val="4_x0000__x0000_Ԁ"/>
      <sheetName val="급수공사"/>
      <sheetName val="GIAVLIEU"/>
      <sheetName val="Measure 1306"/>
      <sheetName val="DAF-2"/>
      <sheetName val="DM.ChiPhi"/>
      <sheetName val="CODE-LIST"/>
      <sheetName val="Basic Wage"/>
      <sheetName val="Menber List"/>
      <sheetName val="외주대비 -석축_x005f_x0000__x005f_x0000__x005f_x0000__x"/>
      <sheetName val="䣐_x005f_x0000__x005f_x0000_갑쥀)"/>
      <sheetName val="P_x005f_x0005_"/>
      <sheetName val="48_x005f_x0005__x005f_x0000_"/>
      <sheetName val="1차설계Ꮗԯ_x005f_x0000_"/>
      <sheetName val="1차설계逷≙_x005f_xdc00_≙"/>
      <sheetName val="Sikje_inĴ¾_x005f_x0000_"/>
      <sheetName val="eq_dat_x005f_x0000_"/>
      <sheetName val="3BL공동구_x005f_x0000__x005f_x0000_Ԁ"/>
      <sheetName val="ptdg"/>
      <sheetName val="변경갑지"/>
      <sheetName val="증감(갑지)"/>
      <sheetName val="교각¾_x0000_"/>
      <sheetName val="장비명"/>
      <sheetName val="수량산출서"/>
      <sheetName val="Rect__10"/>
      <sheetName val="1-"/>
      <sheetName val="내"/>
      <sheetName val="부대표지츀_얈"/>
      <sheetName val="부대표지츀_篐"/>
      <sheetName val="수정시산표"/>
      <sheetName val="보도내 "/>
      <sheetName val="청산공사"/>
      <sheetName val="내역서변⢳쨁"/>
      <sheetName val="내역서변⢳쉨쨁"/>
      <sheetName val="내역서변⢳쨁"/>
      <sheetName val="내역서변ꙭ _x0000_"/>
      <sheetName val="건_裪选"/>
      <sheetName val="건_䃪氼᠝"/>
      <sheetName val="계약정보"/>
      <sheetName val="착공-공문"/>
      <sheetName val="착공계"/>
      <sheetName val="예정공정표"/>
      <sheetName val="현장대리인계"/>
      <sheetName val="수첩사본"/>
      <sheetName val="재직증명서"/>
      <sheetName val="위임장"/>
      <sheetName val="계약내역서"/>
      <sheetName val="계약내역서-1"/>
      <sheetName val="인원장비투입"/>
      <sheetName val="안전관리계획서"/>
      <sheetName val="산업안전보건관리비사용계획서"/>
      <sheetName val="환경관리계획서"/>
      <sheetName val="환경보전비사용계획서"/>
      <sheetName val="품질관리"/>
      <sheetName val="착공전사진표지"/>
      <sheetName val="사진대지"/>
      <sheetName val="1공구_건정토건_철㑸4"/>
      <sheetName val="1공구_건정토건_철_x0000__x0000_"/>
      <sheetName val="기본데이타입력"/>
      <sheetName val="토목내역서 (도급단가) (2)"/>
      <sheetName val="정보매체A동"/>
      <sheetName val="1차3회-개_x001a__x0003__x0004__x0005__x0005__x0004__x0006__x0002__x0002__x0004__x0003__x0009__x0007__x0005__x000b__x0003__x0006__x0008__x0006__x0005_"/>
      <sheetName val="1차3회-개_x001a__x0003__x0004__x0005__x0005__x0004__x0006__x0002__x0002__x0004__x0003_ _x0007__x0005__x000b__x0003__x0006__x0008__x0006__x0005_"/>
      <sheetName val="1차설계변경瀀_xdf8f_"/>
      <sheetName val="1차설계변경_x0000_瞒"/>
      <sheetName val="1차설계변경瞏"/>
      <sheetName val="1차설계변경 颔"/>
      <sheetName val="1차설계변경飤"/>
      <sheetName val="1차설계변경쏈"/>
      <sheetName val="1차설계변경჈_x0000_"/>
      <sheetName val="1차설계변경퀀얎"/>
      <sheetName val="1차설계변경쀀얌"/>
      <sheetName val="2.교_x0000__x0000__xdd08_̚벝"/>
      <sheetName val="견적(._x0000__x0000_"/>
      <sheetName val="벽체면적당일위Á_x0000_"/>
      <sheetName val="PMT"/>
      <sheetName val="PL Vua"/>
      <sheetName val="조선용암면"/>
      <sheetName val="보안등"/>
      <sheetName val="조명율ၒ"/>
      <sheetName val="Assumptions"/>
      <sheetName val="인원계획-미화"/>
      <sheetName val="인부신상ĺ"/>
      <sheetName val="제작계획"/>
      <sheetName val="신축이음"/>
      <sheetName val="업무량"/>
      <sheetName val="Cable임피던스"/>
      <sheetName val="건축일"/>
      <sheetName val="일위수량"/>
      <sheetName val="2_대외ɡ_x0000_က"/>
      <sheetName val="2_대외ⱔⰀ"/>
      <sheetName val="수지"/>
      <sheetName val="BH-1 (2)"/>
      <sheetName val="외Å_x0000_"/>
      <sheetName val="외Å_x0000_退"/>
      <sheetName val="[후다내역.XLS]__H1775_c_ESTI96____2"/>
      <sheetName val="구조물타공濐̉"/>
      <sheetName val="기성검사원갑지"/>
      <sheetName val="건축공정별집계표"/>
      <sheetName val="토목공정별집계표"/>
      <sheetName val="조경공정별집계표"/>
      <sheetName val="전기공정별집계표"/>
      <sheetName val="설비공정별집계표"/>
      <sheetName val="통신공정별집계표"/>
      <sheetName val="소방공정별집계표"/>
      <sheetName val="공정확인서"/>
      <sheetName val="통장사본"/>
      <sheetName val="_후다___"/>
      <sheetName val="ጊ후다내역.XLS_0_0ControlSheet3"/>
      <sheetName val="주공_갑지"/>
      <sheetName val="5_2_6~7공사요율"/>
      <sheetName val="04_12월건강보험(일용직)"/>
      <sheetName val="1_내역(청_하역장전등)"/>
      <sheetName val="보도내_䪾"/>
      <sheetName val="2_원가집계"/>
      <sheetName val="05_유류비자금청구(완)"/>
      <sheetName val="19_07월_세_계"/>
      <sheetName val="19_07항목별(시트복사금지100번쓰기)"/>
      <sheetName val="19_05월"/>
      <sheetName val="grid_(1)"/>
      <sheetName val="경율산정_XLS"/>
      <sheetName val="PAD_TR보호대기초"/>
      <sheetName val="보도내_"/>
      <sheetName val="1공구_건정토건_철槜〩"/>
      <sheetName val="식재_x0002_"/>
      <sheetName val="9-1❬ǻ_xdbf8_ἐ"/>
      <sheetName val="토목집계(1)"/>
      <sheetName val="부대표지__x0000__x0000__x0000__x0001_"/>
      <sheetName val="부대표지__x0000__x0000__x0000__x000"/>
      <sheetName val="부대표지__x0000__x0000__x0000__x0002"/>
      <sheetName val="부대표지__x0000__x0000__x0000__x0003"/>
      <sheetName val="부대표지__x0000__x0000__x0000__x0004"/>
      <sheetName val="부대표지__x0000__x0000__x0000__x0005"/>
      <sheetName val="부대표지__x0000__x0000__x0000__x0006"/>
      <sheetName val="일위대가 "/>
      <sheetName val="_x0015__x0000_"/>
      <sheetName val="CTEၒ_x0000__x0000__x0000__x0000_"/>
      <sheetName val="일위대가목׃"/>
      <sheetName val="escon"/>
      <sheetName val="NS"/>
      <sheetName val="NKC6"/>
      <sheetName val="외주대비 -석축______x0012__후다내역.XLS_견적표지 (3"/>
      <sheetName val="䣐__갑쥀)"/>
      <sheetName val="48_x0005__"/>
      <sheetName val="1차설계Ꮗԯ_"/>
      <sheetName val="1차설계逷≙_≙"/>
      <sheetName val="Sikje_inĴ¾_"/>
      <sheetName val="eq_dat_"/>
      <sheetName val="3BL공동구__Ԁ"/>
      <sheetName val="외주대비 -석축____x"/>
      <sheetName val="Sikje_in_x0005__"/>
      <sheetName val="CԀ_缀"/>
      <sheetName val="ጊ후다내역_XLS_0_0ControlSheet3"/>
      <sheetName val="외주대비_-석축______후다내역_XLS_견적표지_(3"/>
      <sheetName val="48_"/>
      <sheetName val="외주대비_-석축____x"/>
      <sheetName val="Sikje_in_"/>
      <sheetName val="Tiepdia"/>
      <sheetName val="KTCK"/>
      <sheetName val="CTG"/>
      <sheetName val="TAIKHOAN"/>
      <sheetName val="Pipe"/>
      <sheetName val="TEMP"/>
      <sheetName val="PPS2"/>
      <sheetName val="시설_x0000__x0000__x0005_"/>
      <sheetName val="A1내역_총괄표"/>
      <sheetName val="식재鱸þ"/>
      <sheetName val="식재雨ē"/>
      <sheetName val="5-8공구"/>
      <sheetName val="내역서(부대공사)"/>
      <sheetName val="_________x005f_x0000__x005f_x0000__x005f_x0000__2"/>
      <sheetName val="NOM³_x005f_x0000_Ԁ"/>
      <sheetName val="NOMֳ_x005f_x0000_缀"/>
      <sheetName val="CԀ_x005f_x0000_缀"/>
      <sheetName val="배수喘_x005f_x001a_"/>
      <sheetName val="인부신상_x005f_x0000__x005f_x0000_"/>
      <sheetName val="견적颙⿬_x005f_x0005_"/>
      <sheetName val="견적颙⿶_x005f_x0005_"/>
      <sheetName val="견적_x005f_x0005__x005f_x0000_"/>
      <sheetName val="견적颙』_x005f_x0005_"/>
      <sheetName val="흄관기_x005f_x0000_"/>
      <sheetName val="_____x005f_x0000__x005f_x0000__x005f_x0005__x00_2"/>
      <sheetName val="외주대비x_x005f_x0000_Ԁ_x005f_x0000_"/>
      <sheetName val="구조ఀ덀_x005f_x0000_"/>
      <sheetName val="간지1"/>
      <sheetName val="1.사유서"/>
      <sheetName val="간지2"/>
      <sheetName val="간지3"/>
      <sheetName val="부재별집계표"/>
      <sheetName val="도면"/>
      <sheetName val="교각토ꙭ"/>
      <sheetName val="외Å"/>
      <sheetName val="BREAKDOW"/>
      <sheetName val="BREAKDOW頀ᵛ瀞囏_x001c_"/>
      <sheetName val="견적내역서"/>
      <sheetName val="실행단가철(ems코드적용)"/>
      <sheetName val="용역비내역-진짜"/>
      <sheetName val="직공_x0000_"/>
      <sheetName val="간접경_x0000_薔"/>
      <sheetName val="건축2"/>
      <sheetName val="대ꮸ"/>
      <sheetName val="ARCH"/>
      <sheetName val="전도금청구서"/>
      <sheetName val="2월"/>
      <sheetName val="산출내력"/>
      <sheetName val="4.수량산출서"/>
      <sheetName val="단가多〒_x0005_"/>
      <sheetName val="외주정비"/>
      <sheetName val="전문품의"/>
      <sheetName val="견적대비"/>
      <sheetName val="const."/>
      <sheetName val="특기시방서"/>
      <sheetName val="인력소운반"/>
      <sheetName val="1.관로"/>
      <sheetName val="흥양2교토_x0000_h曘ʹ"/>
      <sheetName val="흥양2교토_x0000__x0000__x0005__x0000_"/>
      <sheetName val="인부노임"/>
      <sheetName val="입찰품_x0005__x0000_"/>
      <sheetName val="입찰품誀걜"/>
      <sheetName val="입찰품紴"/>
      <sheetName val="안양동교 1안"/>
      <sheetName val="2. 주요공지（主要公告）"/>
      <sheetName val="건축(을)"/>
      <sheetName val="자동제_x0000_"/>
      <sheetName val="만봉용지매수비(총괄)"/>
      <sheetName val="도급표지É_x0000__x0000__x0001_Ԁ"/>
      <sheetName val="단가(기자재)"/>
      <sheetName val="공사추진현황"/>
      <sheetName val="자재기성 신청서.xlsx"/>
      <sheetName val="SP-¬_x0000_"/>
      <sheetName val="GRD_x0000__x0000_"/>
      <sheetName val="품À_x0000_"/>
      <sheetName val="A 견적"/>
      <sheetName val="2월분"/>
      <sheetName val="4.예산내역서"/>
      <sheetName val="개략"/>
      <sheetName val="표준공사비-조명제외x10%up"/>
      <sheetName val="관공일위대가"/>
      <sheetName val="산출(토공‥"/>
      <sheetName val="양수장내역"/>
      <sheetName val="SP-ኬ_x0002_"/>
      <sheetName val="SP-咬⶘"/>
      <sheetName val="흥양2교토"/>
      <sheetName val="도급표지É"/>
      <sheetName val="입찰내역 발주처 양식"/>
      <sheetName val="수배전(갑)"/>
      <sheetName val="세목전체"/>
      <sheetName val="eq_da_x0000__x0000_"/>
      <sheetName val="말고개터널조명전@_x0000_Ԁ"/>
      <sheetName val="말고개터널조명전㵀"/>
      <sheetName val="말고개터널조명전㵀렀"/>
      <sheetName val="보도내역_x0000__x0000_Ԁ_x0000_က"/>
      <sheetName val="양식3"/>
      <sheetName val="영업점별목표산출"/>
      <sheetName val="손익분기점 데이터"/>
      <sheetName val="매각대상자산 청산가치"/>
      <sheetName val="말고개터널조명전¬_x0000_Ԁ"/>
      <sheetName val="내역서_x0000__x0000_Ԁ_x0000_"/>
      <sheetName val="가설재손료"/>
      <sheetName val="C.MECHANICAL"/>
      <sheetName val="NX01"/>
      <sheetName val="Du thau"/>
      <sheetName val="Sikje_in_x005f_x0005__x005f_x0000_"/>
      <sheetName val="TỔNG HỢP"/>
      <sheetName val="[후다_x0001_ _x0010_?_x0003_ _x0010_?_x0001_?_x0010_?_x0001_ _x0010_?_x0003_"/>
      <sheetName val="ጳ??Ⴔጳ??Lጴ?? ጵ?? ጶ??ఀጷ?? ጸ?"/>
      <sheetName val="ጷ??Ⴔጸ??Lጿ??Rጿ??Sጊ??Lጊ??2ጱ"/>
      <sheetName val="ጳ??Ⴔጳ??Lጴ??_ጵ??_ጶ??ఀጷ??_ጸ?"/>
      <sheetName val="ጳ??Ⴔጳ??Lጴ??Rጳ??Sጳ??Lጴ??2ጵ"/>
      <sheetName val="ጳ??Ⴔጴ??Lጳ??0ጳ??Șጴ??Șጵ??"/>
      <sheetName val="ጱ??Ⴔጲ??Lፍ??uጳ??mጳ??Dጴ??bጳ?"/>
      <sheetName val="ጊ??Ⴔጱ??Lጲ??.ድ??nጳ??lጳ??eጴ"/>
      <sheetName val="ጵ??Ⴔጶ??Lጷ??.ጸ??yጿ??uጿ??iጊ?"/>
      <sheetName val="ጊ??Ⴔጱ??Lጲ??-ድ??Lጳ??(ጳ??"/>
      <sheetName val="ጿ??Ⴔጿ??Lጊ??ېጱ?? ጲ??೵ድ??Ⴔጳ?"/>
      <sheetName val="ጊ??Ⴔጊ??Lጱ??᳴ጲ?? ድ??ᰕጳ??װጳ"/>
      <sheetName val="ጸ??Ⴔጿ??Lጿ??qጊ??oጊ??iጱ??iጲ?"/>
      <sheetName val="ጳ??Ⴔጴ??Lጳ??_ጳ??nጴ??lጵ??eጶ"/>
      <sheetName val="ጿ??Ⴔጿ??Lጊ??_ጊ??yጱ??uጲ??iድ?"/>
      <sheetName val="ፍ??Ⴔጳ??Lጳ??Nጴ??(ጳ??ᖥጳ??)"/>
      <sheetName val="ጿ??Ⴔጿ??Lጊ??Cጱ??4ጲ??Ĥፍ??"/>
      <sheetName val="ጳ??Ⴔጳ??Lጴ??෠ጳ??ೠጳ??2ጴ??Pጵ"/>
      <sheetName val="ጶ??Ⴔጷ??Lጸ?? ጿ?? ጿ?? ጊ??"/>
      <sheetName val="ጳ??Ⴔጴ??Lጳ??ބጳ??کጴ??ឌጵ??"/>
      <sheetName val="ጊ??Ⴔጊ??Lጱ??ބጲ??کድ??ឌጳ??"/>
      <sheetName val="ጳ??Ⴔጳ??Lጴ??᝼ጵ??᳀ጶ??,ጷ??)"/>
      <sheetName val="ጿ??Ⴔጊ??Lጱ??Șጲ??ᩘድ?? ጳ?? ጳ?"/>
      <sheetName val="ድ??Ⴔጳ??Lጳ??.ጴ??ഀጳ??nጳ?? "/>
      <sheetName val="ጴ??Ⴔጵ??Lጶ??_ጷ??ഀጸ??nጿ?? "/>
      <sheetName val="ጳ??Ⴔጴ??Lጵ??.ጶ??ᔼጷ??1ጸ??2ጿ?"/>
      <sheetName val="ጲ??Ⴔድ??Lጳ??Rጳ??aጴ??lጳ??oጳ"/>
      <sheetName val="ጊ??Ⴔጱ??Lጲ??Rድ??Dጳ??(ጳ??๘ጴ"/>
      <sheetName val="ጴ??Ⴔጵ??Lጶ??֑ጷ??0ጸ??1ጿ??0ጿ"/>
      <sheetName val="ጸ??Ⴔጿ??Lጿ??Ƞጊ??Eጱ??Rጲ??Sፍ"/>
      <sheetName val="ጵ??Ⴔጶ??Lጷ??-ጸ??Oጿ??Uጿ??Rጊ?"/>
      <sheetName val="ጳ??Ⴔጴ??Lጵ??-ጶ??Eጷ??Tጸ??Aጿ"/>
      <sheetName val="ጸ??Ⴔጿ??Lጿ??.ጊ?? ጱ??ݴጲ??"/>
      <sheetName val="ጱ??Ⴔጲ??Lድ??ࣼጳ??൬ጳ??(ጴ??"/>
      <sheetName val="ጴ??Ⴔጳ??Lጳ??Rጴ??Sጵ??Lጶ??2ጷ?"/>
      <sheetName val="ጿ??Ⴔጿ??Lጊ??uጱ??mጲ??Dድ??bጳ?"/>
      <sheetName val="ጴ??Ⴔጳ??Lጳ??_ጴ??nጵ??lጶ??eጷ?"/>
      <sheetName val="ጶ??Ⴔጷ??Lጸ??ېጿ??_ጿ??೵ጊ??Ⴔጱ?"/>
      <sheetName val="ጳ??Ⴔጳ??Lጴ??_ጳ??ഀጳ??nጴ??_"/>
      <sheetName val="ጿ??Ⴔጊ??Lጊ??_ጱ??ഀጲ??nድ??_"/>
      <sheetName val="ጵ??Ⴔጶ??Lጷ??qጸ??oጿ??iጿ??iጊ?"/>
      <sheetName val="ጲ??Ⴔድ??Lጳ??᳴ጳ??_ጴ??ᰕጳ??װጳ"/>
      <sheetName val="ጶ??Ⴔጷ??Lጸ??_ጿ??_ጿ??_ጊ??"/>
      <sheetName val="ጱ??Ⴔጲ??Lድ??᝼ጳ??᳀ጳ??,ጴ??)"/>
      <sheetName val="ጷ??Ⴔጸ??Lጿ??Șጿ??ᩘጊ??_ጱ??_ጲ?"/>
      <sheetName val="ድ??Ⴔጳ??Lጳ??ᰘጴ??ࠄጳ??ഈጳ??Ṅጴ"/>
      <sheetName val="ጲ??Ⴔድ??Lጳ??_ጳ??nጴ??lጳ??eጳ?"/>
      <sheetName val="ጳ??Ⴔጳ??Lጴ??᳴ጵ??_ጶ??ᰕጷ??װጸ?"/>
      <sheetName val="ጊ??Ⴔጱ??Lጲ??ࠑድ??°ጳ??2ጳ??0"/>
      <sheetName val="ጿ??Ⴔጊ??Lጱ??ᙜጲ??෨ድ??Dጳ??°ጳ"/>
      <sheetName val="ጿ??Ⴔጊ??Lጱ??Rጲ??Cድ??Rጳ??"/>
      <sheetName val="ጴ??Ⴔጳ??Lጳ??iጴ?? ጵ??eጶ??e"/>
      <sheetName val="ጵ??Ⴔጶ??Lጷ??ᝥጸ??Uጿ??Oጿ?? "/>
      <sheetName val="ጳ??Ⴔጴ??Lጵ??֑ጶ?? ጷ??-ጸ??׭"/>
      <sheetName val="ጳ??Ⴔጳ??Lጴ??಴ጵ??׭ጶ??᳀ጷ??"/>
      <sheetName val="ጴ??Ⴔጵ??Lጶ??ඕጷ??ఐጸ??սጿ??"/>
      <sheetName val="ጲ??Ⴔድ??Lጳ??.ጳ??᪅ጴ??Șጳ??᧝ጳ"/>
      <sheetName val="ጸ??Ⴔጿ??Lጿ??.ጊ??᪅ጊ??ႜጱ??"/>
      <sheetName val="ጴ??Ⴔጵ??Lጶ??.ጷ??ᅸጸ??Ꮙጿ??°ጿ"/>
      <sheetName val="ጶ??Ⴔጷ??Lጸ??.ጿ??(ጿ??ᅸጊ??)"/>
      <sheetName val="ጳ??Ⴔጴ??Lጴ??.ፊ??(ጵ??ఀፋ??)"/>
      <sheetName val="ጊ??Ⴔጱ??Lጲ??ഈድ??ᠥጳ??๘ጳ??"/>
      <sheetName val="ጊ??Ⴔጱ??Lጲ??Tድ??(ጳ??Eጳ??"/>
      <sheetName val="ጱ??Ⴔጲ??Lድ??ެጳ?? ጳ??(ጴ??"/>
      <sheetName val="ጷ??Ⴔጸ??Lጿ??೨ጿ??Tጊ??ಽጊ??"/>
      <sheetName val="ጿ??Ⴔጿ??Lጊ??ᙔጱ??೵ጲ?? ድ??"/>
      <sheetName val="ጴ??Ⴔጳ??Lጳ??ᆠጴ??Aጵ??Iጶ??"/>
      <sheetName val="ድ??Ⴔጳ??Lጳ??಴ጴ??׭ጳ??᳀ጳ??"/>
      <sheetName val="ጱ??Ⴔጲ??Lድ??ಜጳ??(ጳ?? ጴ??"/>
      <sheetName val="ጷ??Ⴔጸ??Lጿ??ݸጿ??ၬጊ??2ጊ??ರጱ"/>
      <sheetName val="ጵ??Ⴔጶ??Lጷ??_ጸ??᪅ጿ??Șጿ??᧝ጊ"/>
      <sheetName val="ጳ??Ⴔጴ??Lጳ??_ጳ??᪅ጴ??ႜጵ??"/>
      <sheetName val="ጳ??Ⴔጳ??Lጴ??ࣼጳ??൬ጳ??(ጴ??"/>
      <sheetName val="ጳ??Ⴔጴ??Lጳ??Rጳ??Sጴ??Lጵ??2ጶ?"/>
      <sheetName val="ጿ??Ⴔጿ??Lጊ??నጊ??ಽጱ??(ጲ??"/>
      <sheetName val="ጿ??Ⴔጊ??Lጊ??೵ጱ??(ጲ??ዹድ??"/>
      <sheetName val="ጳ??Ⴔጳ??Lጴ??_ጳ??Eጳ??Ꮜጴ??"/>
      <sheetName val="ጷ??Ⴔጸ??Lጿ??_ጿ??ᔼጊ??1ጱ??2ጲ?"/>
      <sheetName val="ጳ??Ⴔጳ??Lጴ??Ƞጴ??Eፊ??Rጵ??Sፋ"/>
      <sheetName val="ጸ??Ⴔጿ??Lጿ??ݴጊ??෼ጱ??.ጲ??"/>
      <sheetName val="ድ??Ⴔጳ??Lጳ??0ጴ?? ጳ??Iጳ??"/>
      <sheetName val="ጊ??Ⴔጱ??Lጲ??ಜድ??(ጳ??_ጳ??"/>
      <sheetName val="ጿ??Ⴔጊ??Lጱ??rጲ??(ድ??tጳ??rጳ"/>
      <sheetName val="ጴ??Ⴔጵ??Lጶ??᚝ጷ??Ոጸ??)ጿ??"/>
      <sheetName val="ጸ??Ⴔጿ??Lጿ??iጊ?? ጱ??uጲ??r"/>
      <sheetName val="ጳ??Ⴔጴ??Lጳ??᳴ጳ??_ጴ??ᰕጵ??װጶ?"/>
      <sheetName val="ጴ??Ⴔጳ??Lጳ??֑ጴ??_ጵ??-ጶ??׭"/>
      <sheetName val="ጳ??Ⴔጳ??Lጴ??ᙜጵ??෨ጶ??Dጷ??°ጸ"/>
      <sheetName val="ጿ??ゴጊ??Lዷ??R፞??I፟??G፠??ጀ፠"/>
      <sheetName val="ጶ??Ⴔጷ??Lጸ??_ጿ??ഀጿ??nጊ??_ጱ"/>
      <sheetName val="ጵ??Ⴔጶ??Lጷ??_ጸ??ഀጿ??nጿ??_ጊ"/>
      <sheetName val="ጳ??Ⴔጴ??Lጵ??_ጶ??Eጷ??Ꮜጸ??"/>
      <sheetName val="ጱ??Ⴔጲ??Lድ??_ጳ??_ጳ??_ጴ??1"/>
      <sheetName val="ድ??Ⴔጳ??Lጳ??᝼ጴ??᳀ጳ??,ጳ??)ጴ"/>
      <sheetName val="ጶ??Ⴔጷ??Lጸ??-ጿ??Oጿ??Uጊ??Rፕ?"/>
      <sheetName val="ጿ??Ⴔጿ??Lጊ??-ጱ??Eጲ??Tድ??Aጳ"/>
      <sheetName val="ጷ??Ⴔጸ??Lጿ??_ጿ??_ጊ??ݴጱ??"/>
      <sheetName val="ጲ??Ⴔድ??Lጳ??ᝥጳ??Uጴ??Oጳ??_"/>
      <sheetName val="ፘ??Ⴔፘ??Lፙ??Rፘ??Cፘ??Rፙ??"/>
      <sheetName val="፝??Ⴔጿ??Lጿ??iጊ??_ዷ??e፞??e"/>
      <sheetName val="፡??Ⴔ፠??L፠??ࣼ፡??൬።??(፣??"/>
      <sheetName val="፠??Ⴔ፡??L።??R፣??S፤??Lጿ??2ጿ?"/>
      <sheetName val="ጊ??Ⴔጊ??Lጊ??నጊ??ಽጊ??(፥??"/>
      <sheetName val="፥??Ⴔ፦??L፥??_ጊ??Eጊ??Ꮜጊ??"/>
      <sheetName val="ጲ??Ⴔድ??Lጳ??Iጳ??_ጴ??Yጳ??"/>
      <sheetName val="ጳ??Ⴔጳ??Lጴ??_ጳ??᪅ጳ??ᕴጴ??"/>
      <sheetName val="_후다_x0001_ _x0010_?_x0003"/>
      <sheetName val="3. CNT"/>
      <sheetName val="unit price list(M)"/>
      <sheetName val="General2"/>
      <sheetName val="Breakdown (B)"/>
      <sheetName val="thông tin"/>
      <sheetName val="Names"/>
      <sheetName val="barchart"/>
      <sheetName val="Matls"/>
      <sheetName val="Labor"/>
      <sheetName val="0_0Control렌㟳䠓䒆_x0013__x0000_"/>
      <sheetName val="0_0Control뀌欨砓﹮_x0012__x0000_"/>
      <sheetName val="0_0Control㠌ᅝ逜㓿_x001c__x0000_"/>
      <sheetName val="0_0Control㠌ᅝ퀜㔋_x001c__x0000_"/>
      <sheetName val="生产量"/>
      <sheetName val="计划原单位"/>
      <sheetName val="명부"/>
      <sheetName val="배부전원가표"/>
      <sheetName val="전년대비"/>
      <sheetName val="판매목표"/>
      <sheetName val="공사내용"/>
      <sheetName val="tifico"/>
      <sheetName val="적용환율"/>
      <sheetName val="PRECAST lightconc-II"/>
      <sheetName val="48_x005f_x0005_"/>
      <sheetName val="_후다_x005f_x0001_ _x005f_x0010__x005f_x0000__x0003"/>
      <sheetName val="07_Themal"/>
      <sheetName val="Budget Code"/>
      <sheetName val="Phu cap"/>
      <sheetName val="RAB AR&amp;STR"/>
      <sheetName val="Nhan cong"/>
      <sheetName val="Thiet bi"/>
      <sheetName val="Vat tu"/>
      <sheetName val="May TC"/>
      <sheetName val="Bang KL"/>
      <sheetName val="TH Kinh phi"/>
      <sheetName val="cataloge moi"/>
      <sheetName val="tonghop"/>
      <sheetName val="1공구_건정토건_䘂꫼"/>
      <sheetName val="1공구_건정토건__x0000__x0000__x0000_"/>
      <sheetName val="1공구_건정토건__x0000__x0000_Ԁ"/>
      <sheetName val="T13(P68~72,78)"/>
      <sheetName val="기본"/>
      <sheetName val=" 견적Ⴗ"/>
      <sheetName val="3차토목ꊆ"/>
      <sheetName val="J형측구단위수량"/>
      <sheetName val="편입조서"/>
      <sheetName val="[후다내역.XLS]__H1775_c_ESTI96____3"/>
      <sheetName val="[후다내역.XLS]__H1775_c_ESTI96____4"/>
      <sheetName val="FAB4생산"/>
      <sheetName val="일  위  대  가 _x0000__x0000__x0005__x0000_ư"/>
      <sheetName val="일  위  대  가 _x0000__x0000__x0005__x0000_፠"/>
      <sheetName val="일  위  대  가 _x0000__x0000__x0005__x0000__xded0_"/>
      <sheetName val="일  위  대  가 _x0000__x0000__x0005__x0000_팠"/>
      <sheetName val="일  위  대  가 _x0000__x0000__x0005__x0000_⡰"/>
      <sheetName val="일  위  대  가 _x0000__x0000__x0005__x0000_㜰"/>
      <sheetName val="일  위  대  가 _x0000__x0000__x0005__x0000_븰"/>
      <sheetName val="데이터"/>
      <sheetName val="NOM³?Ԁ"/>
      <sheetName val="NOMֳ?缀"/>
      <sheetName val="견적_x0005_?"/>
      <sheetName val="수량산출서??_x0005_"/>
      <sheetName val="수량산출서_x0010_?"/>
      <sheetName val="흄관기?"/>
      <sheetName val="부대표지??_x0005_?腰"/>
      <sheetName val="외주대비x?Ԁ?"/>
      <sheetName val="인부신상??"/>
      <sheetName val="부대표지??_x0005_?䥀"/>
      <sheetName val="부대표지??_x0005_?⽠"/>
      <sheetName val="6MONTHS"/>
      <sheetName val="PTDM"/>
      <sheetName val="dropdown"/>
      <sheetName val="_후다_x0001_ _x0010___x0003_ _x0010___x0001___x0010___x0001_ _x0010___x0003_"/>
      <sheetName val="ጳ__Ⴔጳ__Lጴ__ ጵ__ ጶ__ఀጷ__ ጸ_"/>
      <sheetName val="ጷ__Ⴔጸ__Lጿ__Rጿ__Sጊ__Lጊ__2ጱ"/>
      <sheetName val="ጳ__Ⴔጳ__Lጴ___ጵ___ጶ__ఀጷ___ጸ_"/>
      <sheetName val="ጳ__Ⴔጳ__Lጴ__Rጳ__Sጳ__Lጴ__2ጵ"/>
      <sheetName val="ጳ__Ⴔጴ__Lጳ__0ጳ__Șጴ__Șጵ__"/>
      <sheetName val="ጱ__Ⴔጲ__Lፍ__uጳ__mጳ__Dጴ__bጳ_"/>
      <sheetName val="ጊ__Ⴔጱ__Lጲ__.ድ__nጳ__lጳ__eጴ"/>
      <sheetName val="ጵ__Ⴔጶ__Lጷ__.ጸ__yጿ__uጿ__iጊ_"/>
      <sheetName val="ጊ__Ⴔጱ__Lጲ__-ድ__Lጳ__(ጳ__"/>
      <sheetName val="ጿ__Ⴔጿ__Lጊ__ېጱ__ ጲ__೵ድ__Ⴔጳ_"/>
      <sheetName val="ጊ__Ⴔጊ__Lጱ__᳴ጲ__ ድ__ᰕጳ__װጳ"/>
      <sheetName val="ጸ__Ⴔጿ__Lጿ__qጊ__oጊ__iጱ__iጲ_"/>
      <sheetName val="ጳ__Ⴔጴ__Lጳ___ጳ__nጴ__lጵ__eጶ"/>
      <sheetName val="ጿ__Ⴔጿ__Lጊ___ጊ__yጱ__uጲ__iድ_"/>
      <sheetName val="ፍ__Ⴔጳ__Lጳ__Nጴ__(ጳ__ᖥጳ__)"/>
      <sheetName val="ጿ__Ⴔጿ__Lጊ__Cጱ__4ጲ__Ĥፍ__"/>
      <sheetName val="ጳ__Ⴔጳ__Lጴ__෠ጳ__ೠጳ__2ጴ__Pጵ"/>
      <sheetName val="ጶ__Ⴔጷ__Lጸ__ ጿ__ ጿ__ ጊ__"/>
      <sheetName val="ጳ__Ⴔጴ__Lጳ__ބጳ__کጴ__ឌጵ__"/>
      <sheetName val="ጊ__Ⴔጊ__Lጱ__ބጲ__کድ__ឌጳ__"/>
      <sheetName val="ጳ__Ⴔጳ__Lጴ__᝼ጵ__᳀ጶ__,ጷ__)"/>
      <sheetName val="ጿ__Ⴔጊ__Lጱ__Șጲ__ᩘድ__ ጳ__ ጳ_"/>
      <sheetName val="ድ__Ⴔጳ__Lጳ__.ጴ__ഀጳ__nጳ__ "/>
      <sheetName val="ጴ__Ⴔጵ__Lጶ___ጷ__ഀጸ__nጿ__ "/>
      <sheetName val="ጳ__Ⴔጴ__Lጵ__.ጶ__ᔼጷ__1ጸ__2ጿ_"/>
      <sheetName val="ጲ__Ⴔድ__Lጳ__Rጳ__aጴ__lጳ__oጳ"/>
      <sheetName val="ጊ__Ⴔጱ__Lጲ__Rድ__Dጳ__(ጳ__๘ጴ"/>
      <sheetName val="ጴ__Ⴔጵ__Lጶ__֑ጷ__0ጸ__1ጿ__0ጿ"/>
      <sheetName val="ጸ__Ⴔጿ__Lጿ__Ƞጊ__Eጱ__Rጲ__Sፍ"/>
      <sheetName val="ጵ__Ⴔጶ__Lጷ__-ጸ__Oጿ__Uጿ__Rጊ_"/>
      <sheetName val="ጳ__Ⴔጴ__Lጵ__-ጶ__Eጷ__Tጸ__Aጿ"/>
      <sheetName val="ጸ__Ⴔጿ__Lጿ__.ጊ__ ጱ__ݴጲ__"/>
      <sheetName val="ጱ__Ⴔጲ__Lድ__ࣼጳ__൬ጳ__(ጴ__"/>
      <sheetName val="ጴ__Ⴔጳ__Lጳ__Rጴ__Sጵ__Lጶ__2ጷ_"/>
      <sheetName val="ጿ__Ⴔጿ__Lጊ__uጱ__mጲ__Dድ__bጳ_"/>
      <sheetName val="ጴ__Ⴔጳ__Lጳ___ጴ__nጵ__lጶ__eጷ_"/>
      <sheetName val="ጶ__Ⴔጷ__Lጸ__ېጿ___ጿ__೵ጊ__Ⴔጱ_"/>
      <sheetName val="ጳ__Ⴔጳ__Lጴ___ጳ__ഀጳ__nጴ___"/>
      <sheetName val="ጿ__Ⴔጊ__Lጊ___ጱ__ഀጲ__nድ___"/>
      <sheetName val="ጵ__Ⴔጶ__Lጷ__qጸ__oጿ__iጿ__iጊ_"/>
      <sheetName val="ጲ__Ⴔድ__Lጳ__᳴ጳ___ጴ__ᰕጳ__װጳ"/>
      <sheetName val="ጶ__Ⴔጷ__Lጸ___ጿ___ጿ___ጊ__"/>
      <sheetName val="ጱ__Ⴔጲ__Lድ__᝼ጳ__᳀ጳ__,ጴ__)"/>
      <sheetName val="ጷ__Ⴔጸ__Lጿ__Șጿ__ᩘጊ___ጱ___ጲ_"/>
      <sheetName val="ድ__Ⴔጳ__Lጳ__ᰘጴ__ࠄጳ__ഈጳ__Ṅጴ"/>
      <sheetName val="ጲ__Ⴔድ__Lጳ___ጳ__nጴ__lጳ__eጳ_"/>
      <sheetName val="ጳ__Ⴔጳ__Lጴ__᳴ጵ___ጶ__ᰕጷ__װጸ_"/>
      <sheetName val="ጊ__Ⴔጱ__Lጲ__ࠑድ__°ጳ__2ጳ__0"/>
      <sheetName val="ጿ__Ⴔጊ__Lጱ__ᙜጲ__෨ድ__Dጳ__°ጳ"/>
      <sheetName val="ጿ__Ⴔጊ__Lጱ__Rጲ__Cድ__Rጳ__"/>
      <sheetName val="ጴ__Ⴔጳ__Lጳ__iጴ__ ጵ__eጶ__e"/>
      <sheetName val="ጵ__Ⴔጶ__Lጷ__ᝥጸ__Uጿ__Oጿ__ "/>
      <sheetName val="ጳ__Ⴔጴ__Lጵ__֑ጶ__ ጷ__-ጸ__׭"/>
      <sheetName val="ጳ__Ⴔጳ__Lጴ__಴ጵ__׭ጶ__᳀ጷ__"/>
      <sheetName val="ጴ__Ⴔጵ__Lጶ__ඕጷ__ఐጸ__սጿ__"/>
      <sheetName val="ጲ__Ⴔድ__Lጳ__.ጳ__᪅ጴ__Șጳ__᧝ጳ"/>
      <sheetName val="ጸ__Ⴔጿ__Lጿ__.ጊ__᪅ጊ__ႜጱ__"/>
      <sheetName val="ጴ__Ⴔጵ__Lጶ__.ጷ__ᅸጸ__Ꮙጿ__°ጿ"/>
      <sheetName val="ጶ__Ⴔጷ__Lጸ__.ጿ__(ጿ__ᅸጊ__)"/>
      <sheetName val="ጳ__Ⴔጴ__Lጴ__.ፊ__(ጵ__ఀፋ__)"/>
      <sheetName val="ጊ__Ⴔጱ__Lጲ__ഈድ__ᠥጳ__๘ጳ__"/>
      <sheetName val="ጊ__Ⴔጱ__Lጲ__Tድ__(ጳ__Eጳ__"/>
      <sheetName val="ጱ__Ⴔጲ__Lድ__ެጳ__ ጳ__(ጴ__"/>
      <sheetName val="ጷ__Ⴔጸ__Lጿ__೨ጿ__Tጊ__ಽጊ__"/>
      <sheetName val="ጿ__Ⴔጿ__Lጊ__ᙔጱ__೵ጲ__ ድ__"/>
      <sheetName val="ጴ__Ⴔጳ__Lጳ__ᆠጴ__Aጵ__Iጶ__"/>
      <sheetName val="ድ__Ⴔጳ__Lጳ__಴ጴ__׭ጳ__᳀ጳ__"/>
      <sheetName val="ጱ__Ⴔጲ__Lድ__ಜጳ__(ጳ__ ጴ__"/>
      <sheetName val="ጷ__Ⴔጸ__Lጿ__ݸጿ__ၬጊ__2ጊ__ರጱ"/>
      <sheetName val="ጵ__Ⴔጶ__Lጷ___ጸ__᪅ጿ__Șጿ__᧝ጊ"/>
      <sheetName val="ጳ__Ⴔጴ__Lጳ___ጳ__᪅ጴ__ႜጵ__"/>
      <sheetName val="ጳ__Ⴔጳ__Lጴ__ࣼጳ__൬ጳ__(ጴ__"/>
      <sheetName val="ጳ__Ⴔጴ__Lጳ__Rጳ__Sጴ__Lጵ__2ጶ_"/>
      <sheetName val="ጿ__Ⴔጿ__Lጊ__నጊ__ಽጱ__(ጲ__"/>
      <sheetName val="ጿ__Ⴔጊ__Lጊ__೵ጱ__(ጲ__ዹድ__"/>
      <sheetName val="ጳ__Ⴔጳ__Lጴ___ጳ__Eጳ__Ꮜጴ__"/>
      <sheetName val="ጷ__Ⴔጸ__Lጿ___ጿ__ᔼጊ__1ጱ__2ጲ_"/>
      <sheetName val="ጳ__Ⴔጳ__Lጴ__Ƞጴ__Eፊ__Rጵ__Sፋ"/>
      <sheetName val="ጸ__Ⴔጿ__Lጿ__ݴጊ__෼ጱ__.ጲ__"/>
      <sheetName val="ድ__Ⴔጳ__Lጳ__0ጴ__ ጳ__Iጳ__"/>
      <sheetName val="ጊ__Ⴔጱ__Lጲ__ಜድ__(ጳ___ጳ__"/>
      <sheetName val="ጿ__Ⴔጊ__Lጱ__rጲ__(ድ__tጳ__rጳ"/>
      <sheetName val="ጴ__Ⴔጵ__Lጶ__᚝ጷ__Ոጸ__)ጿ__"/>
      <sheetName val="ጸ__Ⴔጿ__Lጿ__iጊ__ ጱ__uጲ__r"/>
      <sheetName val="ጳ__Ⴔጴ__Lጳ__᳴ጳ___ጴ__ᰕጵ__װጶ_"/>
      <sheetName val="ጴ__Ⴔጳ__Lጳ__֑ጴ___ጵ__-ጶ__׭"/>
      <sheetName val="ጳ__Ⴔጳ__Lጴ__ᙜጵ__෨ጶ__Dጷ__°ጸ"/>
      <sheetName val="ጿ__ゴጊ__Lዷ__R፞__I፟__G፠__ጀ፠"/>
      <sheetName val="ጶ__Ⴔጷ__Lጸ___ጿ__ഀጿ__nጊ___ጱ"/>
      <sheetName val="ጵ__Ⴔጶ__Lጷ___ጸ__ഀጿ__nጿ___ጊ"/>
      <sheetName val="ጳ__Ⴔጴ__Lጵ___ጶ__Eጷ__Ꮜጸ__"/>
      <sheetName val="ጱ__Ⴔጲ__Lድ___ጳ___ጳ___ጴ__1"/>
      <sheetName val="ድ__Ⴔጳ__Lጳ__᝼ጴ__᳀ጳ__,ጳ__)ጴ"/>
      <sheetName val="ጶ__Ⴔጷ__Lጸ__-ጿ__Oጿ__Uጊ__Rፕ_"/>
      <sheetName val="ጿ__Ⴔጿ__Lጊ__-ጱ__Eጲ__Tድ__Aጳ"/>
      <sheetName val="ጷ__Ⴔጸ__Lጿ___ጿ___ጊ__ݴጱ__"/>
      <sheetName val="ጲ__Ⴔድ__Lጳ__ᝥጳ__Uጴ__Oጳ___"/>
      <sheetName val="ፘ__Ⴔፘ__Lፙ__Rፘ__Cፘ__Rፙ__"/>
      <sheetName val="፝__Ⴔጿ__Lጿ__iጊ___ዷ__e፞__e"/>
      <sheetName val="፡__Ⴔ፠__L፠__ࣼ፡__൬።__(፣__"/>
      <sheetName val="፠__Ⴔ፡__L።__R፣__S፤__Lጿ__2ጿ_"/>
      <sheetName val="ጊ__Ⴔጊ__Lጊ__నጊ__ಽጊ__(፥__"/>
      <sheetName val="፥__Ⴔ፦__L፥___ጊ__Eጊ__Ꮜጊ__"/>
      <sheetName val="ጲ__Ⴔድ__Lጳ__Iጳ___ጴ__Yጳ__"/>
      <sheetName val="ጳ__Ⴔጳ__Lጴ___ጳ__᪅ጳ__ᕴጴ__"/>
      <sheetName val="_후다_x0001_ _x0010___x0003"/>
      <sheetName val="MAIN GATE HOUSE"/>
      <sheetName val="4_내진_x0005__x0000_"/>
      <sheetName val="Parameters"/>
      <sheetName val="02_EqptCost"/>
      <sheetName val="외주대비-က辏_xda68__x0000_Ԁ耙"/>
      <sheetName val="부대공(집계)"/>
      <sheetName val="대莈"/>
      <sheetName val="대耨"/>
      <sheetName val="1공구_건정토건_철槜〽"/>
      <sheetName val="자재가격"/>
      <sheetName val="우,숤수"/>
      <sheetName val="시멘ౘ潭ힶ"/>
      <sheetName val="견적의뢰"/>
      <sheetName val="할빙수"/>
      <sheetName val="금융비×"/>
      <sheetName val="폐기물"/>
      <sheetName val="2000년 임금추정"/>
      <sheetName val="부대표지__x0000__x0000_Ԁ_x0000_"/>
      <sheetName val="파일의이용"/>
      <sheetName val="시멘혷?"/>
      <sheetName val="시멘혾?"/>
      <sheetName val="2.교"/>
      <sheetName val="부대표지_"/>
      <sheetName val="1차설계변경瀀?"/>
      <sheetName val="단가최종"/>
      <sheetName val="주차"/>
      <sheetName val="사용현황"/>
      <sheetName val="내역서변_x0000__x0000_鷐"/>
      <sheetName val="환산표"/>
      <sheetName val="Bab泅啢堀㭔_"/>
      <sheetName val="장비종합부표"/>
      <sheetName val="집계표_식재"/>
      <sheetName val="부표"/>
      <sheetName val="BOX-1510"/>
      <sheetName val="머릿글,로고양식"/>
      <sheetName val="현장별미수"/>
      <sheetName val="1Month+Sheet2!"/>
      <sheetName val="출입구총집계"/>
      <sheetName val="01__DATA2"/>
      <sheetName val="샌딩_에폭시_도장3"/>
      <sheetName val="Summary_VO_No_32"/>
      <sheetName val="VO_No_3_12"/>
      <sheetName val="VO_No_3_22"/>
      <sheetName val="VO_No_3_32"/>
      <sheetName val="VO_No_3_42"/>
      <sheetName val="VO_No_3_52"/>
      <sheetName val="VO_No_3_62"/>
      <sheetName val="VO_No_3_72"/>
      <sheetName val="VO_No_3_82"/>
      <sheetName val="SCOPE_OF_WORK2"/>
      <sheetName val="대3류_2"/>
      <sheetName val="외주대비_ᨀ晙ԯ3"/>
      <sheetName val="3_단가산출서2"/>
      <sheetName val="4_단가산출기초2"/>
      <sheetName val="H__MECHANICAL2"/>
      <sheetName val="J__FIRE_FIGHTING2"/>
      <sheetName val="Sàn_T12"/>
      <sheetName val="Lỗ_thông_gió2"/>
      <sheetName val="Thống_kê2"/>
      <sheetName val="Tai_khoan2"/>
      <sheetName val="Bang_gia_2011_10_121"/>
      <sheetName val="중기사용료_(2)2"/>
      <sheetName val="投标材料清单_1"/>
      <sheetName val="ጊ후다내역_XLS]0_0ControlSheet31"/>
      <sheetName val="Dầm_11"/>
      <sheetName val="Unit_Rate(non_print)1"/>
      <sheetName val="Cọc_nhồi1"/>
      <sheetName val="5_6_NTKL_ĐHKK_1"/>
      <sheetName val="5_12_NTKL_PCCC1"/>
      <sheetName val="5_NKTC1"/>
      <sheetName val="4_BBNT-LĐ1"/>
      <sheetName val="외주대비_-석축???_x1"/>
      <sheetName val="D_&amp;_W_sizes1"/>
      <sheetName val="Goc_CC1"/>
      <sheetName val="Sàn_tầng_01_(_old_)1"/>
      <sheetName val="Gia_thanh_chuoi_su1"/>
      <sheetName val="Tiep_dia1"/>
      <sheetName val="Don_gia_vung_III-Can_Tho1"/>
      <sheetName val="TH_MEP1"/>
      <sheetName val="_DATA1"/>
      <sheetName val="0_Bìa1"/>
      <sheetName val="1_Mục_lục1"/>
      <sheetName val="2_Phiếu_kiểm_tra1"/>
      <sheetName val="BM-06a_Mẫu_chứng_chỉ_thanh_toá1"/>
      <sheetName val="3_Bảng_TT_giá_trị_thực_hiện1"/>
      <sheetName val="4_Bảng_TT_KL_thực_hiện1"/>
      <sheetName val="6_KL_DD_chi_tiết1"/>
      <sheetName val="5_công_nhật1"/>
      <sheetName val="ROW_3a-chi_tiết1"/>
      <sheetName val="ROW_5-_chi_tiết1"/>
      <sheetName val="ROW_6-_chi_tiết1"/>
      <sheetName val="KL_khoán_đổ_bê_tông_T71"/>
      <sheetName val="6__Bảng_TT_giá_trị_giảm_trừ_HĐ1"/>
      <sheetName val="6__Hồ_sơ_đính_kèm1"/>
      <sheetName val="운동장_(2)1"/>
      <sheetName val="외주대비_-석É1"/>
      <sheetName val="IMF_Code1"/>
      <sheetName val="Elec_LG"/>
      <sheetName val="ESTI_"/>
      <sheetName val="1_Requisition(E)"/>
      <sheetName val="dtct_cong"/>
      <sheetName val="NHÀ_NHẬP_LIỆU"/>
      <sheetName val="MÓNG_SILO"/>
      <sheetName val="3_1"/>
      <sheetName val="3_10"/>
      <sheetName val="3_2"/>
      <sheetName val="3_3"/>
      <sheetName val="3_4"/>
      <sheetName val="3_5"/>
      <sheetName val="3_6"/>
      <sheetName val="3_7"/>
      <sheetName val="3_8"/>
      <sheetName val="3_9"/>
      <sheetName val="Doi_so"/>
      <sheetName val="TL_rieng"/>
      <sheetName val="갑지_1회"/>
      <sheetName val="18_07"/>
      <sheetName val="갑지_2회"/>
      <sheetName val="18_08"/>
      <sheetName val="갑지_3회"/>
      <sheetName val="18_09"/>
      <sheetName val="갑지_4회"/>
      <sheetName val="18_10"/>
      <sheetName val="갑지_5회"/>
      <sheetName val="18_11"/>
      <sheetName val="갑지_6회"/>
      <sheetName val="18_12"/>
      <sheetName val="갑지_7회"/>
      <sheetName val="19_01"/>
      <sheetName val="갑지_8회"/>
      <sheetName val="19_02"/>
      <sheetName val="갑지_9회"/>
      <sheetName val="표지_9회"/>
      <sheetName val="19_03"/>
      <sheetName val="갑지_10회"/>
      <sheetName val="표지_10회"/>
      <sheetName val="19_04"/>
      <sheetName val="갑지_11회"/>
      <sheetName val="표지_11회"/>
      <sheetName val="19_05"/>
      <sheetName val="갑지_12회"/>
      <sheetName val="표지_12회"/>
      <sheetName val="19_06"/>
      <sheetName val="갑지_13회"/>
      <sheetName val="표지_13회"/>
      <sheetName val="19_07"/>
      <sheetName val="갑지_14회"/>
      <sheetName val="표지_14회"/>
      <sheetName val="19_08"/>
      <sheetName val="물가변동_총괄서3"/>
      <sheetName val="7_1유효폭3"/>
      <sheetName val="허용전류-IEC_DATA3"/>
      <sheetName val="본선_토공_분배표3"/>
      <sheetName val="을_22"/>
      <sheetName val="을_12"/>
      <sheetName val="토공_갑지2"/>
      <sheetName val="각사별공사비분개_2"/>
      <sheetName val="해외_연수비용_계산-삭제2"/>
      <sheetName val="해외_기술훈련비_(합계)2"/>
      <sheetName val="Pier_32"/>
      <sheetName val="BOX(1_5X1_5)1"/>
      <sheetName val="TYPE_A1"/>
      <sheetName val="장비투입_(2)1"/>
      <sheetName val="C_&amp;_G_RHS1"/>
      <sheetName val="5_3_단면가정1"/>
      <sheetName val="ITB_COST1"/>
      <sheetName val="CATCH_BASIN1"/>
      <sheetName val="Man_Hole1"/>
      <sheetName val="WEIGHT_LIST"/>
      <sheetName val="산#2-1_(2)"/>
      <sheetName val="설산1_나"/>
      <sheetName val="1_토공"/>
      <sheetName val="Process_Piping1"/>
      <sheetName val="plan&amp;section_of_foundation"/>
      <sheetName val="design_criteria"/>
      <sheetName val="자재_집계표"/>
      <sheetName val="Raw_Data"/>
      <sheetName val="PHC파일_천공_및_항타"/>
      <sheetName val="코드정의서"/>
      <sheetName val="도급표지__x0003__x0000_鲠͕糑"/>
      <sheetName val="VS P-Q"/>
      <sheetName val="2_대외栀⥘턀"/>
      <sheetName val="2_대외⢚❗턀"/>
      <sheetName val="2_대외゚/"/>
      <sheetName val="하도급내역"/>
      <sheetName val="1공구_건정토건_토공10"/>
      <sheetName val="1공구_건정토건_철콘10"/>
      <sheetName val="도급표지_10"/>
      <sheetName val="도급표지__(4)10"/>
      <sheetName val="부대표지_(4)10"/>
      <sheetName val="도급표지__(3)10"/>
      <sheetName val="부대표지_(3)10"/>
      <sheetName val="도급표지__(2)10"/>
      <sheetName val="부대표지_(2)10"/>
      <sheetName val="토__목10"/>
      <sheetName val="조__경10"/>
      <sheetName val="전_기10"/>
      <sheetName val="건__축10"/>
      <sheetName val="보도내역_(3)10"/>
      <sheetName val="준검_내역서10"/>
      <sheetName val="2_대외공문10"/>
      <sheetName val="1_수인터널10"/>
      <sheetName val="6PILE__(돌출)10"/>
      <sheetName val="AS포장복구_10"/>
      <sheetName val="설_계10"/>
      <sheetName val="내역(최종본4_5)10"/>
      <sheetName val="0_0ControlSheet10"/>
      <sheetName val="0_1keyAssumption10"/>
      <sheetName val="Sheet1_(2)9"/>
      <sheetName val="노원열병합__건축공사기성내역서9"/>
      <sheetName val="입출재고현황_(2)9"/>
      <sheetName val="전차선로_물량표9"/>
      <sheetName val="부대입찰_내역서9"/>
      <sheetName val="3BL공동구_수량9"/>
      <sheetName val="BSD_(2)9"/>
      <sheetName val="4_내진설계9"/>
      <sheetName val="토공(우물통,기타)_9"/>
      <sheetName val="96보완계획7_129"/>
      <sheetName val="현장별계약현황('98_10_31)9"/>
      <sheetName val="1_취수장9"/>
      <sheetName val="_총괄표9"/>
      <sheetName val="제잡비_xls9"/>
      <sheetName val="실행내역서_9"/>
      <sheetName val="1__설계조건_2_단면가정_3__하중계산9"/>
      <sheetName val="DATA_입력란9"/>
      <sheetName val="2_고용보험료산출근거9"/>
      <sheetName val="인건비_9"/>
      <sheetName val="1_설계조건9"/>
      <sheetName val="원가계산_(2)9"/>
      <sheetName val="현장관리비_산출내역9"/>
      <sheetName val="97년_추정9"/>
      <sheetName val="Eq__Mobilization9"/>
      <sheetName val="장비당단가_(1)8"/>
      <sheetName val="Sheet2_(2)8"/>
      <sheetName val="콤보박스와_리스트박스의_연결9"/>
      <sheetName val="플랜트_설치9"/>
      <sheetName val="내___역7"/>
      <sheetName val="1_설계기준8"/>
      <sheetName val="프라임_강변역(4,236)7"/>
      <sheetName val="집_계_표7"/>
      <sheetName val="공정표_8"/>
      <sheetName val="5_2코핑7"/>
      <sheetName val="수_량_명_세_서_-_18"/>
      <sheetName val="배수공_시멘트_및_골재량_산출7"/>
      <sheetName val="7_PILE__(돌출)7"/>
      <sheetName val="P_M_별7"/>
      <sheetName val="2_건축8"/>
      <sheetName val="2000년_공정표7"/>
      <sheetName val="DATA_입력부7"/>
      <sheetName val="8_PILE__(돌출)8"/>
      <sheetName val="설내역서_8"/>
      <sheetName val="별표_8"/>
      <sheetName val="광통신_견적내역서17"/>
      <sheetName val="할증_7"/>
      <sheetName val="unit_47"/>
      <sheetName val="4_경비_5_영업외수지7"/>
      <sheetName val="_견적서7"/>
      <sheetName val="CIP_공사8"/>
      <sheetName val="표지_(2)9"/>
      <sheetName val="수량산출서_갑지7"/>
      <sheetName val="2_교량(신설)7"/>
      <sheetName val="1_3_1절점좌표7"/>
      <sheetName val="1_1설계기준7"/>
      <sheetName val="표지_(3)9"/>
      <sheetName val="교각집계_(2)9"/>
      <sheetName val="교각토공_(2)9"/>
      <sheetName val="교각철근_(2)9"/>
      <sheetName val="외주대비_-석축9"/>
      <sheetName val="외주대비-구조물_(2)9"/>
      <sheetName val="견적표지_(3)9"/>
      <sheetName val="_HIT-&gt;HMC_견적(3900)9"/>
      <sheetName val="일__위__대__가__목__록9"/>
      <sheetName val="5_정산서7"/>
      <sheetName val="2000_057"/>
      <sheetName val="1_본부별7"/>
      <sheetName val="EQUIP_LIST7"/>
      <sheetName val="교각토공__2_9"/>
      <sheetName val="HRSG_SMALL072209"/>
      <sheetName val="6__안전관리비16"/>
      <sheetName val="하도내역_(철콘)8"/>
      <sheetName val="3_공통공사대비9"/>
      <sheetName val="노무비_근거8"/>
      <sheetName val="조건표_(2)8"/>
      <sheetName val="임율_Data8"/>
      <sheetName val="2차전체변경예정_(2)8"/>
      <sheetName val="토공유동표(전체_당초)8"/>
      <sheetName val="목차_8"/>
      <sheetName val="단면_(2)8"/>
      <sheetName val="b_balju_(2)8"/>
      <sheetName val="8_현장관리비8"/>
      <sheetName val="7_안전관리비8"/>
      <sheetName val="7__현장관리비_8"/>
      <sheetName val="노무비_7"/>
      <sheetName val="내역서_제출7"/>
      <sheetName val="구조______7"/>
      <sheetName val="간_지17"/>
      <sheetName val="화재_탐지_설비7"/>
      <sheetName val="4_일위대가집계7"/>
      <sheetName val="5__현장관리비(new)_7"/>
      <sheetName val="Customer_Databas7"/>
      <sheetName val="방배동내역_(총괄)7"/>
      <sheetName val="기초입력_DATA7"/>
      <sheetName val="재활용_악취_먼지DUCT산출7"/>
      <sheetName val="4_장비손료7"/>
      <sheetName val="단양_00_아파트-세부내역7"/>
      <sheetName val="5호광장_(만점)7"/>
      <sheetName val="인천국제_(만점)_(2)7"/>
      <sheetName val="전선_및_전선관6"/>
      <sheetName val="VENDOR_LIST6"/>
      <sheetName val="남양시작동자105노65기1_3화1_26"/>
      <sheetName val="관음목장(제출용)자105인97_56"/>
      <sheetName val="1062-X방향_6"/>
      <sheetName val="969910(_R)6"/>
      <sheetName val="원내역서_그대로6"/>
      <sheetName val="PROJECT_BRIEF6"/>
      <sheetName val="설계기준_및_하중계산6"/>
      <sheetName val="TABLE_DB6"/>
      <sheetName val="쌍용_data_base6"/>
      <sheetName val="수목데이타_6"/>
      <sheetName val="Sight_n_M_H6"/>
      <sheetName val="단가_6"/>
      <sheetName val="4_LINE7"/>
      <sheetName val="7_th7"/>
      <sheetName val="_갑지7"/>
      <sheetName val="A_LINE7"/>
      <sheetName val="5__현장관리비_new__7"/>
      <sheetName val="Temporary_Mooring7"/>
      <sheetName val="중기조종사_단위단가8"/>
      <sheetName val="총_원가계산7"/>
      <sheetName val="매출요약(월별)_-년간6"/>
      <sheetName val="Piping_Design_Data6"/>
      <sheetName val="4_&amp;_10-inch,_CO2_Combo_&amp;_Sweep6"/>
      <sheetName val="1_䷨수장6"/>
      <sheetName val="4_뀴진설Ⳅ6"/>
      <sheetName val="전䰨선로_물량표6"/>
      <sheetName val="㶀대입찰_내역서6"/>
      <sheetName val="전체내역_(2)6"/>
      <sheetName val="Hyundai_Unit_cost_xls6"/>
      <sheetName val="제출내역_(2)7"/>
      <sheetName val="경비_(1)6"/>
      <sheetName val="2F_회의실견적(5_14_일대)6"/>
      <sheetName val="한성교회_신축공사(050713)_CheckList6"/>
      <sheetName val="2_2_오피스텔(12~32F)7"/>
      <sheetName val="일위대가_집계표7"/>
      <sheetName val="9_1지하2층하부보7"/>
      <sheetName val="단계별내역_(2)7"/>
      <sheetName val="4_일위대가7"/>
      <sheetName val="총괄집계_6"/>
      <sheetName val="2_15"/>
      <sheetName val="내역서_(2)6"/>
      <sheetName val="단가_및_재료비6"/>
      <sheetName val="strut_type6"/>
      <sheetName val="97_사업추정(WEKI)3"/>
      <sheetName val="10_경제성분석5"/>
      <sheetName val="공내역_및_견적조건5"/>
      <sheetName val="기계_도급내역서5"/>
      <sheetName val="신평리_권리자명부3"/>
      <sheetName val="kimre_scrubber6"/>
      <sheetName val="청_구4"/>
      <sheetName val="-15_05"/>
      <sheetName val="7_전산해석결과4"/>
      <sheetName val="4_하중4"/>
      <sheetName val="STEEL_BOX_단면설계(SEC_8)6"/>
      <sheetName val="2_2_띠장의_설계7"/>
      <sheetName val="자__재7"/>
      <sheetName val="개인별_순위표7"/>
      <sheetName val="CM_17"/>
      <sheetName val="세골재__T2_변경_현황6"/>
      <sheetName val="6__안전관리비17"/>
      <sheetName val="기술부_VENDOR_LIST7"/>
      <sheetName val="4_2_1_마루높이_검토6"/>
      <sheetName val="내역서_(3)7"/>
      <sheetName val="산출양식_(2)7"/>
      <sheetName val="전체산출내역서갑(변경)_7"/>
      <sheetName val="A_터파기공7"/>
      <sheetName val="B_측·집7"/>
      <sheetName val="배(자·집)_(2)7"/>
      <sheetName val="2_01측·터·집7"/>
      <sheetName val="땅깍·수_(1-1)7"/>
      <sheetName val="0-52_7"/>
      <sheetName val="콘·다_(2)7"/>
      <sheetName val="기·집_(2)7"/>
      <sheetName val="콘·다_(3)7"/>
      <sheetName val="병원내역집계표_(2)7"/>
      <sheetName val="실행총괄_7"/>
      <sheetName val="[IL-3_XLSY갑지7"/>
      <sheetName val="4_일위대가목차7"/>
      <sheetName val="내역_ver1_07"/>
      <sheetName val="2000,9월_일위7"/>
      <sheetName val="1_노무비명세서(해동)7"/>
      <sheetName val="1_노무비명세서(토목)7"/>
      <sheetName val="2_노무비명세서(해동)7"/>
      <sheetName val="2_노무비명세서(수직보호망)7"/>
      <sheetName val="2_노무비명세서(난간대)7"/>
      <sheetName val="2_사진대지7"/>
      <sheetName val="3_사진대지7"/>
      <sheetName val="변압기_및_발전기_용량6"/>
      <sheetName val="조도계산서_(도서)6"/>
      <sheetName val="빌딩_안내6"/>
      <sheetName val="CABLE_(2)6"/>
      <sheetName val="G_R300경비6"/>
      <sheetName val="단가대비표_(3)6"/>
      <sheetName val="기성내역서(을)_(2)6"/>
      <sheetName val="1단계_(2)6"/>
      <sheetName val="2_1__노무비_평균단가산출6"/>
      <sheetName val="3_공사비(07년노임단가)6"/>
      <sheetName val="3_공사비(단가조사표)6"/>
      <sheetName val="3_공사비(물량산출표)6"/>
      <sheetName val="3_공사비(일위대가표목록)6"/>
      <sheetName val="3_공사비(일위대가표)6"/>
      <sheetName val="TRE_TABLE6"/>
      <sheetName val="Requirement(Work_Crew)6"/>
      <sheetName val="진입도로B_(2)6"/>
      <sheetName val="2_냉난방설비공사6"/>
      <sheetName val="7_자동제어공사6"/>
      <sheetName val="중강당_내역6"/>
      <sheetName val="기초자료입력및_K치_확인6"/>
      <sheetName val="실행내역_6"/>
      <sheetName val="자재_단가_비교표(견적)6"/>
      <sheetName val="자재_단가_비교표6"/>
      <sheetName val="Bid_Summary6"/>
      <sheetName val="이동시_예상비용6"/>
      <sheetName val="Seg_1DE비용6"/>
      <sheetName val="Transit_비용_감가상각미포함6"/>
      <sheetName val="전화공사_공량_및_집계표6"/>
      <sheetName val="참조_(2)6"/>
      <sheetName val="6__직접경비6"/>
      <sheetName val="대가_(보완)6"/>
      <sheetName val="3_자재비(총괄)6"/>
      <sheetName val="제조_경영6"/>
      <sheetName val="4_전기6"/>
      <sheetName val="노_무_비6"/>
      <sheetName val="미납품_현황6"/>
      <sheetName val="신설개소별_총집계표(동해-배전)6"/>
      <sheetName val="BOX_본체6"/>
      <sheetName val="MP_MOB6"/>
      <sheetName val="사__업__비__수__지__예__산__서5"/>
      <sheetName val="일위대가_(PM)6"/>
      <sheetName val="FRP_PIPING_일위대가6"/>
      <sheetName val="108_수선비6"/>
      <sheetName val="_ｹ-ﾌﾞﾙ3"/>
      <sheetName val="220_(2)3"/>
      <sheetName val="토__공3"/>
      <sheetName val="①idea_pipeline6"/>
      <sheetName val="IMP_통일양식6"/>
      <sheetName val="LYS_통일양식6"/>
      <sheetName val="Xunit_(단위환산)6"/>
      <sheetName val="유통기한_프로그램6"/>
      <sheetName val="태화42_3"/>
      <sheetName val="1-1_현장정리6"/>
      <sheetName val="1-2_토공6"/>
      <sheetName val="1-3_WMM,GSB6"/>
      <sheetName val="1-4_BITUMINOUS_COURSE6"/>
      <sheetName val="1-5_BOX_CULVERTS6"/>
      <sheetName val="1-6_BRIDGE6"/>
      <sheetName val="1-7_DRAINAGE6"/>
      <sheetName val="1-8_TRAFFIC6"/>
      <sheetName val="1-9_MISCELLANEOUS6"/>
      <sheetName val="1-10_ELECTRICAL6"/>
      <sheetName val="1-12_도급외항목6"/>
      <sheetName val="명일작업계획_(3)6"/>
      <sheetName val="용선_C_L6"/>
      <sheetName val="전_체6"/>
      <sheetName val="흙막이B_(오산운암)6"/>
      <sheetName val="타이로드_흙막이6"/>
      <sheetName val="타이로드_흙막이(근입장2_5M)6"/>
      <sheetName val="타이로드(근입장2_5M)6"/>
      <sheetName val="pile_항타6"/>
      <sheetName val="pile_항타(디젤)6"/>
      <sheetName val="pile_항타_A6"/>
      <sheetName val="pile_항타_B6"/>
      <sheetName val="pile_항타_C6"/>
      <sheetName val="pile_인발6"/>
      <sheetName val="pile_인발_A6"/>
      <sheetName val="pile_인발_B6"/>
      <sheetName val="pile_인발_C6"/>
      <sheetName val="20TON_TRAILER6"/>
      <sheetName val="토류판_(2)6"/>
      <sheetName val="SHEET_PILE단가6"/>
      <sheetName val="6_이토처리시간6"/>
      <sheetName val="3_관로전환기3"/>
      <sheetName val="외주현황_wq13"/>
      <sheetName val="1차_내역서6"/>
      <sheetName val="BEND_LOSS3"/>
      <sheetName val="울진항공등화_내역서6"/>
      <sheetName val="일_위_대_가_표6"/>
      <sheetName val="영흥TL(UP,DOWN)_6"/>
      <sheetName val="3련_BOX6"/>
      <sheetName val="내역서_5"/>
      <sheetName val="2_1외주6"/>
      <sheetName val="2_3노무6"/>
      <sheetName val="2_4자재6"/>
      <sheetName val="2_2장비6"/>
      <sheetName val="2_5경비6"/>
      <sheetName val="2_6수목대6"/>
      <sheetName val="모선자재_집계표5"/>
      <sheetName val="재료의_할증5"/>
      <sheetName val="D1_2_COF모듈자재_입출재고_(B급)5"/>
      <sheetName val="_3"/>
      <sheetName val="1차3회-개 "/>
      <sheetName val="K2_site_Total_내역서3"/>
      <sheetName val="TRAY_헹거산출3"/>
      <sheetName val="함열량_db5"/>
      <sheetName val="F_월별기성수금현황_3"/>
      <sheetName val="내역서1999_8최종3"/>
      <sheetName val="토공_total3"/>
      <sheetName val="3_전기산출기초3"/>
      <sheetName val="기존단가_(2)4"/>
      <sheetName val="고객사_관리_코드6"/>
      <sheetName val="중기쥰종사_단위단가6"/>
      <sheetName val="PTVT_(MAU)6"/>
      <sheetName val="99_조정금액3"/>
      <sheetName val="D_B3"/>
      <sheetName val="1_13"/>
      <sheetName val="표__지5"/>
      <sheetName val="Div26_-_Elect5"/>
      <sheetName val="Khoi_luong5"/>
      <sheetName val="Bảng_mã_VT5"/>
      <sheetName val="DonGia_chetao5"/>
      <sheetName val="DonGia_VatTuLK5"/>
      <sheetName val="Fr_Revit5"/>
      <sheetName val="NSA_Summary5"/>
      <sheetName val="일위대가56-1_3"/>
      <sheetName val="일위대가71-1_3"/>
      <sheetName val="일위대가74-1_3"/>
      <sheetName val="일위대가76-1_3"/>
      <sheetName val="일위대가77-1_3"/>
      <sheetName val="일위대가78-1_3"/>
      <sheetName val="chi_tiet4"/>
      <sheetName val="PPC_Summary4"/>
      <sheetName val="금회_청구사항(기계)3"/>
      <sheetName val="기성갑지_(소방)3"/>
      <sheetName val="금회_청구사항(소방)3"/>
      <sheetName val="1_청구서3"/>
      <sheetName val="2_내역서3"/>
      <sheetName val="동강_배관3"/>
      <sheetName val="WCR_외주3"/>
      <sheetName val="ANILINE_-_OPTION3"/>
      <sheetName val="MDI_-_OPTION3"/>
      <sheetName val="06_일위대가목록3"/>
      <sheetName val="Tong_hop3"/>
      <sheetName val="Phan_lap_dat3"/>
      <sheetName val="Lắp_Ráp3"/>
      <sheetName val="총괄표_3"/>
      <sheetName val="계약대비내역서_(부경)3"/>
      <sheetName val="집행대비내역서_(부경)3"/>
      <sheetName val="계약그라우팅_포장3"/>
      <sheetName val="계약사무실조경_3"/>
      <sheetName val="횡배수관_토공량_산출3"/>
      <sheetName val="1차3회-개_"/>
      <sheetName val="내역_"/>
      <sheetName val="3_1_6_전산처리결과2"/>
      <sheetName val="도시정비_2"/>
      <sheetName val="Phieu_trinh_ky_cấu_tháp3"/>
      <sheetName val="Phieu_trinh_ky_VTP3"/>
      <sheetName val="KS-VL_rời3"/>
      <sheetName val="Tai_san3"/>
      <sheetName val="Check_dong_tien3"/>
      <sheetName val="Chi_phí_SDTS3"/>
      <sheetName val="Check_COST3"/>
      <sheetName val="DATA_HD3"/>
      <sheetName val="Tong_hop_1TM3"/>
      <sheetName val="NS_Lán_trại3"/>
      <sheetName val="Check_cong_no_NC3"/>
      <sheetName val="cong_thuc_tinh_chi_tiet5"/>
      <sheetName val="_IL-3_XLSY갑지7"/>
      <sheetName val="KET_CAU-_MJV23"/>
      <sheetName val="Ví_dụ3"/>
      <sheetName val="Gia_VLNCMTC3"/>
      <sheetName val="1차설계변경瀀"/>
      <sheetName val="부대표지츀_"/>
      <sheetName val="Bang_TH1"/>
      <sheetName val="표지_¬"/>
      <sheetName val="2_입력sheet"/>
      <sheetName val="원가_(2)"/>
      <sheetName val="PL_Vua"/>
      <sheetName val="Basic_Wage"/>
      <sheetName val="Menber_List"/>
      <sheetName val="Measure_1306"/>
      <sheetName val="DM_ChiPhi"/>
      <sheetName val="내역서변ꙭ_"/>
      <sheetName val="외주대비_-석축_x005f_x0000__x005f_x0000__x005f_x0000__x"/>
      <sheetName val="BREAKDOW頀ᵛ瀞囏攀"/>
      <sheetName val="표지_(3"/>
      <sheetName val="18_궤도재료"/>
      <sheetName val="간접비_총괄표"/>
      <sheetName val="5_단가대비표"/>
      <sheetName val="MCC제원"/>
      <sheetName val="공사투입계획(변경결의)19.9"/>
      <sheetName val="노무비 월별지급현황19.9"/>
      <sheetName val="갑지(외주기성)19.9"/>
      <sheetName val="말고개터널조명전압_x0000__x0000_"/>
      <sheetName val="9-1俔ȭ胠෣"/>
      <sheetName val="9-1❬w镘Ώ"/>
      <sheetName val="DFA"/>
      <sheetName val="T.KE CP1"/>
      <sheetName val="주공_갑지1"/>
      <sheetName val="5_2_6~7공사요율1"/>
      <sheetName val="04_12월건강보험(일용직)1"/>
      <sheetName val="1_내역(청_하역장전등)1"/>
      <sheetName val="2_원가집계1"/>
      <sheetName val="C_MECHANICAL"/>
      <sheetName val="05_유류비자금청구(완)1"/>
      <sheetName val="19_07월_세_계1"/>
      <sheetName val="19_07항목별(시트복사금지100번쓰기)1"/>
      <sheetName val="19_05월1"/>
      <sheetName val="grid_(1)1"/>
      <sheetName val="경율산정_XLS1"/>
      <sheetName val="PAD_TR보호대기초1"/>
      <sheetName val="보도내_1"/>
      <sheetName val="Du_thau"/>
      <sheetName val="1_관로"/>
      <sheetName val="입찰품"/>
      <sheetName val="TỔNG_HỢP"/>
      <sheetName val="ጊ후다내역_XLS_0_0ControlSheet31"/>
      <sheetName val="외주대비_-석축____x1"/>
      <sheetName val="[후다_?_???_?"/>
      <sheetName val="ጳ??Ⴔጳ??Lጴ??_ጵ??_ጶ??ఀጷ??_ጸ?1"/>
      <sheetName val="ጊ??Ⴔጱ??Lጲ??_ድ??nጳ??lጳ??eጴ"/>
      <sheetName val="ጵ??Ⴔጶ??Lጷ??_ጸ??yጿ??uጿ??iጊ?"/>
      <sheetName val="ጿ??Ⴔጿ??Lጊ??ېጱ??_ጲ??೵ድ??Ⴔጳ?"/>
      <sheetName val="ጊ??Ⴔጊ??Lጱ??᳴ጲ??_ድ??ᰕጳ??װጳ"/>
      <sheetName val="ጶ??Ⴔጷ??Lጸ??_ጿ??_ጿ??_ጊ??1"/>
      <sheetName val="ጿ??Ⴔጊ??Lጱ??Șጲ??ᩘድ??_ጳ??_ጳ?"/>
      <sheetName val="ድ??Ⴔጳ??Lጳ??_ጴ??ഀጳ??nጳ??_"/>
      <sheetName val="ጴ??Ⴔጵ??Lጶ??_ጷ??ഀጸ??nጿ??_"/>
      <sheetName val="ጳ??Ⴔጴ??Lጵ??_ጶ??ᔼጷ??1ጸ??2ጿ?"/>
      <sheetName val="ጸ??Ⴔጿ??Lጿ??_ጊ??_ጱ??ݴጲ??"/>
      <sheetName val="ጴ??Ⴔጳ??Lጳ??iጴ??_ጵ??eጶ??e"/>
      <sheetName val="ጵ??Ⴔጶ??Lጷ??ᝥጸ??Uጿ??Oጿ??_"/>
      <sheetName val="ጳ??Ⴔጴ??Lጵ??֑ጶ??_ጷ??-ጸ??׭"/>
      <sheetName val="ጲ??Ⴔድ??Lጳ??_ጳ??᪅ጴ??Șጳ??᧝ጳ"/>
      <sheetName val="ጸ??Ⴔጿ??Lጿ??_ጊ??᪅ጊ??ႜጱ??"/>
      <sheetName val="ጴ??Ⴔጵ??Lጶ??_ጷ??ᅸጸ??Ꮙጿ??°ጿ"/>
      <sheetName val="ጶ??Ⴔጷ??Lጸ??_ጿ??(ጿ??ᅸጊ??)"/>
      <sheetName val="ጳ??Ⴔጴ??Lጴ??_ፊ??(ጵ??ఀፋ??)"/>
      <sheetName val="ጱ??Ⴔጲ??Lድ??ެጳ??_ጳ??(ጴ??"/>
      <sheetName val="ጿ??Ⴔጿ??Lጊ??ᙔጱ??೵ጲ??_ድ??"/>
      <sheetName val="ጱ??Ⴔጲ??Lድ??ಜጳ??(ጳ??_ጴ??"/>
      <sheetName val="ጸ??Ⴔጿ??Lጿ??ݴጊ??෼ጱ??_ጲ??"/>
      <sheetName val="ድ??Ⴔጳ??Lጳ??0ጴ??_ጳ??Iጳ??"/>
      <sheetName val="ጸ??Ⴔጿ??Lጿ??iጊ??_ጱ??uጲ??r"/>
      <sheetName val="_후다_?_x0003"/>
      <sheetName val="PRECAST_lightconc-II"/>
      <sheetName val="3__CNT"/>
      <sheetName val="unit_price_list(M)"/>
      <sheetName val="Breakdown_(B)"/>
      <sheetName val="RAB_AR&amp;STR"/>
      <sheetName val="thông_tin"/>
      <sheetName val="_후다_x005f_x0001___x005f_x0010__x005f_x0000__x0003"/>
      <sheetName val="Nhan_cong"/>
      <sheetName val="Thiet_bi"/>
      <sheetName val="Vat_tu"/>
      <sheetName val="May_TC"/>
      <sheetName val="Bang_KL"/>
      <sheetName val="TH_Kinh_phi"/>
      <sheetName val="cataloge_moi"/>
      <sheetName val="샌딩_에폭시_도장4"/>
      <sheetName val="Summary_VO_No_33"/>
      <sheetName val="VO_No_3_13"/>
      <sheetName val="VO_No_3_23"/>
      <sheetName val="VO_No_3_33"/>
      <sheetName val="VO_No_3_43"/>
      <sheetName val="VO_No_3_53"/>
      <sheetName val="VO_No_3_63"/>
      <sheetName val="VO_No_3_73"/>
      <sheetName val="VO_No_3_83"/>
      <sheetName val="SCOPE_OF_WORK3"/>
      <sheetName val="대3류_3"/>
      <sheetName val="외주대비_ᨀ晙ԯ4"/>
      <sheetName val="3_단가산출서3"/>
      <sheetName val="4_단가산출기초3"/>
      <sheetName val="01__DATA3"/>
      <sheetName val="H__MECHANICAL3"/>
      <sheetName val="J__FIRE_FIGHTING3"/>
      <sheetName val="Sàn_T13"/>
      <sheetName val="Lỗ_thông_gió3"/>
      <sheetName val="Thống_kê3"/>
      <sheetName val="Tai_khoan3"/>
      <sheetName val="Bang_gia_2011_10_122"/>
      <sheetName val="중기사용료_(2)3"/>
      <sheetName val="投标材料清单_2"/>
      <sheetName val="ጊ후다내역_XLS]0_0ControlSheet32"/>
      <sheetName val="Dầm_12"/>
      <sheetName val="Unit_Rate(non_print)2"/>
      <sheetName val="Cọc_nhồi2"/>
      <sheetName val="Bang_TH2"/>
      <sheetName val="5_6_NTKL_ĐHKK_2"/>
      <sheetName val="5_12_NTKL_PCCC2"/>
      <sheetName val="Sàn_tầng_01_(_old_)2"/>
      <sheetName val="5_NKTC2"/>
      <sheetName val="4_BBNT-LĐ2"/>
      <sheetName val="D_&amp;_W_sizes2"/>
      <sheetName val="Goc_CC2"/>
      <sheetName val="Gia_thanh_chuoi_su2"/>
      <sheetName val="Tiep_dia2"/>
      <sheetName val="Don_gia_vung_III-Can_Tho2"/>
      <sheetName val="TH_MEP2"/>
      <sheetName val="_DATA2"/>
      <sheetName val="0_Bìa2"/>
      <sheetName val="1_Mục_lục2"/>
      <sheetName val="2_Phiếu_kiểm_tra2"/>
      <sheetName val="BM-06a_Mẫu_chứng_chỉ_thanh_toá2"/>
      <sheetName val="3_Bảng_TT_giá_trị_thực_hiện2"/>
      <sheetName val="4_Bảng_TT_KL_thực_hiện2"/>
      <sheetName val="6_KL_DD_chi_tiết2"/>
      <sheetName val="5_công_nhật2"/>
      <sheetName val="ROW_3a-chi_tiết2"/>
      <sheetName val="ROW_5-_chi_tiết2"/>
      <sheetName val="ROW_6-_chi_tiết2"/>
      <sheetName val="KL_khoán_đổ_bê_tông_T72"/>
      <sheetName val="6__Bảng_TT_giá_trị_giảm_trừ_HĐ2"/>
      <sheetName val="6__Hồ_sơ_đính_kèm2"/>
      <sheetName val="운동장_(2)2"/>
      <sheetName val="외주대비_-석É2"/>
      <sheetName val="외주대비_-석축???_x2"/>
      <sheetName val="IMF_Code2"/>
      <sheetName val="외주대비_-석축_x005f_x0000__x005f_x0000__x005f_x0000__1"/>
      <sheetName val="Elec_LG1"/>
      <sheetName val="3_11"/>
      <sheetName val="3_101"/>
      <sheetName val="3_21"/>
      <sheetName val="3_31"/>
      <sheetName val="3_41"/>
      <sheetName val="3_51"/>
      <sheetName val="3_61"/>
      <sheetName val="3_71"/>
      <sheetName val="3_81"/>
      <sheetName val="3_91"/>
      <sheetName val="ESTI_1"/>
      <sheetName val="Doi_so1"/>
      <sheetName val="1_Requisition(E)1"/>
      <sheetName val="dtct_cong1"/>
      <sheetName val="TL_rieng1"/>
      <sheetName val="주공_갑지2"/>
      <sheetName val="5_2_6~7공사요율2"/>
      <sheetName val="04_12월건강보험(일용직)2"/>
      <sheetName val="1_내역(청_하역장전등)2"/>
      <sheetName val="2_원가집계2"/>
      <sheetName val="C_MECHANICAL1"/>
      <sheetName val="Measure_13061"/>
      <sheetName val="DM_ChiPhi1"/>
      <sheetName val="NHÀ_NHẬP_LIỆU1"/>
      <sheetName val="MÓNG_SILO1"/>
      <sheetName val="Basic_Wage1"/>
      <sheetName val="Menber_List1"/>
      <sheetName val="05_유류비자금청구(완)2"/>
      <sheetName val="19_07월_세_계2"/>
      <sheetName val="19_07항목별(시트복사금지100번쓰기)2"/>
      <sheetName val="19_05월2"/>
      <sheetName val="grid_(1)2"/>
      <sheetName val="경율산정_XLS2"/>
      <sheetName val="PAD_TR보호대기초2"/>
      <sheetName val="보도내_2"/>
      <sheetName val="PL_Vua1"/>
      <sheetName val="Du_thau1"/>
      <sheetName val="1_관로1"/>
      <sheetName val="TỔNG_HỢP1"/>
      <sheetName val="ጊ후다내역_XLS_0_0ControlSheet32"/>
      <sheetName val="외주대비_-석축____x2"/>
      <sheetName val="ጳ??Ⴔጳ??Lጴ??_ጵ??_ጶ??ఀጷ??_ጸ?2"/>
      <sheetName val="ጊ??Ⴔጱ??Lጲ??_ድ??nጳ??lጳ??eጴ1"/>
      <sheetName val="ጵ??Ⴔጶ??Lጷ??_ጸ??yጿ??uጿ??iጊ?1"/>
      <sheetName val="ጿ??Ⴔጿ??Lጊ??ېጱ??_ጲ??೵ድ??Ⴔጳ?1"/>
      <sheetName val="ጊ??Ⴔጊ??Lጱ??᳴ጲ??_ድ??ᰕጳ??װጳ1"/>
      <sheetName val="ጶ??Ⴔጷ??Lጸ??_ጿ??_ጿ??_ጊ??2"/>
      <sheetName val="ጿ??Ⴔጊ??Lጱ??Șጲ??ᩘድ??_ጳ??_ጳ?1"/>
      <sheetName val="ድ??Ⴔጳ??Lጳ??_ጴ??ഀጳ??nጳ??_1"/>
      <sheetName val="ጴ??Ⴔጵ??Lጶ??_ጷ??ഀጸ??nጿ??_1"/>
      <sheetName val="ጳ??Ⴔጴ??Lጵ??_ጶ??ᔼጷ??1ጸ??2ጿ?1"/>
      <sheetName val="ጸ??Ⴔጿ??Lጿ??_ጊ??_ጱ??ݴጲ??1"/>
      <sheetName val="ጴ??Ⴔጳ??Lጳ??iጴ??_ጵ??eጶ??e1"/>
      <sheetName val="ጵ??Ⴔጶ??Lጷ??ᝥጸ??Uጿ??Oጿ??_1"/>
      <sheetName val="ጳ??Ⴔጴ??Lጵ??֑ጶ??_ጷ??-ጸ??׭1"/>
      <sheetName val="ጲ??Ⴔድ??Lጳ??_ጳ??᪅ጴ??Șጳ??᧝ጳ1"/>
      <sheetName val="ጸ??Ⴔጿ??Lጿ??_ጊ??᪅ጊ??ႜጱ??1"/>
      <sheetName val="ጴ??Ⴔጵ??Lጶ??_ጷ??ᅸጸ??Ꮙጿ??°ጿ1"/>
      <sheetName val="ጶ??Ⴔጷ??Lጸ??_ጿ??(ጿ??ᅸጊ??)1"/>
      <sheetName val="ጳ??Ⴔጴ??Lጴ??_ፊ??(ጵ??ఀፋ??)1"/>
      <sheetName val="ጱ??Ⴔጲ??Lድ??ެጳ??_ጳ??(ጴ??1"/>
      <sheetName val="ጿ??Ⴔጿ??Lጊ??ᙔጱ??೵ጲ??_ድ??1"/>
      <sheetName val="ጱ??Ⴔጲ??Lድ??ಜጳ??(ጳ??_ጴ??1"/>
      <sheetName val="ጸ??Ⴔጿ??Lጿ??ݴጊ??෼ጱ??_ጲ??1"/>
      <sheetName val="ድ??Ⴔጳ??Lጳ??0ጴ??_ጳ??Iጳ??1"/>
      <sheetName val="ጸ??Ⴔጿ??Lጿ??iጊ??_ጱ??uጲ??r1"/>
      <sheetName val="PRECAST_lightconc-II1"/>
      <sheetName val="Rect__101"/>
      <sheetName val="3__CNT1"/>
      <sheetName val="unit_price_list(M)1"/>
      <sheetName val="Breakdown_(B)1"/>
      <sheetName val="RAB_AR&amp;STR1"/>
      <sheetName val="thông_tin1"/>
      <sheetName val="_후다_x005f_x0001___x005f_x0010__x005f_x0000__x0001"/>
      <sheetName val="Nhan_cong1"/>
      <sheetName val="Thiet_bi1"/>
      <sheetName val="Vat_tu1"/>
      <sheetName val="May_TC1"/>
      <sheetName val="Bang_KL1"/>
      <sheetName val="TH_Kinh_phi1"/>
      <sheetName val="cataloge_moi1"/>
      <sheetName val="PTdam"/>
      <sheetName val="Loose"/>
      <sheetName val="Tinhtoan"/>
      <sheetName val="수량산출서 (2)"/>
      <sheetName val="차량별점검"/>
      <sheetName val="1공구산晭Ó뇠ᬵ"/>
      <sheetName val="1공구산옘蔘:"/>
      <sheetName val="1공구산느㉐_x0000__x0000_"/>
      <sheetName val="간접경_x0002__x0000_"/>
      <sheetName val="간접경尠ヮ"/>
      <sheetName val="간접경Ơワ"/>
      <sheetName val="간접경쾨㧘"/>
      <sheetName val="간접경푨㧘"/>
      <sheetName val="간접경ロ"/>
      <sheetName val="간접경쿐⾐"/>
      <sheetName val="단위세대물량"/>
      <sheetName val="철근_x0000_"/>
      <sheetName val="구분표"/>
      <sheetName val="제원입력"/>
      <sheetName val="ELEC"/>
      <sheetName val="11월가격"/>
      <sheetName val="민감도"/>
      <sheetName val="산출서"/>
      <sheetName val="일  위  대  가 "/>
      <sheetName val="Land Dev't. Ph-1"/>
      <sheetName val="CHITIET VL-NC-TT1p"/>
      <sheetName val="발주수량표"/>
      <sheetName val="단가_x0000__x0000__x0005_"/>
      <sheetName val="삼홍테크"/>
      <sheetName val="proj"/>
      <sheetName val="Buy vs. Lease Car"/>
      <sheetName val="Cash2"/>
      <sheetName val="Z"/>
      <sheetName val="5. MATERIAL LIST"/>
      <sheetName val="lam-moi"/>
      <sheetName val="thao-go"/>
      <sheetName val="TH XL"/>
      <sheetName val="t-h HA THE"/>
      <sheetName val="Sum ELE  CAP S1-4  "/>
      <sheetName val="Ton Kho"/>
      <sheetName val="Đầu tư"/>
      <sheetName val="code_intools"/>
      <sheetName val="code_magics"/>
      <sheetName val="CondPol"/>
      <sheetName val="변수표"/>
      <sheetName val="계약"/>
      <sheetName val="지역별"/>
      <sheetName val="49"/>
      <sheetName val="교각傹"/>
      <sheetName val="지점별강우량"/>
      <sheetName val="중"/>
      <sheetName val="Budget_Code"/>
      <sheetName val="Phu_cap"/>
      <sheetName val="BEAM"/>
      <sheetName val="Danh muc"/>
      <sheetName val="SGC RATE"/>
      <sheetName val="TinhGiaNC"/>
      <sheetName val="DG3285"/>
      <sheetName val="Boiler Block"/>
      <sheetName val="NH3 Block"/>
      <sheetName val="Chiller Block"/>
      <sheetName val="C02 Block"/>
      <sheetName val="Air compressor"/>
      <sheetName val="Wokers canteen"/>
      <sheetName val="Wokers Kitchen"/>
      <sheetName val="Wokers Toilet"/>
      <sheetName val="Maintenance"/>
      <sheetName val="Forklift"/>
      <sheetName val="Spare parts"/>
      <sheetName val="Maintenance office"/>
      <sheetName val="Emty RGB Yard"/>
      <sheetName val="External works"/>
      <sheetName val="Pipe bridge"/>
      <sheetName val="Corridor"/>
      <sheetName val="Cool warehouse"/>
      <sheetName val="Frozen warehouse"/>
      <sheetName val="7.공정표"/>
      <sheetName val="B9_MEP"/>
      <sheetName val="7_공정표"/>
      <sheetName val="Đầu_tư"/>
      <sheetName val="4_수량산출서"/>
      <sheetName val="단가多〒"/>
      <sheetName val="안양동교_1안"/>
      <sheetName val="2__주요공지（主要公告）"/>
      <sheetName val="도급표지ÉԀ"/>
      <sheetName val="4_예산내역서"/>
      <sheetName val="A_견적"/>
      <sheetName val="Ton_Kho"/>
      <sheetName val="Schedule S-Curve Revision#3"/>
      <sheetName val="Joinery works"/>
      <sheetName val="BIDDING-SUM"/>
      <sheetName val="THONG KE CAU KIEN"/>
      <sheetName val="공통ꊐ͉"/>
      <sheetName val="간접경_x0000_發"/>
      <sheetName val="간접경̆"/>
      <sheetName val="간접경_x0000_ㇶ"/>
      <sheetName val="7.PILE  ꆭᶩ萀ᘲ"/>
      <sheetName val="시멘혷"/>
      <sheetName val="시멘혾"/>
      <sheetName val="9-1❬ǻἐ"/>
      <sheetName val="BH-1_(2)"/>
      <sheetName val="토목내역서_(도급단가)_(2)"/>
      <sheetName val="말고개터널조명전¬"/>
      <sheetName val="CTEMCÇ_x0000_Ԁ"/>
      <sheetName val="월별인건비현황"/>
      <sheetName val="2차보상토지"/>
      <sheetName val="이름표"/>
      <sheetName val="부관맨홀조서"/>
      <sheetName val="기계내역서"/>
      <sheetName val="02자재"/>
      <sheetName val="협조전"/>
      <sheetName val="2_대외ɡ"/>
      <sheetName val="말고개터널조명전@"/>
      <sheetName val="9-1❬ǻ?"/>
      <sheetName val="시설"/>
      <sheetName val="보도내역"/>
      <sheetName val="간접경"/>
      <sheetName val="내역서변"/>
      <sheetName val="적심사표"/>
      <sheetName val="PRD투입장비계획"/>
      <sheetName val="Thuc thanh"/>
      <sheetName val="STR"/>
      <sheetName val="***********************00"/>
      <sheetName val="포장복구집계"/>
      <sheetName val="4_x0000__x0000__x0005_"/>
      <sheetName val="견적(助_x0010__x0000_"/>
      <sheetName val="단가(동_x0000__x0000__x0005_"/>
      <sheetName val="단가(동_x0005__x0000_"/>
      <sheetName val="제경비(전체)"/>
      <sheetName val="천서간선"/>
      <sheetName val="IntercompanyAROct2001"/>
      <sheetName val="계정과목"/>
      <sheetName val="자금청구(건축)"/>
      <sheetName val="Bab品Ṹ頀Ṻ픀"/>
      <sheetName val="기별용지"/>
      <sheetName val="서∼군(2寅"/>
      <sheetName val="가설공사비"/>
      <sheetName val="NaBisulfit, hol fl ph 5,5&amp;7,5"/>
      <sheetName val="2021"/>
      <sheetName val="Simulasi "/>
      <sheetName val="Plan 4620 Ton"/>
      <sheetName val="총원가Simul(v1월)"/>
      <sheetName val="월선택"/>
      <sheetName val="구Ⴚ_x0000_"/>
      <sheetName val="PACKING을지(5)"/>
      <sheetName val="공사비내역"/>
      <sheetName val="시멘_xd800_㜷頀"/>
      <sheetName val="화산경계"/>
      <sheetName val="방송(체육·脀"/>
      <sheetName val="MONTH FROM START INSTALL_06_22"/>
      <sheetName val="배수내역 (2)"/>
      <sheetName val="도급표지  (怀꿟"/>
      <sheetName val="배방교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임시AFC)"/>
      <sheetName val="수량산출(임시CCTV)"/>
      <sheetName val="수량산출(임시TV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량산출(AFC)"/>
      <sheetName val="수량산출(CCTV)"/>
      <sheetName val="수량_작성"/>
      <sheetName val="월별손익(용역)"/>
      <sheetName val="공정관리1"/>
      <sheetName val="전체공정"/>
      <sheetName val="주간일정"/>
      <sheetName val="주간일정(미팅)"/>
      <sheetName val="19년"/>
      <sheetName val="7월"/>
      <sheetName val="8월"/>
      <sheetName val="9월"/>
      <sheetName val="10월"/>
      <sheetName val="프로파일계산"/>
      <sheetName val="7월~9월정리분(임과장)"/>
      <sheetName val="평야부"/>
      <sheetName val="단가16(노임)"/>
      <sheetName val="일위노임"/>
      <sheetName val=" 갑_x001f_"/>
      <sheetName val="원가계산(2)"/>
      <sheetName val="상하수대비내역(공내역)"/>
      <sheetName val="ChartData"/>
      <sheetName val="변경비⣗鼏휂"/>
      <sheetName val="소야공정계_x0000__x0000_"/>
      <sheetName val="소야공정계罈."/>
      <sheetName val="골재산출"/>
      <sheetName val="부_x0000_쎥_x0000_"/>
      <sheetName val="合成単価作成表-BLDG"/>
      <sheetName val="건축원가계산서"/>
      <sheetName val="C.배수관공"/>
      <sheetName val="주차구획_x0000__x0000_Ԁ"/>
      <sheetName val="급여병적자료"/>
      <sheetName val="6.RJP이토처리시간"/>
      <sheetName val="7.RJP지층별제원"/>
      <sheetName val="흥양2교토_x0000__x0000_Ā_x0000_"/>
      <sheetName val="4_수량산출서1"/>
      <sheetName val="안양동교_1안1"/>
      <sheetName val="const_"/>
      <sheetName val="입찰내역_발주처_양식"/>
      <sheetName val="자재기성_신청서_xlsx"/>
      <sheetName val="4_수량산출서2"/>
      <sheetName val="1_관로2"/>
      <sheetName val="안양동교_1안2"/>
      <sheetName val="A_견적1"/>
      <sheetName val="const_1"/>
      <sheetName val="4_예산내역서1"/>
      <sheetName val="입찰내역_발주처_양식1"/>
      <sheetName val="자재기성_신청서_xlsx1"/>
      <sheetName val="TREE_䢬"/>
      <sheetName val="흥양2교토㎈ï뇸ર"/>
      <sheetName val="공량산출근거서"/>
      <sheetName val="도급표지  (3_x0000_"/>
      <sheetName val="6공구(_xda8b_瀀"/>
      <sheetName val="Sh_x0000__x0000__x0000_"/>
      <sheetName val="Sh_x0010__x0000_ጾ"/>
      <sheetName val="소야공정_x0000__x0000_Ԁ"/>
      <sheetName val="단가산品Ṹ"/>
      <sheetName val="1차3회-개소별명세서-빨_x0000__x0000__x0005__x0000_䢀ඌȜ_x0000__x0000__x0000__x0001__x0000_ㅰ"/>
      <sheetName val="1차3회-개소별명세서-빨_x0000__x0000__x0005__x0000_腠ਫ਼Ȝ_x0000__x0000__x0000__x0001__x0000_ㅰ"/>
      <sheetName val="폐기물운반"/>
      <sheetName val="노임,재료비"/>
      <sheetName val="시설_x0005__x0000_"/>
      <sheetName val="2002공임"/>
      <sheetName val="2002자재가격"/>
      <sheetName val="견적표지 (3"/>
      <sheetName val="0_0ControlSheet31"/>
      <sheetName val="0_0ControlSheet32"/>
      <sheetName val="__H1775_c_ESTI96____2"/>
      <sheetName val="MAIN_GATE_HOUSE"/>
      <sheetName val="일__위__대__가_ư"/>
      <sheetName val="일__위__대__가_፠"/>
      <sheetName val="일__위__대__가_"/>
      <sheetName val="일__위__대__가_팠"/>
      <sheetName val="일__위__대__가_⡰"/>
      <sheetName val="일__위__대__가_㜰"/>
      <sheetName val="일__위__대__가_븰"/>
      <sheetName val="_후다________"/>
      <sheetName val="ጳ__Ⴔጳ__Lጴ___ጵ___ጶ__ఀጷ___ጸ_1"/>
      <sheetName val="ጊ__Ⴔጱ__Lጲ___ድ__nጳ__lጳ__eጴ"/>
      <sheetName val="ጵ__Ⴔጶ__Lጷ___ጸ__yጿ__uጿ__iጊ_"/>
      <sheetName val="ጿ__Ⴔጿ__Lጊ__ېጱ___ጲ__೵ድ__Ⴔጳ_"/>
      <sheetName val="ጊ__Ⴔጊ__Lጱ__᳴ጲ___ድ__ᰕጳ__װጳ"/>
      <sheetName val="ጶ__Ⴔጷ__Lጸ___ጿ___ጿ___ጊ__1"/>
      <sheetName val="ጿ__Ⴔጊ__Lጱ__Șጲ__ᩘድ___ጳ___ጳ_"/>
      <sheetName val="ድ__Ⴔጳ__Lጳ___ጴ__ഀጳ__nጳ___"/>
      <sheetName val="ጴ__Ⴔጵ__Lጶ___ጷ__ഀጸ__nጿ___"/>
      <sheetName val="ጳ__Ⴔጴ__Lጵ___ጶ__ᔼጷ__1ጸ__2ጿ_"/>
      <sheetName val="ጸ__Ⴔጿ__Lጿ___ጊ___ጱ__ݴጲ__"/>
      <sheetName val="ጴ__Ⴔጳ__Lጳ__iጴ___ጵ__eጶ__e"/>
      <sheetName val="ጵ__Ⴔጶ__Lጷ__ᝥጸ__Uጿ__Oጿ___"/>
      <sheetName val="ጳ__Ⴔጴ__Lጵ__֑ጶ___ጷ__-ጸ__׭"/>
      <sheetName val="ጲ__Ⴔድ__Lጳ___ጳ__᪅ጴ__Șጳ__᧝ጳ"/>
      <sheetName val="ጸ__Ⴔጿ__Lጿ___ጊ__᪅ጊ__ႜጱ__"/>
      <sheetName val="ጴ__Ⴔጵ__Lጶ___ጷ__ᅸጸ__Ꮙጿ__°ጿ"/>
      <sheetName val="ጶ__Ⴔጷ__Lጸ___ጿ__(ጿ__ᅸጊ__)"/>
      <sheetName val="ጳ__Ⴔጴ__Lጴ___ፊ__(ጵ__ఀፋ__)"/>
      <sheetName val="ጱ__Ⴔጲ__Lድ__ެጳ___ጳ__(ጴ__"/>
      <sheetName val="ጿ__Ⴔጿ__Lጊ__ᙔጱ__೵ጲ___ድ__"/>
      <sheetName val="ጱ__Ⴔጲ__Lድ__ಜጳ__(ጳ___ጴ__"/>
      <sheetName val="ጸ__Ⴔጿ__Lጿ__ݴጊ__෼ጱ___ጲ__"/>
      <sheetName val="ድ__Ⴔጳ__Lጳ__0ጴ___ጳ__Iጳ__"/>
      <sheetName val="ጸ__Ⴔጿ__Lጿ__iጊ___ጱ__uጲ__r"/>
      <sheetName val="_후다___x0003"/>
      <sheetName val="1_사유서"/>
      <sheetName val="BREAKDOW頀ᵛ瀞囏"/>
      <sheetName val="손익분기점_데이터"/>
      <sheetName val="매각대상자산_청산가치"/>
      <sheetName val="T_KE_CP1"/>
      <sheetName val="CIP_x0000__x0000_Ā"/>
      <sheetName val="공통가_x0000_쫨_x0000_"/>
      <sheetName val="1공구_건정토건_토공11"/>
      <sheetName val="1공구_건정토건_철콘11"/>
      <sheetName val="도급표지_11"/>
      <sheetName val="도급표지__(4)11"/>
      <sheetName val="부대표지_(4)11"/>
      <sheetName val="도급표지__(3)11"/>
      <sheetName val="부대표지_(3)11"/>
      <sheetName val="도급표지__(2)11"/>
      <sheetName val="부대표지_(2)11"/>
      <sheetName val="토__목11"/>
      <sheetName val="조__경11"/>
      <sheetName val="전_기11"/>
      <sheetName val="건__축11"/>
      <sheetName val="보도내역_(3)11"/>
      <sheetName val="준검_내역서11"/>
      <sheetName val="2_대외공문11"/>
      <sheetName val="1_수인터널11"/>
      <sheetName val="설_계11"/>
      <sheetName val="0_0ControlSheet11"/>
      <sheetName val="0_1keyAssumption11"/>
      <sheetName val="6PILE__(돌출)11"/>
      <sheetName val="AS포장복구_11"/>
      <sheetName val="Sheet1_(2)10"/>
      <sheetName val="내역(최종본4_5)11"/>
      <sheetName val="입출재고현황_(2)10"/>
      <sheetName val="BSD_(2)10"/>
      <sheetName val="제잡비_xls10"/>
      <sheetName val="실행내역서_10"/>
      <sheetName val="1_설계조건10"/>
      <sheetName val="전차선로_물량표10"/>
      <sheetName val="현장별계약현황('98_10_31)10"/>
      <sheetName val="96보완계획7_1210"/>
      <sheetName val="4_내진설계10"/>
      <sheetName val="_총괄표10"/>
      <sheetName val="1__설계조건_2_단면가정_3__하중계산10"/>
      <sheetName val="DATA_입력란10"/>
      <sheetName val="2_고용보험료산출근거10"/>
      <sheetName val="1_취수장10"/>
      <sheetName val="3BL공동구_수량10"/>
      <sheetName val="인건비_10"/>
      <sheetName val="플랜트_설치10"/>
      <sheetName val="노원열병합__건축공사기성내역서10"/>
      <sheetName val="부대입찰_내역서10"/>
      <sheetName val="토공(우물통,기타)_10"/>
      <sheetName val="원가계산_(2)10"/>
      <sheetName val="Eq__Mobilization10"/>
      <sheetName val="장비당단가_(1)9"/>
      <sheetName val="Sheet2_(2)9"/>
      <sheetName val="1_설계기준9"/>
      <sheetName val="97년_추정10"/>
      <sheetName val="현장관리비_산출내역10"/>
      <sheetName val="콤보박스와_리스트박스의_연결10"/>
      <sheetName val="수_량_명_세_서_-_19"/>
      <sheetName val="2_건축9"/>
      <sheetName val="프라임_강변역(4,236)8"/>
      <sheetName val="내___역8"/>
      <sheetName val="집_계_표8"/>
      <sheetName val="공정표_9"/>
      <sheetName val="5_2코핑8"/>
      <sheetName val="배수공_시멘트_및_골재량_산출8"/>
      <sheetName val="7_PILE__(돌출)8"/>
      <sheetName val="P_M_별8"/>
      <sheetName val="8_PILE__(돌출)9"/>
      <sheetName val="2000년_공정표8"/>
      <sheetName val="2_교량(신설)8"/>
      <sheetName val="별표_9"/>
      <sheetName val="설내역서_9"/>
      <sheetName val="광통신_견적내역서18"/>
      <sheetName val="할증_8"/>
      <sheetName val="unit_48"/>
      <sheetName val="DATA_입력부8"/>
      <sheetName val="EQUIP_LIST8"/>
      <sheetName val="CIP_공사9"/>
      <sheetName val="4_경비_5_영업외수지8"/>
      <sheetName val="_견적서8"/>
      <sheetName val="표지_(2)10"/>
      <sheetName val="수량산출서_갑지8"/>
      <sheetName val="표지_(3)10"/>
      <sheetName val="교각집계_(2)10"/>
      <sheetName val="교각토공_(2)10"/>
      <sheetName val="교각철근_(2)10"/>
      <sheetName val="외주대비_-석축10"/>
      <sheetName val="외주대비-구조물_(2)10"/>
      <sheetName val="견적표지_(3)10"/>
      <sheetName val="_HIT-&gt;HMC_견적(3900)10"/>
      <sheetName val="일__위__대__가__목__록10"/>
      <sheetName val="교각토공__2_10"/>
      <sheetName val="1_본부별8"/>
      <sheetName val="2000_058"/>
      <sheetName val="HRSG_SMALL0722010"/>
      <sheetName val="6__안전관리비18"/>
      <sheetName val="하도내역_(철콘)9"/>
      <sheetName val="3_공통공사대비10"/>
      <sheetName val="노무비_근거9"/>
      <sheetName val="조건표_(2)9"/>
      <sheetName val="임율_Data9"/>
      <sheetName val="2차전체변경예정_(2)9"/>
      <sheetName val="토공유동표(전체_당초)9"/>
      <sheetName val="목차_9"/>
      <sheetName val="단면_(2)9"/>
      <sheetName val="b_balju_(2)9"/>
      <sheetName val="8_현장관리비9"/>
      <sheetName val="7_안전관리비9"/>
      <sheetName val="7__현장관리비_9"/>
      <sheetName val="노무비_8"/>
      <sheetName val="내역서_제출8"/>
      <sheetName val="구조______8"/>
      <sheetName val="간_지18"/>
      <sheetName val="화재_탐지_설비8"/>
      <sheetName val="4_일위대가집계8"/>
      <sheetName val="5__현장관리비(new)_8"/>
      <sheetName val="Customer_Databas8"/>
      <sheetName val="방배동내역_(총괄)8"/>
      <sheetName val="1_3_1절점좌표8"/>
      <sheetName val="1_1설계기준8"/>
      <sheetName val="기초입력_DATA8"/>
      <sheetName val="4_장비손료8"/>
      <sheetName val="단양_00_아파트-세부내역8"/>
      <sheetName val="5호광장_(만점)8"/>
      <sheetName val="인천국제_(만점)_(2)8"/>
      <sheetName val="전선_및_전선관7"/>
      <sheetName val="VENDOR_LIST7"/>
      <sheetName val="남양시작동자105노65기1_3화1_27"/>
      <sheetName val="관음목장(제출용)자105인97_57"/>
      <sheetName val="2F_회의실견적(5_14_일대)7"/>
      <sheetName val="설계기준_및_하중계산7"/>
      <sheetName val="5_정산서8"/>
      <sheetName val="재활용_악취_먼지DUCT산출8"/>
      <sheetName val="1062-X방향_7"/>
      <sheetName val="TABLE_DB7"/>
      <sheetName val="쌍용_data_base7"/>
      <sheetName val="수목데이타_7"/>
      <sheetName val="원내역서_그대로7"/>
      <sheetName val="전체내역_(2)7"/>
      <sheetName val="Hyundai_Unit_cost_xls7"/>
      <sheetName val="중기조종사_단위단가9"/>
      <sheetName val="5__현장관리비_new__8"/>
      <sheetName val="Temporary_Mooring8"/>
      <sheetName val="A_LINE8"/>
      <sheetName val="제출내역_(2)8"/>
      <sheetName val="PROJECT_BRIEF7"/>
      <sheetName val="기계_도급내역서6"/>
      <sheetName val="Sight_n_M_H7"/>
      <sheetName val="Piping_Design_Data7"/>
      <sheetName val="4_&amp;_10-inch,_CO2_Combo_&amp;_Sweep7"/>
      <sheetName val="kimre_scrubber7"/>
      <sheetName val="단가_7"/>
      <sheetName val="매출요약(월별)_-년간7"/>
      <sheetName val="4_LINE8"/>
      <sheetName val="7_th8"/>
      <sheetName val="_갑지8"/>
      <sheetName val="총_원가계산8"/>
      <sheetName val="108_수선비7"/>
      <sheetName val="969910(_R)7"/>
      <sheetName val="FRP_PIPING_일위대가7"/>
      <sheetName val="경비_(1)7"/>
      <sheetName val="2_16"/>
      <sheetName val="한성교회_신축공사(050713)_CheckList7"/>
      <sheetName val="strut_type7"/>
      <sheetName val="1_䷨수장7"/>
      <sheetName val="4_뀴진설Ⳅ7"/>
      <sheetName val="전䰨선로_물량표7"/>
      <sheetName val="㶀대입찰_내역서7"/>
      <sheetName val="2_2_오피스텔(12~32F)8"/>
      <sheetName val="일위대가_집계표8"/>
      <sheetName val="9_1지하2층하부보8"/>
      <sheetName val="단계별내역_(2)8"/>
      <sheetName val="4_일위대가8"/>
      <sheetName val="신평리_권리자명부4"/>
      <sheetName val="공내역_및_견적조건6"/>
      <sheetName val="단가_및_재료비7"/>
      <sheetName val="총괄집계_7"/>
      <sheetName val="내역서_(2)7"/>
      <sheetName val="10_경제성분석6"/>
      <sheetName val="청_구5"/>
      <sheetName val="-15_06"/>
      <sheetName val="개인별_순위표8"/>
      <sheetName val="단가대비표_(3)7"/>
      <sheetName val="STEEL_BOX_단면설계(SEC_8)7"/>
      <sheetName val="2_2_띠장의_설계8"/>
      <sheetName val="자__재8"/>
      <sheetName val="CM_18"/>
      <sheetName val="세골재__T2_변경_현황7"/>
      <sheetName val="6__안전관리비19"/>
      <sheetName val="기술부_VENDOR_LIST8"/>
      <sheetName val="4_2_1_마루높이_검토7"/>
      <sheetName val="내역서_(3)8"/>
      <sheetName val="산출양식_(2)8"/>
      <sheetName val="전체산출내역서갑(변경)_8"/>
      <sheetName val="A_터파기공8"/>
      <sheetName val="B_측·집8"/>
      <sheetName val="배(자·집)_(2)8"/>
      <sheetName val="2_01측·터·집8"/>
      <sheetName val="땅깍·수_(1-1)8"/>
      <sheetName val="0-52_8"/>
      <sheetName val="콘·다_(2)8"/>
      <sheetName val="기·집_(2)8"/>
      <sheetName val="콘·다_(3)8"/>
      <sheetName val="병원내역집계표_(2)8"/>
      <sheetName val="실행총괄_8"/>
      <sheetName val="[IL-3_XLSY갑지8"/>
      <sheetName val="4_일위대가목차8"/>
      <sheetName val="내역_ver1_08"/>
      <sheetName val="2000,9월_일위8"/>
      <sheetName val="1_노무비명세서(해동)8"/>
      <sheetName val="1_노무비명세서(토목)8"/>
      <sheetName val="2_노무비명세서(해동)8"/>
      <sheetName val="2_노무비명세서(수직보호망)8"/>
      <sheetName val="2_노무비명세서(난간대)8"/>
      <sheetName val="2_사진대지8"/>
      <sheetName val="3_사진대지8"/>
      <sheetName val="변압기_및_발전기_용량7"/>
      <sheetName val="조도계산서_(도서)7"/>
      <sheetName val="빌딩_안내7"/>
      <sheetName val="CABLE_(2)7"/>
      <sheetName val="G_R300경비7"/>
      <sheetName val="기성내역서(을)_(2)7"/>
      <sheetName val="1단계_(2)7"/>
      <sheetName val="2_1__노무비_평균단가산출7"/>
      <sheetName val="3_공사비(07년노임단가)7"/>
      <sheetName val="3_공사비(단가조사표)7"/>
      <sheetName val="3_공사비(물량산출표)7"/>
      <sheetName val="3_공사비(일위대가표목록)7"/>
      <sheetName val="3_공사비(일위대가표)7"/>
      <sheetName val="TRE_TABLE7"/>
      <sheetName val="Requirement(Work_Crew)7"/>
      <sheetName val="진입도로B_(2)7"/>
      <sheetName val="2_냉난방설비공사7"/>
      <sheetName val="7_자동제어공사7"/>
      <sheetName val="중강당_내역7"/>
      <sheetName val="기초자료입력및_K치_확인7"/>
      <sheetName val="실행내역_7"/>
      <sheetName val="자재_단가_비교표(견적)7"/>
      <sheetName val="자재_단가_비교표7"/>
      <sheetName val="Bid_Summary7"/>
      <sheetName val="이동시_예상비용7"/>
      <sheetName val="Seg_1DE비용7"/>
      <sheetName val="Transit_비용_감가상각미포함7"/>
      <sheetName val="전화공사_공량_및_집계표7"/>
      <sheetName val="참조_(2)7"/>
      <sheetName val="6__직접경비7"/>
      <sheetName val="대가_(보완)7"/>
      <sheetName val="3_자재비(총괄)7"/>
      <sheetName val="제조_경영7"/>
      <sheetName val="4_전기7"/>
      <sheetName val="노_무_비7"/>
      <sheetName val="미납품_현황7"/>
      <sheetName val="신설개소별_총집계표(동해-배전)7"/>
      <sheetName val="BOX_본체7"/>
      <sheetName val="MP_MOB7"/>
      <sheetName val="사__업__비__수__지__예__산__서6"/>
      <sheetName val="97_사업추정(WEKI)4"/>
      <sheetName val="기존단가_(2)5"/>
      <sheetName val="7_전산해석결과5"/>
      <sheetName val="4_하중5"/>
      <sheetName val="_ｹ-ﾌﾞﾙ4"/>
      <sheetName val="일위대가_(PM)7"/>
      <sheetName val="①idea_pipeline7"/>
      <sheetName val="IMP_통일양식7"/>
      <sheetName val="LYS_통일양식7"/>
      <sheetName val="Xunit_(단위환산)7"/>
      <sheetName val="유통기한_프로그램7"/>
      <sheetName val="1-1_현장정리7"/>
      <sheetName val="1-2_토공7"/>
      <sheetName val="1-3_WMM,GSB7"/>
      <sheetName val="1-4_BITUMINOUS_COURSE7"/>
      <sheetName val="1-5_BOX_CULVERTS7"/>
      <sheetName val="1-6_BRIDGE7"/>
      <sheetName val="1-7_DRAINAGE7"/>
      <sheetName val="1-8_TRAFFIC7"/>
      <sheetName val="1-9_MISCELLANEOUS7"/>
      <sheetName val="1-10_ELECTRICAL7"/>
      <sheetName val="1-12_도급외항목7"/>
      <sheetName val="명일작업계획_(3)7"/>
      <sheetName val="용선_C_L7"/>
      <sheetName val="전_체7"/>
      <sheetName val="흙막이B_(오산운암)7"/>
      <sheetName val="타이로드_흙막이7"/>
      <sheetName val="타이로드_흙막이(근입장2_5M)7"/>
      <sheetName val="타이로드(근입장2_5M)7"/>
      <sheetName val="pile_항타7"/>
      <sheetName val="pile_항타(디젤)7"/>
      <sheetName val="pile_항타_A7"/>
      <sheetName val="pile_항타_B7"/>
      <sheetName val="pile_항타_C7"/>
      <sheetName val="pile_인발7"/>
      <sheetName val="pile_인발_A7"/>
      <sheetName val="pile_인발_B7"/>
      <sheetName val="pile_인발_C7"/>
      <sheetName val="20TON_TRAILER7"/>
      <sheetName val="토류판_(2)7"/>
      <sheetName val="SHEET_PILE단가7"/>
      <sheetName val="6_이토처리시간7"/>
      <sheetName val="1차_내역서7"/>
      <sheetName val="BEND_LOSS4"/>
      <sheetName val="TRAY_헹거산출4"/>
      <sheetName val="울진항공등화_내역서7"/>
      <sheetName val="일_위_대_가_표7"/>
      <sheetName val="영흥TL(UP,DOWN)_7"/>
      <sheetName val="3련_BOX7"/>
      <sheetName val="내역서_6"/>
      <sheetName val="2_1외주7"/>
      <sheetName val="2_3노무7"/>
      <sheetName val="2_4자재7"/>
      <sheetName val="2_2장비7"/>
      <sheetName val="2_5경비7"/>
      <sheetName val="2_6수목대7"/>
      <sheetName val="모선자재_집계표6"/>
      <sheetName val="재료의_할증6"/>
      <sheetName val="D1_2_COF모듈자재_입출재고_(B급)6"/>
      <sheetName val="99_조정금액4"/>
      <sheetName val="함열량_db6"/>
      <sheetName val="고객사_관리_코드7"/>
      <sheetName val="중기쥰종사_단위단가7"/>
      <sheetName val="PTVT_(MAU)7"/>
      <sheetName val="토공_total4"/>
      <sheetName val="표__지6"/>
      <sheetName val="Div26_-_Elect6"/>
      <sheetName val="Khoi_luong6"/>
      <sheetName val="Bảng_mã_VT6"/>
      <sheetName val="DonGia_chetao6"/>
      <sheetName val="DonGia_VatTuLK6"/>
      <sheetName val="Fr_Revit6"/>
      <sheetName val="NSA_Summary6"/>
      <sheetName val="chi_tiet5"/>
      <sheetName val="PPC_Summary5"/>
      <sheetName val="Tong_hop4"/>
      <sheetName val="Phan_lap_dat4"/>
      <sheetName val="Lắp_Ráp4"/>
      <sheetName val="Phieu_trinh_ky_cấu_tháp4"/>
      <sheetName val="Phieu_trinh_ky_VTP4"/>
      <sheetName val="KS-VL_rời4"/>
      <sheetName val="Tai_san4"/>
      <sheetName val="Check_dong_tien4"/>
      <sheetName val="Chi_phí_SDTS4"/>
      <sheetName val="Check_COST4"/>
      <sheetName val="DATA_HD4"/>
      <sheetName val="Tong_hop_1TM4"/>
      <sheetName val="NS_Lán_trại4"/>
      <sheetName val="Check_cong_no_NC4"/>
      <sheetName val="cong_thuc_tinh_chi_tiet6"/>
      <sheetName val="_IL-3_XLSY갑지8"/>
      <sheetName val="KET_CAU-_MJV24"/>
      <sheetName val="Ví_dụ4"/>
      <sheetName val="Gia_VLNCMTC4"/>
      <sheetName val="01__DATA4"/>
      <sheetName val="샌딩_에폭시_도장5"/>
      <sheetName val="Summary_VO_No_34"/>
      <sheetName val="VO_No_3_14"/>
      <sheetName val="VO_No_3_24"/>
      <sheetName val="VO_No_3_34"/>
      <sheetName val="VO_No_3_44"/>
      <sheetName val="VO_No_3_54"/>
      <sheetName val="VO_No_3_64"/>
      <sheetName val="VO_No_3_74"/>
      <sheetName val="VO_No_3_84"/>
      <sheetName val="SCOPE_OF_WORK4"/>
      <sheetName val="대3류_4"/>
      <sheetName val="외주대비_ᨀ晙ԯ5"/>
      <sheetName val="3_단가산출서4"/>
      <sheetName val="4_단가산출기초4"/>
      <sheetName val="Rect__102"/>
      <sheetName val="갑지_1회1"/>
      <sheetName val="18_071"/>
      <sheetName val="갑지_2회1"/>
      <sheetName val="18_081"/>
      <sheetName val="갑지_3회1"/>
      <sheetName val="18_091"/>
      <sheetName val="갑지_4회1"/>
      <sheetName val="18_101"/>
      <sheetName val="갑지_5회1"/>
      <sheetName val="18_111"/>
      <sheetName val="갑지_6회1"/>
      <sheetName val="18_121"/>
      <sheetName val="갑지_7회1"/>
      <sheetName val="19_011"/>
      <sheetName val="갑지_8회1"/>
      <sheetName val="19_021"/>
      <sheetName val="갑지_9회1"/>
      <sheetName val="표지_9회1"/>
      <sheetName val="19_031"/>
      <sheetName val="갑지_10회1"/>
      <sheetName val="표지_10회1"/>
      <sheetName val="19_041"/>
      <sheetName val="갑지_11회1"/>
      <sheetName val="표지_11회1"/>
      <sheetName val="19_051"/>
      <sheetName val="갑지_12회1"/>
      <sheetName val="표지_12회1"/>
      <sheetName val="19_061"/>
      <sheetName val="갑지_13회1"/>
      <sheetName val="표지_13회1"/>
      <sheetName val="19_071"/>
      <sheetName val="갑지_14회1"/>
      <sheetName val="표지_14회1"/>
      <sheetName val="19_081"/>
      <sheetName val="H__MECHANICAL4"/>
      <sheetName val="J__FIRE_FIGHTING4"/>
      <sheetName val="Sàn_T14"/>
      <sheetName val="Lỗ_thông_gió4"/>
      <sheetName val="Bang_gia_2011_10_123"/>
      <sheetName val="Thống_kê4"/>
      <sheetName val="Tai_khoan4"/>
      <sheetName val="중기사용료_(2)4"/>
      <sheetName val="投标材料清单_3"/>
      <sheetName val="ጊ후다내역_XLS]0_0ControlSheet33"/>
      <sheetName val="Dầm_13"/>
      <sheetName val="Unit_Rate(non_print)3"/>
      <sheetName val="Bang_TH3"/>
      <sheetName val="Cọc_nhồi3"/>
      <sheetName val="5_NKTC3"/>
      <sheetName val="4_BBNT-LĐ3"/>
      <sheetName val="외주대비_-석축???_x3"/>
      <sheetName val="5_6_NTKL_ĐHKK_3"/>
      <sheetName val="5_12_NTKL_PCCC3"/>
      <sheetName val="D_&amp;_W_sizes3"/>
      <sheetName val="Goc_CC3"/>
      <sheetName val="Sàn_tầng_01_(_old_)3"/>
      <sheetName val="Gia_thanh_chuoi_su3"/>
      <sheetName val="Tiep_dia3"/>
      <sheetName val="Don_gia_vung_III-Can_Tho3"/>
      <sheetName val="TH_MEP3"/>
      <sheetName val="_DATA3"/>
      <sheetName val="0_Bìa3"/>
      <sheetName val="1_Mục_lục3"/>
      <sheetName val="2_Phiếu_kiểm_tra3"/>
      <sheetName val="BM-06a_Mẫu_chứng_chỉ_thanh_toá3"/>
      <sheetName val="3_Bảng_TT_giá_trị_thực_hiện3"/>
      <sheetName val="4_Bảng_TT_KL_thực_hiện3"/>
      <sheetName val="6_KL_DD_chi_tiết3"/>
      <sheetName val="5_công_nhật3"/>
      <sheetName val="ROW_3a-chi_tiết3"/>
      <sheetName val="ROW_5-_chi_tiết3"/>
      <sheetName val="ROW_6-_chi_tiết3"/>
      <sheetName val="KL_khoán_đổ_bê_tông_T73"/>
      <sheetName val="6__Bảng_TT_giá_trị_giảm_trừ_HĐ3"/>
      <sheetName val="6__Hồ_sơ_đính_kèm3"/>
      <sheetName val="운동장_(2)3"/>
      <sheetName val="주공_갑지3"/>
      <sheetName val="외주대비_-석É3"/>
      <sheetName val="5_2_6~7공사요율3"/>
      <sheetName val="04_12월건강보험(일용직)3"/>
      <sheetName val="1_내역(청_하역장전등)3"/>
      <sheetName val="2_원가집계3"/>
      <sheetName val="05_유류비자금청구(완)3"/>
      <sheetName val="19_07월_세_계3"/>
      <sheetName val="19_07항목별(시트복사금지100번쓰기)3"/>
      <sheetName val="19_05월3"/>
      <sheetName val="grid_(1)3"/>
      <sheetName val="경율산정_XLS3"/>
      <sheetName val="PAD_TR보호대기초3"/>
      <sheetName val="IMF_Code3"/>
      <sheetName val="Elec_LG2"/>
      <sheetName val="ESTI_2"/>
      <sheetName val="1_Requisition(E)2"/>
      <sheetName val="dtct_cong2"/>
      <sheetName val="NHÀ_NHẬP_LIỆU2"/>
      <sheetName val="MÓNG_SILO2"/>
      <sheetName val="3_12"/>
      <sheetName val="3_102"/>
      <sheetName val="3_22"/>
      <sheetName val="3_32"/>
      <sheetName val="3_42"/>
      <sheetName val="3_52"/>
      <sheetName val="3_62"/>
      <sheetName val="3_72"/>
      <sheetName val="3_82"/>
      <sheetName val="3_92"/>
      <sheetName val="Doi_so2"/>
      <sheetName val="TL_rieng2"/>
      <sheetName val="PL_Vua2"/>
      <sheetName val="Basic_Wage2"/>
      <sheetName val="Menber_List2"/>
      <sheetName val="보도내_3"/>
      <sheetName val="Measure_13062"/>
      <sheetName val="DM_ChiPhi2"/>
      <sheetName val="외주대비_-석축_x005f_x0000__x005f_x0000__x005f_x0000__2"/>
      <sheetName val="물가변동_총괄서4"/>
      <sheetName val="7_1유효폭4"/>
      <sheetName val="허용전류-IEC_DATA4"/>
      <sheetName val="본선_토공_분배표4"/>
      <sheetName val="을_23"/>
      <sheetName val="을_13"/>
      <sheetName val="토공_갑지3"/>
      <sheetName val="각사별공사비분개_3"/>
      <sheetName val="해외_연수비용_계산-삭제3"/>
      <sheetName val="해외_기술훈련비_(합계)3"/>
      <sheetName val="Pier_33"/>
      <sheetName val="BOX(1_5X1_5)2"/>
      <sheetName val="TYPE_A2"/>
      <sheetName val="장비투입_(2)2"/>
      <sheetName val="C_&amp;_G_RHS2"/>
      <sheetName val="5_3_단면가정2"/>
      <sheetName val="ITB_COST2"/>
      <sheetName val="CATCH_BASIN2"/>
      <sheetName val="Man_Hole2"/>
      <sheetName val="WEIGHT_LIST1"/>
      <sheetName val="산#2-1_(2)1"/>
      <sheetName val="설산1_나1"/>
      <sheetName val="1_토공1"/>
      <sheetName val="Process_Piping2"/>
      <sheetName val="plan&amp;section_of_foundation1"/>
      <sheetName val="design_criteria1"/>
      <sheetName val="자재_집계표1"/>
      <sheetName val="Raw_Data1"/>
      <sheetName val="PHC파일_천공_및_항타1"/>
      <sheetName val="일위대가_"/>
      <sheetName val="견적(_"/>
      <sheetName val="[후다내역_XLS]__H1775_c_ESTI96____2"/>
      <sheetName val="옥외_전력간선공사"/>
      <sheetName val="ጊ후다내역_XLS_0_0ControlSheet33"/>
      <sheetName val="외주대비_-석축____x3"/>
      <sheetName val="C_MECHANICAL2"/>
      <sheetName val="Du_thau2"/>
      <sheetName val="TỔNG_HỢP2"/>
      <sheetName val="ጳ??Ⴔጳ??Lጴ??_ጵ??_ጶ??ఀጷ??_ጸ?3"/>
      <sheetName val="ጊ??Ⴔጱ??Lጲ??_ድ??nጳ??lጳ??eጴ2"/>
      <sheetName val="ጵ??Ⴔጶ??Lጷ??_ጸ??yጿ??uጿ??iጊ?2"/>
      <sheetName val="ጿ??Ⴔጿ??Lጊ??ېጱ??_ጲ??೵ድ??Ⴔጳ?2"/>
      <sheetName val="ጊ??Ⴔጊ??Lጱ??᳴ጲ??_ድ??ᰕጳ??װጳ2"/>
      <sheetName val="ጶ??Ⴔጷ??Lጸ??_ጿ??_ጿ??_ጊ??3"/>
      <sheetName val="ጿ??Ⴔጊ??Lጱ??Șጲ??ᩘድ??_ጳ??_ጳ?2"/>
      <sheetName val="ድ??Ⴔጳ??Lጳ??_ጴ??ഀጳ??nጳ??_2"/>
      <sheetName val="ጴ??Ⴔጵ??Lጶ??_ጷ??ഀጸ??nጿ??_2"/>
      <sheetName val="ጳ??Ⴔጴ??Lጵ??_ጶ??ᔼጷ??1ጸ??2ጿ?2"/>
      <sheetName val="ጸ??Ⴔጿ??Lጿ??_ጊ??_ጱ??ݴጲ??2"/>
      <sheetName val="ጴ??Ⴔጳ??Lጳ??iጴ??_ጵ??eጶ??e2"/>
      <sheetName val="ጵ??Ⴔጶ??Lጷ??ᝥጸ??Uጿ??Oጿ??_2"/>
      <sheetName val="ጳ??Ⴔጴ??Lጵ??֑ጶ??_ጷ??-ጸ??׭2"/>
      <sheetName val="ጲ??Ⴔድ??Lጳ??_ጳ??᪅ጴ??Șጳ??᧝ጳ2"/>
      <sheetName val="ጸ??Ⴔጿ??Lጿ??_ጊ??᪅ጊ??ႜጱ??2"/>
      <sheetName val="ጴ??Ⴔጵ??Lጶ??_ጷ??ᅸጸ??Ꮙጿ??°ጿ2"/>
      <sheetName val="ጶ??Ⴔጷ??Lጸ??_ጿ??(ጿ??ᅸጊ??)2"/>
      <sheetName val="ጳ??Ⴔጴ??Lጴ??_ፊ??(ጵ??ఀፋ??)2"/>
      <sheetName val="ጱ??Ⴔጲ??Lድ??ެጳ??_ጳ??(ጴ??2"/>
      <sheetName val="ጿ??Ⴔጿ??Lጊ??ᙔጱ??೵ጲ??_ድ??2"/>
      <sheetName val="ጱ??Ⴔጲ??Lድ??ಜጳ??(ጳ??_ጴ??2"/>
      <sheetName val="ጸ??Ⴔጿ??Lጿ??ݴጊ??෼ጱ??_ጲ??2"/>
      <sheetName val="ድ??Ⴔጳ??Lጳ??0ጴ??_ጳ??Iጳ??2"/>
      <sheetName val="ጸ??Ⴔጿ??Lጿ??iጊ??_ጱ??uጲ??r2"/>
      <sheetName val="3__CNT2"/>
      <sheetName val="unit_price_list(M)2"/>
      <sheetName val="Breakdown_(B)2"/>
      <sheetName val="thông_tin2"/>
      <sheetName val="2_교̚벝"/>
      <sheetName val="0_0Control렌㟳䠓䒆"/>
      <sheetName val="0_0Control뀌欨砓﹮"/>
      <sheetName val="0_0Control㠌ᅝ逜㓿"/>
      <sheetName val="0_0Control㠌ᅝ퀜㔋"/>
      <sheetName val="SP-ኬ"/>
      <sheetName val="[후다내역_XLS]__H1775_c_ESTI96____3"/>
      <sheetName val="2000년_임금추정"/>
      <sheetName val="PRECAST_lightconc-II2"/>
      <sheetName val="RAB_AR&amp;STR2"/>
      <sheetName val="_후다_x005f_x0001___x005f_x0010__x005f_x0000__x0002"/>
      <sheetName val="Nhan_cong2"/>
      <sheetName val="Thiet_bi2"/>
      <sheetName val="Vat_tu2"/>
      <sheetName val="May_TC2"/>
      <sheetName val="Bang_KL2"/>
      <sheetName val="TH_Kinh_phi2"/>
      <sheetName val="cataloge_moi2"/>
      <sheetName val="견적?"/>
      <sheetName val="수량산출서??"/>
      <sheetName val="수량산출서?"/>
      <sheetName val="부대표지???腰"/>
      <sheetName val="부대표지???䥀"/>
      <sheetName val="부대표지???⽠"/>
      <sheetName val="4_내진"/>
      <sheetName val="_견적Ⴗ"/>
      <sheetName val="[후다내역_XLS]__H1775_c_ESTI96____4"/>
      <sheetName val="2_교"/>
      <sheetName val="1-1.경비산출내역"/>
      <sheetName val="PUMP"/>
      <sheetName val="토공(완충)"/>
      <sheetName val="자재집계"/>
      <sheetName val="단가(동濐Ȫ"/>
      <sheetName val="OUTPUT"/>
      <sheetName val="0_0Control_x000c__x0000__x0000__x0001_Ԁ_x0000_"/>
      <sheetName val="외주대비-က辏?Ԁ耙"/>
      <sheetName val="원안"/>
      <sheetName val="12cgou"/>
      <sheetName val="전선"/>
      <sheetName val="자재테이블"/>
      <sheetName val="시멘Ç_x0000_Ԁ_x0000_"/>
      <sheetName val="외주대비-က辏_xda68_"/>
      <sheetName val="7.경제성결과"/>
      <sheetName val="현금및현금등가물"/>
      <sheetName val="부대표지__x0000__x0000__x0000__x0007"/>
      <sheetName val="외주대비 -석축_x0000__x0000__x0000__x2"/>
      <sheetName val="견적표지_(32"/>
      <sheetName val="부대표지__x0000__x0000__x0000__x0008"/>
      <sheetName val="외주대비 -석축_x0000__x0000__x0000__x3"/>
      <sheetName val="견적표지_(322"/>
      <sheetName val="부대표지__x0000__x0000__x0000__x0009"/>
      <sheetName val="외주대비 -석축_x0000__x0000__x0000__x4"/>
      <sheetName val="견적표지_(3222"/>
      <sheetName val="부대표지__x0000__x0000__x0000__x00010"/>
      <sheetName val="외주대비 -석축_x0000__x0000__x0000__x5"/>
      <sheetName val="견적표지_(32222"/>
      <sheetName val="부대표지__x0000__x0000__x0000__x00011"/>
      <sheetName val="외주대비 -석축_x0000__x0000__x0000__x6"/>
      <sheetName val="견적표지_(322222"/>
      <sheetName val="부대표지__x0000__x0000__x0000__x00012"/>
      <sheetName val="외주대비 -석축_x0000__x0000__x0000__x7"/>
      <sheetName val="견적표지_(3222222"/>
      <sheetName val="부대표지__x0000__x0000__x0000__x00013"/>
      <sheetName val="외주대비 -석축_x0000__x0000__x0000__x8"/>
      <sheetName val="견적표지_(32222222"/>
      <sheetName val="부대표지__x0000__x0000__x0000__x00014"/>
      <sheetName val="04고객별 담당자"/>
      <sheetName val="단가(강재운_x0005__x0000_"/>
      <sheetName val="단가(강재운⩿⾔"/>
      <sheetName val="일위대가-1"/>
      <sheetName val="토__공4"/>
      <sheetName val="태화42_4"/>
      <sheetName val="_4"/>
      <sheetName val="외주현황_wq14"/>
      <sheetName val="220_(2)4"/>
      <sheetName val="3_관로전환기4"/>
      <sheetName val="F_월별기성수금현황_4"/>
      <sheetName val="내역서1999_8최종4"/>
      <sheetName val="3_전기산출기초4"/>
      <sheetName val="1_청구서4"/>
      <sheetName val="2_내역서4"/>
      <sheetName val="일위대가56-1_4"/>
      <sheetName val="일위대가71-1_4"/>
      <sheetName val="일위대가74-1_4"/>
      <sheetName val="일위대가76-1_4"/>
      <sheetName val="일위대가77-1_4"/>
      <sheetName val="일위대가78-1_4"/>
      <sheetName val="총괄표_4"/>
      <sheetName val="D_B4"/>
      <sheetName val="동강_배관4"/>
      <sheetName val="WCR_외주4"/>
      <sheetName val="ANILINE_-_OPTION4"/>
      <sheetName val="MDI_-_OPTION4"/>
      <sheetName val="06_일위대가목록4"/>
      <sheetName val="1_14"/>
      <sheetName val="계약대비내역서_(부경)4"/>
      <sheetName val="집행대비내역서_(부경)4"/>
      <sheetName val="계약그라우팅_포장4"/>
      <sheetName val="계약사무실조경_4"/>
      <sheetName val="금회_청구사항(기계)4"/>
      <sheetName val="기성갑지_(소방)4"/>
      <sheetName val="금회_청구사항(소방)4"/>
      <sheetName val="K2_site_Total_내역서4"/>
      <sheetName val="도시정비_3"/>
      <sheetName val="횡배수관_토공량_산출4"/>
      <sheetName val="3_1_6_전산처리결과3"/>
      <sheetName val="원가_(2)1"/>
      <sheetName val="부대표지츀_1"/>
      <sheetName val="2_입력sheet1"/>
      <sheetName val="BH-1_(2)1"/>
      <sheetName val="내역_1"/>
      <sheetName val="18_궤도재료1"/>
      <sheetName val="간접비_총괄표1"/>
      <sheetName val="토목내역서_(도급단가)_(2)1"/>
      <sheetName val="Budget_Code1"/>
      <sheetName val="Phu_cap1"/>
      <sheetName val="도급표지_鲠͕糑"/>
      <sheetName val="2__주요공지（主要公告）1"/>
      <sheetName val="수량산출서_(2)"/>
      <sheetName val="VS_P-Q"/>
      <sheetName val="공사투입계획(변경결의)19_9"/>
      <sheetName val="노무비_월별지급현황19_9"/>
      <sheetName val="갑지(외주기성)19_9"/>
      <sheetName val="Buy_vs__Lease_Car"/>
      <sheetName val="Sum_ELE__CAP_S1-4__"/>
      <sheetName val="Ton_Kho1"/>
      <sheetName val="Land_Dev't__Ph-1"/>
      <sheetName val="CHITIET_VL-NC-TT1p"/>
      <sheetName val="Danh_muc"/>
      <sheetName val="SGC_RATE"/>
      <sheetName val="Boiler_Block"/>
      <sheetName val="NH3_Block"/>
      <sheetName val="Chiller_Block"/>
      <sheetName val="C02_Block"/>
      <sheetName val="Air_compressor"/>
      <sheetName val="Wokers_canteen"/>
      <sheetName val="Wokers_Kitchen"/>
      <sheetName val="Wokers_Toilet"/>
      <sheetName val="Spare_parts"/>
      <sheetName val="Maintenance_office"/>
      <sheetName val="Emty_RGB_Yard"/>
      <sheetName val="External_works"/>
      <sheetName val="Pipe_bridge"/>
      <sheetName val="Cool_warehouse"/>
      <sheetName val="Frozen_warehouse"/>
      <sheetName val="5__MATERIAL_LIST"/>
      <sheetName val="Đầu_tư1"/>
      <sheetName val="7_공정표1"/>
      <sheetName val="Schedule_S-Curve_Revision#3"/>
      <sheetName val="Joinery_works"/>
      <sheetName val="THONG_KE_CAU_KIEN"/>
      <sheetName val="1차3회-개_1"/>
      <sheetName val="시설"/>
      <sheetName val="시멘㜷頀"/>
      <sheetName val="문10"/>
      <sheetName val="샤워실위생"/>
      <sheetName val="선수금"/>
      <sheetName val="호표(수)"/>
      <sheetName val="SONIC"/>
      <sheetName val=" 토목 처리장도급내역서 "/>
      <sheetName val="C-노_x0000__x0000__x0005_"/>
      <sheetName val="계장 품셈표"/>
      <sheetName val="형틀"/>
      <sheetName val="4.경비 5.영0_x0000__x0000__x0000_"/>
      <sheetName val="bqmp"/>
      <sheetName val="시산표"/>
      <sheetName val="환율199911"/>
      <sheetName val="설계변경(변경분)"/>
      <sheetName val="일일보고"/>
      <sheetName val="수량산출표"/>
      <sheetName val="기둥(胔Ẩ_x0018_"/>
      <sheetName val="기둥(˔_x0000_ꠀ"/>
      <sheetName val="기둥(㷔₼ "/>
      <sheetName val="기둥(㷔嚼"/>
      <sheetName val="단가(강재운반_x0000_"/>
      <sheetName val="식재수䏈轐"/>
      <sheetName val="총괄BOQ"/>
      <sheetName val="구조물터파기_x0003__x0000_蠀_xd8c9_"/>
      <sheetName val="도급표지__x0003_"/>
      <sheetName val="표지 ¬_x0000_Ԁ"/>
      <sheetName val="관급자재산출근거"/>
      <sheetName val="2008년하반기노임"/>
      <sheetName val="표준차도부연장집계-ASP"/>
      <sheetName val="패널"/>
      <sheetName val="Modulၒ_x0000_"/>
      <sheetName val="CB"/>
      <sheetName val="점_x0000__x0000_Ā"/>
      <sheetName val="1공구 건_xdc00_䘢䠂檱䠛檳"/>
      <sheetName val="3_공통공사偤°"/>
      <sheetName val="1.수_x0000__x0000__x0005_"/>
      <sheetName val="포장총괄집계표"/>
      <sheetName val="가_x0000__x0000_"/>
      <sheetName val="부대내寀"/>
      <sheetName val="부대내_x0005_"/>
      <sheetName val="출근부&amp;임금대장"/>
      <sheetName val="기계경비시간당손료목록"/>
      <sheetName val="인구"/>
      <sheetName val="환경평가"/>
      <sheetName val="보도내역 (_x0010__x0000_"/>
      <sheetName val="I.설계조건"/>
      <sheetName val="3.바닥판설계"/>
      <sheetName val="7)각세대내"/>
      <sheetName val="고유코드_설계"/>
      <sheetName val="드럼사이즈 내역"/>
      <sheetName val="현장인원명부"/>
      <sheetName val="개인신상"/>
      <sheetName val="입찰품跀"/>
      <sheetName val="슬래브(PF)(하류)"/>
      <sheetName val="STAND98"/>
      <sheetName val="외주대비 -석축_x0000__x0000__x0000__x0000__x0000__x0012_[후다내역.XLS]_____4"/>
      <sheetName val="Sens&amp;Anal"/>
      <sheetName val="공사비 내역 (가)"/>
      <sheetName val="GRD_x0000_"/>
      <sheetName val="일위대가 집_x0000__x0000_"/>
      <sheetName val="점_x0000__x0000__x0005_"/>
      <sheetName val="원본자재"/>
      <sheetName val="4 L速뇥ᝠ"/>
      <sheetName val="견적刀_x0010_"/>
      <sheetName val="외주대비 -ʶ_x0000_"/>
      <sheetName val="변수"/>
      <sheetName val="교각토공_(㡈įᐨ"/>
      <sheetName val="99년하반기"/>
      <sheetName val="건축설_x0000_"/>
      <sheetName val="건축설賨"/>
      <sheetName val="시점부수량산출서"/>
      <sheetName val="Tax Ref"/>
      <sheetName val="BOQ-E"/>
      <sheetName val="Dayworks"/>
      <sheetName val="비품"/>
      <sheetName val="입적Æ"/>
      <sheetName val="주간기성"/>
      <sheetName val="입력데이타(비_x0000__x0000_Ԁ_x0000_"/>
      <sheetName val="GRD_x0000_鯦"/>
      <sheetName val="GRD_x0000_黎"/>
      <sheetName val="지역개발"/>
      <sheetName val="入力用(家賃)"/>
      <sheetName val="入力用(駐車)"/>
      <sheetName val="인건嫨"/>
      <sheetName val="닪면_(2)3"/>
      <sheetName val="코드정보"/>
      <sheetName val="3.일반사상"/>
      <sheetName val="일반수량총괄집계"/>
      <sheetName val="PAY2002"/>
      <sheetName val="1-7(재가공내역)"/>
      <sheetName val="프로젝트"/>
      <sheetName val="도급표지렀觖갂垹䠀"/>
      <sheetName val="도급표지  (ꀀ႑"/>
      <sheetName val="우성교간선"/>
      <sheetName val="통신물량"/>
      <sheetName val="기본내용"/>
      <sheetName val="견적서표지"/>
      <sheetName val="주차구획"/>
      <sheetName val="Sh_x0010_"/>
      <sheetName val="1.수"/>
      <sheetName val="부"/>
      <sheetName val="점"/>
      <sheetName val="소야공정"/>
      <sheetName val="도급표지  㧈_x0014_冈"/>
      <sheetName val="Sheet22"/>
      <sheetName val="일위합"/>
      <sheetName val="E총15"/>
      <sheetName val="BREAKDOWN(철거Þ_x0000_Ԁ"/>
      <sheetName val="9-1차이碏꾂"/>
      <sheetName val="9-1차이ﺏ動"/>
      <sheetName val="9-1차이梏鎃"/>
      <sheetName val="현장인원¬_x0000_"/>
      <sheetName val="단가(동"/>
      <sheetName val="TH-Dien"/>
      <sheetName val="내역서_x0000__x0000_㠀_x0000_"/>
      <sheetName val="MP"/>
      <sheetName val="CMQS"/>
      <sheetName val="월간보고자료FORM2"/>
      <sheetName val="주관사업"/>
      <sheetName val="골재및자재집계표"/>
      <sheetName val="공조기"/>
      <sheetName val="내역서(기계)"/>
      <sheetName val="TOWER 10TON"/>
      <sheetName val="주요물량"/>
      <sheetName val="토적계산서"/>
      <sheetName val="전산품의"/>
      <sheetName val="현금예금"/>
      <sheetName val="4월계획"/>
      <sheetName val="5.경비"/>
      <sheetName val="1공구_건정토건_토공13"/>
      <sheetName val="1공구_건정토건_철콘13"/>
      <sheetName val="도급표지_13"/>
      <sheetName val="도급표지__(4)13"/>
      <sheetName val="부대표지_(4)13"/>
      <sheetName val="도급표지__(3)13"/>
      <sheetName val="부대표지_(3)13"/>
      <sheetName val="도급표지__(2)13"/>
      <sheetName val="부대표지_(2)13"/>
      <sheetName val="토__목13"/>
      <sheetName val="조__경13"/>
      <sheetName val="전_기13"/>
      <sheetName val="건__축13"/>
      <sheetName val="보도내역_(3)13"/>
      <sheetName val="준검_내역서13"/>
      <sheetName val="2_대외공문13"/>
      <sheetName val="설_계13"/>
      <sheetName val="1_수인터널13"/>
      <sheetName val="6PILE__(돌출)13"/>
      <sheetName val="AS포장복구_13"/>
      <sheetName val="내역(최종본4_5)13"/>
      <sheetName val="0_0ControlSheet13"/>
      <sheetName val="0_1keyAssumption13"/>
      <sheetName val="Sheet1_(2)12"/>
      <sheetName val="입출재고현황_(2)12"/>
      <sheetName val="4_내진설계12"/>
      <sheetName val="1_취수장12"/>
      <sheetName val="전차선로_물량표12"/>
      <sheetName val="BSD_(2)12"/>
      <sheetName val="제잡비_xls12"/>
      <sheetName val="노원열병합__건축공사기성내역서12"/>
      <sheetName val="현장별계약현황('98_10_31)12"/>
      <sheetName val="96보완계획7_1212"/>
      <sheetName val="1__설계조건_2_단면가정_3__하중계산12"/>
      <sheetName val="DATA_입력란12"/>
      <sheetName val="인건비_12"/>
      <sheetName val="3BL공동구_수량12"/>
      <sheetName val="플랜트_설치12"/>
      <sheetName val="실행내역서_12"/>
      <sheetName val="부대입찰_내역서12"/>
      <sheetName val="토공(우물통,기타)_12"/>
      <sheetName val="_총괄표12"/>
      <sheetName val="2_고용보험료산출근거12"/>
      <sheetName val="원가계산_(2)12"/>
      <sheetName val="Eq__Mobilization12"/>
      <sheetName val="1_설계조건12"/>
      <sheetName val="장비당단가_(1)11"/>
      <sheetName val="Sheet2_(2)11"/>
      <sheetName val="1_설계기준11"/>
      <sheetName val="97년_추정12"/>
      <sheetName val="현장관리비_산출내역12"/>
      <sheetName val="프라임_강변역(4,236)10"/>
      <sheetName val="내___역10"/>
      <sheetName val="집_계_표10"/>
      <sheetName val="콤보박스와_리스트박스의_연결12"/>
      <sheetName val="공정표_11"/>
      <sheetName val="5_2코핑10"/>
      <sheetName val="수_량_명_세_서_-_111"/>
      <sheetName val="배수공_시멘트_및_골재량_산출10"/>
      <sheetName val="7_PILE__(돌출)10"/>
      <sheetName val="P_M_별10"/>
      <sheetName val="2_건축11"/>
      <sheetName val="8_PILE__(돌출)11"/>
      <sheetName val="2000년_공정표10"/>
      <sheetName val="2_교량(신설)10"/>
      <sheetName val="별표_11"/>
      <sheetName val="설내역서_11"/>
      <sheetName val="광통신_견적내역서110"/>
      <sheetName val="할증_10"/>
      <sheetName val="unit_410"/>
      <sheetName val="DATA_입력부10"/>
      <sheetName val="CIP_공사11"/>
      <sheetName val="표지_(2)12"/>
      <sheetName val="EQUIP_LIST10"/>
      <sheetName val="4_경비_5_영업외수지10"/>
      <sheetName val="_견적서10"/>
      <sheetName val="수량산출서_갑지10"/>
      <sheetName val="5_정산서10"/>
      <sheetName val="표지_(3)12"/>
      <sheetName val="교각집계_(2)12"/>
      <sheetName val="교각토공_(2)12"/>
      <sheetName val="교각철근_(2)12"/>
      <sheetName val="외주대비_-석축12"/>
      <sheetName val="외주대비-구조물_(2)12"/>
      <sheetName val="견적표지_(3)12"/>
      <sheetName val="_HIT-&gt;HMC_견적(3900)12"/>
      <sheetName val="일__위__대__가__목__록12"/>
      <sheetName val="교각토공__2_12"/>
      <sheetName val="2000_0510"/>
      <sheetName val="1_3_1절점좌표10"/>
      <sheetName val="1_1설계기준10"/>
      <sheetName val="1_본부별10"/>
      <sheetName val="HRSG_SMALL0722012"/>
      <sheetName val="6__안전관리비22"/>
      <sheetName val="하도내역_(철콘)11"/>
      <sheetName val="3_공통공사대비12"/>
      <sheetName val="노무비_근거11"/>
      <sheetName val="조건표_(2)11"/>
      <sheetName val="임율_Data11"/>
      <sheetName val="2차전체변경예정_(2)11"/>
      <sheetName val="토공유동표(전체_당초)11"/>
      <sheetName val="목차_11"/>
      <sheetName val="단면_(2)11"/>
      <sheetName val="b_balju_(2)11"/>
      <sheetName val="8_현장관리비11"/>
      <sheetName val="7_안전관리비11"/>
      <sheetName val="7__현장관리비_11"/>
      <sheetName val="노무비_10"/>
      <sheetName val="내역서_제출10"/>
      <sheetName val="구조______10"/>
      <sheetName val="간_지110"/>
      <sheetName val="화재_탐지_설비10"/>
      <sheetName val="4_일위대가집계10"/>
      <sheetName val="5__현장관리비(new)_10"/>
      <sheetName val="Customer_Databas10"/>
      <sheetName val="방배동내역_(총괄)10"/>
      <sheetName val="기초입력_DATA10"/>
      <sheetName val="재활용_악취_먼지DUCT산출10"/>
      <sheetName val="4_장비손료10"/>
      <sheetName val="단양_00_아파트-세부내역10"/>
      <sheetName val="5호광장_(만점)10"/>
      <sheetName val="인천국제_(만점)_(2)10"/>
      <sheetName val="전선_및_전선관9"/>
      <sheetName val="VENDOR_LIST9"/>
      <sheetName val="남양시작동자105노65기1_3화1_29"/>
      <sheetName val="관음목장(제출용)자105인97_59"/>
      <sheetName val="2F_회의실견적(5_14_일대)9"/>
      <sheetName val="한성교회_신축공사(050713)_CheckList9"/>
      <sheetName val="설계기준_및_하중계산9"/>
      <sheetName val="Sight_n_M_H9"/>
      <sheetName val="단가_9"/>
      <sheetName val="4_LINE10"/>
      <sheetName val="7_th10"/>
      <sheetName val="_갑지10"/>
      <sheetName val="A_LINE10"/>
      <sheetName val="5__현장관리비_new__10"/>
      <sheetName val="Temporary_Mooring10"/>
      <sheetName val="중기조종사_단위단가11"/>
      <sheetName val="총_원가계산10"/>
      <sheetName val="매출요약(월별)_-년간9"/>
      <sheetName val="Piping_Design_Data9"/>
      <sheetName val="4_&amp;_10-inch,_CO2_Combo_&amp;_Sweep9"/>
      <sheetName val="PROJECT_BRIEF9"/>
      <sheetName val="전체내역_(2)9"/>
      <sheetName val="Hyundai_Unit_cost_xls9"/>
      <sheetName val="1062-X방향_9"/>
      <sheetName val="TABLE_DB9"/>
      <sheetName val="쌍용_data_base9"/>
      <sheetName val="수목데이타_9"/>
      <sheetName val="1_䷨수장9"/>
      <sheetName val="4_뀴진설Ⳅ9"/>
      <sheetName val="전䰨선로_물량표9"/>
      <sheetName val="㶀대입찰_내역서9"/>
      <sheetName val="제출내역_(2)10"/>
      <sheetName val="969910(_R)9"/>
      <sheetName val="원내역서_그대로9"/>
      <sheetName val="strut_type9"/>
      <sheetName val="내역서_(2)9"/>
      <sheetName val="총괄집계_9"/>
      <sheetName val="단가_및_재료비9"/>
      <sheetName val="경비_(1)9"/>
      <sheetName val="기계_도급내역서8"/>
      <sheetName val="10_경제성분석8"/>
      <sheetName val="청_구7"/>
      <sheetName val="kimre_scrubber9"/>
      <sheetName val="FRP_PIPING_일위대가9"/>
      <sheetName val="개인별_순위표10"/>
      <sheetName val="2_2_오피스텔(12~32F)10"/>
      <sheetName val="일위대가_집계표10"/>
      <sheetName val="9_1지하2층하부보10"/>
      <sheetName val="단계별내역_(2)10"/>
      <sheetName val="4_일위대가10"/>
      <sheetName val="공내역_및_견적조건8"/>
      <sheetName val="2_18"/>
      <sheetName val="-15_08"/>
      <sheetName val="108_수선비9"/>
      <sheetName val="신평리_권리자명부6"/>
      <sheetName val="97_사업추정(WEKI)6"/>
      <sheetName val="일위대가_(PM)9"/>
      <sheetName val="사__업__비__수__지__예__산__서8"/>
      <sheetName val="7_전산해석결과7"/>
      <sheetName val="4_하중7"/>
      <sheetName val="STEEL_BOX_단면설계(SEC_8)9"/>
      <sheetName val="2_2_띠장의_설계10"/>
      <sheetName val="자__재10"/>
      <sheetName val="CM_110"/>
      <sheetName val="세골재__T2_변경_현황9"/>
      <sheetName val="6__안전관리비23"/>
      <sheetName val="기술부_VENDOR_LIST10"/>
      <sheetName val="4_2_1_마루높이_검토9"/>
      <sheetName val="내역서_(3)10"/>
      <sheetName val="산출양식_(2)10"/>
      <sheetName val="전체산출내역서갑(변경)_10"/>
      <sheetName val="A_터파기공10"/>
      <sheetName val="B_측·집10"/>
      <sheetName val="배(자·집)_(2)10"/>
      <sheetName val="2_01측·터·집10"/>
      <sheetName val="땅깍·수_(1-1)10"/>
      <sheetName val="0-52_10"/>
      <sheetName val="콘·다_(2)10"/>
      <sheetName val="기·집_(2)10"/>
      <sheetName val="콘·다_(3)10"/>
      <sheetName val="병원내역집계표_(2)10"/>
      <sheetName val="실행총괄_10"/>
      <sheetName val="[IL-3_XLSY갑지10"/>
      <sheetName val="4_일위대가목차10"/>
      <sheetName val="내역_ver1_010"/>
      <sheetName val="2000,9월_일위10"/>
      <sheetName val="1_노무비명세서(해동)10"/>
      <sheetName val="1_노무비명세서(토목)10"/>
      <sheetName val="2_노무비명세서(해동)10"/>
      <sheetName val="2_노무비명세서(수직보호망)10"/>
      <sheetName val="2_노무비명세서(난간대)10"/>
      <sheetName val="2_사진대지10"/>
      <sheetName val="3_사진대지10"/>
      <sheetName val="변압기_및_발전기_용량9"/>
      <sheetName val="조도계산서_(도서)9"/>
      <sheetName val="빌딩_안내9"/>
      <sheetName val="CABLE_(2)9"/>
      <sheetName val="G_R300경비9"/>
      <sheetName val="단가대비표_(3)9"/>
      <sheetName val="기성내역서(을)_(2)9"/>
      <sheetName val="1단계_(2)9"/>
      <sheetName val="2_1__노무비_평균단가산출9"/>
      <sheetName val="3_공사비(07년노임단가)9"/>
      <sheetName val="3_공사비(단가조사표)9"/>
      <sheetName val="3_공사비(물량산출표)9"/>
      <sheetName val="3_공사비(일위대가표목록)9"/>
      <sheetName val="3_공사비(일위대가표)9"/>
      <sheetName val="TRE_TABLE9"/>
      <sheetName val="Requirement(Work_Crew)9"/>
      <sheetName val="진입도로B_(2)9"/>
      <sheetName val="2_냉난방설비공사9"/>
      <sheetName val="7_자동제어공사9"/>
      <sheetName val="중강당_내역9"/>
      <sheetName val="기초자료입력및_K치_확인9"/>
      <sheetName val="실행내역_9"/>
      <sheetName val="자재_단가_비교표(견적)9"/>
      <sheetName val="자재_단가_비교표9"/>
      <sheetName val="Bid_Summary9"/>
      <sheetName val="이동시_예상비용9"/>
      <sheetName val="Seg_1DE비용9"/>
      <sheetName val="Transit_비용_감가상각미포함9"/>
      <sheetName val="전화공사_공량_및_집계표9"/>
      <sheetName val="참조_(2)9"/>
      <sheetName val="6__직접경비9"/>
      <sheetName val="대가_(보완)9"/>
      <sheetName val="3_자재비(총괄)9"/>
      <sheetName val="제조_경영9"/>
      <sheetName val="4_전기9"/>
      <sheetName val="노_무_비9"/>
      <sheetName val="미납품_현황9"/>
      <sheetName val="신설개소별_총집계표(동해-배전)9"/>
      <sheetName val="BOX_본체9"/>
      <sheetName val="MP_MOB9"/>
      <sheetName val="태화42_5"/>
      <sheetName val="_ｹ-ﾌﾞﾙ6"/>
      <sheetName val="토__공5"/>
      <sheetName val="①idea_pipeline9"/>
      <sheetName val="IMP_통일양식9"/>
      <sheetName val="LYS_통일양식9"/>
      <sheetName val="Xunit_(단위환산)9"/>
      <sheetName val="유통기한_프로그램9"/>
      <sheetName val="1-1_현장정리9"/>
      <sheetName val="1-2_토공9"/>
      <sheetName val="1-3_WMM,GSB9"/>
      <sheetName val="1-4_BITUMINOUS_COURSE9"/>
      <sheetName val="1-5_BOX_CULVERTS9"/>
      <sheetName val="1-6_BRIDGE9"/>
      <sheetName val="1-7_DRAINAGE9"/>
      <sheetName val="1-8_TRAFFIC9"/>
      <sheetName val="1-9_MISCELLANEOUS9"/>
      <sheetName val="1-10_ELECTRICAL9"/>
      <sheetName val="1-12_도급외항목9"/>
      <sheetName val="명일작업계획_(3)9"/>
      <sheetName val="용선_C_L9"/>
      <sheetName val="전_체9"/>
      <sheetName val="흙막이B_(오산운암)9"/>
      <sheetName val="타이로드_흙막이9"/>
      <sheetName val="타이로드_흙막이(근입장2_5M)9"/>
      <sheetName val="타이로드(근입장2_5M)9"/>
      <sheetName val="pile_항타9"/>
      <sheetName val="pile_항타(디젤)9"/>
      <sheetName val="pile_항타_A9"/>
      <sheetName val="pile_항타_B9"/>
      <sheetName val="pile_항타_C9"/>
      <sheetName val="pile_인발9"/>
      <sheetName val="pile_인발_A9"/>
      <sheetName val="pile_인발_B9"/>
      <sheetName val="pile_인발_C9"/>
      <sheetName val="20TON_TRAILER9"/>
      <sheetName val="토류판_(2)9"/>
      <sheetName val="SHEET_PILE단가9"/>
      <sheetName val="6_이토처리시간9"/>
      <sheetName val="220_(2)5"/>
      <sheetName val="_5"/>
      <sheetName val="외주현황_wq15"/>
      <sheetName val="울진항공등화_내역서9"/>
      <sheetName val="일_위_대_가_표9"/>
      <sheetName val="영흥TL(UP,DOWN)_9"/>
      <sheetName val="3련_BOX9"/>
      <sheetName val="내역서_8"/>
      <sheetName val="2_1외주9"/>
      <sheetName val="2_3노무9"/>
      <sheetName val="2_4자재9"/>
      <sheetName val="2_2장비9"/>
      <sheetName val="2_5경비9"/>
      <sheetName val="2_6수목대9"/>
      <sheetName val="모선자재_집계표8"/>
      <sheetName val="재료의_할증8"/>
      <sheetName val="D1_2_COF모듈자재_입출재고_(B급)8"/>
      <sheetName val="기존단가_(2)7"/>
      <sheetName val="BEND_LOSS6"/>
      <sheetName val="1차_내역서9"/>
      <sheetName val="내역서1999_8최종5"/>
      <sheetName val="토공_total6"/>
      <sheetName val="3_관로전환기5"/>
      <sheetName val="TRAY_헹거산출6"/>
      <sheetName val="함열량_db8"/>
      <sheetName val="고객사_관리_코드9"/>
      <sheetName val="중기쥰종사_단위단가9"/>
      <sheetName val="PTVT_(MAU)9"/>
      <sheetName val="1_15"/>
      <sheetName val="F_월별기성수금현황_5"/>
      <sheetName val="99_조정금액6"/>
      <sheetName val="표__지8"/>
      <sheetName val="3_전기산출기초5"/>
      <sheetName val="금회_청구사항(기계)5"/>
      <sheetName val="기성갑지_(소방)5"/>
      <sheetName val="금회_청구사항(소방)5"/>
      <sheetName val="D_B5"/>
      <sheetName val="Div26_-_Elect8"/>
      <sheetName val="Khoi_luong8"/>
      <sheetName val="Bảng_mã_VT8"/>
      <sheetName val="DonGia_chetao8"/>
      <sheetName val="DonGia_VatTuLK8"/>
      <sheetName val="Fr_Revit8"/>
      <sheetName val="NSA_Summary8"/>
      <sheetName val="동강_배관5"/>
      <sheetName val="WCR_외주5"/>
      <sheetName val="ANILINE_-_OPTION5"/>
      <sheetName val="MDI_-_OPTION5"/>
      <sheetName val="일위대가56-1_5"/>
      <sheetName val="일위대가71-1_5"/>
      <sheetName val="일위대가74-1_5"/>
      <sheetName val="일위대가76-1_5"/>
      <sheetName val="일위대가77-1_5"/>
      <sheetName val="일위대가78-1_5"/>
      <sheetName val="chi_tiet7"/>
      <sheetName val="PPC_Summary7"/>
      <sheetName val="06_일위대가목록5"/>
      <sheetName val="1_청구서5"/>
      <sheetName val="2_내역서5"/>
      <sheetName val="Tong_hop6"/>
      <sheetName val="Phan_lap_dat6"/>
      <sheetName val="Lắp_Ráp6"/>
      <sheetName val="총괄표_5"/>
      <sheetName val="계약대비내역서_(부경)5"/>
      <sheetName val="집행대비내역서_(부경)5"/>
      <sheetName val="계약그라우팅_포장5"/>
      <sheetName val="계약사무실조경_5"/>
      <sheetName val="횡배수관_토공량_산출5"/>
      <sheetName val="K2_site_Total_내역서5"/>
      <sheetName val="cong_thuc_tinh_chi_tiet8"/>
      <sheetName val="Gia_VLNCMTC6"/>
      <sheetName val="_IL-3_XLSY갑지10"/>
      <sheetName val="KET_CAU-_MJV26"/>
      <sheetName val="Ví_dụ6"/>
      <sheetName val="Phieu_trinh_ky_cấu_tháp6"/>
      <sheetName val="Phieu_trinh_ky_VTP6"/>
      <sheetName val="KS-VL_rời6"/>
      <sheetName val="Tai_san6"/>
      <sheetName val="Check_dong_tien6"/>
      <sheetName val="Chi_phí_SDTS6"/>
      <sheetName val="Check_COST6"/>
      <sheetName val="DATA_HD6"/>
      <sheetName val="Tong_hop_1TM6"/>
      <sheetName val="NS_Lán_trại6"/>
      <sheetName val="Check_cong_no_NC6"/>
      <sheetName val="01__DATA6"/>
      <sheetName val="도시정비_4"/>
      <sheetName val="샌딩_에폭시_도장7"/>
      <sheetName val="Summary_VO_No_36"/>
      <sheetName val="VO_No_3_16"/>
      <sheetName val="VO_No_3_26"/>
      <sheetName val="VO_No_3_36"/>
      <sheetName val="VO_No_3_46"/>
      <sheetName val="VO_No_3_56"/>
      <sheetName val="VO_No_3_66"/>
      <sheetName val="VO_No_3_76"/>
      <sheetName val="VO_No_3_86"/>
      <sheetName val="SCOPE_OF_WORK6"/>
      <sheetName val="대3류_6"/>
      <sheetName val="외주대비_ᨀ晙ԯ7"/>
      <sheetName val="3_단가산출서6"/>
      <sheetName val="4_단가산출기초6"/>
      <sheetName val="H__MECHANICAL6"/>
      <sheetName val="J__FIRE_FIGHTING6"/>
      <sheetName val="Sàn_T16"/>
      <sheetName val="Lỗ_thông_gió6"/>
      <sheetName val="Thống_kê6"/>
      <sheetName val="Tai_khoan6"/>
      <sheetName val="Bang_gia_2011_10_125"/>
      <sheetName val="중기사용료_(2)6"/>
      <sheetName val="投标材料清单_5"/>
      <sheetName val="ጊ후다내역_XLS]0_0ControlSheet35"/>
      <sheetName val="Dầm_15"/>
      <sheetName val="Unit_Rate(non_print)5"/>
      <sheetName val="Cọc_nhồi5"/>
      <sheetName val="5_6_NTKL_ĐHKK_5"/>
      <sheetName val="5_12_NTKL_PCCC5"/>
      <sheetName val="5_NKTC5"/>
      <sheetName val="4_BBNT-LĐ5"/>
      <sheetName val="외주대비_-석축???_x5"/>
      <sheetName val="D_&amp;_W_sizes5"/>
      <sheetName val="Goc_CC5"/>
      <sheetName val="Sàn_tầng_01_(_old_)5"/>
      <sheetName val="Gia_thanh_chuoi_su5"/>
      <sheetName val="Tiep_dia5"/>
      <sheetName val="Don_gia_vung_III-Can_Tho5"/>
      <sheetName val="TH_MEP5"/>
      <sheetName val="_DATA5"/>
      <sheetName val="0_Bìa5"/>
      <sheetName val="1_Mục_lục5"/>
      <sheetName val="2_Phiếu_kiểm_tra5"/>
      <sheetName val="BM-06a_Mẫu_chứng_chỉ_thanh_toá5"/>
      <sheetName val="3_Bảng_TT_giá_trị_thực_hiện5"/>
      <sheetName val="4_Bảng_TT_KL_thực_hiện5"/>
      <sheetName val="6_KL_DD_chi_tiết5"/>
      <sheetName val="5_công_nhật5"/>
      <sheetName val="ROW_3a-chi_tiết5"/>
      <sheetName val="ROW_5-_chi_tiết5"/>
      <sheetName val="ROW_6-_chi_tiết5"/>
      <sheetName val="KL_khoán_đổ_bê_tông_T75"/>
      <sheetName val="6__Bảng_TT_giá_trị_giảm_trừ_HĐ5"/>
      <sheetName val="6__Hồ_sơ_đính_kèm5"/>
      <sheetName val="운동장_(2)5"/>
      <sheetName val="주공_갑지5"/>
      <sheetName val="외주대비_-석É5"/>
      <sheetName val="5_2_6~7공사요율5"/>
      <sheetName val="04_12월건강보험(일용직)5"/>
      <sheetName val="1_내역(청_하역장전등)5"/>
      <sheetName val="2_원가집계5"/>
      <sheetName val="05_유류비자금청구(완)5"/>
      <sheetName val="19_07월_세_계5"/>
      <sheetName val="19_07항목별(시트복사금지100번쓰기)5"/>
      <sheetName val="19_05월5"/>
      <sheetName val="grid_(1)5"/>
      <sheetName val="경율산정_XLS5"/>
      <sheetName val="PAD_TR보호대기초5"/>
      <sheetName val="IMF_Code5"/>
      <sheetName val="Elec_LG4"/>
      <sheetName val="ESTI_4"/>
      <sheetName val="1_Requisition(E)4"/>
      <sheetName val="dtct_cong4"/>
      <sheetName val="NHÀ_NHẬP_LIỆU4"/>
      <sheetName val="MÓNG_SILO4"/>
      <sheetName val="3_14"/>
      <sheetName val="3_104"/>
      <sheetName val="3_24"/>
      <sheetName val="3_34"/>
      <sheetName val="3_44"/>
      <sheetName val="3_54"/>
      <sheetName val="3_64"/>
      <sheetName val="3_74"/>
      <sheetName val="3_84"/>
      <sheetName val="3_94"/>
      <sheetName val="Doi_so4"/>
      <sheetName val="TL_rieng4"/>
      <sheetName val="3_1_6_전산처리결과4"/>
      <sheetName val="Rect__104"/>
      <sheetName val="갑지_1회3"/>
      <sheetName val="18_073"/>
      <sheetName val="갑지_2회3"/>
      <sheetName val="18_083"/>
      <sheetName val="갑지_3회3"/>
      <sheetName val="18_093"/>
      <sheetName val="갑지_4회3"/>
      <sheetName val="18_103"/>
      <sheetName val="갑지_5회3"/>
      <sheetName val="18_113"/>
      <sheetName val="갑지_6회3"/>
      <sheetName val="18_123"/>
      <sheetName val="갑지_7회3"/>
      <sheetName val="19_013"/>
      <sheetName val="갑지_8회3"/>
      <sheetName val="19_023"/>
      <sheetName val="갑지_9회3"/>
      <sheetName val="표지_9회3"/>
      <sheetName val="19_033"/>
      <sheetName val="갑지_10회3"/>
      <sheetName val="표지_10회3"/>
      <sheetName val="19_043"/>
      <sheetName val="갑지_11회3"/>
      <sheetName val="표지_11회3"/>
      <sheetName val="19_053"/>
      <sheetName val="갑지_12회3"/>
      <sheetName val="표지_12회3"/>
      <sheetName val="19_063"/>
      <sheetName val="갑지_13회3"/>
      <sheetName val="표지_13회3"/>
      <sheetName val="19_073"/>
      <sheetName val="갑지_14회3"/>
      <sheetName val="표지_14회3"/>
      <sheetName val="19_083"/>
      <sheetName val="원가_(2)2"/>
      <sheetName val="부대표지츀_2"/>
      <sheetName val="물가변동_총괄서6"/>
      <sheetName val="7_1유효폭6"/>
      <sheetName val="허용전류-IEC_DATA6"/>
      <sheetName val="본선_토공_분배표6"/>
      <sheetName val="을_25"/>
      <sheetName val="을_15"/>
      <sheetName val="토공_갑지5"/>
      <sheetName val="각사별공사비분개_5"/>
      <sheetName val="해외_연수비용_계산-삭제5"/>
      <sheetName val="해외_기술훈련비_(합계)5"/>
      <sheetName val="Pier_35"/>
      <sheetName val="BOX(1_5X1_5)4"/>
      <sheetName val="TYPE_A4"/>
      <sheetName val="장비투입_(2)4"/>
      <sheetName val="C_&amp;_G_RHS4"/>
      <sheetName val="5_3_단면가정4"/>
      <sheetName val="ITB_COST4"/>
      <sheetName val="CATCH_BASIN4"/>
      <sheetName val="Man_Hole4"/>
      <sheetName val="WEIGHT_LIST3"/>
      <sheetName val="산#2-1_(2)3"/>
      <sheetName val="설산1_나3"/>
      <sheetName val="1_토공3"/>
      <sheetName val="Process_Piping4"/>
      <sheetName val="plan&amp;section_of_foundation3"/>
      <sheetName val="design_criteria3"/>
      <sheetName val="자재_집계표3"/>
      <sheetName val="Raw_Data3"/>
      <sheetName val="PHC파일_천공_및_항타3"/>
      <sheetName val="내역_2"/>
      <sheetName val="보도내_5"/>
      <sheetName val="18_궤도재료2"/>
      <sheetName val="Measure_13064"/>
      <sheetName val="DM_ChiPhi4"/>
      <sheetName val="Basic_Wage4"/>
      <sheetName val="Menber_List4"/>
      <sheetName val="외주대비_-석축_x005f_x0000__x005f_x0000__x005f_x0000__4"/>
      <sheetName val="2_입력sheet2"/>
      <sheetName val="PL_Vua4"/>
      <sheetName val="간접비_총괄표2"/>
      <sheetName val="일위대가_2"/>
      <sheetName val="TỔNG_HỢP4"/>
      <sheetName val="C_MECHANICAL4"/>
      <sheetName val="Du_thau4"/>
      <sheetName val="1_관로4"/>
      <sheetName val="ጊ후다내역_XLS_0_0ControlSheet35"/>
      <sheetName val="외주대비_-석축____x5"/>
      <sheetName val="ጳ??Ⴔጳ??Lጴ??_ጵ??_ጶ??ఀጷ??_ጸ?5"/>
      <sheetName val="ጊ??Ⴔጱ??Lጲ??_ድ??nጳ??lጳ??eጴ4"/>
      <sheetName val="ጵ??Ⴔጶ??Lጷ??_ጸ??yጿ??uጿ??iጊ?4"/>
      <sheetName val="ጿ??Ⴔጿ??Lጊ??ېጱ??_ጲ??೵ድ??Ⴔጳ?4"/>
      <sheetName val="ጊ??Ⴔጊ??Lጱ??᳴ጲ??_ድ??ᰕጳ??װጳ4"/>
      <sheetName val="ጶ??Ⴔጷ??Lጸ??_ጿ??_ጿ??_ጊ??5"/>
      <sheetName val="ጿ??Ⴔጊ??Lጱ??Șጲ??ᩘድ??_ጳ??_ጳ?4"/>
      <sheetName val="ድ??Ⴔጳ??Lጳ??_ጴ??ഀጳ??nጳ??_4"/>
      <sheetName val="ጴ??Ⴔጵ??Lጶ??_ጷ??ഀጸ??nጿ??_4"/>
      <sheetName val="ጳ??Ⴔጴ??Lጵ??_ጶ??ᔼጷ??1ጸ??2ጿ?4"/>
      <sheetName val="ጸ??Ⴔጿ??Lጿ??_ጊ??_ጱ??ݴጲ??4"/>
      <sheetName val="ጴ??Ⴔጳ??Lጳ??iጴ??_ጵ??eጶ??e4"/>
      <sheetName val="ጵ??Ⴔጶ??Lጷ??ᝥጸ??Uጿ??Oጿ??_4"/>
      <sheetName val="ጳ??Ⴔጴ??Lጵ??֑ጶ??_ጷ??-ጸ??׭4"/>
      <sheetName val="ጲ??Ⴔድ??Lጳ??_ጳ??᪅ጴ??Șጳ??᧝ጳ4"/>
      <sheetName val="ጸ??Ⴔጿ??Lጿ??_ጊ??᪅ጊ??ႜጱ??4"/>
      <sheetName val="ጴ??Ⴔጵ??Lጶ??_ጷ??ᅸጸ??Ꮙጿ??°ጿ4"/>
      <sheetName val="ጶ??Ⴔጷ??Lጸ??_ጿ??(ጿ??ᅸጊ??)4"/>
      <sheetName val="ጳ??Ⴔጴ??Lጴ??_ፊ??(ጵ??ఀፋ??)4"/>
      <sheetName val="ጱ??Ⴔጲ??Lድ??ެጳ??_ጳ??(ጴ??4"/>
      <sheetName val="ጿ??Ⴔጿ??Lጊ??ᙔጱ??೵ጲ??_ድ??4"/>
      <sheetName val="ጱ??Ⴔጲ??Lድ??ಜጳ??(ጳ??_ጴ??4"/>
      <sheetName val="ጸ??Ⴔጿ??Lጿ??ݴጊ??෼ጱ??_ጲ??4"/>
      <sheetName val="ድ??Ⴔጳ??Lጳ??0ጴ??_ጳ??Iጳ??4"/>
      <sheetName val="ጸ??Ⴔጿ??Lጿ??iጊ??_ጱ??uጲ??r4"/>
      <sheetName val="3__CNT4"/>
      <sheetName val="unit_price_list(M)4"/>
      <sheetName val="Breakdown_(B)4"/>
      <sheetName val="thông_tin4"/>
      <sheetName val="PRECAST_lightconc-II4"/>
      <sheetName val="RAB_AR&amp;STR4"/>
      <sheetName val="Nhan_cong4"/>
      <sheetName val="Thiet_bi4"/>
      <sheetName val="Vat_tu4"/>
      <sheetName val="May_TC4"/>
      <sheetName val="Bang_KL4"/>
      <sheetName val="TH_Kinh_phi4"/>
      <sheetName val="cataloge_moi4"/>
      <sheetName val="_후다_x005f_x0001___x005f_x0010__x005f_x0000__x0005"/>
      <sheetName val="Budget_Code2"/>
      <sheetName val="Phu_cap2"/>
      <sheetName val="토목내역서_(도급단가)_(2)2"/>
      <sheetName val="[후다내역_XLS]__H1775_c_ESTI96____7"/>
      <sheetName val="옥외_전력간선공사2"/>
      <sheetName val="BH-1_(2)2"/>
      <sheetName val="ጳ__Ⴔጳ__Lጴ___ጵ___ጶ__ఀጷ___ጸ_3"/>
      <sheetName val="ጊ__Ⴔጱ__Lጲ___ድ__nጳ__lጳ__eጴ2"/>
      <sheetName val="ጵ__Ⴔጶ__Lጷ___ጸ__yጿ__uጿ__iጊ_2"/>
      <sheetName val="ጿ__Ⴔጿ__Lጊ__ېጱ___ጲ__೵ድ__Ⴔጳ_2"/>
      <sheetName val="ጊ__Ⴔጊ__Lጱ__᳴ጲ___ድ__ᰕጳ__װጳ2"/>
      <sheetName val="ጶ__Ⴔጷ__Lጸ___ጿ___ጿ___ጊ__3"/>
      <sheetName val="ጿ__Ⴔጊ__Lጱ__Șጲ__ᩘድ___ጳ___ጳ_2"/>
      <sheetName val="ድ__Ⴔጳ__Lጳ___ጴ__ഀጳ__nጳ___2"/>
      <sheetName val="ጴ__Ⴔጵ__Lጶ___ጷ__ഀጸ__nጿ___2"/>
      <sheetName val="ጳ__Ⴔጴ__Lጵ___ጶ__ᔼጷ__1ጸ__2ጿ_2"/>
      <sheetName val="ጸ__Ⴔጿ__Lጿ___ጊ___ጱ__ݴጲ__2"/>
      <sheetName val="ጴ__Ⴔጳ__Lጳ__iጴ___ጵ__eጶ__e2"/>
      <sheetName val="ጵ__Ⴔጶ__Lጷ__ᝥጸ__Uጿ__Oጿ___2"/>
      <sheetName val="ጳ__Ⴔጴ__Lጵ__֑ጶ___ጷ__-ጸ__׭2"/>
      <sheetName val="ጲ__Ⴔድ__Lጳ___ጳ__᪅ጴ__Șጳ__᧝ጳ2"/>
      <sheetName val="ጸ__Ⴔጿ__Lጿ___ጊ__᪅ጊ__ႜጱ__2"/>
      <sheetName val="ጴ__Ⴔጵ__Lጶ___ጷ__ᅸጸ__Ꮙጿ__°ጿ2"/>
      <sheetName val="ጶ__Ⴔጷ__Lጸ___ጿ__(ጿ__ᅸጊ__)2"/>
      <sheetName val="ጳ__Ⴔጴ__Lጴ___ፊ__(ጵ__ఀፋ__)2"/>
      <sheetName val="ጱ__Ⴔጲ__Lድ__ެጳ___ጳ__(ጴ__2"/>
      <sheetName val="ጿ__Ⴔጿ__Lጊ__ᙔጱ__೵ጲ___ድ__2"/>
      <sheetName val="ጱ__Ⴔጲ__Lድ__ಜጳ__(ጳ___ጴ__2"/>
      <sheetName val="ጸ__Ⴔጿ__Lጿ__ݴጊ__෼ጱ___ጲ__2"/>
      <sheetName val="ድ__Ⴔጳ__Lጳ__0ጴ___ጳ__Iጳ__2"/>
      <sheetName val="ጸ__Ⴔጿ__Lጿ__iጊ___ጱ__uጲ__r2"/>
      <sheetName val="MAIN_GATE_HOUSE2"/>
      <sheetName val="T_KE_CP12"/>
      <sheetName val="2__주요공지（主要公告）2"/>
      <sheetName val="4_예산내역서2"/>
      <sheetName val="A_견적2"/>
      <sheetName val="1_사유서2"/>
      <sheetName val="손익분기점_데이터2"/>
      <sheetName val="매각대상자산_청산가치2"/>
      <sheetName val="2000년_임금추정2"/>
      <sheetName val="const_2"/>
      <sheetName val="자재기성_신청서_xlsx2"/>
      <sheetName val="입찰내역_발주처_양식2"/>
      <sheetName val="2_교2"/>
      <sheetName val="[후다내역_XLS]__H1775_c_ESTI96____8"/>
      <sheetName val="[후다내역_XLS]__H1775_c_ESTI96____9"/>
      <sheetName val="일__위__대__가_2"/>
      <sheetName val="_견적Ⴗ2"/>
      <sheetName val="VS_P-Q2"/>
      <sheetName val="1차3회-개_2"/>
      <sheetName val="1공구_건정토건_토공12"/>
      <sheetName val="1공구_건정토건_철콘12"/>
      <sheetName val="도급표지_12"/>
      <sheetName val="도급표지__(4)12"/>
      <sheetName val="부대표지_(4)12"/>
      <sheetName val="도급표지__(3)12"/>
      <sheetName val="부대표지_(3)12"/>
      <sheetName val="도급표지__(2)12"/>
      <sheetName val="부대표지_(2)12"/>
      <sheetName val="토__목12"/>
      <sheetName val="조__경12"/>
      <sheetName val="전_기12"/>
      <sheetName val="건__축12"/>
      <sheetName val="보도내역_(3)12"/>
      <sheetName val="준검_내역서12"/>
      <sheetName val="2_대외공문12"/>
      <sheetName val="설_계12"/>
      <sheetName val="1_수인터널12"/>
      <sheetName val="6PILE__(돌출)12"/>
      <sheetName val="AS포장복구_12"/>
      <sheetName val="내역(최종본4_5)12"/>
      <sheetName val="0_0ControlSheet12"/>
      <sheetName val="0_1keyAssumption12"/>
      <sheetName val="Sheet1_(2)11"/>
      <sheetName val="입출재고현황_(2)11"/>
      <sheetName val="4_내진설계11"/>
      <sheetName val="1_취수장11"/>
      <sheetName val="전차선로_물량표11"/>
      <sheetName val="BSD_(2)11"/>
      <sheetName val="제잡비_xls11"/>
      <sheetName val="노원열병합__건축공사기성내역서11"/>
      <sheetName val="현장별계약현황('98_10_31)11"/>
      <sheetName val="96보완계획7_1211"/>
      <sheetName val="1__설계조건_2_단면가정_3__하중계산11"/>
      <sheetName val="DATA_입력란11"/>
      <sheetName val="인건비_11"/>
      <sheetName val="3BL공동구_수량11"/>
      <sheetName val="플랜트_설치11"/>
      <sheetName val="실행내역서_11"/>
      <sheetName val="부대입찰_내역서11"/>
      <sheetName val="토공(우물통,기타)_11"/>
      <sheetName val="_총괄표11"/>
      <sheetName val="2_고용보험료산출근거11"/>
      <sheetName val="원가계산_(2)11"/>
      <sheetName val="Eq__Mobilization11"/>
      <sheetName val="1_설계조건11"/>
      <sheetName val="장비당단가_(1)10"/>
      <sheetName val="Sheet2_(2)10"/>
      <sheetName val="1_설계기준10"/>
      <sheetName val="97년_추정11"/>
      <sheetName val="현장관리비_산출내역11"/>
      <sheetName val="프라임_강변역(4,236)9"/>
      <sheetName val="내___역9"/>
      <sheetName val="집_계_표9"/>
      <sheetName val="콤보박스와_리스트박스의_연결11"/>
      <sheetName val="공정표_10"/>
      <sheetName val="5_2코핑9"/>
      <sheetName val="수_량_명_세_서_-_110"/>
      <sheetName val="배수공_시멘트_및_골재량_산출9"/>
      <sheetName val="7_PILE__(돌출)9"/>
      <sheetName val="P_M_별9"/>
      <sheetName val="2_건축10"/>
      <sheetName val="8_PILE__(돌출)10"/>
      <sheetName val="2000년_공정표9"/>
      <sheetName val="2_교량(신설)9"/>
      <sheetName val="별표_10"/>
      <sheetName val="설내역서_10"/>
      <sheetName val="광통신_견적내역서19"/>
      <sheetName val="할증_9"/>
      <sheetName val="unit_49"/>
      <sheetName val="DATA_입력부9"/>
      <sheetName val="CIP_공사10"/>
      <sheetName val="표지_(2)11"/>
      <sheetName val="EQUIP_LIST9"/>
      <sheetName val="4_경비_5_영업외수지9"/>
      <sheetName val="_견적서9"/>
      <sheetName val="수량산출서_갑지9"/>
      <sheetName val="5_정산서9"/>
      <sheetName val="표지_(3)11"/>
      <sheetName val="교각집계_(2)11"/>
      <sheetName val="교각토공_(2)11"/>
      <sheetName val="교각철근_(2)11"/>
      <sheetName val="외주대비_-석축11"/>
      <sheetName val="외주대비-구조물_(2)11"/>
      <sheetName val="견적표지_(3)11"/>
      <sheetName val="_HIT-&gt;HMC_견적(3900)11"/>
      <sheetName val="일__위__대__가__목__록11"/>
      <sheetName val="교각토공__2_11"/>
      <sheetName val="2000_059"/>
      <sheetName val="1_3_1절점좌표9"/>
      <sheetName val="1_1설계기준9"/>
      <sheetName val="1_본부별9"/>
      <sheetName val="HRSG_SMALL0722011"/>
      <sheetName val="6__안전관리비20"/>
      <sheetName val="하도내역_(철콘)10"/>
      <sheetName val="3_공통공사대비11"/>
      <sheetName val="노무비_근거10"/>
      <sheetName val="조건표_(2)10"/>
      <sheetName val="임율_Data10"/>
      <sheetName val="2차전체변경예정_(2)10"/>
      <sheetName val="토공유동표(전체_당초)10"/>
      <sheetName val="목차_10"/>
      <sheetName val="단면_(2)10"/>
      <sheetName val="b_balju_(2)10"/>
      <sheetName val="8_현장관리비10"/>
      <sheetName val="7_안전관리비10"/>
      <sheetName val="7__현장관리비_10"/>
      <sheetName val="노무비_9"/>
      <sheetName val="내역서_제출9"/>
      <sheetName val="구조______9"/>
      <sheetName val="간_지19"/>
      <sheetName val="화재_탐지_설비9"/>
      <sheetName val="4_일위대가집계9"/>
      <sheetName val="5__현장관리비(new)_9"/>
      <sheetName val="Customer_Databas9"/>
      <sheetName val="방배동내역_(총괄)9"/>
      <sheetName val="기초입력_DATA9"/>
      <sheetName val="재활용_악취_먼지DUCT산출9"/>
      <sheetName val="4_장비손료9"/>
      <sheetName val="단양_00_아파트-세부내역9"/>
      <sheetName val="5호광장_(만점)9"/>
      <sheetName val="인천국제_(만점)_(2)9"/>
      <sheetName val="전선_및_전선관8"/>
      <sheetName val="VENDOR_LIST8"/>
      <sheetName val="남양시작동자105노65기1_3화1_28"/>
      <sheetName val="관음목장(제출용)자105인97_58"/>
      <sheetName val="2F_회의실견적(5_14_일대)8"/>
      <sheetName val="한성교회_신축공사(050713)_CheckList8"/>
      <sheetName val="설계기준_및_하중계산8"/>
      <sheetName val="Sight_n_M_H8"/>
      <sheetName val="단가_8"/>
      <sheetName val="4_LINE9"/>
      <sheetName val="7_th9"/>
      <sheetName val="_갑지9"/>
      <sheetName val="A_LINE9"/>
      <sheetName val="5__현장관리비_new__9"/>
      <sheetName val="Temporary_Mooring9"/>
      <sheetName val="중기조종사_단위단가10"/>
      <sheetName val="총_원가계산9"/>
      <sheetName val="매출요약(월별)_-년간8"/>
      <sheetName val="Piping_Design_Data8"/>
      <sheetName val="4_&amp;_10-inch,_CO2_Combo_&amp;_Sweep8"/>
      <sheetName val="PROJECT_BRIEF8"/>
      <sheetName val="전체내역_(2)8"/>
      <sheetName val="Hyundai_Unit_cost_xls8"/>
      <sheetName val="1062-X방향_8"/>
      <sheetName val="TABLE_DB8"/>
      <sheetName val="쌍용_data_base8"/>
      <sheetName val="수목데이타_8"/>
      <sheetName val="1_䷨수장8"/>
      <sheetName val="4_뀴진설Ⳅ8"/>
      <sheetName val="전䰨선로_물량표8"/>
      <sheetName val="㶀대입찰_내역서8"/>
      <sheetName val="제출내역_(2)9"/>
      <sheetName val="969910(_R)8"/>
      <sheetName val="원내역서_그대로8"/>
      <sheetName val="strut_type8"/>
      <sheetName val="내역서_(2)8"/>
      <sheetName val="총괄집계_8"/>
      <sheetName val="단가_및_재료비8"/>
      <sheetName val="경비_(1)8"/>
      <sheetName val="기계_도급내역서7"/>
      <sheetName val="10_경제성분석7"/>
      <sheetName val="청_구6"/>
      <sheetName val="kimre_scrubber8"/>
      <sheetName val="FRP_PIPING_일위대가8"/>
      <sheetName val="개인별_순위표9"/>
      <sheetName val="2_2_오피스텔(12~32F)9"/>
      <sheetName val="일위대가_집계표9"/>
      <sheetName val="9_1지하2층하부보9"/>
      <sheetName val="단계별내역_(2)9"/>
      <sheetName val="4_일위대가9"/>
      <sheetName val="공내역_및_견적조건7"/>
      <sheetName val="2_17"/>
      <sheetName val="-15_07"/>
      <sheetName val="108_수선비8"/>
      <sheetName val="신평리_권리자명부5"/>
      <sheetName val="97_사업추정(WEKI)5"/>
      <sheetName val="일위대가_(PM)8"/>
      <sheetName val="사__업__비__수__지__예__산__서7"/>
      <sheetName val="7_전산해석결과6"/>
      <sheetName val="4_하중6"/>
      <sheetName val="STEEL_BOX_단면설계(SEC_8)8"/>
      <sheetName val="2_2_띠장의_설계9"/>
      <sheetName val="자__재9"/>
      <sheetName val="CM_19"/>
      <sheetName val="세골재__T2_변경_현황8"/>
      <sheetName val="6__안전관리비21"/>
      <sheetName val="기술부_VENDOR_LIST9"/>
      <sheetName val="4_2_1_마루높이_검토8"/>
      <sheetName val="내역서_(3)9"/>
      <sheetName val="산출양식_(2)9"/>
      <sheetName val="전체산출내역서갑(변경)_9"/>
      <sheetName val="A_터파기공9"/>
      <sheetName val="B_측·집9"/>
      <sheetName val="배(자·집)_(2)9"/>
      <sheetName val="2_01측·터·집9"/>
      <sheetName val="땅깍·수_(1-1)9"/>
      <sheetName val="0-52_9"/>
      <sheetName val="콘·다_(2)9"/>
      <sheetName val="기·집_(2)9"/>
      <sheetName val="콘·다_(3)9"/>
      <sheetName val="병원내역집계표_(2)9"/>
      <sheetName val="실행총괄_9"/>
      <sheetName val="[IL-3_XLSY갑지9"/>
      <sheetName val="4_일위대가목차9"/>
      <sheetName val="내역_ver1_09"/>
      <sheetName val="2000,9월_일위9"/>
      <sheetName val="1_노무비명세서(해동)9"/>
      <sheetName val="1_노무비명세서(토목)9"/>
      <sheetName val="2_노무비명세서(해동)9"/>
      <sheetName val="2_노무비명세서(수직보호망)9"/>
      <sheetName val="2_노무비명세서(난간대)9"/>
      <sheetName val="2_사진대지9"/>
      <sheetName val="3_사진대지9"/>
      <sheetName val="변압기_및_발전기_용량8"/>
      <sheetName val="조도계산서_(도서)8"/>
      <sheetName val="빌딩_안내8"/>
      <sheetName val="CABLE_(2)8"/>
      <sheetName val="G_R300경비8"/>
      <sheetName val="단가대비표_(3)8"/>
      <sheetName val="기성내역서(을)_(2)8"/>
      <sheetName val="1단계_(2)8"/>
      <sheetName val="2_1__노무비_평균단가산출8"/>
      <sheetName val="3_공사비(07년노임단가)8"/>
      <sheetName val="3_공사비(단가조사표)8"/>
      <sheetName val="3_공사비(물량산출표)8"/>
      <sheetName val="3_공사비(일위대가표목록)8"/>
      <sheetName val="3_공사비(일위대가표)8"/>
      <sheetName val="TRE_TABLE8"/>
      <sheetName val="Requirement(Work_Crew)8"/>
      <sheetName val="진입도로B_(2)8"/>
      <sheetName val="2_냉난방설비공사8"/>
      <sheetName val="7_자동제어공사8"/>
      <sheetName val="중강당_내역8"/>
      <sheetName val="기초자료입력및_K치_확인8"/>
      <sheetName val="실행내역_8"/>
      <sheetName val="자재_단가_비교표(견적)8"/>
      <sheetName val="자재_단가_비교표8"/>
      <sheetName val="Bid_Summary8"/>
      <sheetName val="이동시_예상비용8"/>
      <sheetName val="Seg_1DE비용8"/>
      <sheetName val="Transit_비용_감가상각미포함8"/>
      <sheetName val="전화공사_공량_및_집계표8"/>
      <sheetName val="참조_(2)8"/>
      <sheetName val="6__직접경비8"/>
      <sheetName val="대가_(보완)8"/>
      <sheetName val="3_자재비(총괄)8"/>
      <sheetName val="제조_경영8"/>
      <sheetName val="4_전기8"/>
      <sheetName val="노_무_비8"/>
      <sheetName val="미납품_현황8"/>
      <sheetName val="신설개소별_총집계표(동해-배전)8"/>
      <sheetName val="BOX_본체8"/>
      <sheetName val="MP_MOB8"/>
      <sheetName val="_ｹ-ﾌﾞﾙ5"/>
      <sheetName val="①idea_pipeline8"/>
      <sheetName val="IMP_통일양식8"/>
      <sheetName val="LYS_통일양식8"/>
      <sheetName val="Xunit_(단위환산)8"/>
      <sheetName val="유통기한_프로그램8"/>
      <sheetName val="1-1_현장정리8"/>
      <sheetName val="1-2_토공8"/>
      <sheetName val="1-3_WMM,GSB8"/>
      <sheetName val="1-4_BITUMINOUS_COURSE8"/>
      <sheetName val="1-5_BOX_CULVERTS8"/>
      <sheetName val="1-6_BRIDGE8"/>
      <sheetName val="1-7_DRAINAGE8"/>
      <sheetName val="1-8_TRAFFIC8"/>
      <sheetName val="1-9_MISCELLANEOUS8"/>
      <sheetName val="1-10_ELECTRICAL8"/>
      <sheetName val="1-12_도급외항목8"/>
      <sheetName val="명일작업계획_(3)8"/>
      <sheetName val="용선_C_L8"/>
      <sheetName val="전_체8"/>
      <sheetName val="흙막이B_(오산운암)8"/>
      <sheetName val="타이로드_흙막이8"/>
      <sheetName val="타이로드_흙막이(근입장2_5M)8"/>
      <sheetName val="타이로드(근입장2_5M)8"/>
      <sheetName val="pile_항타8"/>
      <sheetName val="pile_항타(디젤)8"/>
      <sheetName val="pile_항타_A8"/>
      <sheetName val="pile_항타_B8"/>
      <sheetName val="pile_항타_C8"/>
      <sheetName val="pile_인발8"/>
      <sheetName val="pile_인발_A8"/>
      <sheetName val="pile_인발_B8"/>
      <sheetName val="pile_인발_C8"/>
      <sheetName val="20TON_TRAILER8"/>
      <sheetName val="토류판_(2)8"/>
      <sheetName val="SHEET_PILE단가8"/>
      <sheetName val="6_이토처리시간8"/>
      <sheetName val="울진항공등화_내역서8"/>
      <sheetName val="일_위_대_가_표8"/>
      <sheetName val="영흥TL(UP,DOWN)_8"/>
      <sheetName val="3련_BOX8"/>
      <sheetName val="내역서_7"/>
      <sheetName val="2_1외주8"/>
      <sheetName val="2_3노무8"/>
      <sheetName val="2_4자재8"/>
      <sheetName val="2_2장비8"/>
      <sheetName val="2_5경비8"/>
      <sheetName val="2_6수목대8"/>
      <sheetName val="모선자재_집계표7"/>
      <sheetName val="재료의_할증7"/>
      <sheetName val="D1_2_COF모듈자재_입출재고_(B급)7"/>
      <sheetName val="기존단가_(2)6"/>
      <sheetName val="BEND_LOSS5"/>
      <sheetName val="1차_내역서8"/>
      <sheetName val="토공_total5"/>
      <sheetName val="TRAY_헹거산출5"/>
      <sheetName val="함열량_db7"/>
      <sheetName val="고객사_관리_코드8"/>
      <sheetName val="중기쥰종사_단위단가8"/>
      <sheetName val="PTVT_(MAU)8"/>
      <sheetName val="99_조정금액5"/>
      <sheetName val="표__지7"/>
      <sheetName val="Div26_-_Elect7"/>
      <sheetName val="Khoi_luong7"/>
      <sheetName val="Bảng_mã_VT7"/>
      <sheetName val="DonGia_chetao7"/>
      <sheetName val="DonGia_VatTuLK7"/>
      <sheetName val="Fr_Revit7"/>
      <sheetName val="NSA_Summary7"/>
      <sheetName val="chi_tiet6"/>
      <sheetName val="PPC_Summary6"/>
      <sheetName val="Tong_hop5"/>
      <sheetName val="Phan_lap_dat5"/>
      <sheetName val="Lắp_Ráp5"/>
      <sheetName val="cong_thuc_tinh_chi_tiet7"/>
      <sheetName val="Gia_VLNCMTC5"/>
      <sheetName val="_IL-3_XLSY갑지9"/>
      <sheetName val="KET_CAU-_MJV25"/>
      <sheetName val="Ví_dụ5"/>
      <sheetName val="Phieu_trinh_ky_cấu_tháp5"/>
      <sheetName val="Phieu_trinh_ky_VTP5"/>
      <sheetName val="KS-VL_rời5"/>
      <sheetName val="Tai_san5"/>
      <sheetName val="Check_dong_tien5"/>
      <sheetName val="Chi_phí_SDTS5"/>
      <sheetName val="Check_COST5"/>
      <sheetName val="DATA_HD5"/>
      <sheetName val="Tong_hop_1TM5"/>
      <sheetName val="NS_Lán_trại5"/>
      <sheetName val="Check_cong_no_NC5"/>
      <sheetName val="01__DATA5"/>
      <sheetName val="샌딩_에폭시_도장6"/>
      <sheetName val="Summary_VO_No_35"/>
      <sheetName val="VO_No_3_15"/>
      <sheetName val="VO_No_3_25"/>
      <sheetName val="VO_No_3_35"/>
      <sheetName val="VO_No_3_45"/>
      <sheetName val="VO_No_3_55"/>
      <sheetName val="VO_No_3_65"/>
      <sheetName val="VO_No_3_75"/>
      <sheetName val="VO_No_3_85"/>
      <sheetName val="SCOPE_OF_WORK5"/>
      <sheetName val="대3류_5"/>
      <sheetName val="외주대비_ᨀ晙ԯ6"/>
      <sheetName val="3_단가산출서5"/>
      <sheetName val="4_단가산출기초5"/>
      <sheetName val="H__MECHANICAL5"/>
      <sheetName val="J__FIRE_FIGHTING5"/>
      <sheetName val="Sàn_T15"/>
      <sheetName val="Lỗ_thông_gió5"/>
      <sheetName val="Thống_kê5"/>
      <sheetName val="Tai_khoan5"/>
      <sheetName val="Bang_gia_2011_10_124"/>
      <sheetName val="중기사용료_(2)5"/>
      <sheetName val="投标材料清单_4"/>
      <sheetName val="ጊ후다내역_XLS]0_0ControlSheet34"/>
      <sheetName val="Dầm_14"/>
      <sheetName val="Unit_Rate(non_print)4"/>
      <sheetName val="Cọc_nhồi4"/>
      <sheetName val="5_6_NTKL_ĐHKK_4"/>
      <sheetName val="5_12_NTKL_PCCC4"/>
      <sheetName val="5_NKTC4"/>
      <sheetName val="4_BBNT-LĐ4"/>
      <sheetName val="외주대비_-석축???_x4"/>
      <sheetName val="D_&amp;_W_sizes4"/>
      <sheetName val="Goc_CC4"/>
      <sheetName val="Sàn_tầng_01_(_old_)4"/>
      <sheetName val="Gia_thanh_chuoi_su4"/>
      <sheetName val="Tiep_dia4"/>
      <sheetName val="Don_gia_vung_III-Can_Tho4"/>
      <sheetName val="TH_MEP4"/>
      <sheetName val="_DATA4"/>
      <sheetName val="0_Bìa4"/>
      <sheetName val="1_Mục_lục4"/>
      <sheetName val="2_Phiếu_kiểm_tra4"/>
      <sheetName val="BM-06a_Mẫu_chứng_chỉ_thanh_toá4"/>
      <sheetName val="3_Bảng_TT_giá_trị_thực_hiện4"/>
      <sheetName val="4_Bảng_TT_KL_thực_hiện4"/>
      <sheetName val="6_KL_DD_chi_tiết4"/>
      <sheetName val="5_công_nhật4"/>
      <sheetName val="ROW_3a-chi_tiết4"/>
      <sheetName val="ROW_5-_chi_tiết4"/>
      <sheetName val="ROW_6-_chi_tiết4"/>
      <sheetName val="KL_khoán_đổ_bê_tông_T74"/>
      <sheetName val="6__Bảng_TT_giá_trị_giảm_trừ_HĐ4"/>
      <sheetName val="6__Hồ_sơ_đính_kèm4"/>
      <sheetName val="운동장_(2)4"/>
      <sheetName val="주공_갑지4"/>
      <sheetName val="외주대비_-석É4"/>
      <sheetName val="5_2_6~7공사요율4"/>
      <sheetName val="04_12월건강보험(일용직)4"/>
      <sheetName val="1_내역(청_하역장전등)4"/>
      <sheetName val="2_원가집계4"/>
      <sheetName val="05_유류비자금청구(완)4"/>
      <sheetName val="19_07월_세_계4"/>
      <sheetName val="19_07항목별(시트복사금지100번쓰기)4"/>
      <sheetName val="19_05월4"/>
      <sheetName val="grid_(1)4"/>
      <sheetName val="경율산정_XLS4"/>
      <sheetName val="PAD_TR보호대기초4"/>
      <sheetName val="IMF_Code4"/>
      <sheetName val="Elec_LG3"/>
      <sheetName val="ESTI_3"/>
      <sheetName val="1_Requisition(E)3"/>
      <sheetName val="dtct_cong3"/>
      <sheetName val="NHÀ_NHẬP_LIỆU3"/>
      <sheetName val="MÓNG_SILO3"/>
      <sheetName val="3_13"/>
      <sheetName val="3_103"/>
      <sheetName val="3_23"/>
      <sheetName val="3_33"/>
      <sheetName val="3_43"/>
      <sheetName val="3_53"/>
      <sheetName val="3_63"/>
      <sheetName val="3_73"/>
      <sheetName val="3_83"/>
      <sheetName val="3_93"/>
      <sheetName val="Doi_so3"/>
      <sheetName val="TL_rieng3"/>
      <sheetName val="Rect__103"/>
      <sheetName val="갑지_1회2"/>
      <sheetName val="18_072"/>
      <sheetName val="갑지_2회2"/>
      <sheetName val="18_082"/>
      <sheetName val="갑지_3회2"/>
      <sheetName val="18_092"/>
      <sheetName val="갑지_4회2"/>
      <sheetName val="18_102"/>
      <sheetName val="갑지_5회2"/>
      <sheetName val="18_112"/>
      <sheetName val="갑지_6회2"/>
      <sheetName val="18_122"/>
      <sheetName val="갑지_7회2"/>
      <sheetName val="19_012"/>
      <sheetName val="갑지_8회2"/>
      <sheetName val="19_022"/>
      <sheetName val="갑지_9회2"/>
      <sheetName val="표지_9회2"/>
      <sheetName val="19_032"/>
      <sheetName val="갑지_10회2"/>
      <sheetName val="표지_10회2"/>
      <sheetName val="19_042"/>
      <sheetName val="갑지_11회2"/>
      <sheetName val="표지_11회2"/>
      <sheetName val="19_052"/>
      <sheetName val="갑지_12회2"/>
      <sheetName val="표지_12회2"/>
      <sheetName val="19_062"/>
      <sheetName val="갑지_13회2"/>
      <sheetName val="표지_13회2"/>
      <sheetName val="19_072"/>
      <sheetName val="갑지_14회2"/>
      <sheetName val="표지_14회2"/>
      <sheetName val="19_082"/>
      <sheetName val="물가변동_총괄서5"/>
      <sheetName val="7_1유효폭5"/>
      <sheetName val="허용전류-IEC_DATA5"/>
      <sheetName val="본선_토공_분배표5"/>
      <sheetName val="을_24"/>
      <sheetName val="을_14"/>
      <sheetName val="토공_갑지4"/>
      <sheetName val="각사별공사비분개_4"/>
      <sheetName val="해외_연수비용_계산-삭제4"/>
      <sheetName val="해외_기술훈련비_(합계)4"/>
      <sheetName val="Pier_34"/>
      <sheetName val="BOX(1_5X1_5)3"/>
      <sheetName val="TYPE_A3"/>
      <sheetName val="장비투입_(2)3"/>
      <sheetName val="C_&amp;_G_RHS3"/>
      <sheetName val="5_3_단면가정3"/>
      <sheetName val="ITB_COST3"/>
      <sheetName val="CATCH_BASIN3"/>
      <sheetName val="Man_Hole3"/>
      <sheetName val="WEIGHT_LIST2"/>
      <sheetName val="산#2-1_(2)2"/>
      <sheetName val="설산1_나2"/>
      <sheetName val="1_토공2"/>
      <sheetName val="Process_Piping3"/>
      <sheetName val="plan&amp;section_of_foundation2"/>
      <sheetName val="design_criteria2"/>
      <sheetName val="자재_집계표2"/>
      <sheetName val="Raw_Data2"/>
      <sheetName val="PHC파일_천공_및_항타2"/>
      <sheetName val="보도내_4"/>
      <sheetName val="Measure_13063"/>
      <sheetName val="DM_ChiPhi3"/>
      <sheetName val="Basic_Wage3"/>
      <sheetName val="Menber_List3"/>
      <sheetName val="외주대비_-석축_x005f_x0000__x005f_x0000__x005f_x0000__3"/>
      <sheetName val="PL_Vua3"/>
      <sheetName val="일위대가_1"/>
      <sheetName val="TỔNG_HỢP3"/>
      <sheetName val="C_MECHANICAL3"/>
      <sheetName val="Du_thau3"/>
      <sheetName val="1_관로3"/>
      <sheetName val="ጊ후다내역_XLS_0_0ControlSheet34"/>
      <sheetName val="외주대비_-석축____x4"/>
      <sheetName val="ጳ??Ⴔጳ??Lጴ??_ጵ??_ጶ??ఀጷ??_ጸ?4"/>
      <sheetName val="ጊ??Ⴔጱ??Lጲ??_ድ??nጳ??lጳ??eጴ3"/>
      <sheetName val="ጵ??Ⴔጶ??Lጷ??_ጸ??yጿ??uጿ??iጊ?3"/>
      <sheetName val="ጿ??Ⴔጿ??Lጊ??ېጱ??_ጲ??೵ድ??Ⴔጳ?3"/>
      <sheetName val="ጊ??Ⴔጊ??Lጱ??᳴ጲ??_ድ??ᰕጳ??װጳ3"/>
      <sheetName val="ጶ??Ⴔጷ??Lጸ??_ጿ??_ጿ??_ጊ??4"/>
      <sheetName val="ጿ??Ⴔጊ??Lጱ??Șጲ??ᩘድ??_ጳ??_ጳ?3"/>
      <sheetName val="ድ??Ⴔጳ??Lጳ??_ጴ??ഀጳ??nጳ??_3"/>
      <sheetName val="ጴ??Ⴔጵ??Lጶ??_ጷ??ഀጸ??nጿ??_3"/>
      <sheetName val="ጳ??Ⴔጴ??Lጵ??_ጶ??ᔼጷ??1ጸ??2ጿ?3"/>
      <sheetName val="ጸ??Ⴔጿ??Lጿ??_ጊ??_ጱ??ݴጲ??3"/>
      <sheetName val="ጴ??Ⴔጳ??Lጳ??iጴ??_ጵ??eጶ??e3"/>
      <sheetName val="ጵ??Ⴔጶ??Lጷ??ᝥጸ??Uጿ??Oጿ??_3"/>
      <sheetName val="ጳ??Ⴔጴ??Lጵ??֑ጶ??_ጷ??-ጸ??׭3"/>
      <sheetName val="ጲ??Ⴔድ??Lጳ??_ጳ??᪅ጴ??Șጳ??᧝ጳ3"/>
      <sheetName val="ጸ??Ⴔጿ??Lጿ??_ጊ??᪅ጊ??ႜጱ??3"/>
      <sheetName val="ጴ??Ⴔጵ??Lጶ??_ጷ??ᅸጸ??Ꮙጿ??°ጿ3"/>
      <sheetName val="ጶ??Ⴔጷ??Lጸ??_ጿ??(ጿ??ᅸጊ??)3"/>
      <sheetName val="ጳ??Ⴔጴ??Lጴ??_ፊ??(ጵ??ఀፋ??)3"/>
      <sheetName val="ጱ??Ⴔጲ??Lድ??ެጳ??_ጳ??(ጴ??3"/>
      <sheetName val="ጿ??Ⴔጿ??Lጊ??ᙔጱ??೵ጲ??_ድ??3"/>
      <sheetName val="ጱ??Ⴔጲ??Lድ??ಜጳ??(ጳ??_ጴ??3"/>
      <sheetName val="ጸ??Ⴔጿ??Lጿ??ݴጊ??෼ጱ??_ጲ??3"/>
      <sheetName val="ድ??Ⴔጳ??Lጳ??0ጴ??_ጳ??Iጳ??3"/>
      <sheetName val="ጸ??Ⴔጿ??Lጿ??iጊ??_ጱ??uጲ??r3"/>
      <sheetName val="3__CNT3"/>
      <sheetName val="unit_price_list(M)3"/>
      <sheetName val="Breakdown_(B)3"/>
      <sheetName val="thông_tin3"/>
      <sheetName val="PRECAST_lightconc-II3"/>
      <sheetName val="RAB_AR&amp;STR3"/>
      <sheetName val="Nhan_cong3"/>
      <sheetName val="Thiet_bi3"/>
      <sheetName val="Vat_tu3"/>
      <sheetName val="May_TC3"/>
      <sheetName val="Bang_KL3"/>
      <sheetName val="TH_Kinh_phi3"/>
      <sheetName val="cataloge_moi3"/>
      <sheetName val="_후다_x005f_x0001___x005f_x0010__x005f_x0000__x0004"/>
      <sheetName val="[후다내역_XLS]__H1775_c_ESTI96____1"/>
      <sheetName val="옥외_전력간선공사1"/>
      <sheetName val="ጳ__Ⴔጳ__Lጴ___ጵ___ጶ__ఀጷ___ጸ_2"/>
      <sheetName val="ጊ__Ⴔጱ__Lጲ___ድ__nጳ__lጳ__eጴ1"/>
      <sheetName val="ጵ__Ⴔጶ__Lጷ___ጸ__yጿ__uጿ__iጊ_1"/>
      <sheetName val="ጿ__Ⴔጿ__Lጊ__ېጱ___ጲ__೵ድ__Ⴔጳ_1"/>
      <sheetName val="ጊ__Ⴔጊ__Lጱ__᳴ጲ___ድ__ᰕጳ__װጳ1"/>
      <sheetName val="ጶ__Ⴔጷ__Lጸ___ጿ___ጿ___ጊ__2"/>
      <sheetName val="ጿ__Ⴔጊ__Lጱ__Șጲ__ᩘድ___ጳ___ጳ_1"/>
      <sheetName val="ድ__Ⴔጳ__Lጳ___ጴ__ഀጳ__nጳ___1"/>
      <sheetName val="ጴ__Ⴔጵ__Lጶ___ጷ__ഀጸ__nጿ___1"/>
      <sheetName val="ጳ__Ⴔጴ__Lጵ___ጶ__ᔼጷ__1ጸ__2ጿ_1"/>
      <sheetName val="ጸ__Ⴔጿ__Lጿ___ጊ___ጱ__ݴጲ__1"/>
      <sheetName val="ጴ__Ⴔጳ__Lጳ__iጴ___ጵ__eጶ__e1"/>
      <sheetName val="ጵ__Ⴔጶ__Lጷ__ᝥጸ__Uጿ__Oጿ___1"/>
      <sheetName val="ጳ__Ⴔጴ__Lጵ__֑ጶ___ጷ__-ጸ__׭1"/>
      <sheetName val="ጲ__Ⴔድ__Lጳ___ጳ__᪅ጴ__Șጳ__᧝ጳ1"/>
      <sheetName val="ጸ__Ⴔጿ__Lጿ___ጊ__᪅ጊ__ႜጱ__1"/>
      <sheetName val="ጴ__Ⴔጵ__Lጶ___ጷ__ᅸጸ__Ꮙጿ__°ጿ1"/>
      <sheetName val="ጶ__Ⴔጷ__Lጸ___ጿ__(ጿ__ᅸጊ__)1"/>
      <sheetName val="ጳ__Ⴔጴ__Lጴ___ፊ__(ጵ__ఀፋ__)1"/>
      <sheetName val="ጱ__Ⴔጲ__Lድ__ެጳ___ጳ__(ጴ__1"/>
      <sheetName val="ጿ__Ⴔጿ__Lጊ__ᙔጱ__೵ጲ___ድ__1"/>
      <sheetName val="ጱ__Ⴔጲ__Lድ__ಜጳ__(ጳ___ጴ__1"/>
      <sheetName val="ጸ__Ⴔጿ__Lጿ__ݴጊ__෼ጱ___ጲ__1"/>
      <sheetName val="ድ__Ⴔጳ__Lጳ__0ጴ___ጳ__Iጳ__1"/>
      <sheetName val="ጸ__Ⴔጿ__Lጿ__iጊ___ጱ__uጲ__r1"/>
      <sheetName val="MAIN_GATE_HOUSE1"/>
      <sheetName val="T_KE_CP11"/>
      <sheetName val="1_사유서1"/>
      <sheetName val="손익분기점_데이터1"/>
      <sheetName val="매각대상자산_청산가치1"/>
      <sheetName val="2000년_임금추정1"/>
      <sheetName val="2_교1"/>
      <sheetName val="[후다내역_XLS]__H1775_c_ESTI96____5"/>
      <sheetName val="[후다내역_XLS]__H1775_c_ESTI96____6"/>
      <sheetName val="일__위__대__가_1"/>
      <sheetName val="_견적Ⴗ1"/>
      <sheetName val="VS_P-Q1"/>
      <sheetName val="Earthwork"/>
      <sheetName val="Chiet tinh dz35"/>
      <sheetName val="插座"/>
      <sheetName val="변전실재분리"/>
      <sheetName val="EQT-ESTN"/>
      <sheetName val="Tiêu chuẩn cốt thép"/>
      <sheetName val="DG "/>
      <sheetName val="guard(_x0000__x0000_Ԁ_x0000_"/>
      <sheetName val="CTEMCÇ"/>
      <sheetName val="NHA XUONG"/>
      <sheetName val="Thoat nuoc"/>
      <sheetName val="CPK"/>
      <sheetName val="Cost factor"/>
      <sheetName val="Item list"/>
      <sheetName val="Sheet Template Empty"/>
      <sheetName val="POURING"/>
      <sheetName val="비주거용"/>
      <sheetName val="PHU LUC2"/>
      <sheetName val="G"/>
      <sheetName val="1.R18 BF"/>
      <sheetName val="F-B"/>
      <sheetName val="Bill 1.1 VP CĐT &amp; TVGS-KHONG IN"/>
      <sheetName val="THKP957"/>
      <sheetName val="Tính giá NC"/>
      <sheetName val="Đầu vào"/>
      <sheetName val="Tiên lượng"/>
      <sheetName val="SL cước"/>
      <sheetName val="D+W"/>
      <sheetName val="Bill 7-Elec"/>
      <sheetName val="FD"/>
      <sheetName val="GI"/>
      <sheetName val="EE (3)"/>
      <sheetName val="PAVEMENT"/>
      <sheetName val="TRAFFIC"/>
      <sheetName val="HRG BHN"/>
      <sheetName val="Book 1 Summary"/>
      <sheetName val="THKL"/>
      <sheetName val="CAUDIT"/>
      <sheetName val="List"/>
      <sheetName val="_후다_x0001___x0010_"/>
      <sheetName val="Form"/>
      <sheetName val="일  위  대  가 _x0000__x0000__x0005__x0000_"/>
      <sheetName val="도급예_x0000__x0000_Ԁ_x0000_䀀"/>
      <sheetName val="도급예_x0000__x0000_Ԁ_x0000_"/>
      <sheetName val="재료집계(분수관)"/>
      <sheetName val="말고개터널조명전압退틭"/>
      <sheetName val="VXXX"/>
      <sheetName val="산근1(인건비)"/>
      <sheetName val="견적(©_x0000__x0000_"/>
      <sheetName val="기둥(㷔஼态"/>
      <sheetName val="재료집계"/>
      <sheetName val="물량산출(철콘)"/>
      <sheetName val="아파트겐⒄귐"/>
      <sheetName val="아파트໨Ά톪"/>
      <sheetName val="B2"/>
      <sheetName val="원가&amp;하도급원가"/>
      <sheetName val="항목(데이타삭제금지)"/>
      <sheetName val="Links"/>
      <sheetName val="Lead"/>
      <sheetName val="한일시멘트(20100722정리)(원본)"/>
      <sheetName val="한일시멘트"/>
      <sheetName val="1-2.Sum_elemental"/>
      <sheetName val="단가산출서(기계)"/>
      <sheetName val="요약&amp;결과"/>
      <sheetName val="PAC"/>
      <sheetName val="전기BOX내역서"/>
      <sheetName val="삼성전기"/>
      <sheetName val="改加胶玻璃、室外栏杆"/>
      <sheetName val="1#量统计"/>
      <sheetName val="外気負荷"/>
      <sheetName val="he so"/>
      <sheetName val="철거수량(전송)"/>
      <sheetName val="토목공사일반"/>
      <sheetName val="도급표지樠⎷櫈⎷"/>
      <sheetName val="남양시작동010313_x0000__x0000__x0005__x0000_"/>
      <sheetName val="설계변_x0000__x0000__x0005__x0000_"/>
      <sheetName val="주민번호"/>
      <sheetName val="OD"/>
      <sheetName val="Sum"/>
      <sheetName val="ERECTION"/>
      <sheetName val="BOQ-Bill1-8"/>
      <sheetName val="1È"/>
      <sheetName val="1차3회-개소별명세서-빨"/>
      <sheetName val="시멘Ç"/>
      <sheetName val="0_0Control_x000c_"/>
      <sheetName val="공통가"/>
      <sheetName val="공통가_x0000_欥_x0000_"/>
      <sheetName val="공통가_x0000_ׂ_x0000_"/>
      <sheetName val="공통가_x0000_⟕_x0000_"/>
      <sheetName val="공통가_x0000_﷽_x0000_"/>
      <sheetName val="공통가_x0000_㌂_x0000_"/>
      <sheetName val="공통가_x0000_䠉_x0000_"/>
      <sheetName val="갑ૐȗ"/>
      <sheetName val="갑柖ç"/>
      <sheetName val="갑弌᪌"/>
      <sheetName val="갑弌Ị"/>
      <sheetName val="갑彬ᴈ"/>
      <sheetName val="수량산출1"/>
      <sheetName val="개별직종노임단가(2005.1)"/>
      <sheetName val="내역»_x0000__x0000_"/>
      <sheetName val="INPၒ_x0000_"/>
      <sheetName val="노무비메뉴"/>
      <sheetName val="근로자 기초입력"/>
      <sheetName val="CIP 공헾"/>
      <sheetName val="지하1층"/>
      <sheetName val="[후다내역.XLS]__H1775_c_ESTI96____6"/>
      <sheetName val="[후다내역.XLS]__H1775_c_ESTI96____5"/>
      <sheetName val="[후다내역.XLS]1공구산옘蔘:"/>
      <sheetName val="토적계산"/>
      <sheetName val="공통_x0002__x0000_鲠"/>
      <sheetName val="공통_x0003__x0000_廠"/>
      <sheetName val="LG제품"/>
      <sheetName val="4.경비 5.영업외수_x0000_"/>
      <sheetName val="12월11일(소장수당)"/>
      <sheetName val="12월11일(본사교통비)"/>
      <sheetName val="CIP 공_x0000_"/>
      <sheetName val="TG9504"/>
      <sheetName val="발안전력구"/>
      <sheetName val="4차원가계산서"/>
      <sheetName val="저촉건축물"/>
      <sheetName val="신설(나)(09.3.22)"/>
      <sheetName val="C-노"/>
      <sheetName val="이름정의"/>
      <sheetName val="표지제목"/>
      <sheetName val="3_2_집기비품교체주기"/>
      <sheetName val="시설장비"/>
      <sheetName val="그레이더"/>
      <sheetName val="보도내 ??䪾"/>
      <sheetName val="사업수지"/>
      <sheetName val="도로구조공사비"/>
      <sheetName val="도로토공공사비"/>
      <sheetName val="여수토공사비"/>
      <sheetName val="유니트입출고내역"/>
      <sheetName val="입력데이타(비"/>
      <sheetName val="4_수량산출서3"/>
      <sheetName val="안양동교_1안3"/>
      <sheetName val="보도내역_("/>
      <sheetName val="C_배수관공"/>
      <sheetName val="I_설계조건"/>
      <sheetName val="3_바닥판설계"/>
      <sheetName val="6_RJP이토처리시간"/>
      <sheetName val="7_RJP지층별제원"/>
      <sheetName val="드럼사이즈_내역"/>
      <sheetName val="_갑"/>
      <sheetName val="도급표지__(3"/>
      <sheetName val="Shጾ"/>
      <sheetName val="도급표지__(怀꿟"/>
      <sheetName val="1공구_건䘢䠂檱䠛檳"/>
      <sheetName val="4_L速뇥ᝠ"/>
      <sheetName val="소야공정계罈_"/>
      <sheetName val="외주대비_-석축_x2"/>
      <sheetName val="외주대비_-석축_x3"/>
      <sheetName val="외주대비_-석축_x4"/>
      <sheetName val="외주대비_-석축_x5"/>
      <sheetName val="외주대비_-석축_x6"/>
      <sheetName val="_____4"/>
      <sheetName val="시공여유"/>
      <sheetName val="교각토공_(배̆팘"/>
      <sheetName val="용수량(생활용수)"/>
      <sheetName val="대구은행"/>
      <sheetName val="실행_x0002_"/>
      <sheetName val="205동"/>
      <sheetName val="기계경비산출기준"/>
      <sheetName val="관람석제출"/>
      <sheetName val="집 "/>
      <sheetName val="__H4018_c_ESTI96____2"/>
      <sheetName val="__H4018_c_ESTI96____4"/>
      <sheetName val="__H4018_c_ESTI96____3"/>
      <sheetName val="__H4018_c_ESTI96___18"/>
      <sheetName val="__H4018_c_ESTI96____5"/>
      <sheetName val="__H4018_c_ESTI96____6"/>
      <sheetName val="__H4018_c_ESTI96____7"/>
      <sheetName val="__H4018_c_ESTI96____8"/>
      <sheetName val="__H4018_c_ESTI96____9"/>
      <sheetName val="__H4018_c_ESTI96___10"/>
      <sheetName val="__H4018_c_ESTI96___11"/>
      <sheetName val="__H4018_c_ESTI96___12"/>
      <sheetName val="__H4018_c_ESTI96___13"/>
      <sheetName val="__H4018_c_ESTI96___14"/>
      <sheetName val="__H4018_c_ESTI96___15"/>
      <sheetName val="__H4018_c_ESTI96___17"/>
      <sheetName val="__H4018_c_ESTI96___16"/>
      <sheetName val="규격별"/>
      <sheetName val="청구갑지"/>
      <sheetName val="M3A"/>
      <sheetName val="W3A"/>
      <sheetName val="M3B"/>
      <sheetName val="T4A"/>
      <sheetName val="T4B"/>
      <sheetName val="M3C"/>
      <sheetName val="T4C2"/>
      <sheetName val="T4D"/>
      <sheetName val="T4E"/>
      <sheetName val="MICE동"/>
      <sheetName val="지하층"/>
      <sheetName val="지하층(카페)"/>
      <sheetName val="그림모음"/>
      <sheetName val="관리,공감"/>
      <sheetName val="확산동"/>
      <sheetName val="본경"/>
      <sheetName val="1차상"/>
      <sheetName val="소방내역서"/>
      <sheetName val="골조타설일정표"/>
      <sheetName val="공업용수"/>
      <sheetName val="2004일위대가"/>
      <sheetName val="Price Sheet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50"/>
      <sheetName val="Allowances"/>
      <sheetName val="1공구 건정토건 철¬"/>
      <sheetName val="품郀傲"/>
      <sheetName val="원가계산서구조조정"/>
      <sheetName val="앉음벽 (2)"/>
      <sheetName val="OFFER "/>
      <sheetName val="Cong 6T"/>
      <sheetName val="sh1"/>
      <sheetName val="Sh´"/>
      <sheetName val="보도내 _x005f_x0000__x005f_x0000_䪾"/>
      <sheetName val="도급표지É_x005f_x0000__x005f_x0000__x005f_x0001_Ԁ"/>
      <sheetName val="내역(최종본浳き_x005f_x0000__x005f_x0000_"/>
      <sheetName val="내역(최종본浳⿢_x005f_x0000__x005f_x0000_"/>
      <sheetName val="내역(최종본浳ぁ_x005f_x0000__x005f_x0000_"/>
      <sheetName val="SP-¬_x005f_x0000_"/>
      <sheetName val="단가多〒_x005f_x0005_"/>
      <sheetName val="흥양2교토_x005f_x0000_h曘ʹ"/>
      <sheetName val="__2___x005f_x0000__x005f_x0000__x005f_x0005__x0_2"/>
      <sheetName val="GRD_x005f_x0000__x005f_x0000_"/>
      <sheetName val="Sikje_in_x005f_x0005_"/>
      <sheetName val="입찰품_x005f_x0005__x005f_x0000_"/>
      <sheetName val="____x005f_x0001___x005f_x0010__x005f_x0000__x00_2"/>
      <sheetName val="[후다_x005f_x0001_ _x005f_x0010_"/>
      <sheetName val="_________x005f_x005f_x005f_x0000__x005f_x005f_x_2"/>
      <sheetName val="eq_da_x005f_x0000__x005f_x0000_"/>
      <sheetName val=" 갑_x005f_x001f_"/>
      <sheetName val="단가_x005f_x0000__x005f_x0000__x005f_x0005_"/>
      <sheetName val="자동제_x005f_x0000_"/>
      <sheetName val="품À_x005f_x0000_"/>
      <sheetName val="SP-ኬ_x005f_x0002_"/>
      <sheetName val="______________x005f_x0012_______XLS_2"/>
      <sheetName val="견적_x005f_x0005_"/>
      <sheetName val="흥양2교토_x005f_x0000__x005f_x0000_Ā_x005f_x0000_"/>
      <sheetName val="__x005f_x0000__x005f_x0000____x005f_x0000__x000_2"/>
      <sheetName val="__x005f_x0000__x005f_x0000____x005f_x0000__x000_3"/>
      <sheetName val="__x005f_x0000__x005f_x0000____x005f_x0000__x000_4"/>
      <sheetName val="__x005f_x0000__x005f_x0000____x005f_x0000__x000_5"/>
      <sheetName val="__x005f_x0000__x005f_x0000____x005f_x0000__x000_6"/>
      <sheetName val="__x005f_x0000__x005f_x0000____x005f_x0000__x000_7"/>
      <sheetName val="__x005f_x0000__x005f_x0000____x005f_x0000__x000_8"/>
      <sheetName val="__x005f_x0000__x005f_x0000____x005f_x0000__x000_9"/>
      <sheetName val="__x005f_x0000__x005f_x0000____x005f_x0000__x00_10"/>
      <sheetName val="__x005f_x0000__x005f_x0000____x005f_x0000__x00_11"/>
      <sheetName val="__x005f_x0000__x005f_x0000____x005f_x0000__x00_12"/>
      <sheetName val="__x005f_x0000__x005f_x0000____x005f_x0000__x00_13"/>
      <sheetName val="__x005f_x0000__x005f_x0000____x005f_x0000__x00_14"/>
      <sheetName val="__x005f_x0000__x005f_x0000____x005f_x0000__x00_15"/>
      <sheetName val="__x005f_x0000__x005f_x0000____x005f_x0000__x00_16"/>
      <sheetName val="__x005f_x0000__x005f_x0000____x005f_x0000__x00_17"/>
      <sheetName val="__x005f_x0000__x005f_x0000____x005f_x0000__x00_18"/>
      <sheetName val="__x005f_x0000__x005f_x0000____x005f_x0000__x00_19"/>
      <sheetName val="__x005f_x0000__x005f_x0000____x005f_x0000__x00_20"/>
      <sheetName val="__x005f_x0000__x005f_x0000____x005f_x0000__x00_21"/>
      <sheetName val="__x005f_x0000__x005f_x0000____x005f_x0000__x00_22"/>
      <sheetName val="__x005f_x0000__x005f_x0000____x005f_x0000__x00_23"/>
      <sheetName val="__x005f_x0000__x005f_x0000____x005f_x0000__x00_24"/>
      <sheetName val="__x005f_x0000__x005f_x0000____x005f_x0000__x00_25"/>
      <sheetName val="__x005f_x0000__x005f_x0000____x005f_x0000__x00_26"/>
      <sheetName val="__x005f_x0000__x005f_x0000____x005f_x0000__x00_27"/>
      <sheetName val="__x005f_x0000__x005f_x0000____x005f_x0000__x00_28"/>
      <sheetName val="__x005f_x0000__x005f_x0000____x005f_x0000__x00_29"/>
      <sheetName val="__x005f_x0000__x005f_x0000____x005f_x0000__x00_30"/>
      <sheetName val="__x005f_x0000__x005f_x0000____x005f_x0000__x00_31"/>
      <sheetName val="__x005f_x0000__x005f_x0000____x005f_x0000__x00_32"/>
      <sheetName val="__x005f_x0000__x005f_x0000____x005f_x0000__x00_33"/>
      <sheetName val="__x005f_x0000__x005f_x0000____x005f_x0000__x00_34"/>
      <sheetName val="__x005f_x0000__x005f_x0000____x005f_x0000__x00_35"/>
      <sheetName val="__x005f_x0000__x005f_x0000____x005f_x0000__x00_36"/>
      <sheetName val="__x005f_x0000__x005f_x0000____x005f_x0000__x00_37"/>
      <sheetName val="__x005f_x0000__x005f_x0000____x005f_x0000__x00_38"/>
      <sheetName val="__x005f_x0000__x005f_x0000____x005f_x0000__x00_39"/>
      <sheetName val="__x005f_x0000__x005f_x0000____x005f_x0000__x00_40"/>
      <sheetName val="__x005f_x0000__x005f_x0000____x005f_x0000__x00_41"/>
      <sheetName val="__x005f_x0000__x005f_x0000____x005f_x0000__x00_42"/>
      <sheetName val="__x005f_x0000__x005f_x0000____x005f_x0000__x00_43"/>
      <sheetName val="__x005f_x0000__x005f_x0000____x005f_x0000__x00_44"/>
      <sheetName val="__x005f_x0000__x005f_x0000____x005f_x0000__x00_45"/>
      <sheetName val="__x005f_x0000__x005f_x0000____x005f_x0000__x00_46"/>
      <sheetName val="__x005f_x0000__x005f_x0000____x005f_x0000__x00_47"/>
      <sheetName val="__x005f_x0000__x005f_x0000____x005f_x0000__x00_48"/>
      <sheetName val="__x005f_x0000__x005f_x0000____x005f_x0000__x00_49"/>
      <sheetName val="__x005f_x0000__x005f_x0000____x005f_x0000__x00_50"/>
      <sheetName val="__x005f_x0000__x005f_x0000____x005f_x0000__x00_51"/>
      <sheetName val="__x005f_x0000__x005f_x0000____x005f_x0000__x00_52"/>
      <sheetName val="__x005f_x0000__x005f_x0000____x005f_x0000__x00_53"/>
      <sheetName val="__x005f_x0000__x005f_x0000____x005f_x0000__x00_54"/>
      <sheetName val="__x005f_x0000__x005f_x0000____x005f_x0000__x00_55"/>
      <sheetName val="__x005f_x0000__x005f_x0000____x005f_x0000__x00_56"/>
      <sheetName val="__x005f_x0000__x005f_x0000____x005f_x0000__x00_57"/>
      <sheetName val="__x005f_x0000__x005f_x0000____x005f_x0000__x00_58"/>
      <sheetName val="__x005f_x0000__x005f_x0000____x005f_x0000__x00_59"/>
      <sheetName val="__x005f_x0000__x005f_x0000____x005f_x0000__x00_60"/>
      <sheetName val="__x005f_x0000__x005f_x0000____x005f_x0000__x00_61"/>
      <sheetName val="__x005f_x0000__x005f_x0000____x005f_x0000__x00_62"/>
      <sheetName val="__x005f_x0000__x005f_x0000____x005f_x0000__x00_63"/>
      <sheetName val="__x005f_x0000__x005f_x0000____x005f_x0000__x00_64"/>
      <sheetName val="__x005f_x0000__x005f_x0000____x005f_x0000__x00_65"/>
      <sheetName val="__x005f_x0000__x005f_x0000____x005f_x0000__x00_66"/>
      <sheetName val="__x005f_x0000__x005f_x0000____x005f_x0000__x00_67"/>
      <sheetName val="__x005f_x0000__x005f_x0000____x005f_x0000__x00_68"/>
      <sheetName val="__x005f_x0000__x005f_x0000____x005f_x0000__x00_69"/>
      <sheetName val="__x005f_x0000__x005f_x0000____x005f_x0000__x00_70"/>
      <sheetName val="__x005f_x0000__x005f_x0000____x005f_x0000__x00_71"/>
      <sheetName val="__x005f_x0000__x005f_x0000____x005f_x0000__x00_72"/>
      <sheetName val="__x005f_x0000__x005f_x0000____x005f_x0000__x00_73"/>
      <sheetName val="__x005f_x0000__x005f_x0000____x005f_x0000__x00_74"/>
      <sheetName val="__x005f_x0000__x005f_x0000____x005f_x0000__x00_75"/>
      <sheetName val="__x005f_x0000__x005f_x0000____x005f_x0000__x00_76"/>
      <sheetName val="__x005f_x0000__x005f_x0000____x005f_x0000__x00_77"/>
      <sheetName val="__x005f_x0000__x005f_x0000____x005f_x0000__x00_78"/>
      <sheetName val="__x005f_x0000__x005f_x0000____x005f_x0000__x00_79"/>
      <sheetName val="__x005f_x0000__x005f_x0000____x005f_x0000__x00_80"/>
      <sheetName val="__x005f_x0000__x005f_x0000____x005f_x0000__x00_81"/>
      <sheetName val="__x005f_x0000__x005f_x0000____x005f_x0000__x00_82"/>
      <sheetName val="__x005f_x0000__x005f_x0000____x005f_x0000__x00_83"/>
      <sheetName val="__x005f_x0000__x005f_x0000____x005f_x0000__x00_84"/>
      <sheetName val="__x005f_x0000__x005f_x0000____x005f_x0000__x00_85"/>
      <sheetName val="__x005f_x0000__x005f_x0000____x005f_x0000__x00_86"/>
      <sheetName val="__x005f_x0000__x005f_x0000____x005f_x0000__x00_87"/>
      <sheetName val="__x005f_x0000__x005f_x0000____x005f_x0000__x00_88"/>
      <sheetName val="__x005f_x0000__x005f_x0000____x005f_x0000__x00_89"/>
      <sheetName val="__x005f_x0000__x005f_x0000____x005f_x0000__x00_90"/>
      <sheetName val="__x005f_x0000__x005f_x0000____x005f_x0000__x00_91"/>
      <sheetName val="__x005f_x0000__x005f_x0000____x005f_x0000__x00_92"/>
      <sheetName val="__x005f_x0000__x005f_x0000____x005f_x0000__x00_93"/>
      <sheetName val="__x005f_x0000__x005f_x0000____x005f_x0000__x00_94"/>
      <sheetName val="__x005f_x0000__x005f_x0000____x005f_x0000__x00_95"/>
      <sheetName val="__x005f_x0000__x005f_x0000____x005f_x0000__x00_96"/>
      <sheetName val="__x005f_x0000__x005f_x0000____x005f_x0000__x00_97"/>
      <sheetName val="__x005f_x0000__x005f_x0000____x005f_x0000__x00_98"/>
      <sheetName val="__x005f_x0000__x005f_x0000____x005f_x0000__x00_99"/>
      <sheetName val="__x005f_x0000__x005f_x0000____x005f_x0000__x0_100"/>
      <sheetName val="__x005f_x0000__x005f_x0000____x005f_x0000__x0_101"/>
      <sheetName val="__x005f_x0000__x005f_x0000____x005f_x0000__x0_102"/>
      <sheetName val="__x005f_x0000__x005f_x0000____x005f_x0000__x0_103"/>
      <sheetName val="__x005f_x0000__x005f_x0000____x005f_x0000__x0_104"/>
      <sheetName val="__x005f_x0000__x005f_x0000____x005f_x0000__x0_105"/>
      <sheetName val="__x005f_x0000__x005f_x0000____x005f_x0000__x0_106"/>
      <sheetName val="_후다_x005f_x0001_ _x005f_x0010_"/>
      <sheetName val="48_x005f_x0005_?"/>
      <sheetName val="Sikje_in_x005f_x0005_?"/>
      <sheetName val="䣐_x005f_x005f_x005f_x0000__x005f_x005f_x005f_x0000_갑쥀)"/>
      <sheetName val="P_x005f_x005f_x005f_x0005_"/>
      <sheetName val="48_x005f_x005f_x005f_x0005__x005f_x005f_x005f_x0000_"/>
      <sheetName val="Sikje_inĴ¾_x005f_x005f_x005f_x0000_"/>
      <sheetName val="eq_dat_x005f_x005f_x005f_x0000_"/>
      <sheetName val="1차설계Ꮗԯ_x005f_x005f_x005f_x0000_"/>
      <sheetName val="1차설계逷≙_x005f_x005f_x005f_xdc00_≙"/>
      <sheetName val="Sikje_in_x005f_x005f_x005f_x0005__x005f_x005f_x_2"/>
      <sheetName val="CԀ_x005f_x005f_x005f_x0000_缀"/>
      <sheetName val="점_x005f_x0000__x005f_x0000_Ā"/>
      <sheetName val="_________x005f_x0000__x005f_x0000__x005f_x0000__3"/>
      <sheetName val="_________x005f_x0000__x005f_x0000__x005f_x0000__4"/>
      <sheetName val="_________x005f_x0000__x005f_x0000__x005f_x0000__5"/>
      <sheetName val="_________x005f_x0000__x005f_x0000__x005f_x0000__6"/>
      <sheetName val="_________x005f_x0000__x005f_x0000__x005f_x0000__7"/>
      <sheetName val="주차구획_x005f_x0000__x005f_x0000_Ԁ"/>
      <sheetName val="도급표지  (3_x005f_x0000_"/>
      <sheetName val="Sh_x005f_x0000__x005f_x0000__x005f_x0000_"/>
      <sheetName val="Sh_x005f_x0010__x005f_x0000_ጾ"/>
      <sheetName val="소야공정_x005f_x0000__x005f_x0000_Ԁ"/>
      <sheetName val="소야공정계_x005f_x0000__x005f_x0000_"/>
      <sheetName val="부_x005f_x0000_쎥_x005f_x0000_"/>
      <sheetName val="GRD_x005f_x0000_"/>
      <sheetName val="일위대가 집_x005f_x0000__x005f_x0000_"/>
      <sheetName val="_________x005f_x0000__x005f_x0000__x005f_x0000__8"/>
      <sheetName val="1공구 건_x005f_xdc00_䘢䠂檱䠛檳"/>
      <sheetName val="재"/>
      <sheetName val="흥양2교토공집"/>
      <sheetName val="경비TABLE"/>
      <sheetName val="발주서"/>
      <sheetName val="단가(마감)"/>
      <sheetName val="일정"/>
      <sheetName val="건내역(중)"/>
      <sheetName val="도급표지É윀_xdc8d__x0002_"/>
      <sheetName val="諸経費"/>
      <sheetName val="清水計算営業税率関連"/>
      <sheetName val="__H4018_c_ESTI96___55"/>
      <sheetName val="__H4018_c_ESTI96___19"/>
      <sheetName val="__H4018_c_ESTI96___20"/>
      <sheetName val="__H4018_c_ESTI96___21"/>
      <sheetName val="__H4018_c_ESTI96___22"/>
      <sheetName val="__H4018_c_ESTI96___23"/>
      <sheetName val="__H4018_c_ESTI96___24"/>
      <sheetName val="__H4018_c_ESTI96___25"/>
      <sheetName val="__H4018_c_ESTI96___26"/>
      <sheetName val="__H4018_c_ESTI96___27"/>
      <sheetName val="__H4018_c_ESTI96___28"/>
      <sheetName val="__H4018_c_ESTI96___29"/>
      <sheetName val="__H4018_c_ESTI96___30"/>
      <sheetName val="__H4018_c_ESTI96___31"/>
      <sheetName val="__H4018_c_ESTI96___32"/>
      <sheetName val="__H4018_c_ESTI96___33"/>
      <sheetName val="__H4018_c_ESTI96___34"/>
      <sheetName val="__H4018_c_ESTI96___35"/>
      <sheetName val="__H4018_c_ESTI96___36"/>
      <sheetName val="__H4018_c_ESTI96___37"/>
      <sheetName val="__H4018_c_ESTI96___38"/>
      <sheetName val="__H4018_c_ESTI96___39"/>
      <sheetName val="__H4018_c_ESTI96___40"/>
      <sheetName val="__H4018_c_ESTI96___41"/>
      <sheetName val="__H4018_c_ESTI96___42"/>
      <sheetName val="__H4018_c_ESTI96___43"/>
      <sheetName val="__H4018_c_ESTI96___44"/>
      <sheetName val="__H4018_c_ESTI96___45"/>
      <sheetName val="__H4018_c_ESTI96___46"/>
      <sheetName val="__H4018_c_ESTI96___47"/>
      <sheetName val="__H4018_c_ESTI96___48"/>
      <sheetName val="__H4018_c_ESTI96___49"/>
      <sheetName val="__H4018_c_ESTI96___50"/>
      <sheetName val="__H4018_c_ESTI96___51"/>
      <sheetName val="__H4018_c_ESTI96___52"/>
      <sheetName val="__H4018_c_ESTI96___53"/>
      <sheetName val="__H4018_c_ESTI96___54"/>
      <sheetName val="손익차9월2"/>
      <sheetName val="외주대비_-석축[후다내역_XLS]_____4"/>
      <sheetName val="실행_x0002__x0000_駐"/>
      <sheetName val="집 _x0000__x0000_Ā"/>
      <sheetName val="[후다내역.XLS]__H4018_c_ESTI96____2"/>
      <sheetName val="[후다내역.XLS]__H4018_c_ESTI96____4"/>
      <sheetName val="[후다내역.XLS]__H4018_c_ESTI96____3"/>
      <sheetName val="[후다내역.XLS]__H4018_c_ESTI96___18"/>
      <sheetName val="[후다내역.XLS]__H4018_c_ESTI96____5"/>
      <sheetName val="[후다내역.XLS]__H4018_c_ESTI96____6"/>
      <sheetName val="[후다내역.XLS]__H4018_c_ESTI96____7"/>
      <sheetName val="[후다내역.XLS]__H4018_c_ESTI96____8"/>
      <sheetName val="[후다내역.XLS]__H4018_c_ESTI96____9"/>
      <sheetName val="[후다내역.XLS]__H4018_c_ESTI96___10"/>
      <sheetName val="[후다내역.XLS]__H4018_c_ESTI96___11"/>
      <sheetName val="[후다내역.XLS]__H4018_c_ESTI96___12"/>
      <sheetName val="[후다내역.XLS]__H4018_c_ESTI96___13"/>
      <sheetName val="[후다내역.XLS]__H4018_c_ESTI96___14"/>
      <sheetName val="[후다내역.XLS]__H4018_c_ESTI96___15"/>
      <sheetName val="[후다내역.XLS]__H4018_c_ESTI96___17"/>
      <sheetName val="[후다내역.XLS]__H4018_c_ESTI96___16"/>
      <sheetName val="[후다내역.XLS]__H4018_c_ESTI96___55"/>
      <sheetName val="[후다내역.XLS]__H4018_c_ESTI96___19"/>
      <sheetName val="[후다내역.XLS]__H4018_c_ESTI96___20"/>
      <sheetName val="[후다내역.XLS]__H4018_c_ESTI96___21"/>
      <sheetName val="[후다내역.XLS]__H4018_c_ESTI96___22"/>
      <sheetName val="[후다내역.XLS]__H4018_c_ESTI96___23"/>
      <sheetName val="[후다내역.XLS]__H4018_c_ESTI96___24"/>
      <sheetName val="[후다내역.XLS]__H4018_c_ESTI96___25"/>
      <sheetName val="[후다내역.XLS]__H4018_c_ESTI96___26"/>
      <sheetName val="[후다내역.XLS]__H4018_c_ESTI96___27"/>
      <sheetName val="[후다내역.XLS]__H4018_c_ESTI96___28"/>
      <sheetName val="[후다내역.XLS]__H4018_c_ESTI96___29"/>
      <sheetName val="[후다내역.XLS]__H4018_c_ESTI96___30"/>
      <sheetName val="[후다내역.XLS]__H4018_c_ESTI96___31"/>
      <sheetName val="[후다내역.XLS]__H4018_c_ESTI96___32"/>
      <sheetName val="[후다내역.XLS]__H4018_c_ESTI96___33"/>
      <sheetName val="[후다내역.XLS]__H4018_c_ESTI96___34"/>
      <sheetName val="[후다내역.XLS]__H4018_c_ESTI96___35"/>
      <sheetName val="[후다내역.XLS]__H4018_c_ESTI96___36"/>
      <sheetName val="[후다내역.XLS]__H4018_c_ESTI96___37"/>
      <sheetName val="[후다내역.XLS]__H4018_c_ESTI96___38"/>
      <sheetName val="[후다내역.XLS]__H4018_c_ESTI96___39"/>
      <sheetName val="[후다내역.XLS]__H4018_c_ESTI96___40"/>
      <sheetName val="[후다내역.XLS]__H4018_c_ESTI96___41"/>
      <sheetName val="[후다내역.XLS]__H4018_c_ESTI96___42"/>
      <sheetName val="[후다내역.XLS]__H4018_c_ESTI96___43"/>
      <sheetName val="[후다내역.XLS]__H4018_c_ESTI96___44"/>
      <sheetName val="[후다내역.XLS]__H4018_c_ESTI96___45"/>
      <sheetName val="[후다내역.XLS]__H4018_c_ESTI96___46"/>
      <sheetName val="[후다내역.XLS]__H4018_c_ESTI96___47"/>
      <sheetName val="[후다내역.XLS]__H4018_c_ESTI96___48"/>
      <sheetName val="[후다내역.XLS]__H4018_c_ESTI96___49"/>
      <sheetName val="[후다내역.XLS]__H4018_c_ESTI96___50"/>
      <sheetName val="[후다내역.XLS]__H4018_c_ESTI96___51"/>
      <sheetName val="[후다내역.XLS]__H4018_c_ESTI96___52"/>
      <sheetName val="[후다내역.XLS]__H4018_c_ESTI96___53"/>
      <sheetName val="[후다내역.XLS]__H4018_c_ESTI96___54"/>
      <sheetName val="사유서"/>
      <sheetName val="차이내역"/>
      <sheetName val="1.설계설명서"/>
      <sheetName val="96.12"/>
      <sheetName val="TH_XL"/>
      <sheetName val="t-h_HA_THE"/>
      <sheetName val="SUBÀ_x0000_Ԁ_x0000_"/>
      <sheetName val="외주대비-구_x005f_x0005__x005f_x0000_"/>
      <sheetName val="_____x005f_x0000__x005f_x0000__x005f_x0005__x00_3"/>
      <sheetName val="_____x005f_x0000__x005f_x0000__x005f_x0005__x00_4"/>
      <sheetName val="_x005f_x0000__x005f_x0010__x005f_x0000_내"/>
      <sheetName val="외주대비-구_x005f_x0000__x005f_x0000_"/>
      <sheetName val="기초입력ԯ_x005f_x0000_缀_x005f_x0000__x005f_x0000_"/>
      <sheetName val="건_ê_x005f_x0000_Ԁ"/>
      <sheetName val="수량산출서_x005f_x0000__x005f_x0000__x005f_x0005_"/>
      <sheetName val="수량산출서_x005f_x0010__x005f_x0000_"/>
      <sheetName val="부대표지츀 _x005f_x0000__x005f_x0000_얈"/>
      <sheetName val="부대표지츀 _x005f_x0000__x005f_x0000_篐"/>
      <sheetName val="현장´_x005f_x0000_Ԁ_x005f_x0000_"/>
      <sheetName val="1-_x005f_x0005__x005f_x0000_"/>
      <sheetName val="총공사_x005f_x0000__x005f_x0000_Ԁ"/>
      <sheetName val="일위대가Ȓ_x005f_x0000_"/>
      <sheetName val="수량산출서_x005f_x0010_"/>
      <sheetName val="수정_x005f_x0000__x005f_x0000_"/>
      <sheetName val="BREAKDOW_x005f_x0000__x005f_x0000___x005f_x0000_2"/>
      <sheetName val="BREAKDOW_x005f_x0000__x005f_x0000___x005f_x0000_3"/>
      <sheetName val="BREAKDOW頀ᵛ瀞囏_x005f_x001c__x005f_x0000_攀"/>
      <sheetName val="BREAKDOW_x005f_x0000__x005f_x0000___x005f_x0000_4"/>
      <sheetName val="표지 (3_x005f_x0005_"/>
      <sheetName val="_x005f_x0000__x005f_x0008__x005f_x0000__x005f_x0005___2"/>
      <sheetName val="_x005f_x0000__x005f_x0004__x005f_x0000__x005f_x0004___2"/>
      <sheetName val="_x005f_x0000__x005f_x0003__x005f_x0000__x005f_x0004___2"/>
      <sheetName val="전_x005f_x0000_"/>
      <sheetName val="1공구_건정토건_토_x005f_x0000__x005f_x0000_"/>
      <sheetName val="외Å_x005f_x0000_怀"/>
      <sheetName val="3BL공동구__x005f_x0000__x005f_x0000_"/>
      <sheetName val="1_3_________________2187_x000_2"/>
      <sheetName val="시멘혷_x005f_xdf67__x005f_x0000__x005f_x0000_"/>
      <sheetName val="시멘혾_x005f_xdf67__x005f_x0000__x005f_x0000_"/>
      <sheetName val="표지 ¬_x005f_x0000__x005f_x0000_"/>
      <sheetName val="3BL____x005f_x005f_x005f_x0000__x005f_x005f_x00_2"/>
      <sheetName val="내역서변ꙭ _x005f_x0000_"/>
      <sheetName val="측구_x005f_x0000_"/>
      <sheetName val="교각¾_x005f_x0000_"/>
      <sheetName val="단가(강재운_x005f_x0000__x005f_x0000_"/>
      <sheetName val="1_3____x005f_x001a__x005f_x0003__x005f_x0004__x_2"/>
      <sheetName val="1_3____x005f_x001a__x005f_x0003__x005f_x0004__x_3"/>
      <sheetName val="외Å_x005f_x0000_"/>
      <sheetName val="외Å_x005f_x0000_退"/>
      <sheetName val="4_x005f_x0000__x005f_x0000_Ԁ"/>
      <sheetName val="1공구_건정토건_철_x005f_x0000__x005f_x0000_"/>
      <sheetName val="______x005f_x0000__x005f_x0000__x005f_x0000__x0_2"/>
      <sheetName val="부대표지__x005f_x0000__x005f_x0000__x005f_x0000__x000"/>
      <sheetName val="______x005f_x0000__x005f_x0000__x005f_x0000__x0_3"/>
      <sheetName val="______x005f_x0000__x005f_x0000__x005f_x0000__x0_4"/>
      <sheetName val="______x005f_x0000__x005f_x0000__x005f_x0000__x0_5"/>
      <sheetName val="______x005f_x0000__x005f_x0000__x005f_x0000__x0_6"/>
      <sheetName val="______x005f_x0000__x005f_x0000__x005f_x0000__x0_7"/>
      <sheetName val="1차설계변경瀀_x005f_xdf8f_"/>
      <sheetName val="1차설계변경_x005f_x0000_瞒"/>
      <sheetName val="1차설계변경჈_x005f_x0000_"/>
      <sheetName val="2.교_x005f_x0000__x005f_x0000__x005f_xdd08_̚벝"/>
      <sheetName val="벽체면적당일위Á_x005f_x0000_"/>
      <sheetName val="견적(._x005f_x0000__x005f_x0000_"/>
      <sheetName val="말고개터널조명전¬_x005f_x0000_Ԁ"/>
      <sheetName val="내역서_x005f_x0000__x005f_x0000_Ԁ_x005f_x0000_"/>
      <sheetName val="______________x005f_x0012_______XLS_3"/>
      <sheetName val="48_x005f_x0005__"/>
      <sheetName val="Sikje_in_x005f_x0005__"/>
      <sheetName val="____x005f_x0001___x005f_x0010___x005f_x0003___x_2"/>
      <sheetName val="_후다_x005f_x0001_ _x005f_x0010_?_x0003"/>
      <sheetName val="2_대외ɡ_x005f_x0000_က"/>
      <sheetName val="_x005f_x0015__x005f_x0000_"/>
      <sheetName val="BREAKDOW頀ᵛ瀞囏_x005f_x001c_"/>
      <sheetName val="간접경_x005f_x0000_薔"/>
      <sheetName val="0_0Control렌㟳䠓䒆_x005f_x0013__x005f_x0000_"/>
      <sheetName val="0_0Control뀌欨砓﹮_x005f_x0012__x005f_x0000_"/>
      <sheetName val="0_0Control㠌ᅝ逜㓿_x005f_x001c__x005f_x0000_"/>
      <sheetName val="0_0Control㠌ᅝ퀜㔋_x005f_x001c__x005f_x0000_"/>
      <sheetName val="_________x005f_x005f_x005f_x0000__x005f_x005f_x_3"/>
      <sheetName val="NOM³_x005f_x005f_x005f_x0000_Ԁ"/>
      <sheetName val="NOMֳ_x005f_x005f_x005f_x0000_缀"/>
      <sheetName val="배수喘_x005f_x005f_x005f_x001a_"/>
      <sheetName val="인부신상_x005f_x005f_x005f_x0000__x005f_x005f_x005f_x0000_"/>
      <sheetName val="견적颙⿬_x005f_x005f_x005f_x0005_"/>
      <sheetName val="견적颙⿶_x005f_x005f_x005f_x0005_"/>
      <sheetName val="견적_x005f_x005f_x005f_x0005__x005f_x005f_x005f_x0000_"/>
      <sheetName val="견적颙』_x005f_x005f_x005f_x0005_"/>
      <sheetName val="흄관기_x005f_x005f_x005f_x0000_"/>
      <sheetName val="_____x005f_x005f_x005f_x0000__x005f_x005f_x005f_x0000_2"/>
      <sheetName val="____x_x005f_x005f_x005f_x0000___x005f_x005f_x00_2"/>
      <sheetName val="구조ఀ덀_x005f_x005f_x005f_x0000_"/>
      <sheetName val="식재_x005f_x0002_"/>
      <sheetName val="概総括1"/>
      <sheetName val="Eng"/>
      <sheetName val="Bill No.1.7"/>
      <sheetName val="Bill No.1.3"/>
      <sheetName val="Bill No.1.4"/>
      <sheetName val="Savings"/>
      <sheetName val="Summary Bill No. 1"/>
      <sheetName val="BQ ARS"/>
      <sheetName val="Thuc_thanh"/>
      <sheetName val="공사비_내역_(가)"/>
      <sheetName val="Cost_factor"/>
      <sheetName val="Item_list"/>
      <sheetName val="Sheet_Template_Empty"/>
      <sheetName val="Thoat_nuoc"/>
      <sheetName val="Chiet_tinh_dz35"/>
      <sheetName val="he_so"/>
      <sheetName val="Define finishing"/>
      <sheetName val="Gia vat tu"/>
      <sheetName val="TONGKE1P"/>
      <sheetName val="01. BOQ"/>
      <sheetName val="00.INPUT"/>
      <sheetName val="03.NGAN SACH"/>
      <sheetName val="02.PHAN TICH"/>
      <sheetName val="2.Chiet tinh"/>
      <sheetName val="1공구 건�䘢䠂檱䠛檳"/>
      <sheetName val="vc+vl"/>
      <sheetName val="Detail"/>
      <sheetName val="_후다_x0001___x0010__x0000__x0003"/>
      <sheetName val="個案9411"/>
      <sheetName val="DGNC"/>
      <sheetName val="기초일위"/>
      <sheetName val="[후다내역.XLS][후다내역.XLS]______XLS_2"/>
      <sheetName val="[후다내역.XLS][후다내역.XLS]1공구산옘蔘:"/>
      <sheetName val="보도내역퐕腎_x0000__x0000_頀"/>
      <sheetName val="년도별시공"/>
      <sheetName val="교각철근_x0000__x0000__x0005__x0000_"/>
      <sheetName val="부대표지呸2닑⾜_x0005_"/>
      <sheetName val="동개요"/>
      <sheetName val="CABLE SIZE-1"/>
      <sheetName val="Sheet1__x0000__x0000__x0005_"/>
      <sheetName val="공통가설공헾"/>
      <sheetName val="공통가설공ᛅ"/>
      <sheetName val="일위CO_x0000__x0000_"/>
      <sheetName val="P(정일)-신동아1단지"/>
      <sheetName val="현장인원Ñ_x0000_"/>
      <sheetName val="MGA110_140"/>
      <sheetName val="T11,12-2001"/>
      <sheetName val="Analisa Upah &amp; Bahan Plum"/>
      <sheetName val="지하시설물작성"/>
      <sheetName val="1,2공구원㣸CﾈΛ"/>
      <sheetName val="토공사B동추가"/>
      <sheetName val="#2_일위대가Í_x0000_"/>
      <sheetName val="토목 (2)"/>
      <sheetName val="지중자재단Å"/>
      <sheetName val="4.산출(건축)"/>
      <sheetName val="BM "/>
      <sheetName val="DWG LIST"/>
      <sheetName val="KLHT"/>
      <sheetName val="CTE_x0000__x0000__x0000__x0000__x0000_"/>
      <sheetName val="수량산출내역1115"/>
      <sheetName val="설비제어 물량산출(제어)"/>
      <sheetName val="배수_x0000__x0000_"/>
      <sheetName val="주요動_x0010__x0000_"/>
      <sheetName val="매매"/>
      <sheetName val="cctv"/>
      <sheetName val="ML"/>
      <sheetName val="12호hee내역서(건축분)"/>
      <sheetName val="CABLE TRAY"/>
      <sheetName val="단가결정"/>
      <sheetName val="_회다내역,X켊楳켎攳嶪剃嶮布쵌섌)"/>
      <sheetName val="_후다내역.XLS___H1775_c_ESTI96____2"/>
      <sheetName val="외주대비 -석축_x0012__후다내역.XLS_견적표지 (3"/>
      <sheetName val="_후다_x0001_ _x0010__x0003_ _x0010__x0001__x0010__x0001_ _x0010__x0003_"/>
      <sheetName val="NOM³_Ԁ"/>
      <sheetName val="NOMֳ_缀"/>
      <sheetName val="견적_x0005__"/>
      <sheetName val="수량산출서___x0005_"/>
      <sheetName val="수량산출서_x0010__"/>
      <sheetName val="흄관기_"/>
      <sheetName val="부대표지___x0005__腰"/>
      <sheetName val="외주대비x_Ԁ_"/>
      <sheetName val="인부신상__"/>
      <sheetName val="부대표지___x0005__䥀"/>
      <sheetName val="부대표지___x0005__⽠"/>
      <sheetName val="1공구산옘蔘_"/>
      <sheetName val="_후다내역.XLS___H1775_c_ESTI96____3"/>
      <sheetName val="_후다내역.XLS___H1775_c_ESTI96____4"/>
      <sheetName val="원가산출서"/>
      <sheetName val="교각G_x0000_"/>
      <sheetName val="일위CO醘]"/>
      <sheetName val="도급표지郐Ỉ跸Ỉ"/>
      <sheetName val="Sum_ELE__CAP_S1-4__1"/>
      <sheetName val="Land_Dev't__Ph-11"/>
      <sheetName val="CHITIET_VL-NC-TT1p1"/>
      <sheetName val="Ton_Kho2"/>
      <sheetName val="Đầu_tư2"/>
      <sheetName val="Buy_vs__Lease_Car1"/>
      <sheetName val="5__MATERIAL_LIST1"/>
      <sheetName val="TH_XL1"/>
      <sheetName val="t-h_HA_THE1"/>
      <sheetName val="표지_¬1"/>
      <sheetName val="Boiler_Block1"/>
      <sheetName val="NH3_Block1"/>
      <sheetName val="Chiller_Block1"/>
      <sheetName val="C02_Block1"/>
      <sheetName val="Air_compressor1"/>
      <sheetName val="Wokers_canteen1"/>
      <sheetName val="Wokers_Kitchen1"/>
      <sheetName val="Wokers_Toilet1"/>
      <sheetName val="Spare_parts1"/>
      <sheetName val="Maintenance_office1"/>
      <sheetName val="Emty_RGB_Yard1"/>
      <sheetName val="External_works1"/>
      <sheetName val="Pipe_bridge1"/>
      <sheetName val="Cool_warehouse1"/>
      <sheetName val="Frozen_warehouse1"/>
      <sheetName val="Thuc_thanh1"/>
      <sheetName val="Danh_muc1"/>
      <sheetName val="SGC_RATE1"/>
      <sheetName val="THONG_KE_CAU_KIEN1"/>
      <sheetName val="7_공정표2"/>
      <sheetName val="Chiet_tinh_dz351"/>
      <sheetName val="내역서변ꙭ_1"/>
      <sheetName val="he_so1"/>
      <sheetName val="Joinery_works1"/>
      <sheetName val="Schedule_S-Curve_Revision#31"/>
      <sheetName val="Sh"/>
      <sheetName val="공사비_내역_(가)1"/>
      <sheetName val="Cost_factor1"/>
      <sheetName val="Item_list1"/>
      <sheetName val="Sheet_Template_Empty1"/>
      <sheetName val="Thoat_nuoc1"/>
      <sheetName val="소야공정계罈_1"/>
      <sheetName val="견적(_1"/>
      <sheetName val="1_16"/>
      <sheetName val="외주현황_wq16"/>
      <sheetName val="토__공6"/>
      <sheetName val="태화42_6"/>
      <sheetName val="220_(2)6"/>
      <sheetName val="3_관로전환기6"/>
      <sheetName val="F_월별기성수금현황_6"/>
      <sheetName val="내역서1999_8최종6"/>
      <sheetName val="3_전기산출기초6"/>
      <sheetName val="_6"/>
      <sheetName val="금회_청구사항(기계)6"/>
      <sheetName val="기성갑지_(소방)6"/>
      <sheetName val="금회_청구사항(소방)6"/>
      <sheetName val="K2_site_Total_내역서6"/>
      <sheetName val="D_B6"/>
      <sheetName val="06_일위대가목록6"/>
      <sheetName val="일위대가56-1_6"/>
      <sheetName val="일위대가71-1_6"/>
      <sheetName val="일위대가74-1_6"/>
      <sheetName val="일위대가76-1_6"/>
      <sheetName val="일위대가77-1_6"/>
      <sheetName val="일위대가78-1_6"/>
      <sheetName val="총괄표_6"/>
      <sheetName val="동강_배관6"/>
      <sheetName val="WCR_외주6"/>
      <sheetName val="ANILINE_-_OPTION6"/>
      <sheetName val="MDI_-_OPTION6"/>
      <sheetName val="1_청구서6"/>
      <sheetName val="2_내역서6"/>
      <sheetName val="계약대비내역서_(부경)6"/>
      <sheetName val="집행대비내역서_(부경)6"/>
      <sheetName val="계약그라우팅_포장6"/>
      <sheetName val="계약사무실조경_6"/>
      <sheetName val="횡배수관_토공량_산출6"/>
      <sheetName val="도시정비_5"/>
      <sheetName val="3_1_6_전산처리결과5"/>
      <sheetName val="부대표지츀_3"/>
      <sheetName val="Budget_Code3"/>
      <sheetName val="Phu_cap3"/>
      <sheetName val="ጳ__Ⴔጳ__Lጴ___ጵ___ጶ__ఀጷ___ጸ_4"/>
      <sheetName val="ጊ__Ⴔጱ__Lጲ___ድ__nጳ__lጳ__eጴ3"/>
      <sheetName val="ጵ__Ⴔጶ__Lጷ___ጸ__yጿ__uጿ__iጊ_3"/>
      <sheetName val="ጿ__Ⴔጿ__Lጊ__ېጱ___ጲ__೵ድ__Ⴔጳ_3"/>
      <sheetName val="ጊ__Ⴔጊ__Lጱ__᳴ጲ___ድ__ᰕጳ__װጳ3"/>
      <sheetName val="ጶ__Ⴔጷ__Lጸ___ጿ___ጿ___ጊ__4"/>
      <sheetName val="ጿ__Ⴔጊ__Lጱ__Șጲ__ᩘድ___ጳ___ጳ_3"/>
      <sheetName val="ድ__Ⴔጳ__Lጳ___ጴ__ഀጳ__nጳ___3"/>
      <sheetName val="ጴ__Ⴔጵ__Lጶ___ጷ__ഀጸ__nጿ___3"/>
      <sheetName val="ጳ__Ⴔጴ__Lጵ___ጶ__ᔼጷ__1ጸ__2ጿ_3"/>
      <sheetName val="ጸ__Ⴔጿ__Lጿ___ጊ___ጱ__ݴጲ__3"/>
      <sheetName val="ጴ__Ⴔጳ__Lጳ__iጴ___ጵ__eጶ__e3"/>
      <sheetName val="ጵ__Ⴔጶ__Lጷ__ᝥጸ__Uጿ__Oጿ___3"/>
      <sheetName val="ጳ__Ⴔጴ__Lጵ__֑ጶ___ጷ__-ጸ__׭3"/>
      <sheetName val="ጲ__Ⴔድ__Lጳ___ጳ__᪅ጴ__Șጳ__᧝ጳ3"/>
      <sheetName val="ጸ__Ⴔጿ__Lጿ___ጊ__᪅ጊ__ႜጱ__3"/>
      <sheetName val="ጴ__Ⴔጵ__Lጶ___ጷ__ᅸጸ__Ꮙጿ__°ጿ3"/>
      <sheetName val="ጶ__Ⴔጷ__Lጸ___ጿ__(ጿ__ᅸጊ__)3"/>
      <sheetName val="ጳ__Ⴔጴ__Lጴ___ፊ__(ጵ__ఀፋ__)3"/>
      <sheetName val="ጱ__Ⴔጲ__Lድ__ެጳ___ጳ__(ጴ__3"/>
      <sheetName val="ጿ__Ⴔጿ__Lጊ__ᙔጱ__೵ጲ___ድ__3"/>
      <sheetName val="ጱ__Ⴔጲ__Lድ__ಜጳ__(ጳ___ጴ__3"/>
      <sheetName val="ጸ__Ⴔጿ__Lጿ__ݴጊ__෼ጱ___ጲ__3"/>
      <sheetName val="ድ__Ⴔጳ__Lጳ__0ጴ___ጳ__Iጳ__3"/>
      <sheetName val="ጸ__Ⴔጿ__Lጿ__iጊ___ጱ__uጲ__r3"/>
      <sheetName val="MAIN_GATE_HOUSE3"/>
      <sheetName val="T_KE_CP13"/>
      <sheetName val="일__위__대__가_3"/>
      <sheetName val="원가_(2)3"/>
      <sheetName val="Sum_ELE__CAP_S1-4__2"/>
      <sheetName val="2__주요공지（主要公告）3"/>
      <sheetName val="4_예산내역서3"/>
      <sheetName val="A_견적3"/>
      <sheetName val="Land_Dev't__Ph-12"/>
      <sheetName val="CHITIET_VL-NC-TT1p2"/>
      <sheetName val="Ton_Kho3"/>
      <sheetName val="Đầu_tư3"/>
      <sheetName val="Buy_vs__Lease_Car2"/>
      <sheetName val="5__MATERIAL_LIST2"/>
      <sheetName val="TH_XL2"/>
      <sheetName val="t-h_HA_THE2"/>
      <sheetName val="손익분기점_데이터3"/>
      <sheetName val="매각대상자산_청산가치3"/>
      <sheetName val="1_사유서3"/>
      <sheetName val="표지_¬2"/>
      <sheetName val="Boiler_Block2"/>
      <sheetName val="NH3_Block2"/>
      <sheetName val="Chiller_Block2"/>
      <sheetName val="C02_Block2"/>
      <sheetName val="Air_compressor2"/>
      <sheetName val="Wokers_canteen2"/>
      <sheetName val="Wokers_Kitchen2"/>
      <sheetName val="Wokers_Toilet2"/>
      <sheetName val="Spare_parts2"/>
      <sheetName val="Maintenance_office2"/>
      <sheetName val="Emty_RGB_Yard2"/>
      <sheetName val="External_works2"/>
      <sheetName val="Pipe_bridge2"/>
      <sheetName val="Cool_warehouse2"/>
      <sheetName val="Frozen_warehouse2"/>
      <sheetName val="Thuc_thanh2"/>
      <sheetName val="Danh_muc2"/>
      <sheetName val="SGC_RATE2"/>
      <sheetName val="THONG_KE_CAU_KIEN2"/>
      <sheetName val="7_공정표3"/>
      <sheetName val="Chiet_tinh_dz352"/>
      <sheetName val="내역서변ꙭ_2"/>
      <sheetName val="he_so2"/>
      <sheetName val="Joinery_works2"/>
      <sheetName val="Schedule_S-Curve_Revision#32"/>
      <sheetName val="공사비_내역_(가)2"/>
      <sheetName val="Cost_factor2"/>
      <sheetName val="Item_list2"/>
      <sheetName val="Sheet_Template_Empty2"/>
      <sheetName val="Thoat_nuoc2"/>
      <sheetName val="소야공정계罈_2"/>
      <sheetName val="견적(_2"/>
      <sheetName val="1-1_경비산출내역"/>
      <sheetName val="설계변경내역서 "/>
      <sheetName val="1.BO分析"/>
      <sheetName val="실적평가표"/>
      <sheetName val="집수정(600-700)"/>
      <sheetName val="견적지침"/>
      <sheetName val="WORKER"/>
      <sheetName val="보도경계블_x0000_"/>
      <sheetName val="[후다내역.XLS]__H1775_c_ESTI96____7"/>
      <sheetName val="4공철탑검토"/>
      <sheetName val="石炭性状"/>
      <sheetName val="내역(중앙)"/>
      <sheetName val="[후다내역.XLS]__H4018_c_ESTI96___66"/>
      <sheetName val="일위(이설)"/>
      <sheetName val="[후다내역.XLS]__H4018_c_ESTI96___57"/>
      <sheetName val="[후다내역.XLS]__H4018_c_ESTI96___56"/>
      <sheetName val="지시서"/>
      <sheetName val="임율요율"/>
      <sheetName val="[후다내역.XLS]__H4018_c_ESTI96___58"/>
      <sheetName val="[후다내역.XLS]__H4018_c_ESTI96___59"/>
      <sheetName val="[후다내역.XLS]__H4018_c_ESTI96___60"/>
      <sheetName val="T6-6(2)"/>
      <sheetName val="설계설명서"/>
      <sheetName val="제거(위험목굴)"/>
      <sheetName val="작업로개설산정표"/>
      <sheetName val="예방나무주사"/>
      <sheetName val="나무주사 ha당 단가"/>
      <sheetName val="소군락모두베기 등 면적조서"/>
      <sheetName val="조사야장"/>
      <sheetName val="적용요율"/>
      <sheetName val="원가계산서(자원)"/>
      <sheetName val="원가계산서(보호)"/>
      <sheetName val="관급자재내역서"/>
      <sheetName val="교각토공_(_x0000__x0000_Ā"/>
      <sheetName val="[후다내역.XLS]__H4018_c_ESTI96___62"/>
      <sheetName val="[후다내역.XLS]__H4018_c_ESTI96___61"/>
      <sheetName val="[후다내역.XLS]__H4018_c_ESTI96_강__2"/>
      <sheetName val="1.외주공사"/>
      <sheetName val="2.직영공사"/>
      <sheetName val="점_x0000__x0000_촀"/>
      <sheetName val="[후다내역.XLS]__H4018_c_ESTI96___65"/>
      <sheetName val="[후다내역.XLS]__H4018_c_ESTI96___63"/>
      <sheetName val="[후다내역.XLS]__H4018_c_ESTI96___64"/>
      <sheetName val="도급표지__(ꀀ႑"/>
      <sheetName val="1_수"/>
      <sheetName val="부대내"/>
      <sheetName val="견적刀"/>
      <sheetName val="외주대비_-ʶ"/>
      <sheetName val="지점비용"/>
      <sheetName val="[후다내역.XLS]__H4018_c_ESTI96___67"/>
      <sheetName val="[후다내역.XLS]__H4018_c_ESTI96___68"/>
      <sheetName val="1차설계逷≙"/>
      <sheetName val="6공구("/>
      <sheetName val="1공구 건"/>
      <sheetName val="GRD䋜¯"/>
      <sheetName val="실행_x0002__x0000_먐"/>
      <sheetName val="실행_x0002__x0000_笀"/>
      <sheetName val="실행_x0002__x0000_廸"/>
      <sheetName val="실행ʜᔖ"/>
      <sheetName val="수액원료4"/>
      <sheetName val="일위대가_집"/>
      <sheetName val="Tax_Ref"/>
      <sheetName val="3_일반사상"/>
      <sheetName val="실행駐"/>
      <sheetName val="도급표지__㧈冈"/>
      <sheetName val="부재예실1월"/>
      <sheetName val="[후다내역.XLS]__H4018_c_ESTI96___96"/>
      <sheetName val="[후다내역.XLS]__H4018_c_ESTI96___87"/>
      <sheetName val="[후다내역.XLS]__H4018_c_ESTI96___69"/>
      <sheetName val="[후다내역.XLS]__H4018_c_ESTI96___70"/>
      <sheetName val="[후다내역.XLS]__H4018_c_ESTI96___71"/>
      <sheetName val="[후다내역.XLS]__H4018_c_ESTI96___72"/>
      <sheetName val="[후다내역.XLS]__H4018_c_ESTI96___73"/>
      <sheetName val="[후다내역.XLS]__H4018_c_ESTI96___74"/>
      <sheetName val="[후다내역.XLS]__H4018_c_ESTI96___75"/>
      <sheetName val="[후다내역.XLS]__H4018_c_ESTI96___76"/>
      <sheetName val="[후다내역.XLS]__H4018_c_ESTI96___77"/>
      <sheetName val="[후다내역.XLS]__H4018_c_ESTI96___78"/>
      <sheetName val="[후다내역.XLS]__H4018_c_ESTI96___79"/>
      <sheetName val="[후다내역.XLS]__H4018_c_ESTI96___80"/>
      <sheetName val="[후다내역.XLS]__H4018_c_ESTI96___81"/>
      <sheetName val="[후다내역.XLS]__H4018_c_ESTI96___82"/>
      <sheetName val="[후다내역.XLS]__H4018_c_ESTI96___83"/>
      <sheetName val="[후다내역.XLS]__H4018_c_ESTI96___84"/>
      <sheetName val="[후다내역.XLS]__H4018_c_ESTI96___85"/>
      <sheetName val="[후다내역.XLS]__H4018_c_ESTI96___86"/>
      <sheetName val="[후다내역.XLS]__H4018_c_ESTI96___95"/>
      <sheetName val="[후다내역.XLS]__H4018_c_ESTI96___88"/>
      <sheetName val="[후다내역.XLS]__H4018_c_ESTI96___89"/>
      <sheetName val="[후다내역.XLS]__H4018_c_ESTI96___90"/>
      <sheetName val="[후다내역.XLS]__H4018_c_ESTI96___91"/>
      <sheetName val="[후다내역.XLS]__H4018_c_ESTI96___92"/>
      <sheetName val="[후다내역.XLS]__H4018_c_ESTI96___93"/>
      <sheetName val="[후다내역.XLS]__H4018_c_ESTI96___94"/>
      <sheetName val="볼트 중량표"/>
      <sheetName val="PIPE(UG)내역"/>
      <sheetName val="일일투입계획"/>
      <sheetName val="도급양식"/>
      <sheetName val="wtdb"/>
      <sheetName val="부대단위수량"/>
      <sheetName val="허담원가적용"/>
    </sheetNames>
    <sheetDataSet>
      <sheetData sheetId="0" refreshError="1"/>
      <sheetData sheetId="1" refreshError="1"/>
      <sheetData sheetId="2">
        <row r="1">
          <cell r="A1" t="str">
            <v>PHIẾU XỬ LÝ HỒ SƠ THANH TOÁN VƯỢT THẨM QUYỀN PD</v>
          </cell>
        </row>
      </sheetData>
      <sheetData sheetId="3">
        <row r="1">
          <cell r="A1" t="str">
            <v>PHIẾU XỬ LÝ HỒ SƠ THANH TOÁN VƯỢT THẨM QUYỀN PD</v>
          </cell>
        </row>
      </sheetData>
      <sheetData sheetId="4">
        <row r="1">
          <cell r="A1" t="str">
            <v>PHIẾU XỬ LÝ HỒ SƠ THANH TOÁN VƯỢT THẨM QUYỀN PD</v>
          </cell>
        </row>
      </sheetData>
      <sheetData sheetId="5">
        <row r="1">
          <cell r="A1" t="str">
            <v>PHIẾU XỬ LÝ HỒ SƠ THANH TOÁN VƯỢT THẨM QUYỀN PD</v>
          </cell>
        </row>
      </sheetData>
      <sheetData sheetId="6">
        <row r="1">
          <cell r="A1" t="str">
            <v>PHIẾU XỬ LÝ HỒ SƠ THANH TOÁN VƯỢT THẨM QUYỀN PD</v>
          </cell>
        </row>
      </sheetData>
      <sheetData sheetId="7">
        <row r="1">
          <cell r="A1" t="str">
            <v>PHIẾU XỬ LÝ HỒ SƠ THANH TOÁN VƯỢT THẨM QUYỀN PD</v>
          </cell>
        </row>
      </sheetData>
      <sheetData sheetId="8">
        <row r="1">
          <cell r="A1" t="str">
            <v>PHIẾU XỬ LÝ HỒ SƠ THANH TOÁN VƯỢT THẨM QUYỀN PD</v>
          </cell>
        </row>
      </sheetData>
      <sheetData sheetId="9">
        <row r="1">
          <cell r="A1" t="str">
            <v>PHIẾU XỬ LÝ HỒ SƠ THANH TOÁN VƯỢT THẨM QUYỀN PD</v>
          </cell>
        </row>
      </sheetData>
      <sheetData sheetId="10">
        <row r="1">
          <cell r="A1" t="str">
            <v>PHIẾU XỬ LÝ HỒ SƠ THANH TOÁN VƯỢT THẨM QUYỀN PD</v>
          </cell>
        </row>
      </sheetData>
      <sheetData sheetId="11"/>
      <sheetData sheetId="12">
        <row r="1">
          <cell r="A1" t="str">
            <v>PHIẾU XỬ LÝ HỒ SƠ THANH TOÁN VƯỢT THẨM QUYỀN PD</v>
          </cell>
        </row>
      </sheetData>
      <sheetData sheetId="13"/>
      <sheetData sheetId="14">
        <row r="1">
          <cell r="A1" t="str">
            <v>PHIẾU XỬ LÝ HỒ SƠ THANH TOÁN VƯỢT THẨM QUYỀN PD</v>
          </cell>
        </row>
      </sheetData>
      <sheetData sheetId="15"/>
      <sheetData sheetId="16"/>
      <sheetData sheetId="17"/>
      <sheetData sheetId="18"/>
      <sheetData sheetId="19">
        <row r="1">
          <cell r="A1" t="str">
            <v>PHIẾU XỬ LÝ HỒ SƠ THANH TOÁN VƯỢT THẨM QUYỀN PD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">
          <cell r="A1" t="str">
            <v>PHIẾU XỬ LÝ HỒ SƠ THANH TOÁN VƯỢT THẨM QUYỀN PD</v>
          </cell>
        </row>
      </sheetData>
      <sheetData sheetId="29"/>
      <sheetData sheetId="30">
        <row r="1">
          <cell r="A1" t="str">
            <v>PHIẾU XỬ LÝ HỒ SƠ THANH TOÁN VƯỢT THẨM QUYỀN PD</v>
          </cell>
        </row>
      </sheetData>
      <sheetData sheetId="31"/>
      <sheetData sheetId="32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/>
      <sheetData sheetId="2530" refreshError="1"/>
      <sheetData sheetId="2531">
        <row r="1">
          <cell r="A1" t="str">
            <v>PHIẾU XỬ LÝ HỒ SƠ THANH TOÁN VƯỢT THẨM QUYỀN PD</v>
          </cell>
        </row>
      </sheetData>
      <sheetData sheetId="2532" refreshError="1"/>
      <sheetData sheetId="2533" refreshError="1"/>
      <sheetData sheetId="2534" refreshError="1"/>
      <sheetData sheetId="2535" refreshError="1"/>
      <sheetData sheetId="2536"/>
      <sheetData sheetId="2537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/>
      <sheetData sheetId="2547"/>
      <sheetData sheetId="2548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>
        <row r="1">
          <cell r="A1" t="str">
            <v>PHIẾU XỬ LÝ HỒ SƠ THANH TOÁN VƯỢT THẨM QUYỀN PD</v>
          </cell>
        </row>
      </sheetData>
      <sheetData sheetId="2586" refreshError="1"/>
      <sheetData sheetId="2587" refreshError="1"/>
      <sheetData sheetId="2588">
        <row r="1">
          <cell r="A1" t="str">
            <v>PHIẾU XỬ LÝ HỒ SƠ THANH TOÁN VƯỢT THẨM QUYỀN PD</v>
          </cell>
        </row>
      </sheetData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>
        <row r="1">
          <cell r="A1" t="str">
            <v>PHIẾU XỬ LÝ HỒ SƠ THANH TOÁN VƯỢT THẨM QUYỀN PD</v>
          </cell>
        </row>
      </sheetData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>
        <row r="1">
          <cell r="A1" t="str">
            <v>PHIẾU XỬ LÝ HỒ SƠ THANH TOÁN VƯỢT THẨM QUYỀN PD</v>
          </cell>
        </row>
      </sheetData>
      <sheetData sheetId="2607" refreshError="1"/>
      <sheetData sheetId="2608">
        <row r="1">
          <cell r="A1" t="str">
            <v>PHIẾU XỬ LÝ HỒ SƠ THANH TOÁN VƯỢT THẨM QUYỀN PD</v>
          </cell>
        </row>
      </sheetData>
      <sheetData sheetId="2609">
        <row r="1">
          <cell r="A1" t="str">
            <v>PHIẾU XỬ LÝ HỒ SƠ THANH TOÁN VƯỢT THẨM QUYỀN PD</v>
          </cell>
        </row>
      </sheetData>
      <sheetData sheetId="2610">
        <row r="1">
          <cell r="A1" t="str">
            <v>PHIẾU XỬ LÝ HỒ SƠ THANH TOÁN VƯỢT THẨM QUYỀN PD</v>
          </cell>
        </row>
      </sheetData>
      <sheetData sheetId="2611">
        <row r="1">
          <cell r="A1" t="str">
            <v>PHIẾU XỬ LÝ HỒ SƠ THANH TOÁN VƯỢT THẨM QUYỀN PD</v>
          </cell>
        </row>
      </sheetData>
      <sheetData sheetId="2612">
        <row r="1">
          <cell r="A1" t="str">
            <v>PHIẾU XỬ LÝ HỒ SƠ THANH TOÁN VƯỢT THẨM QUYỀN PD</v>
          </cell>
        </row>
      </sheetData>
      <sheetData sheetId="2613">
        <row r="1">
          <cell r="A1" t="str">
            <v>PHIẾU XỬ LÝ HỒ SƠ THANH TOÁN VƯỢT THẨM QUYỀN PD</v>
          </cell>
        </row>
      </sheetData>
      <sheetData sheetId="2614">
        <row r="1">
          <cell r="A1" t="str">
            <v>PHIẾU XỬ LÝ HỒ SƠ THANH TOÁN VƯỢT THẨM QUYỀN PD</v>
          </cell>
        </row>
      </sheetData>
      <sheetData sheetId="2615">
        <row r="1">
          <cell r="A1" t="str">
            <v>PHIẾU XỬ LÝ HỒ SƠ THANH TOÁN VƯỢT THẨM QUYỀN PD</v>
          </cell>
        </row>
      </sheetData>
      <sheetData sheetId="2616">
        <row r="1">
          <cell r="A1" t="str">
            <v>PHIẾU XỬ LÝ HỒ SƠ THANH TOÁN VƯỢT THẨM QUYỀN PD</v>
          </cell>
        </row>
      </sheetData>
      <sheetData sheetId="2617">
        <row r="1">
          <cell r="A1" t="str">
            <v>PHIẾU XỬ LÝ HỒ SƠ THANH TOÁN VƯỢT THẨM QUYỀN PD</v>
          </cell>
        </row>
      </sheetData>
      <sheetData sheetId="2618">
        <row r="1">
          <cell r="A1" t="str">
            <v>PHIẾU XỬ LÝ HỒ SƠ THANH TOÁN VƯỢT THẨM QUYỀN PD</v>
          </cell>
        </row>
      </sheetData>
      <sheetData sheetId="2619">
        <row r="1">
          <cell r="A1" t="str">
            <v>PHIẾU XỬ LÝ HỒ SƠ THANH TOÁN VƯỢT THẨM QUYỀN PD</v>
          </cell>
        </row>
      </sheetData>
      <sheetData sheetId="2620">
        <row r="1">
          <cell r="A1" t="str">
            <v>PHIẾU XỬ LÝ HỒ SƠ THANH TOÁN VƯỢT THẨM QUYỀN PD</v>
          </cell>
        </row>
      </sheetData>
      <sheetData sheetId="2621">
        <row r="1">
          <cell r="A1" t="str">
            <v>PHIẾU XỬ LÝ HỒ SƠ THANH TOÁN VƯỢT THẨM QUYỀN PD</v>
          </cell>
        </row>
      </sheetData>
      <sheetData sheetId="2622">
        <row r="1">
          <cell r="A1" t="str">
            <v>PHIẾU XỬ LÝ HỒ SƠ THANH TOÁN VƯỢT THẨM QUYỀN PD</v>
          </cell>
        </row>
      </sheetData>
      <sheetData sheetId="2623">
        <row r="1">
          <cell r="A1" t="str">
            <v>PHIẾU XỬ LÝ HỒ SƠ THANH TOÁN VƯỢT THẨM QUYỀN PD</v>
          </cell>
        </row>
      </sheetData>
      <sheetData sheetId="2624">
        <row r="1">
          <cell r="A1" t="str">
            <v>PHIẾU XỬ LÝ HỒ SƠ THANH TOÁN VƯỢT THẨM QUYỀN PD</v>
          </cell>
        </row>
      </sheetData>
      <sheetData sheetId="2625">
        <row r="1">
          <cell r="A1" t="str">
            <v>PHIẾU XỬ LÝ HỒ SƠ THANH TOÁN VƯỢT THẨM QUYỀN PD</v>
          </cell>
        </row>
      </sheetData>
      <sheetData sheetId="2626">
        <row r="1">
          <cell r="A1" t="str">
            <v>PHIẾU XỬ LÝ HỒ SƠ THANH TOÁN VƯỢT THẨM QUYỀN PD</v>
          </cell>
        </row>
      </sheetData>
      <sheetData sheetId="2627">
        <row r="1">
          <cell r="A1" t="str">
            <v>PHIẾU XỬ LÝ HỒ SƠ THANH TOÁN VƯỢT THẨM QUYỀN PD</v>
          </cell>
        </row>
      </sheetData>
      <sheetData sheetId="2628">
        <row r="1">
          <cell r="A1" t="str">
            <v>PHIẾU XỬ LÝ HỒ SƠ THANH TOÁN VƯỢT THẨM QUYỀN PD</v>
          </cell>
        </row>
      </sheetData>
      <sheetData sheetId="2629">
        <row r="1">
          <cell r="A1" t="str">
            <v>PHIẾU XỬ LÝ HỒ SƠ THANH TOÁN VƯỢT THẨM QUYỀN PD</v>
          </cell>
        </row>
      </sheetData>
      <sheetData sheetId="2630">
        <row r="1">
          <cell r="A1" t="str">
            <v>PHIẾU XỬ LÝ HỒ SƠ THANH TOÁN VƯỢT THẨM QUYỀN PD</v>
          </cell>
        </row>
      </sheetData>
      <sheetData sheetId="2631">
        <row r="1">
          <cell r="A1" t="str">
            <v>PHIẾU XỬ LÝ HỒ SƠ THANH TOÁN VƯỢT THẨM QUYỀN PD</v>
          </cell>
        </row>
      </sheetData>
      <sheetData sheetId="2632">
        <row r="1">
          <cell r="A1" t="str">
            <v>PHIẾU XỬ LÝ HỒ SƠ THANH TOÁN VƯỢT THẨM QUYỀN PD</v>
          </cell>
        </row>
      </sheetData>
      <sheetData sheetId="2633">
        <row r="1">
          <cell r="A1" t="str">
            <v>PHIẾU XỬ LÝ HỒ SƠ THANH TOÁN VƯỢT THẨM QUYỀN PD</v>
          </cell>
        </row>
      </sheetData>
      <sheetData sheetId="2634">
        <row r="1">
          <cell r="A1" t="str">
            <v>PHIẾU XỬ LÝ HỒ SƠ THANH TOÁN VƯỢT THẨM QUYỀN PD</v>
          </cell>
        </row>
      </sheetData>
      <sheetData sheetId="2635">
        <row r="1">
          <cell r="A1" t="str">
            <v>PHIẾU XỬ LÝ HỒ SƠ THANH TOÁN VƯỢT THẨM QUYỀN PD</v>
          </cell>
        </row>
      </sheetData>
      <sheetData sheetId="2636">
        <row r="1">
          <cell r="A1" t="str">
            <v>PHIẾU XỬ LÝ HỒ SƠ THANH TOÁN VƯỢT THẨM QUYỀN PD</v>
          </cell>
        </row>
      </sheetData>
      <sheetData sheetId="2637">
        <row r="1">
          <cell r="A1" t="str">
            <v>PHIẾU XỬ LÝ HỒ SƠ THANH TOÁN VƯỢT THẨM QUYỀN PD</v>
          </cell>
        </row>
      </sheetData>
      <sheetData sheetId="2638">
        <row r="1">
          <cell r="A1" t="str">
            <v>PHIẾU XỬ LÝ HỒ SƠ THANH TOÁN VƯỢT THẨM QUYỀN PD</v>
          </cell>
        </row>
      </sheetData>
      <sheetData sheetId="2639">
        <row r="1">
          <cell r="A1" t="str">
            <v>PHIẾU XỬ LÝ HỒ SƠ THANH TOÁN VƯỢT THẨM QUYỀN PD</v>
          </cell>
        </row>
      </sheetData>
      <sheetData sheetId="2640">
        <row r="1">
          <cell r="A1" t="str">
            <v>PHIẾU XỬ LÝ HỒ SƠ THANH TOÁN VƯỢT THẨM QUYỀN PD</v>
          </cell>
        </row>
      </sheetData>
      <sheetData sheetId="2641">
        <row r="1">
          <cell r="A1" t="str">
            <v>PHIẾU XỬ LÝ HỒ SƠ THANH TOÁN VƯỢT THẨM QUYỀN PD</v>
          </cell>
        </row>
      </sheetData>
      <sheetData sheetId="2642">
        <row r="1">
          <cell r="A1" t="str">
            <v>PHIẾU XỬ LÝ HỒ SƠ THANH TOÁN VƯỢT THẨM QUYỀN PD</v>
          </cell>
        </row>
      </sheetData>
      <sheetData sheetId="2643">
        <row r="1">
          <cell r="A1" t="str">
            <v>PHIẾU XỬ LÝ HỒ SƠ THANH TOÁN VƯỢT THẨM QUYỀN PD</v>
          </cell>
        </row>
      </sheetData>
      <sheetData sheetId="2644">
        <row r="1">
          <cell r="A1" t="str">
            <v>PHIẾU XỬ LÝ HỒ SƠ THANH TOÁN VƯỢT THẨM QUYỀN PD</v>
          </cell>
        </row>
      </sheetData>
      <sheetData sheetId="2645">
        <row r="1">
          <cell r="A1" t="str">
            <v>PHIẾU XỬ LÝ HỒ SƠ THANH TOÁN VƯỢT THẨM QUYỀN PD</v>
          </cell>
        </row>
      </sheetData>
      <sheetData sheetId="2646">
        <row r="1">
          <cell r="A1" t="str">
            <v>PHIẾU XỬ LÝ HỒ SƠ THANH TOÁN VƯỢT THẨM QUYỀN PD</v>
          </cell>
        </row>
      </sheetData>
      <sheetData sheetId="2647">
        <row r="1">
          <cell r="A1" t="str">
            <v>PHIẾU XỬ LÝ HỒ SƠ THANH TOÁN VƯỢT THẨM QUYỀN PD</v>
          </cell>
        </row>
      </sheetData>
      <sheetData sheetId="2648">
        <row r="1">
          <cell r="A1" t="str">
            <v>PHIẾU XỬ LÝ HỒ SƠ THANH TOÁN VƯỢT THẨM QUYỀN PD</v>
          </cell>
        </row>
      </sheetData>
      <sheetData sheetId="2649">
        <row r="1">
          <cell r="A1" t="str">
            <v>PHIẾU XỬ LÝ HỒ SƠ THANH TOÁN VƯỢT THẨM QUYỀN PD</v>
          </cell>
        </row>
      </sheetData>
      <sheetData sheetId="2650">
        <row r="1">
          <cell r="A1" t="str">
            <v>PHIẾU XỬ LÝ HỒ SƠ THANH TOÁN VƯỢT THẨM QUYỀN PD</v>
          </cell>
        </row>
      </sheetData>
      <sheetData sheetId="2651">
        <row r="1">
          <cell r="A1" t="str">
            <v>PHIẾU XỬ LÝ HỒ SƠ THANH TOÁN VƯỢT THẨM QUYỀN PD</v>
          </cell>
        </row>
      </sheetData>
      <sheetData sheetId="2652">
        <row r="1">
          <cell r="A1" t="str">
            <v>PHIẾU XỬ LÝ HỒ SƠ THANH TOÁN VƯỢT THẨM QUYỀN PD</v>
          </cell>
        </row>
      </sheetData>
      <sheetData sheetId="2653">
        <row r="1">
          <cell r="A1" t="str">
            <v>PHIẾU XỬ LÝ HỒ SƠ THANH TOÁN VƯỢT THẨM QUYỀN PD</v>
          </cell>
        </row>
      </sheetData>
      <sheetData sheetId="2654">
        <row r="1">
          <cell r="A1" t="str">
            <v>PHIẾU XỬ LÝ HỒ SƠ THANH TOÁN VƯỢT THẨM QUYỀN PD</v>
          </cell>
        </row>
      </sheetData>
      <sheetData sheetId="2655">
        <row r="1">
          <cell r="A1" t="str">
            <v>PHIẾU XỬ LÝ HỒ SƠ THANH TOÁN VƯỢT THẨM QUYỀN PD</v>
          </cell>
        </row>
      </sheetData>
      <sheetData sheetId="2656">
        <row r="1">
          <cell r="A1" t="str">
            <v>PHIẾU XỬ LÝ HỒ SƠ THANH TOÁN VƯỢT THẨM QUYỀN PD</v>
          </cell>
        </row>
      </sheetData>
      <sheetData sheetId="2657">
        <row r="1">
          <cell r="A1" t="str">
            <v>PHIẾU XỬ LÝ HỒ SƠ THANH TOÁN VƯỢT THẨM QUYỀN PD</v>
          </cell>
        </row>
      </sheetData>
      <sheetData sheetId="2658">
        <row r="1">
          <cell r="A1" t="str">
            <v>PHIẾU XỬ LÝ HỒ SƠ THANH TOÁN VƯỢT THẨM QUYỀN PD</v>
          </cell>
        </row>
      </sheetData>
      <sheetData sheetId="2659">
        <row r="1">
          <cell r="A1" t="str">
            <v>PHIẾU XỬ LÝ HỒ SƠ THANH TOÁN VƯỢT THẨM QUYỀN PD</v>
          </cell>
        </row>
      </sheetData>
      <sheetData sheetId="2660">
        <row r="1">
          <cell r="A1" t="str">
            <v>PHIẾU XỬ LÝ HỒ SƠ THANH TOÁN VƯỢT THẨM QUYỀN PD</v>
          </cell>
        </row>
      </sheetData>
      <sheetData sheetId="2661">
        <row r="1">
          <cell r="A1" t="str">
            <v>PHIẾU XỬ LÝ HỒ SƠ THANH TOÁN VƯỢT THẨM QUYỀN PD</v>
          </cell>
        </row>
      </sheetData>
      <sheetData sheetId="2662">
        <row r="1">
          <cell r="A1" t="str">
            <v>PHIẾU XỬ LÝ HỒ SƠ THANH TOÁN VƯỢT THẨM QUYỀN PD</v>
          </cell>
        </row>
      </sheetData>
      <sheetData sheetId="2663">
        <row r="1">
          <cell r="A1" t="str">
            <v>PHIẾU XỬ LÝ HỒ SƠ THANH TOÁN VƯỢT THẨM QUYỀN PD</v>
          </cell>
        </row>
      </sheetData>
      <sheetData sheetId="2664">
        <row r="1">
          <cell r="A1" t="str">
            <v>PHIẾU XỬ LÝ HỒ SƠ THANH TOÁN VƯỢT THẨM QUYỀN PD</v>
          </cell>
        </row>
      </sheetData>
      <sheetData sheetId="2665">
        <row r="1">
          <cell r="A1" t="str">
            <v>PHIẾU XỬ LÝ HỒ SƠ THANH TOÁN VƯỢT THẨM QUYỀN PD</v>
          </cell>
        </row>
      </sheetData>
      <sheetData sheetId="2666">
        <row r="1">
          <cell r="A1" t="str">
            <v>PHIẾU XỬ LÝ HỒ SƠ THANH TOÁN VƯỢT THẨM QUYỀN PD</v>
          </cell>
        </row>
      </sheetData>
      <sheetData sheetId="2667">
        <row r="1">
          <cell r="A1" t="str">
            <v>PHIẾU XỬ LÝ HỒ SƠ THANH TOÁN VƯỢT THẨM QUYỀN PD</v>
          </cell>
        </row>
      </sheetData>
      <sheetData sheetId="2668">
        <row r="1">
          <cell r="A1" t="str">
            <v>PHIẾU XỬ LÝ HỒ SƠ THANH TOÁN VƯỢT THẨM QUYỀN PD</v>
          </cell>
        </row>
      </sheetData>
      <sheetData sheetId="2669">
        <row r="1">
          <cell r="A1" t="str">
            <v>PHIẾU XỬ LÝ HỒ SƠ THANH TOÁN VƯỢT THẨM QUYỀN PD</v>
          </cell>
        </row>
      </sheetData>
      <sheetData sheetId="2670">
        <row r="1">
          <cell r="A1" t="str">
            <v>PHIẾU XỬ LÝ HỒ SƠ THANH TOÁN VƯỢT THẨM QUYỀN PD</v>
          </cell>
        </row>
      </sheetData>
      <sheetData sheetId="2671">
        <row r="1">
          <cell r="A1" t="str">
            <v>PHIẾU XỬ LÝ HỒ SƠ THANH TOÁN VƯỢT THẨM QUYỀN PD</v>
          </cell>
        </row>
      </sheetData>
      <sheetData sheetId="2672">
        <row r="1">
          <cell r="A1" t="str">
            <v>PHIẾU XỬ LÝ HỒ SƠ THANH TOÁN VƯỢT THẨM QUYỀN PD</v>
          </cell>
        </row>
      </sheetData>
      <sheetData sheetId="2673">
        <row r="1">
          <cell r="A1" t="str">
            <v>PHIẾU XỬ LÝ HỒ SƠ THANH TOÁN VƯỢT THẨM QUYỀN PD</v>
          </cell>
        </row>
      </sheetData>
      <sheetData sheetId="2674">
        <row r="1">
          <cell r="A1" t="str">
            <v>PHIẾU XỬ LÝ HỒ SƠ THANH TOÁN VƯỢT THẨM QUYỀN PD</v>
          </cell>
        </row>
      </sheetData>
      <sheetData sheetId="2675">
        <row r="1">
          <cell r="A1" t="str">
            <v>PHIẾU XỬ LÝ HỒ SƠ THANH TOÁN VƯỢT THẨM QUYỀN PD</v>
          </cell>
        </row>
      </sheetData>
      <sheetData sheetId="2676">
        <row r="1">
          <cell r="A1" t="str">
            <v>PHIẾU XỬ LÝ HỒ SƠ THANH TOÁN VƯỢT THẨM QUYỀN PD</v>
          </cell>
        </row>
      </sheetData>
      <sheetData sheetId="2677">
        <row r="1">
          <cell r="A1" t="str">
            <v>PHIẾU XỬ LÝ HỒ SƠ THANH TOÁN VƯỢT THẨM QUYỀN PD</v>
          </cell>
        </row>
      </sheetData>
      <sheetData sheetId="2678">
        <row r="1">
          <cell r="A1" t="str">
            <v>PHIẾU XỬ LÝ HỒ SƠ THANH TOÁN VƯỢT THẨM QUYỀN PD</v>
          </cell>
        </row>
      </sheetData>
      <sheetData sheetId="2679">
        <row r="1">
          <cell r="A1" t="str">
            <v>PHIẾU XỬ LÝ HỒ SƠ THANH TOÁN VƯỢT THẨM QUYỀN PD</v>
          </cell>
        </row>
      </sheetData>
      <sheetData sheetId="2680">
        <row r="1">
          <cell r="A1" t="str">
            <v>PHIẾU XỬ LÝ HỒ SƠ THANH TOÁN VƯỢT THẨM QUYỀN PD</v>
          </cell>
        </row>
      </sheetData>
      <sheetData sheetId="2681">
        <row r="1">
          <cell r="A1" t="str">
            <v>PHIẾU XỬ LÝ HỒ SƠ THANH TOÁN VƯỢT THẨM QUYỀN PD</v>
          </cell>
        </row>
      </sheetData>
      <sheetData sheetId="2682">
        <row r="1">
          <cell r="A1" t="str">
            <v>PHIẾU XỬ LÝ HỒ SƠ THANH TOÁN VƯỢT THẨM QUYỀN PD</v>
          </cell>
        </row>
      </sheetData>
      <sheetData sheetId="2683">
        <row r="1">
          <cell r="A1" t="str">
            <v>PHIẾU XỬ LÝ HỒ SƠ THANH TOÁN VƯỢT THẨM QUYỀN PD</v>
          </cell>
        </row>
      </sheetData>
      <sheetData sheetId="2684">
        <row r="1">
          <cell r="A1" t="str">
            <v>PHIẾU XỬ LÝ HỒ SƠ THANH TOÁN VƯỢT THẨM QUYỀN PD</v>
          </cell>
        </row>
      </sheetData>
      <sheetData sheetId="2685">
        <row r="1">
          <cell r="A1" t="str">
            <v>PHIẾU XỬ LÝ HỒ SƠ THANH TOÁN VƯỢT THẨM QUYỀN PD</v>
          </cell>
        </row>
      </sheetData>
      <sheetData sheetId="2686">
        <row r="1">
          <cell r="A1" t="str">
            <v>PHIẾU XỬ LÝ HỒ SƠ THANH TOÁN VƯỢT THẨM QUYỀN PD</v>
          </cell>
        </row>
      </sheetData>
      <sheetData sheetId="2687">
        <row r="1">
          <cell r="A1" t="str">
            <v>PHIẾU XỬ LÝ HỒ SƠ THANH TOÁN VƯỢT THẨM QUYỀN PD</v>
          </cell>
        </row>
      </sheetData>
      <sheetData sheetId="2688">
        <row r="1">
          <cell r="A1" t="str">
            <v>PHIẾU XỬ LÝ HỒ SƠ THANH TOÁN VƯỢT THẨM QUYỀN PD</v>
          </cell>
        </row>
      </sheetData>
      <sheetData sheetId="2689">
        <row r="1">
          <cell r="A1" t="str">
            <v>PHIẾU XỬ LÝ HỒ SƠ THANH TOÁN VƯỢT THẨM QUYỀN PD</v>
          </cell>
        </row>
      </sheetData>
      <sheetData sheetId="2690">
        <row r="1">
          <cell r="A1" t="str">
            <v>PHIẾU XỬ LÝ HỒ SƠ THANH TOÁN VƯỢT THẨM QUYỀN PD</v>
          </cell>
        </row>
      </sheetData>
      <sheetData sheetId="2691">
        <row r="1">
          <cell r="A1" t="str">
            <v>PHIẾU XỬ LÝ HỒ SƠ THANH TOÁN VƯỢT THẨM QUYỀN PD</v>
          </cell>
        </row>
      </sheetData>
      <sheetData sheetId="2692">
        <row r="1">
          <cell r="A1" t="str">
            <v>PHIẾU XỬ LÝ HỒ SƠ THANH TOÁN VƯỢT THẨM QUYỀN PD</v>
          </cell>
        </row>
      </sheetData>
      <sheetData sheetId="2693">
        <row r="1">
          <cell r="A1" t="str">
            <v>PHIẾU XỬ LÝ HỒ SƠ THANH TOÁN VƯỢT THẨM QUYỀN PD</v>
          </cell>
        </row>
      </sheetData>
      <sheetData sheetId="2694">
        <row r="1">
          <cell r="A1" t="str">
            <v>PHIẾU XỬ LÝ HỒ SƠ THANH TOÁN VƯỢT THẨM QUYỀN PD</v>
          </cell>
        </row>
      </sheetData>
      <sheetData sheetId="2695">
        <row r="1">
          <cell r="A1" t="str">
            <v>PHIẾU XỬ LÝ HỒ SƠ THANH TOÁN VƯỢT THẨM QUYỀN PD</v>
          </cell>
        </row>
      </sheetData>
      <sheetData sheetId="2696">
        <row r="1">
          <cell r="A1" t="str">
            <v>PHIẾU XỬ LÝ HỒ SƠ THANH TOÁN VƯỢT THẨM QUYỀN PD</v>
          </cell>
        </row>
      </sheetData>
      <sheetData sheetId="2697">
        <row r="1">
          <cell r="A1" t="str">
            <v>PHIẾU XỬ LÝ HỒ SƠ THANH TOÁN VƯỢT THẨM QUYỀN PD</v>
          </cell>
        </row>
      </sheetData>
      <sheetData sheetId="2698">
        <row r="1">
          <cell r="A1" t="str">
            <v>PHIẾU XỬ LÝ HỒ SƠ THANH TOÁN VƯỢT THẨM QUYỀN PD</v>
          </cell>
        </row>
      </sheetData>
      <sheetData sheetId="2699">
        <row r="1">
          <cell r="A1" t="str">
            <v>PHIẾU XỬ LÝ HỒ SƠ THANH TOÁN VƯỢT THẨM QUYỀN PD</v>
          </cell>
        </row>
      </sheetData>
      <sheetData sheetId="2700">
        <row r="1">
          <cell r="A1" t="str">
            <v>PHIẾU XỬ LÝ HỒ SƠ THANH TOÁN VƯỢT THẨM QUYỀN PD</v>
          </cell>
        </row>
      </sheetData>
      <sheetData sheetId="2701">
        <row r="1">
          <cell r="A1" t="str">
            <v>PHIẾU XỬ LÝ HỒ SƠ THANH TOÁN VƯỢT THẨM QUYỀN PD</v>
          </cell>
        </row>
      </sheetData>
      <sheetData sheetId="2702">
        <row r="1">
          <cell r="A1" t="str">
            <v>PHIẾU XỬ LÝ HỒ SƠ THANH TOÁN VƯỢT THẨM QUYỀN PD</v>
          </cell>
        </row>
      </sheetData>
      <sheetData sheetId="2703">
        <row r="1">
          <cell r="A1" t="str">
            <v>PHIẾU XỬ LÝ HỒ SƠ THANH TOÁN VƯỢT THẨM QUYỀN PD</v>
          </cell>
        </row>
      </sheetData>
      <sheetData sheetId="2704">
        <row r="1">
          <cell r="A1" t="str">
            <v>PHIẾU XỬ LÝ HỒ SƠ THANH TOÁN VƯỢT THẨM QUYỀN PD</v>
          </cell>
        </row>
      </sheetData>
      <sheetData sheetId="2705">
        <row r="1">
          <cell r="A1" t="str">
            <v>PHIẾU XỬ LÝ HỒ SƠ THANH TOÁN VƯỢT THẨM QUYỀN PD</v>
          </cell>
        </row>
      </sheetData>
      <sheetData sheetId="2706">
        <row r="1">
          <cell r="A1" t="str">
            <v>PHIẾU XỬ LÝ HỒ SƠ THANH TOÁN VƯỢT THẨM QUYỀN PD</v>
          </cell>
        </row>
      </sheetData>
      <sheetData sheetId="2707">
        <row r="1">
          <cell r="A1" t="str">
            <v>PHIẾU XỬ LÝ HỒ SƠ THANH TOÁN VƯỢT THẨM QUYỀN PD</v>
          </cell>
        </row>
      </sheetData>
      <sheetData sheetId="2708">
        <row r="1">
          <cell r="A1" t="str">
            <v>PHIẾU XỬ LÝ HỒ SƠ THANH TOÁN VƯỢT THẨM QUYỀN PD</v>
          </cell>
        </row>
      </sheetData>
      <sheetData sheetId="2709">
        <row r="1">
          <cell r="A1" t="str">
            <v>PHIẾU XỬ LÝ HỒ SƠ THANH TOÁN VƯỢT THẨM QUYỀN PD</v>
          </cell>
        </row>
      </sheetData>
      <sheetData sheetId="2710">
        <row r="1">
          <cell r="A1" t="str">
            <v>PHIẾU XỬ LÝ HỒ SƠ THANH TOÁN VƯỢT THẨM QUYỀN PD</v>
          </cell>
        </row>
      </sheetData>
      <sheetData sheetId="2711">
        <row r="1">
          <cell r="A1" t="str">
            <v>PHIẾU XỬ LÝ HỒ SƠ THANH TOÁN VƯỢT THẨM QUYỀN PD</v>
          </cell>
        </row>
      </sheetData>
      <sheetData sheetId="2712">
        <row r="1">
          <cell r="A1" t="str">
            <v>PHIẾU XỬ LÝ HỒ SƠ THANH TOÁN VƯỢT THẨM QUYỀN PD</v>
          </cell>
        </row>
      </sheetData>
      <sheetData sheetId="2713">
        <row r="1">
          <cell r="A1" t="str">
            <v>PHIẾU XỬ LÝ HỒ SƠ THANH TOÁN VƯỢT THẨM QUYỀN PD</v>
          </cell>
        </row>
      </sheetData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>
        <row r="1">
          <cell r="A1" t="str">
            <v>PHIẾU XỬ LÝ HỒ SƠ THANH TOÁN VƯỢT THẨM QUYỀN PD</v>
          </cell>
        </row>
      </sheetData>
      <sheetData sheetId="2937">
        <row r="1">
          <cell r="A1" t="str">
            <v>PHIẾU XỬ LÝ HỒ SƠ THANH TOÁN VƯỢT THẨM QUYỀN PD</v>
          </cell>
        </row>
      </sheetData>
      <sheetData sheetId="2938">
        <row r="1">
          <cell r="A1" t="str">
            <v>PHIẾU XỬ LÝ HỒ SƠ THANH TOÁN VƯỢT THẨM QUYỀN PD</v>
          </cell>
        </row>
      </sheetData>
      <sheetData sheetId="2939">
        <row r="1">
          <cell r="A1" t="str">
            <v>PHIẾU XỬ LÝ HỒ SƠ THANH TOÁN VƯỢT THẨM QUYỀN PD</v>
          </cell>
        </row>
      </sheetData>
      <sheetData sheetId="2940">
        <row r="1">
          <cell r="A1" t="str">
            <v>PHIẾU XỬ LÝ HỒ SƠ THANH TOÁN VƯỢT THẨM QUYỀN PD</v>
          </cell>
        </row>
      </sheetData>
      <sheetData sheetId="2941">
        <row r="1">
          <cell r="A1" t="str">
            <v>PHIẾU XỬ LÝ HỒ SƠ THANH TOÁN VƯỢT THẨM QUYỀN PD</v>
          </cell>
        </row>
      </sheetData>
      <sheetData sheetId="2942" refreshError="1"/>
      <sheetData sheetId="2943" refreshError="1"/>
      <sheetData sheetId="2944" refreshError="1"/>
      <sheetData sheetId="2945"/>
      <sheetData sheetId="2946"/>
      <sheetData sheetId="2947">
        <row r="1">
          <cell r="A1" t="str">
            <v>PHIẾU XỬ LÝ HỒ SƠ THANH TOÁN VƯỢT THẨM QUYỀN PD</v>
          </cell>
        </row>
      </sheetData>
      <sheetData sheetId="2948">
        <row r="1">
          <cell r="A1" t="str">
            <v>PHIẾU XỬ LÝ HỒ SƠ THANH TOÁN VƯỢT THẨM QUYỀN PD</v>
          </cell>
        </row>
      </sheetData>
      <sheetData sheetId="2949">
        <row r="1">
          <cell r="A1" t="str">
            <v>PHIẾU XỬ LÝ HỒ SƠ THANH TOÁN VƯỢT THẨM QUYỀN PD</v>
          </cell>
        </row>
      </sheetData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/>
      <sheetData sheetId="2959">
        <row r="1">
          <cell r="A1" t="str">
            <v>PHIẾU XỬ LÝ HỒ SƠ THANH TOÁN VƯỢT THẨM QUYỀN PD</v>
          </cell>
        </row>
      </sheetData>
      <sheetData sheetId="2960">
        <row r="1">
          <cell r="A1" t="str">
            <v>PHIẾU XỬ LÝ HỒ SƠ THANH TOÁN VƯỢT THẨM QUYỀN PD</v>
          </cell>
        </row>
      </sheetData>
      <sheetData sheetId="2961">
        <row r="1">
          <cell r="A1" t="str">
            <v>PHIẾU XỬ LÝ HỒ SƠ THANH TOÁN VƯỢT THẨM QUYỀN PD</v>
          </cell>
        </row>
      </sheetData>
      <sheetData sheetId="2962">
        <row r="1">
          <cell r="A1" t="str">
            <v>PHIẾU XỬ LÝ HỒ SƠ THANH TOÁN VƯỢT THẨM QUYỀN PD</v>
          </cell>
        </row>
      </sheetData>
      <sheetData sheetId="2963">
        <row r="1">
          <cell r="A1" t="str">
            <v>PHIẾU XỬ LÝ HỒ SƠ THANH TOÁN VƯỢT THẨM QUYỀN PD</v>
          </cell>
        </row>
      </sheetData>
      <sheetData sheetId="2964">
        <row r="1">
          <cell r="A1" t="str">
            <v>PHIẾU XỬ LÝ HỒ SƠ THANH TOÁN VƯỢT THẨM QUYỀN PD</v>
          </cell>
        </row>
      </sheetData>
      <sheetData sheetId="2965">
        <row r="1">
          <cell r="A1" t="str">
            <v>PHIẾU XỬ LÝ HỒ SƠ THANH TOÁN VƯỢT THẨM QUYỀN PD</v>
          </cell>
        </row>
      </sheetData>
      <sheetData sheetId="2966"/>
      <sheetData sheetId="2967"/>
      <sheetData sheetId="2968">
        <row r="1">
          <cell r="A1" t="str">
            <v>PHIẾU XỬ LÝ HỒ SƠ THANH TOÁN VƯỢT THẨM QUYỀN PD</v>
          </cell>
        </row>
      </sheetData>
      <sheetData sheetId="2969">
        <row r="1">
          <cell r="A1" t="str">
            <v>PHIẾU XỬ LÝ HỒ SƠ THANH TOÁN VƯỢT THẨM QUYỀN PD</v>
          </cell>
        </row>
      </sheetData>
      <sheetData sheetId="2970">
        <row r="1">
          <cell r="A1" t="str">
            <v>PHIẾU XỬ LÝ HỒ SƠ THANH TOÁN VƯỢT THẨM QUYỀN PD</v>
          </cell>
        </row>
      </sheetData>
      <sheetData sheetId="2971">
        <row r="1">
          <cell r="A1" t="str">
            <v>PHIẾU XỬ LÝ HỒ SƠ THANH TOÁN VƯỢT THẨM QUYỀN PD</v>
          </cell>
        </row>
      </sheetData>
      <sheetData sheetId="2972">
        <row r="1">
          <cell r="A1" t="str">
            <v>PHIẾU XỬ LÝ HỒ SƠ THANH TOÁN VƯỢT THẨM QUYỀN PD</v>
          </cell>
        </row>
      </sheetData>
      <sheetData sheetId="2973">
        <row r="1">
          <cell r="A1" t="str">
            <v>PHIẾU XỬ LÝ HỒ SƠ THANH TOÁN VƯỢT THẨM QUYỀN PD</v>
          </cell>
        </row>
      </sheetData>
      <sheetData sheetId="2974">
        <row r="1">
          <cell r="A1" t="str">
            <v>PHIẾU XỬ LÝ HỒ SƠ THANH TOÁN VƯỢT THẨM QUYỀN PD</v>
          </cell>
        </row>
      </sheetData>
      <sheetData sheetId="2975">
        <row r="1">
          <cell r="A1" t="str">
            <v>PHIẾU XỬ LÝ HỒ SƠ THANH TOÁN VƯỢT THẨM QUYỀN PD</v>
          </cell>
        </row>
      </sheetData>
      <sheetData sheetId="2976">
        <row r="1">
          <cell r="A1" t="str">
            <v>PHIẾU XỬ LÝ HỒ SƠ THANH TOÁN VƯỢT THẨM QUYỀN PD</v>
          </cell>
        </row>
      </sheetData>
      <sheetData sheetId="2977">
        <row r="1">
          <cell r="A1" t="str">
            <v>PHIẾU XỬ LÝ HỒ SƠ THANH TOÁN VƯỢT THẨM QUYỀN PD</v>
          </cell>
        </row>
      </sheetData>
      <sheetData sheetId="2978">
        <row r="1">
          <cell r="A1" t="str">
            <v>PHIẾU XỬ LÝ HỒ SƠ THANH TOÁN VƯỢT THẨM QUYỀN PD</v>
          </cell>
        </row>
      </sheetData>
      <sheetData sheetId="2979">
        <row r="1">
          <cell r="A1" t="str">
            <v>PHIẾU XỬ LÝ HỒ SƠ THANH TOÁN VƯỢT THẨM QUYỀN PD</v>
          </cell>
        </row>
      </sheetData>
      <sheetData sheetId="2980">
        <row r="1">
          <cell r="A1" t="str">
            <v>PHIẾU XỬ LÝ HỒ SƠ THANH TOÁN VƯỢT THẨM QUYỀN PD</v>
          </cell>
        </row>
      </sheetData>
      <sheetData sheetId="2981">
        <row r="1">
          <cell r="A1" t="str">
            <v>PHIẾU XỬ LÝ HỒ SƠ THANH TOÁN VƯỢT THẨM QUYỀN PD</v>
          </cell>
        </row>
      </sheetData>
      <sheetData sheetId="2982">
        <row r="1">
          <cell r="A1" t="str">
            <v>PHIẾU XỬ LÝ HỒ SƠ THANH TOÁN VƯỢT THẨM QUYỀN PD</v>
          </cell>
        </row>
      </sheetData>
      <sheetData sheetId="2983">
        <row r="1">
          <cell r="A1" t="str">
            <v>PHIẾU XỬ LÝ HỒ SƠ THANH TOÁN VƯỢT THẨM QUYỀN PD</v>
          </cell>
        </row>
      </sheetData>
      <sheetData sheetId="2984">
        <row r="1">
          <cell r="A1" t="str">
            <v>PHIẾU XỬ LÝ HỒ SƠ THANH TOÁN VƯỢT THẨM QUYỀN PD</v>
          </cell>
        </row>
      </sheetData>
      <sheetData sheetId="2985">
        <row r="1">
          <cell r="A1" t="str">
            <v>PHIẾU XỬ LÝ HỒ SƠ THANH TOÁN VƯỢT THẨM QUYỀN PD</v>
          </cell>
        </row>
      </sheetData>
      <sheetData sheetId="2986">
        <row r="1">
          <cell r="A1" t="str">
            <v>PHIẾU XỬ LÝ HỒ SƠ THANH TOÁN VƯỢT THẨM QUYỀN PD</v>
          </cell>
        </row>
      </sheetData>
      <sheetData sheetId="2987">
        <row r="1">
          <cell r="A1" t="str">
            <v>PHIẾU XỬ LÝ HỒ SƠ THANH TOÁN VƯỢT THẨM QUYỀN PD</v>
          </cell>
        </row>
      </sheetData>
      <sheetData sheetId="2988">
        <row r="1">
          <cell r="A1" t="str">
            <v>PHIẾU XỬ LÝ HỒ SƠ THANH TOÁN VƯỢT THẨM QUYỀN PD</v>
          </cell>
        </row>
      </sheetData>
      <sheetData sheetId="2989">
        <row r="1">
          <cell r="A1" t="str">
            <v>PHIẾU XỬ LÝ HỒ SƠ THANH TOÁN VƯỢT THẨM QUYỀN PD</v>
          </cell>
        </row>
      </sheetData>
      <sheetData sheetId="2990">
        <row r="1">
          <cell r="A1" t="str">
            <v>PHIẾU XỬ LÝ HỒ SƠ THANH TOÁN VƯỢT THẨM QUYỀN PD</v>
          </cell>
        </row>
      </sheetData>
      <sheetData sheetId="2991">
        <row r="1">
          <cell r="A1" t="str">
            <v>PHIẾU XỬ LÝ HỒ SƠ THANH TOÁN VƯỢT THẨM QUYỀN PD</v>
          </cell>
        </row>
      </sheetData>
      <sheetData sheetId="2992">
        <row r="1">
          <cell r="A1" t="str">
            <v>PHIẾU XỬ LÝ HỒ SƠ THANH TOÁN VƯỢT THẨM QUYỀN PD</v>
          </cell>
        </row>
      </sheetData>
      <sheetData sheetId="2993">
        <row r="1">
          <cell r="A1" t="str">
            <v>PHIẾU XỬ LÝ HỒ SƠ THANH TOÁN VƯỢT THẨM QUYỀN PD</v>
          </cell>
        </row>
      </sheetData>
      <sheetData sheetId="2994">
        <row r="1">
          <cell r="A1" t="str">
            <v>PHIẾU XỬ LÝ HỒ SƠ THANH TOÁN VƯỢT THẨM QUYỀN PD</v>
          </cell>
        </row>
      </sheetData>
      <sheetData sheetId="2995">
        <row r="1">
          <cell r="A1" t="str">
            <v>PHIẾU XỬ LÝ HỒ SƠ THANH TOÁN VƯỢT THẨM QUYỀN PD</v>
          </cell>
        </row>
      </sheetData>
      <sheetData sheetId="2996">
        <row r="1">
          <cell r="A1" t="str">
            <v>PHIẾU XỬ LÝ HỒ SƠ THANH TOÁN VƯỢT THẨM QUYỀN PD</v>
          </cell>
        </row>
      </sheetData>
      <sheetData sheetId="2997">
        <row r="1">
          <cell r="A1" t="str">
            <v>PHIẾU XỬ LÝ HỒ SƠ THANH TOÁN VƯỢT THẨM QUYỀN PD</v>
          </cell>
        </row>
      </sheetData>
      <sheetData sheetId="2998">
        <row r="1">
          <cell r="A1" t="str">
            <v>PHIẾU XỬ LÝ HỒ SƠ THANH TOÁN VƯỢT THẨM QUYỀN PD</v>
          </cell>
        </row>
      </sheetData>
      <sheetData sheetId="2999">
        <row r="1">
          <cell r="A1" t="str">
            <v>PHIẾU XỬ LÝ HỒ SƠ THANH TOÁN VƯỢT THẨM QUYỀN PD</v>
          </cell>
        </row>
      </sheetData>
      <sheetData sheetId="3000">
        <row r="1">
          <cell r="A1" t="str">
            <v>PHIẾU XỬ LÝ HỒ SƠ THANH TOÁN VƯỢT THẨM QUYỀN PD</v>
          </cell>
        </row>
      </sheetData>
      <sheetData sheetId="3001">
        <row r="1">
          <cell r="A1" t="str">
            <v>PHIẾU XỬ LÝ HỒ SƠ THANH TOÁN VƯỢT THẨM QUYỀN PD</v>
          </cell>
        </row>
      </sheetData>
      <sheetData sheetId="3002">
        <row r="1">
          <cell r="A1" t="str">
            <v>PHIẾU XỬ LÝ HỒ SƠ THANH TOÁN VƯỢT THẨM QUYỀN PD</v>
          </cell>
        </row>
      </sheetData>
      <sheetData sheetId="3003">
        <row r="1">
          <cell r="A1" t="str">
            <v>PHIẾU XỬ LÝ HỒ SƠ THANH TOÁN VƯỢT THẨM QUYỀN PD</v>
          </cell>
        </row>
      </sheetData>
      <sheetData sheetId="3004">
        <row r="1">
          <cell r="A1" t="str">
            <v>PHIẾU XỬ LÝ HỒ SƠ THANH TOÁN VƯỢT THẨM QUYỀN PD</v>
          </cell>
        </row>
      </sheetData>
      <sheetData sheetId="3005">
        <row r="1">
          <cell r="A1" t="str">
            <v>PHIẾU XỬ LÝ HỒ SƠ THANH TOÁN VƯỢT THẨM QUYỀN PD</v>
          </cell>
        </row>
      </sheetData>
      <sheetData sheetId="3006">
        <row r="1">
          <cell r="A1" t="str">
            <v>PHIẾU XỬ LÝ HỒ SƠ THANH TOÁN VƯỢT THẨM QUYỀN PD</v>
          </cell>
        </row>
      </sheetData>
      <sheetData sheetId="3007">
        <row r="1">
          <cell r="A1" t="str">
            <v>PHIẾU XỬ LÝ HỒ SƠ THANH TOÁN VƯỢT THẨM QUYỀN PD</v>
          </cell>
        </row>
      </sheetData>
      <sheetData sheetId="3008">
        <row r="1">
          <cell r="A1" t="str">
            <v>PHIẾU XỬ LÝ HỒ SƠ THANH TOÁN VƯỢT THẨM QUYỀN PD</v>
          </cell>
        </row>
      </sheetData>
      <sheetData sheetId="3009">
        <row r="1">
          <cell r="A1" t="str">
            <v>PHIẾU XỬ LÝ HỒ SƠ THANH TOÁN VƯỢT THẨM QUYỀN PD</v>
          </cell>
        </row>
      </sheetData>
      <sheetData sheetId="3010">
        <row r="1">
          <cell r="A1" t="str">
            <v>PHIẾU XỬ LÝ HỒ SƠ THANH TOÁN VƯỢT THẨM QUYỀN PD</v>
          </cell>
        </row>
      </sheetData>
      <sheetData sheetId="3011">
        <row r="1">
          <cell r="A1" t="str">
            <v>PHIẾU XỬ LÝ HỒ SƠ THANH TOÁN VƯỢT THẨM QUYỀN PD</v>
          </cell>
        </row>
      </sheetData>
      <sheetData sheetId="3012">
        <row r="1">
          <cell r="A1" t="str">
            <v>PHIẾU XỬ LÝ HỒ SƠ THANH TOÁN VƯỢT THẨM QUYỀN PD</v>
          </cell>
        </row>
      </sheetData>
      <sheetData sheetId="3013">
        <row r="1">
          <cell r="A1" t="str">
            <v>PHIẾU XỬ LÝ HỒ SƠ THANH TOÁN VƯỢT THẨM QUYỀN PD</v>
          </cell>
        </row>
      </sheetData>
      <sheetData sheetId="3014">
        <row r="1">
          <cell r="A1" t="str">
            <v>PHIẾU XỬ LÝ HỒ SƠ THANH TOÁN VƯỢT THẨM QUYỀN PD</v>
          </cell>
        </row>
      </sheetData>
      <sheetData sheetId="3015">
        <row r="1">
          <cell r="A1" t="str">
            <v>PHIẾU XỬ LÝ HỒ SƠ THANH TOÁN VƯỢT THẨM QUYỀN PD</v>
          </cell>
        </row>
      </sheetData>
      <sheetData sheetId="3016">
        <row r="1">
          <cell r="A1" t="str">
            <v>PHIẾU XỬ LÝ HỒ SƠ THANH TOÁN VƯỢT THẨM QUYỀN PD</v>
          </cell>
        </row>
      </sheetData>
      <sheetData sheetId="3017">
        <row r="1">
          <cell r="A1" t="str">
            <v>PHIẾU XỬ LÝ HỒ SƠ THANH TOÁN VƯỢT THẨM QUYỀN PD</v>
          </cell>
        </row>
      </sheetData>
      <sheetData sheetId="3018">
        <row r="1">
          <cell r="A1" t="str">
            <v>PHIẾU XỬ LÝ HỒ SƠ THANH TOÁN VƯỢT THẨM QUYỀN PD</v>
          </cell>
        </row>
      </sheetData>
      <sheetData sheetId="3019">
        <row r="1">
          <cell r="A1" t="str">
            <v>PHIẾU XỬ LÝ HỒ SƠ THANH TOÁN VƯỢT THẨM QUYỀN PD</v>
          </cell>
        </row>
      </sheetData>
      <sheetData sheetId="3020">
        <row r="1">
          <cell r="A1" t="str">
            <v>PHIẾU XỬ LÝ HỒ SƠ THANH TOÁN VƯỢT THẨM QUYỀN PD</v>
          </cell>
        </row>
      </sheetData>
      <sheetData sheetId="3021">
        <row r="1">
          <cell r="A1" t="str">
            <v>PHIẾU XỬ LÝ HỒ SƠ THANH TOÁN VƯỢT THẨM QUYỀN PD</v>
          </cell>
        </row>
      </sheetData>
      <sheetData sheetId="3022">
        <row r="1">
          <cell r="A1" t="str">
            <v>PHIẾU XỬ LÝ HỒ SƠ THANH TOÁN VƯỢT THẨM QUYỀN PD</v>
          </cell>
        </row>
      </sheetData>
      <sheetData sheetId="3023">
        <row r="1">
          <cell r="A1" t="str">
            <v>PHIẾU XỬ LÝ HỒ SƠ THANH TOÁN VƯỢT THẨM QUYỀN PD</v>
          </cell>
        </row>
      </sheetData>
      <sheetData sheetId="3024">
        <row r="1">
          <cell r="A1" t="str">
            <v>PHIẾU XỬ LÝ HỒ SƠ THANH TOÁN VƯỢT THẨM QUYỀN PD</v>
          </cell>
        </row>
      </sheetData>
      <sheetData sheetId="3025">
        <row r="1">
          <cell r="A1" t="str">
            <v>PHIẾU XỬ LÝ HỒ SƠ THANH TOÁN VƯỢT THẨM QUYỀN PD</v>
          </cell>
        </row>
      </sheetData>
      <sheetData sheetId="3026">
        <row r="1">
          <cell r="A1" t="str">
            <v>PHIẾU XỬ LÝ HỒ SƠ THANH TOÁN VƯỢT THẨM QUYỀN PD</v>
          </cell>
        </row>
      </sheetData>
      <sheetData sheetId="3027">
        <row r="1">
          <cell r="A1" t="str">
            <v>PHIẾU XỬ LÝ HỒ SƠ THANH TOÁN VƯỢT THẨM QUYỀN PD</v>
          </cell>
        </row>
      </sheetData>
      <sheetData sheetId="3028">
        <row r="1">
          <cell r="A1" t="str">
            <v>PHIẾU XỬ LÝ HỒ SƠ THANH TOÁN VƯỢT THẨM QUYỀN PD</v>
          </cell>
        </row>
      </sheetData>
      <sheetData sheetId="3029">
        <row r="1">
          <cell r="A1" t="str">
            <v>PHIẾU XỬ LÝ HỒ SƠ THANH TOÁN VƯỢT THẨM QUYỀN PD</v>
          </cell>
        </row>
      </sheetData>
      <sheetData sheetId="3030">
        <row r="1">
          <cell r="A1" t="str">
            <v>PHIẾU XỬ LÝ HỒ SƠ THANH TOÁN VƯỢT THẨM QUYỀN PD</v>
          </cell>
        </row>
      </sheetData>
      <sheetData sheetId="3031">
        <row r="1">
          <cell r="A1" t="str">
            <v>PHIẾU XỬ LÝ HỒ SƠ THANH TOÁN VƯỢT THẨM QUYỀN PD</v>
          </cell>
        </row>
      </sheetData>
      <sheetData sheetId="3032">
        <row r="1">
          <cell r="A1" t="str">
            <v>PHIẾU XỬ LÝ HỒ SƠ THANH TOÁN VƯỢT THẨM QUYỀN PD</v>
          </cell>
        </row>
      </sheetData>
      <sheetData sheetId="3033">
        <row r="1">
          <cell r="A1" t="str">
            <v>PHIẾU XỬ LÝ HỒ SƠ THANH TOÁN VƯỢT THẨM QUYỀN PD</v>
          </cell>
        </row>
      </sheetData>
      <sheetData sheetId="3034">
        <row r="1">
          <cell r="A1" t="str">
            <v>PHIẾU XỬ LÝ HỒ SƠ THANH TOÁN VƯỢT THẨM QUYỀN PD</v>
          </cell>
        </row>
      </sheetData>
      <sheetData sheetId="3035">
        <row r="1">
          <cell r="A1" t="str">
            <v>PHIẾU XỬ LÝ HỒ SƠ THANH TOÁN VƯỢT THẨM QUYỀN PD</v>
          </cell>
        </row>
      </sheetData>
      <sheetData sheetId="3036">
        <row r="1">
          <cell r="A1" t="str">
            <v>PHIẾU XỬ LÝ HỒ SƠ THANH TOÁN VƯỢT THẨM QUYỀN PD</v>
          </cell>
        </row>
      </sheetData>
      <sheetData sheetId="3037">
        <row r="1">
          <cell r="A1" t="str">
            <v>PHIẾU XỬ LÝ HỒ SƠ THANH TOÁN VƯỢT THẨM QUYỀN PD</v>
          </cell>
        </row>
      </sheetData>
      <sheetData sheetId="3038">
        <row r="1">
          <cell r="A1" t="str">
            <v>PHIẾU XỬ LÝ HỒ SƠ THANH TOÁN VƯỢT THẨM QUYỀN PD</v>
          </cell>
        </row>
      </sheetData>
      <sheetData sheetId="3039">
        <row r="1">
          <cell r="A1" t="str">
            <v>PHIẾU XỬ LÝ HỒ SƠ THANH TOÁN VƯỢT THẨM QUYỀN PD</v>
          </cell>
        </row>
      </sheetData>
      <sheetData sheetId="3040">
        <row r="1">
          <cell r="A1" t="str">
            <v>PHIẾU XỬ LÝ HỒ SƠ THANH TOÁN VƯỢT THẨM QUYỀN PD</v>
          </cell>
        </row>
      </sheetData>
      <sheetData sheetId="3041">
        <row r="1">
          <cell r="A1" t="str">
            <v>PHIẾU XỬ LÝ HỒ SƠ THANH TOÁN VƯỢT THẨM QUYỀN PD</v>
          </cell>
        </row>
      </sheetData>
      <sheetData sheetId="3042">
        <row r="1">
          <cell r="A1" t="str">
            <v>PHIẾU XỬ LÝ HỒ SƠ THANH TOÁN VƯỢT THẨM QUYỀN PD</v>
          </cell>
        </row>
      </sheetData>
      <sheetData sheetId="3043">
        <row r="1">
          <cell r="A1" t="str">
            <v>PHIẾU XỬ LÝ HỒ SƠ THANH TOÁN VƯỢT THẨM QUYỀN PD</v>
          </cell>
        </row>
      </sheetData>
      <sheetData sheetId="3044">
        <row r="1">
          <cell r="A1" t="str">
            <v>PHIẾU XỬ LÝ HỒ SƠ THANH TOÁN VƯỢT THẨM QUYỀN PD</v>
          </cell>
        </row>
      </sheetData>
      <sheetData sheetId="3045">
        <row r="1">
          <cell r="A1" t="str">
            <v>PHIẾU XỬ LÝ HỒ SƠ THANH TOÁN VƯỢT THẨM QUYỀN PD</v>
          </cell>
        </row>
      </sheetData>
      <sheetData sheetId="3046">
        <row r="1">
          <cell r="A1" t="str">
            <v>PHIẾU XỬ LÝ HỒ SƠ THANH TOÁN VƯỢT THẨM QUYỀN PD</v>
          </cell>
        </row>
      </sheetData>
      <sheetData sheetId="3047">
        <row r="1">
          <cell r="A1" t="str">
            <v>PHIẾU XỬ LÝ HỒ SƠ THANH TOÁN VƯỢT THẨM QUYỀN PD</v>
          </cell>
        </row>
      </sheetData>
      <sheetData sheetId="3048">
        <row r="1">
          <cell r="A1" t="str">
            <v>PHIẾU XỬ LÝ HỒ SƠ THANH TOÁN VƯỢT THẨM QUYỀN PD</v>
          </cell>
        </row>
      </sheetData>
      <sheetData sheetId="3049">
        <row r="1">
          <cell r="A1" t="str">
            <v>PHIẾU XỬ LÝ HỒ SƠ THANH TOÁN VƯỢT THẨM QUYỀN PD</v>
          </cell>
        </row>
      </sheetData>
      <sheetData sheetId="3050">
        <row r="1">
          <cell r="A1" t="str">
            <v>PHIẾU XỬ LÝ HỒ SƠ THANH TOÁN VƯỢT THẨM QUYỀN PD</v>
          </cell>
        </row>
      </sheetData>
      <sheetData sheetId="3051">
        <row r="1">
          <cell r="A1" t="str">
            <v>PHIẾU XỬ LÝ HỒ SƠ THANH TOÁN VƯỢT THẨM QUYỀN PD</v>
          </cell>
        </row>
      </sheetData>
      <sheetData sheetId="3052">
        <row r="1">
          <cell r="A1" t="str">
            <v>PHIẾU XỬ LÝ HỒ SƠ THANH TOÁN VƯỢT THẨM QUYỀN PD</v>
          </cell>
        </row>
      </sheetData>
      <sheetData sheetId="3053">
        <row r="1">
          <cell r="A1" t="str">
            <v>PHIẾU XỬ LÝ HỒ SƠ THANH TOÁN VƯỢT THẨM QUYỀN PD</v>
          </cell>
        </row>
      </sheetData>
      <sheetData sheetId="3054">
        <row r="1">
          <cell r="A1" t="str">
            <v>PHIẾU XỬ LÝ HỒ SƠ THANH TOÁN VƯỢT THẨM QUYỀN PD</v>
          </cell>
        </row>
      </sheetData>
      <sheetData sheetId="3055">
        <row r="1">
          <cell r="A1" t="str">
            <v>PHIẾU XỬ LÝ HỒ SƠ THANH TOÁN VƯỢT THẨM QUYỀN PD</v>
          </cell>
        </row>
      </sheetData>
      <sheetData sheetId="3056">
        <row r="1">
          <cell r="A1" t="str">
            <v>PHIẾU XỬ LÝ HỒ SƠ THANH TOÁN VƯỢT THẨM QUYỀN PD</v>
          </cell>
        </row>
      </sheetData>
      <sheetData sheetId="3057">
        <row r="1">
          <cell r="A1" t="str">
            <v>PHIẾU XỬ LÝ HỒ SƠ THANH TOÁN VƯỢT THẨM QUYỀN PD</v>
          </cell>
        </row>
      </sheetData>
      <sheetData sheetId="3058">
        <row r="1">
          <cell r="A1" t="str">
            <v>PHIẾU XỬ LÝ HỒ SƠ THANH TOÁN VƯỢT THẨM QUYỀN PD</v>
          </cell>
        </row>
      </sheetData>
      <sheetData sheetId="3059">
        <row r="1">
          <cell r="A1" t="str">
            <v>PHIẾU XỬ LÝ HỒ SƠ THANH TOÁN VƯỢT THẨM QUYỀN PD</v>
          </cell>
        </row>
      </sheetData>
      <sheetData sheetId="3060">
        <row r="1">
          <cell r="A1" t="str">
            <v>PHIẾU XỬ LÝ HỒ SƠ THANH TOÁN VƯỢT THẨM QUYỀN PD</v>
          </cell>
        </row>
      </sheetData>
      <sheetData sheetId="3061">
        <row r="1">
          <cell r="A1" t="str">
            <v>PHIẾU XỬ LÝ HỒ SƠ THANH TOÁN VƯỢT THẨM QUYỀN PD</v>
          </cell>
        </row>
      </sheetData>
      <sheetData sheetId="3062">
        <row r="1">
          <cell r="A1" t="str">
            <v>PHIẾU XỬ LÝ HỒ SƠ THANH TOÁN VƯỢT THẨM QUYỀN PD</v>
          </cell>
        </row>
      </sheetData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>
        <row r="1">
          <cell r="A1" t="str">
            <v>PHIẾU XỬ LÝ HỒ SƠ THANH TOÁN VƯỢT THẨM QUYỀN PD</v>
          </cell>
        </row>
      </sheetData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>
        <row r="1">
          <cell r="A1" t="str">
            <v>PHIẾU XỬ LÝ HỒ SƠ THANH TOÁN VƯỢT THẨM QUYỀN PD</v>
          </cell>
        </row>
      </sheetData>
      <sheetData sheetId="3150">
        <row r="1">
          <cell r="A1" t="str">
            <v>PHIẾU XỬ LÝ HỒ SƠ THANH TOÁN VƯỢT THẨM QUYỀN PD</v>
          </cell>
        </row>
      </sheetData>
      <sheetData sheetId="3151">
        <row r="1">
          <cell r="A1" t="str">
            <v>PHIẾU XỬ LÝ HỒ SƠ THANH TOÁN VƯỢT THẨM QUYỀN PD</v>
          </cell>
        </row>
      </sheetData>
      <sheetData sheetId="3152">
        <row r="1">
          <cell r="A1" t="str">
            <v>PHIẾU XỬ LÝ HỒ SƠ THANH TOÁN VƯỢT THẨM QUYỀN PD</v>
          </cell>
        </row>
      </sheetData>
      <sheetData sheetId="3153">
        <row r="1">
          <cell r="A1" t="str">
            <v>PHIẾU XỬ LÝ HỒ SƠ THANH TOÁN VƯỢT THẨM QUYỀN PD</v>
          </cell>
        </row>
      </sheetData>
      <sheetData sheetId="3154">
        <row r="1">
          <cell r="A1" t="str">
            <v>PHIẾU XỬ LÝ HỒ SƠ THANH TOÁN VƯỢT THẨM QUYỀN PD</v>
          </cell>
        </row>
      </sheetData>
      <sheetData sheetId="3155">
        <row r="1">
          <cell r="A1" t="str">
            <v>PHIẾU XỬ LÝ HỒ SƠ THANH TOÁN VƯỢT THẨM QUYỀN PD</v>
          </cell>
        </row>
      </sheetData>
      <sheetData sheetId="3156">
        <row r="1">
          <cell r="A1" t="str">
            <v>PHIẾU XỬ LÝ HỒ SƠ THANH TOÁN VƯỢT THẨM QUYỀN PD</v>
          </cell>
        </row>
      </sheetData>
      <sheetData sheetId="3157">
        <row r="1">
          <cell r="A1" t="str">
            <v>PHIẾU XỬ LÝ HỒ SƠ THANH TOÁN VƯỢT THẨM QUYỀN PD</v>
          </cell>
        </row>
      </sheetData>
      <sheetData sheetId="3158">
        <row r="1">
          <cell r="A1" t="str">
            <v>PHIẾU XỬ LÝ HỒ SƠ THANH TOÁN VƯỢT THẨM QUYỀN PD</v>
          </cell>
        </row>
      </sheetData>
      <sheetData sheetId="3159">
        <row r="1">
          <cell r="A1" t="str">
            <v>PHIẾU XỬ LÝ HỒ SƠ THANH TOÁN VƯỢT THẨM QUYỀN PD</v>
          </cell>
        </row>
      </sheetData>
      <sheetData sheetId="3160">
        <row r="1">
          <cell r="A1" t="str">
            <v>PHIẾU XỬ LÝ HỒ SƠ THANH TOÁN VƯỢT THẨM QUYỀN PD</v>
          </cell>
        </row>
      </sheetData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>
        <row r="1">
          <cell r="A1" t="str">
            <v>PHIẾU XỬ LÝ HỒ SƠ THANH TOÁN VƯỢT THẨM QUYỀN PD</v>
          </cell>
        </row>
      </sheetData>
      <sheetData sheetId="3173">
        <row r="1">
          <cell r="A1" t="str">
            <v>PHIẾU XỬ LÝ HỒ SƠ THANH TOÁN VƯỢT THẨM QUYỀN PD</v>
          </cell>
        </row>
      </sheetData>
      <sheetData sheetId="3174">
        <row r="1">
          <cell r="A1" t="str">
            <v>PHIẾU XỬ LÝ HỒ SƠ THANH TOÁN VƯỢT THẨM QUYỀN PD</v>
          </cell>
        </row>
      </sheetData>
      <sheetData sheetId="3175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>
        <row r="1">
          <cell r="A1" t="str">
            <v>PHIẾU XỬ LÝ HỒ SƠ THANH TOÁN VƯỢT THẨM QUYỀN PD</v>
          </cell>
        </row>
      </sheetData>
      <sheetData sheetId="3196">
        <row r="1">
          <cell r="A1" t="str">
            <v>PHIẾU XỬ LÝ HỒ SƠ THANH TOÁN VƯỢT THẨM QUYỀN PD</v>
          </cell>
        </row>
      </sheetData>
      <sheetData sheetId="3197">
        <row r="1">
          <cell r="A1" t="str">
            <v>PHIẾU XỬ LÝ HỒ SƠ THANH TOÁN VƯỢT THẨM QUYỀN PD</v>
          </cell>
        </row>
      </sheetData>
      <sheetData sheetId="3198">
        <row r="1">
          <cell r="A1" t="str">
            <v>PHIẾU XỬ LÝ HỒ SƠ THANH TOÁN VƯỢT THẨM QUYỀN PD</v>
          </cell>
        </row>
      </sheetData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>
        <row r="1">
          <cell r="A1" t="str">
            <v>PHIẾU XỬ LÝ HỒ SƠ THANH TOÁN VƯỢT THẨM QUYỀN PD</v>
          </cell>
        </row>
      </sheetData>
      <sheetData sheetId="3206">
        <row r="1">
          <cell r="A1" t="str">
            <v>PHIẾU XỬ LÝ HỒ SƠ THANH TOÁN VƯỢT THẨM QUYỀN PD</v>
          </cell>
        </row>
      </sheetData>
      <sheetData sheetId="3207" refreshError="1"/>
      <sheetData sheetId="3208" refreshError="1"/>
      <sheetData sheetId="3209">
        <row r="1">
          <cell r="A1" t="str">
            <v>PHIẾU XỬ LÝ HỒ SƠ THANH TOÁN VƯỢT THẨM QUYỀN PD</v>
          </cell>
        </row>
      </sheetData>
      <sheetData sheetId="3210">
        <row r="1">
          <cell r="A1" t="str">
            <v>PHIẾU XỬ LÝ HỒ SƠ THANH TOÁN VƯỢT THẨM QUYỀN PD</v>
          </cell>
        </row>
      </sheetData>
      <sheetData sheetId="3211">
        <row r="1">
          <cell r="A1" t="str">
            <v>PHIẾU XỬ LÝ HỒ SƠ THANH TOÁN VƯỢT THẨM QUYỀN PD</v>
          </cell>
        </row>
      </sheetData>
      <sheetData sheetId="3212">
        <row r="1">
          <cell r="A1" t="str">
            <v>PHIẾU XỬ LÝ HỒ SƠ THANH TOÁN VƯỢT THẨM QUYỀN PD</v>
          </cell>
        </row>
      </sheetData>
      <sheetData sheetId="3213">
        <row r="1">
          <cell r="A1" t="str">
            <v>PHIẾU XỬ LÝ HỒ SƠ THANH TOÁN VƯỢT THẨM QUYỀN PD</v>
          </cell>
        </row>
      </sheetData>
      <sheetData sheetId="3214">
        <row r="1">
          <cell r="A1" t="str">
            <v>PHIẾU XỬ LÝ HỒ SƠ THANH TOÁN VƯỢT THẨM QUYỀN PD</v>
          </cell>
        </row>
      </sheetData>
      <sheetData sheetId="3215">
        <row r="1">
          <cell r="A1" t="str">
            <v>PHIẾU XỬ LÝ HỒ SƠ THANH TOÁN VƯỢT THẨM QUYỀN PD</v>
          </cell>
        </row>
      </sheetData>
      <sheetData sheetId="3216">
        <row r="1">
          <cell r="A1" t="str">
            <v>PHIẾU XỬ LÝ HỒ SƠ THANH TOÁN VƯỢT THẨM QUYỀN PD</v>
          </cell>
        </row>
      </sheetData>
      <sheetData sheetId="3217">
        <row r="1">
          <cell r="A1" t="str">
            <v>PHIẾU XỬ LÝ HỒ SƠ THANH TOÁN VƯỢT THẨM QUYỀN PD</v>
          </cell>
        </row>
      </sheetData>
      <sheetData sheetId="3218">
        <row r="1">
          <cell r="A1" t="str">
            <v>PHIẾU XỬ LÝ HỒ SƠ THANH TOÁN VƯỢT THẨM QUYỀN PD</v>
          </cell>
        </row>
      </sheetData>
      <sheetData sheetId="3219">
        <row r="1">
          <cell r="A1" t="str">
            <v>PHIẾU XỬ LÝ HỒ SƠ THANH TOÁN VƯỢT THẨM QUYỀN PD</v>
          </cell>
        </row>
      </sheetData>
      <sheetData sheetId="3220">
        <row r="1">
          <cell r="A1" t="str">
            <v>PHIẾU XỬ LÝ HỒ SƠ THANH TOÁN VƯỢT THẨM QUYỀN PD</v>
          </cell>
        </row>
      </sheetData>
      <sheetData sheetId="3221">
        <row r="1">
          <cell r="A1" t="str">
            <v>PHIẾU XỬ LÝ HỒ SƠ THANH TOÁN VƯỢT THẨM QUYỀN PD</v>
          </cell>
        </row>
      </sheetData>
      <sheetData sheetId="3222">
        <row r="1">
          <cell r="A1" t="str">
            <v>PHIẾU XỬ LÝ HỒ SƠ THANH TOÁN VƯỢT THẨM QUYỀN PD</v>
          </cell>
        </row>
      </sheetData>
      <sheetData sheetId="3223">
        <row r="1">
          <cell r="A1" t="str">
            <v>PHIẾU XỬ LÝ HỒ SƠ THANH TOÁN VƯỢT THẨM QUYỀN PD</v>
          </cell>
        </row>
      </sheetData>
      <sheetData sheetId="3224">
        <row r="1">
          <cell r="A1" t="str">
            <v>PHIẾU XỬ LÝ HỒ SƠ THANH TOÁN VƯỢT THẨM QUYỀN PD</v>
          </cell>
        </row>
      </sheetData>
      <sheetData sheetId="3225">
        <row r="1">
          <cell r="A1" t="str">
            <v>PHIẾU XỬ LÝ HỒ SƠ THANH TOÁN VƯỢT THẨM QUYỀN PD</v>
          </cell>
        </row>
      </sheetData>
      <sheetData sheetId="3226">
        <row r="1">
          <cell r="A1" t="str">
            <v>PHIẾU XỬ LÝ HỒ SƠ THANH TOÁN VƯỢT THẨM QUYỀN PD</v>
          </cell>
        </row>
      </sheetData>
      <sheetData sheetId="3227">
        <row r="1">
          <cell r="A1" t="str">
            <v>PHIẾU XỬ LÝ HỒ SƠ THANH TOÁN VƯỢT THẨM QUYỀN PD</v>
          </cell>
        </row>
      </sheetData>
      <sheetData sheetId="3228">
        <row r="1">
          <cell r="A1" t="str">
            <v>PHIẾU XỬ LÝ HỒ SƠ THANH TOÁN VƯỢT THẨM QUYỀN PD</v>
          </cell>
        </row>
      </sheetData>
      <sheetData sheetId="3229">
        <row r="1">
          <cell r="A1" t="str">
            <v>PHIẾU XỬ LÝ HỒ SƠ THANH TOÁN VƯỢT THẨM QUYỀN PD</v>
          </cell>
        </row>
      </sheetData>
      <sheetData sheetId="3230">
        <row r="1">
          <cell r="A1" t="str">
            <v>PHIẾU XỬ LÝ HỒ SƠ THANH TOÁN VƯỢT THẨM QUYỀN PD</v>
          </cell>
        </row>
      </sheetData>
      <sheetData sheetId="3231">
        <row r="1">
          <cell r="A1" t="str">
            <v>PHIẾU XỬ LÝ HỒ SƠ THANH TOÁN VƯỢT THẨM QUYỀN PD</v>
          </cell>
        </row>
      </sheetData>
      <sheetData sheetId="3232">
        <row r="1">
          <cell r="A1" t="str">
            <v>PHIẾU XỬ LÝ HỒ SƠ THANH TOÁN VƯỢT THẨM QUYỀN PD</v>
          </cell>
        </row>
      </sheetData>
      <sheetData sheetId="3233">
        <row r="1">
          <cell r="A1" t="str">
            <v>PHIẾU XỬ LÝ HỒ SƠ THANH TOÁN VƯỢT THẨM QUYỀN PD</v>
          </cell>
        </row>
      </sheetData>
      <sheetData sheetId="3234">
        <row r="1">
          <cell r="A1" t="str">
            <v>PHIẾU XỬ LÝ HỒ SƠ THANH TOÁN VƯỢT THẨM QUYỀN PD</v>
          </cell>
        </row>
      </sheetData>
      <sheetData sheetId="3235">
        <row r="1">
          <cell r="A1" t="str">
            <v>PHIẾU XỬ LÝ HỒ SƠ THANH TOÁN VƯỢT THẨM QUYỀN PD</v>
          </cell>
        </row>
      </sheetData>
      <sheetData sheetId="3236">
        <row r="1">
          <cell r="A1" t="str">
            <v>PHIẾU XỬ LÝ HỒ SƠ THANH TOÁN VƯỢT THẨM QUYỀN PD</v>
          </cell>
        </row>
      </sheetData>
      <sheetData sheetId="3237">
        <row r="1">
          <cell r="A1" t="str">
            <v>PHIẾU XỬ LÝ HỒ SƠ THANH TOÁN VƯỢT THẨM QUYỀN PD</v>
          </cell>
        </row>
      </sheetData>
      <sheetData sheetId="3238">
        <row r="1">
          <cell r="A1" t="str">
            <v>PHIẾU XỬ LÝ HỒ SƠ THANH TOÁN VƯỢT THẨM QUYỀN PD</v>
          </cell>
        </row>
      </sheetData>
      <sheetData sheetId="3239">
        <row r="1">
          <cell r="A1" t="str">
            <v>PHIẾU XỬ LÝ HỒ SƠ THANH TOÁN VƯỢT THẨM QUYỀN PD</v>
          </cell>
        </row>
      </sheetData>
      <sheetData sheetId="3240">
        <row r="1">
          <cell r="A1" t="str">
            <v>PHIẾU XỬ LÝ HỒ SƠ THANH TOÁN VƯỢT THẨM QUYỀN PD</v>
          </cell>
        </row>
      </sheetData>
      <sheetData sheetId="3241">
        <row r="1">
          <cell r="A1" t="str">
            <v>PHIẾU XỬ LÝ HỒ SƠ THANH TOÁN VƯỢT THẨM QUYỀN PD</v>
          </cell>
        </row>
      </sheetData>
      <sheetData sheetId="3242">
        <row r="1">
          <cell r="A1" t="str">
            <v>PHIẾU XỬ LÝ HỒ SƠ THANH TOÁN VƯỢT THẨM QUYỀN PD</v>
          </cell>
        </row>
      </sheetData>
      <sheetData sheetId="3243">
        <row r="1">
          <cell r="A1" t="str">
            <v>PHIẾU XỬ LÝ HỒ SƠ THANH TOÁN VƯỢT THẨM QUYỀN PD</v>
          </cell>
        </row>
      </sheetData>
      <sheetData sheetId="3244">
        <row r="1">
          <cell r="A1" t="str">
            <v>PHIẾU XỬ LÝ HỒ SƠ THANH TOÁN VƯỢT THẨM QUYỀN PD</v>
          </cell>
        </row>
      </sheetData>
      <sheetData sheetId="3245">
        <row r="1">
          <cell r="A1" t="str">
            <v>PHIẾU XỬ LÝ HỒ SƠ THANH TOÁN VƯỢT THẨM QUYỀN PD</v>
          </cell>
        </row>
      </sheetData>
      <sheetData sheetId="3246">
        <row r="1">
          <cell r="A1" t="str">
            <v>PHIẾU XỬ LÝ HỒ SƠ THANH TOÁN VƯỢT THẨM QUYỀN PD</v>
          </cell>
        </row>
      </sheetData>
      <sheetData sheetId="3247">
        <row r="1">
          <cell r="A1" t="str">
            <v>PHIẾU XỬ LÝ HỒ SƠ THANH TOÁN VƯỢT THẨM QUYỀN PD</v>
          </cell>
        </row>
      </sheetData>
      <sheetData sheetId="3248">
        <row r="1">
          <cell r="A1" t="str">
            <v>PHIẾU XỬ LÝ HỒ SƠ THANH TOÁN VƯỢT THẨM QUYỀN PD</v>
          </cell>
        </row>
      </sheetData>
      <sheetData sheetId="3249">
        <row r="1">
          <cell r="A1" t="str">
            <v>PHIẾU XỬ LÝ HỒ SƠ THANH TOÁN VƯỢT THẨM QUYỀN PD</v>
          </cell>
        </row>
      </sheetData>
      <sheetData sheetId="3250">
        <row r="1">
          <cell r="A1" t="str">
            <v>PHIẾU XỬ LÝ HỒ SƠ THANH TOÁN VƯỢT THẨM QUYỀN PD</v>
          </cell>
        </row>
      </sheetData>
      <sheetData sheetId="3251">
        <row r="1">
          <cell r="A1" t="str">
            <v>PHIẾU XỬ LÝ HỒ SƠ THANH TOÁN VƯỢT THẨM QUYỀN PD</v>
          </cell>
        </row>
      </sheetData>
      <sheetData sheetId="3252">
        <row r="1">
          <cell r="A1" t="str">
            <v>PHIẾU XỬ LÝ HỒ SƠ THANH TOÁN VƯỢT THẨM QUYỀN PD</v>
          </cell>
        </row>
      </sheetData>
      <sheetData sheetId="3253">
        <row r="1">
          <cell r="A1" t="str">
            <v>PHIẾU XỬ LÝ HỒ SƠ THANH TOÁN VƯỢT THẨM QUYỀN PD</v>
          </cell>
        </row>
      </sheetData>
      <sheetData sheetId="3254">
        <row r="1">
          <cell r="A1" t="str">
            <v>PHIẾU XỬ LÝ HỒ SƠ THANH TOÁN VƯỢT THẨM QUYỀN PD</v>
          </cell>
        </row>
      </sheetData>
      <sheetData sheetId="3255">
        <row r="1">
          <cell r="A1" t="str">
            <v>PHIẾU XỬ LÝ HỒ SƠ THANH TOÁN VƯỢT THẨM QUYỀN PD</v>
          </cell>
        </row>
      </sheetData>
      <sheetData sheetId="3256">
        <row r="1">
          <cell r="A1" t="str">
            <v>PHIẾU XỬ LÝ HỒ SƠ THANH TOÁN VƯỢT THẨM QUYỀN PD</v>
          </cell>
        </row>
      </sheetData>
      <sheetData sheetId="3257">
        <row r="1">
          <cell r="A1" t="str">
            <v>PHIẾU XỬ LÝ HỒ SƠ THANH TOÁN VƯỢT THẨM QUYỀN PD</v>
          </cell>
        </row>
      </sheetData>
      <sheetData sheetId="3258">
        <row r="1">
          <cell r="A1" t="str">
            <v>PHIẾU XỬ LÝ HỒ SƠ THANH TOÁN VƯỢT THẨM QUYỀN PD</v>
          </cell>
        </row>
      </sheetData>
      <sheetData sheetId="3259">
        <row r="1">
          <cell r="A1" t="str">
            <v>PHIẾU XỬ LÝ HỒ SƠ THANH TOÁN VƯỢT THẨM QUYỀN PD</v>
          </cell>
        </row>
      </sheetData>
      <sheetData sheetId="3260">
        <row r="1">
          <cell r="A1" t="str">
            <v>PHIẾU XỬ LÝ HỒ SƠ THANH TOÁN VƯỢT THẨM QUYỀN PD</v>
          </cell>
        </row>
      </sheetData>
      <sheetData sheetId="3261">
        <row r="1">
          <cell r="A1" t="str">
            <v>PHIẾU XỬ LÝ HỒ SƠ THANH TOÁN VƯỢT THẨM QUYỀN PD</v>
          </cell>
        </row>
      </sheetData>
      <sheetData sheetId="3262">
        <row r="1">
          <cell r="A1" t="str">
            <v>PHIẾU XỬ LÝ HỒ SƠ THANH TOÁN VƯỢT THẨM QUYỀN PD</v>
          </cell>
        </row>
      </sheetData>
      <sheetData sheetId="3263">
        <row r="1">
          <cell r="A1" t="str">
            <v>PHIẾU XỬ LÝ HỒ SƠ THANH TOÁN VƯỢT THẨM QUYỀN PD</v>
          </cell>
        </row>
      </sheetData>
      <sheetData sheetId="3264">
        <row r="1">
          <cell r="A1" t="str">
            <v>PHIẾU XỬ LÝ HỒ SƠ THANH TOÁN VƯỢT THẨM QUYỀN PD</v>
          </cell>
        </row>
      </sheetData>
      <sheetData sheetId="3265">
        <row r="1">
          <cell r="A1" t="str">
            <v>PHIẾU XỬ LÝ HỒ SƠ THANH TOÁN VƯỢT THẨM QUYỀN PD</v>
          </cell>
        </row>
      </sheetData>
      <sheetData sheetId="3266">
        <row r="1">
          <cell r="A1" t="str">
            <v>PHIẾU XỬ LÝ HỒ SƠ THANH TOÁN VƯỢT THẨM QUYỀN PD</v>
          </cell>
        </row>
      </sheetData>
      <sheetData sheetId="3267">
        <row r="1">
          <cell r="A1" t="str">
            <v>PHIẾU XỬ LÝ HỒ SƠ THANH TOÁN VƯỢT THẨM QUYỀN PD</v>
          </cell>
        </row>
      </sheetData>
      <sheetData sheetId="3268">
        <row r="1">
          <cell r="A1" t="str">
            <v>PHIẾU XỬ LÝ HỒ SƠ THANH TOÁN VƯỢT THẨM QUYỀN PD</v>
          </cell>
        </row>
      </sheetData>
      <sheetData sheetId="3269">
        <row r="1">
          <cell r="A1" t="str">
            <v>PHIẾU XỬ LÝ HỒ SƠ THANH TOÁN VƯỢT THẨM QUYỀN PD</v>
          </cell>
        </row>
      </sheetData>
      <sheetData sheetId="3270">
        <row r="1">
          <cell r="A1" t="str">
            <v>PHIẾU XỬ LÝ HỒ SƠ THANH TOÁN VƯỢT THẨM QUYỀN PD</v>
          </cell>
        </row>
      </sheetData>
      <sheetData sheetId="3271">
        <row r="1">
          <cell r="A1" t="str">
            <v>PHIẾU XỬ LÝ HỒ SƠ THANH TOÁN VƯỢT THẨM QUYỀN PD</v>
          </cell>
        </row>
      </sheetData>
      <sheetData sheetId="3272">
        <row r="1">
          <cell r="A1" t="str">
            <v>PHIẾU XỬ LÝ HỒ SƠ THANH TOÁN VƯỢT THẨM QUYỀN PD</v>
          </cell>
        </row>
      </sheetData>
      <sheetData sheetId="3273">
        <row r="1">
          <cell r="A1" t="str">
            <v>PHIẾU XỬ LÝ HỒ SƠ THANH TOÁN VƯỢT THẨM QUYỀN PD</v>
          </cell>
        </row>
      </sheetData>
      <sheetData sheetId="3274">
        <row r="1">
          <cell r="A1" t="str">
            <v>PHIẾU XỬ LÝ HỒ SƠ THANH TOÁN VƯỢT THẨM QUYỀN PD</v>
          </cell>
        </row>
      </sheetData>
      <sheetData sheetId="3275">
        <row r="1">
          <cell r="A1" t="str">
            <v>PHIẾU XỬ LÝ HỒ SƠ THANH TOÁN VƯỢT THẨM QUYỀN PD</v>
          </cell>
        </row>
      </sheetData>
      <sheetData sheetId="3276">
        <row r="1">
          <cell r="A1" t="str">
            <v>PHIẾU XỬ LÝ HỒ SƠ THANH TOÁN VƯỢT THẨM QUYỀN PD</v>
          </cell>
        </row>
      </sheetData>
      <sheetData sheetId="3277">
        <row r="1">
          <cell r="A1" t="str">
            <v>PHIẾU XỬ LÝ HỒ SƠ THANH TOÁN VƯỢT THẨM QUYỀN PD</v>
          </cell>
        </row>
      </sheetData>
      <sheetData sheetId="3278">
        <row r="1">
          <cell r="A1" t="str">
            <v>PHIẾU XỬ LÝ HỒ SƠ THANH TOÁN VƯỢT THẨM QUYỀN PD</v>
          </cell>
        </row>
      </sheetData>
      <sheetData sheetId="3279">
        <row r="1">
          <cell r="A1" t="str">
            <v>PHIẾU XỬ LÝ HỒ SƠ THANH TOÁN VƯỢT THẨM QUYỀN PD</v>
          </cell>
        </row>
      </sheetData>
      <sheetData sheetId="3280">
        <row r="1">
          <cell r="A1" t="str">
            <v>PHIẾU XỬ LÝ HỒ SƠ THANH TOÁN VƯỢT THẨM QUYỀN PD</v>
          </cell>
        </row>
      </sheetData>
      <sheetData sheetId="3281">
        <row r="1">
          <cell r="A1" t="str">
            <v>PHIẾU XỬ LÝ HỒ SƠ THANH TOÁN VƯỢT THẨM QUYỀN PD</v>
          </cell>
        </row>
      </sheetData>
      <sheetData sheetId="3282">
        <row r="1">
          <cell r="A1" t="str">
            <v>PHIẾU XỬ LÝ HỒ SƠ THANH TOÁN VƯỢT THẨM QUYỀN PD</v>
          </cell>
        </row>
      </sheetData>
      <sheetData sheetId="3283">
        <row r="1">
          <cell r="A1" t="str">
            <v>PHIẾU XỬ LÝ HỒ SƠ THANH TOÁN VƯỢT THẨM QUYỀN PD</v>
          </cell>
        </row>
      </sheetData>
      <sheetData sheetId="3284">
        <row r="1">
          <cell r="A1" t="str">
            <v>PHIẾU XỬ LÝ HỒ SƠ THANH TOÁN VƯỢT THẨM QUYỀN PD</v>
          </cell>
        </row>
      </sheetData>
      <sheetData sheetId="3285">
        <row r="1">
          <cell r="A1" t="str">
            <v>PHIẾU XỬ LÝ HỒ SƠ THANH TOÁN VƯỢT THẨM QUYỀN PD</v>
          </cell>
        </row>
      </sheetData>
      <sheetData sheetId="3286">
        <row r="1">
          <cell r="A1" t="str">
            <v>PHIẾU XỬ LÝ HỒ SƠ THANH TOÁN VƯỢT THẨM QUYỀN PD</v>
          </cell>
        </row>
      </sheetData>
      <sheetData sheetId="3287">
        <row r="1">
          <cell r="A1" t="str">
            <v>PHIẾU XỬ LÝ HỒ SƠ THANH TOÁN VƯỢT THẨM QUYỀN PD</v>
          </cell>
        </row>
      </sheetData>
      <sheetData sheetId="3288">
        <row r="1">
          <cell r="A1" t="str">
            <v>PHIẾU XỬ LÝ HỒ SƠ THANH TOÁN VƯỢT THẨM QUYỀN PD</v>
          </cell>
        </row>
      </sheetData>
      <sheetData sheetId="3289">
        <row r="1">
          <cell r="A1" t="str">
            <v>PHIẾU XỬ LÝ HỒ SƠ THANH TOÁN VƯỢT THẨM QUYỀN PD</v>
          </cell>
        </row>
      </sheetData>
      <sheetData sheetId="3290">
        <row r="1">
          <cell r="A1" t="str">
            <v>PHIẾU XỬ LÝ HỒ SƠ THANH TOÁN VƯỢT THẨM QUYỀN PD</v>
          </cell>
        </row>
      </sheetData>
      <sheetData sheetId="3291">
        <row r="1">
          <cell r="A1" t="str">
            <v>PHIẾU XỬ LÝ HỒ SƠ THANH TOÁN VƯỢT THẨM QUYỀN PD</v>
          </cell>
        </row>
      </sheetData>
      <sheetData sheetId="3292">
        <row r="1">
          <cell r="A1" t="str">
            <v>PHIẾU XỬ LÝ HỒ SƠ THANH TOÁN VƯỢT THẨM QUYỀN PD</v>
          </cell>
        </row>
      </sheetData>
      <sheetData sheetId="3293">
        <row r="1">
          <cell r="A1" t="str">
            <v>PHIẾU XỬ LÝ HỒ SƠ THANH TOÁN VƯỢT THẨM QUYỀN PD</v>
          </cell>
        </row>
      </sheetData>
      <sheetData sheetId="3294">
        <row r="1">
          <cell r="A1" t="str">
            <v>PHIẾU XỬ LÝ HỒ SƠ THANH TOÁN VƯỢT THẨM QUYỀN PD</v>
          </cell>
        </row>
      </sheetData>
      <sheetData sheetId="3295">
        <row r="1">
          <cell r="A1" t="str">
            <v>PHIẾU XỬ LÝ HỒ SƠ THANH TOÁN VƯỢT THẨM QUYỀN PD</v>
          </cell>
        </row>
      </sheetData>
      <sheetData sheetId="3296">
        <row r="1">
          <cell r="A1" t="str">
            <v>PHIẾU XỬ LÝ HỒ SƠ THANH TOÁN VƯỢT THẨM QUYỀN PD</v>
          </cell>
        </row>
      </sheetData>
      <sheetData sheetId="3297">
        <row r="1">
          <cell r="A1" t="str">
            <v>PHIẾU XỬ LÝ HỒ SƠ THANH TOÁN VƯỢT THẨM QUYỀN PD</v>
          </cell>
        </row>
      </sheetData>
      <sheetData sheetId="3298">
        <row r="1">
          <cell r="A1" t="str">
            <v>PHIẾU XỬ LÝ HỒ SƠ THANH TOÁN VƯỢT THẨM QUYỀN PD</v>
          </cell>
        </row>
      </sheetData>
      <sheetData sheetId="3299">
        <row r="1">
          <cell r="A1" t="str">
            <v>PHIẾU XỬ LÝ HỒ SƠ THANH TOÁN VƯỢT THẨM QUYỀN PD</v>
          </cell>
        </row>
      </sheetData>
      <sheetData sheetId="3300">
        <row r="1">
          <cell r="A1" t="str">
            <v>PHIẾU XỬ LÝ HỒ SƠ THANH TOÁN VƯỢT THẨM QUYỀN PD</v>
          </cell>
        </row>
      </sheetData>
      <sheetData sheetId="3301">
        <row r="1">
          <cell r="A1" t="str">
            <v>PHIẾU XỬ LÝ HỒ SƠ THANH TOÁN VƯỢT THẨM QUYỀN PD</v>
          </cell>
        </row>
      </sheetData>
      <sheetData sheetId="3302">
        <row r="1">
          <cell r="A1" t="str">
            <v>PHIẾU XỬ LÝ HỒ SƠ THANH TOÁN VƯỢT THẨM QUYỀN PD</v>
          </cell>
        </row>
      </sheetData>
      <sheetData sheetId="3303">
        <row r="1">
          <cell r="A1" t="str">
            <v>PHIẾU XỬ LÝ HỒ SƠ THANH TOÁN VƯỢT THẨM QUYỀN PD</v>
          </cell>
        </row>
      </sheetData>
      <sheetData sheetId="3304">
        <row r="1">
          <cell r="A1" t="str">
            <v>PHIẾU XỬ LÝ HỒ SƠ THANH TOÁN VƯỢT THẨM QUYỀN PD</v>
          </cell>
        </row>
      </sheetData>
      <sheetData sheetId="3305">
        <row r="1">
          <cell r="A1" t="str">
            <v>PHIẾU XỬ LÝ HỒ SƠ THANH TOÁN VƯỢT THẨM QUYỀN PD</v>
          </cell>
        </row>
      </sheetData>
      <sheetData sheetId="3306">
        <row r="1">
          <cell r="A1" t="str">
            <v>PHIẾU XỬ LÝ HỒ SƠ THANH TOÁN VƯỢT THẨM QUYỀN PD</v>
          </cell>
        </row>
      </sheetData>
      <sheetData sheetId="3307">
        <row r="1">
          <cell r="A1" t="str">
            <v>PHIẾU XỬ LÝ HỒ SƠ THANH TOÁN VƯỢT THẨM QUYỀN PD</v>
          </cell>
        </row>
      </sheetData>
      <sheetData sheetId="3308">
        <row r="1">
          <cell r="A1" t="str">
            <v>PHIẾU XỬ LÝ HỒ SƠ THANH TOÁN VƯỢT THẨM QUYỀN PD</v>
          </cell>
        </row>
      </sheetData>
      <sheetData sheetId="3309">
        <row r="1">
          <cell r="A1" t="str">
            <v>PHIẾU XỬ LÝ HỒ SƠ THANH TOÁN VƯỢT THẨM QUYỀN PD</v>
          </cell>
        </row>
      </sheetData>
      <sheetData sheetId="3310">
        <row r="1">
          <cell r="A1" t="str">
            <v>PHIẾU XỬ LÝ HỒ SƠ THANH TOÁN VƯỢT THẨM QUYỀN PD</v>
          </cell>
        </row>
      </sheetData>
      <sheetData sheetId="3311">
        <row r="1">
          <cell r="A1" t="str">
            <v>PHIẾU XỬ LÝ HỒ SƠ THANH TOÁN VƯỢT THẨM QUYỀN PD</v>
          </cell>
        </row>
      </sheetData>
      <sheetData sheetId="3312">
        <row r="1">
          <cell r="A1" t="str">
            <v>PHIẾU XỬ LÝ HỒ SƠ THANH TOÁN VƯỢT THẨM QUYỀN PD</v>
          </cell>
        </row>
      </sheetData>
      <sheetData sheetId="3313">
        <row r="1">
          <cell r="A1" t="str">
            <v>PHIẾU XỬ LÝ HỒ SƠ THANH TOÁN VƯỢT THẨM QUYỀN PD</v>
          </cell>
        </row>
      </sheetData>
      <sheetData sheetId="3314">
        <row r="1">
          <cell r="A1" t="str">
            <v>PHIẾU XỬ LÝ HỒ SƠ THANH TOÁN VƯỢT THẨM QUYỀN PD</v>
          </cell>
        </row>
      </sheetData>
      <sheetData sheetId="3315">
        <row r="1">
          <cell r="A1" t="str">
            <v>PHIẾU XỬ LÝ HỒ SƠ THANH TOÁN VƯỢT THẨM QUYỀN PD</v>
          </cell>
        </row>
      </sheetData>
      <sheetData sheetId="3316">
        <row r="1">
          <cell r="A1" t="str">
            <v>PHIẾU XỬ LÝ HỒ SƠ THANH TOÁN VƯỢT THẨM QUYỀN PD</v>
          </cell>
        </row>
      </sheetData>
      <sheetData sheetId="3317">
        <row r="1">
          <cell r="A1" t="str">
            <v>PHIẾU XỬ LÝ HỒ SƠ THANH TOÁN VƯỢT THẨM QUYỀN PD</v>
          </cell>
        </row>
      </sheetData>
      <sheetData sheetId="3318">
        <row r="1">
          <cell r="A1" t="str">
            <v>PHIẾU XỬ LÝ HỒ SƠ THANH TOÁN VƯỢT THẨM QUYỀN PD</v>
          </cell>
        </row>
      </sheetData>
      <sheetData sheetId="3319">
        <row r="1">
          <cell r="A1" t="str">
            <v>PHIẾU XỬ LÝ HỒ SƠ THANH TOÁN VƯỢT THẨM QUYỀN PD</v>
          </cell>
        </row>
      </sheetData>
      <sheetData sheetId="3320">
        <row r="1">
          <cell r="A1" t="str">
            <v>PHIẾU XỬ LÝ HỒ SƠ THANH TOÁN VƯỢT THẨM QUYỀN PD</v>
          </cell>
        </row>
      </sheetData>
      <sheetData sheetId="3321">
        <row r="1">
          <cell r="A1" t="str">
            <v>PHIẾU XỬ LÝ HỒ SƠ THANH TOÁN VƯỢT THẨM QUYỀN PD</v>
          </cell>
        </row>
      </sheetData>
      <sheetData sheetId="3322">
        <row r="1">
          <cell r="A1" t="str">
            <v>PHIẾU XỬ LÝ HỒ SƠ THANH TOÁN VƯỢT THẨM QUYỀN PD</v>
          </cell>
        </row>
      </sheetData>
      <sheetData sheetId="3323">
        <row r="1">
          <cell r="A1" t="str">
            <v>PHIẾU XỬ LÝ HỒ SƠ THANH TOÁN VƯỢT THẨM QUYỀN PD</v>
          </cell>
        </row>
      </sheetData>
      <sheetData sheetId="3324">
        <row r="1">
          <cell r="A1" t="str">
            <v>PHIẾU XỬ LÝ HỒ SƠ THANH TOÁN VƯỢT THẨM QUYỀN PD</v>
          </cell>
        </row>
      </sheetData>
      <sheetData sheetId="3325">
        <row r="1">
          <cell r="A1" t="str">
            <v>PHIẾU XỬ LÝ HỒ SƠ THANH TOÁN VƯỢT THẨM QUYỀN PD</v>
          </cell>
        </row>
      </sheetData>
      <sheetData sheetId="3326">
        <row r="1">
          <cell r="A1" t="str">
            <v>PHIẾU XỬ LÝ HỒ SƠ THANH TOÁN VƯỢT THẨM QUYỀN PD</v>
          </cell>
        </row>
      </sheetData>
      <sheetData sheetId="3327">
        <row r="1">
          <cell r="A1" t="str">
            <v>PHIẾU XỬ LÝ HỒ SƠ THANH TOÁN VƯỢT THẨM QUYỀN PD</v>
          </cell>
        </row>
      </sheetData>
      <sheetData sheetId="3328">
        <row r="1">
          <cell r="A1" t="str">
            <v>PHIẾU XỬ LÝ HỒ SƠ THANH TOÁN VƯỢT THẨM QUYỀN PD</v>
          </cell>
        </row>
      </sheetData>
      <sheetData sheetId="3329">
        <row r="1">
          <cell r="A1" t="str">
            <v>PHIẾU XỬ LÝ HỒ SƠ THANH TOÁN VƯỢT THẨM QUYỀN PD</v>
          </cell>
        </row>
      </sheetData>
      <sheetData sheetId="3330">
        <row r="1">
          <cell r="A1" t="str">
            <v>PHIẾU XỬ LÝ HỒ SƠ THANH TOÁN VƯỢT THẨM QUYỀN PD</v>
          </cell>
        </row>
      </sheetData>
      <sheetData sheetId="3331">
        <row r="1">
          <cell r="A1" t="str">
            <v>PHIẾU XỬ LÝ HỒ SƠ THANH TOÁN VƯỢT THẨM QUYỀN PD</v>
          </cell>
        </row>
      </sheetData>
      <sheetData sheetId="3332">
        <row r="1">
          <cell r="A1" t="str">
            <v>PHIẾU XỬ LÝ HỒ SƠ THANH TOÁN VƯỢT THẨM QUYỀN PD</v>
          </cell>
        </row>
      </sheetData>
      <sheetData sheetId="3333">
        <row r="1">
          <cell r="A1" t="str">
            <v>PHIẾU XỬ LÝ HỒ SƠ THANH TOÁN VƯỢT THẨM QUYỀN PD</v>
          </cell>
        </row>
      </sheetData>
      <sheetData sheetId="3334">
        <row r="1">
          <cell r="A1" t="str">
            <v>PHIẾU XỬ LÝ HỒ SƠ THANH TOÁN VƯỢT THẨM QUYỀN PD</v>
          </cell>
        </row>
      </sheetData>
      <sheetData sheetId="3335">
        <row r="1">
          <cell r="A1" t="str">
            <v>PHIẾU XỬ LÝ HỒ SƠ THANH TOÁN VƯỢT THẨM QUYỀN PD</v>
          </cell>
        </row>
      </sheetData>
      <sheetData sheetId="3336">
        <row r="1">
          <cell r="A1" t="str">
            <v>PHIẾU XỬ LÝ HỒ SƠ THANH TOÁN VƯỢT THẨM QUYỀN PD</v>
          </cell>
        </row>
      </sheetData>
      <sheetData sheetId="3337">
        <row r="1">
          <cell r="A1" t="str">
            <v>PHIẾU XỬ LÝ HỒ SƠ THANH TOÁN VƯỢT THẨM QUYỀN PD</v>
          </cell>
        </row>
      </sheetData>
      <sheetData sheetId="3338">
        <row r="1">
          <cell r="A1" t="str">
            <v>PHIẾU XỬ LÝ HỒ SƠ THANH TOÁN VƯỢT THẨM QUYỀN PD</v>
          </cell>
        </row>
      </sheetData>
      <sheetData sheetId="3339">
        <row r="1">
          <cell r="A1" t="str">
            <v>PHIẾU XỬ LÝ HỒ SƠ THANH TOÁN VƯỢT THẨM QUYỀN PD</v>
          </cell>
        </row>
      </sheetData>
      <sheetData sheetId="3340">
        <row r="1">
          <cell r="A1" t="str">
            <v>PHIẾU XỬ LÝ HỒ SƠ THANH TOÁN VƯỢT THẨM QUYỀN PD</v>
          </cell>
        </row>
      </sheetData>
      <sheetData sheetId="3341">
        <row r="1">
          <cell r="A1" t="str">
            <v>PHIẾU XỬ LÝ HỒ SƠ THANH TOÁN VƯỢT THẨM QUYỀN PD</v>
          </cell>
        </row>
      </sheetData>
      <sheetData sheetId="3342">
        <row r="1">
          <cell r="A1" t="str">
            <v>PHIẾU XỬ LÝ HỒ SƠ THANH TOÁN VƯỢT THẨM QUYỀN PD</v>
          </cell>
        </row>
      </sheetData>
      <sheetData sheetId="3343">
        <row r="1">
          <cell r="A1" t="str">
            <v>PHIẾU XỬ LÝ HỒ SƠ THANH TOÁN VƯỢT THẨM QUYỀN PD</v>
          </cell>
        </row>
      </sheetData>
      <sheetData sheetId="3344">
        <row r="1">
          <cell r="A1" t="str">
            <v>PHIẾU XỬ LÝ HỒ SƠ THANH TOÁN VƯỢT THẨM QUYỀN PD</v>
          </cell>
        </row>
      </sheetData>
      <sheetData sheetId="3345">
        <row r="1">
          <cell r="A1" t="str">
            <v>PHIẾU XỬ LÝ HỒ SƠ THANH TOÁN VƯỢT THẨM QUYỀN PD</v>
          </cell>
        </row>
      </sheetData>
      <sheetData sheetId="3346">
        <row r="1">
          <cell r="A1" t="str">
            <v>PHIẾU XỬ LÝ HỒ SƠ THANH TOÁN VƯỢT THẨM QUYỀN PD</v>
          </cell>
        </row>
      </sheetData>
      <sheetData sheetId="3347">
        <row r="1">
          <cell r="A1" t="str">
            <v>PHIẾU XỬ LÝ HỒ SƠ THANH TOÁN VƯỢT THẨM QUYỀN PD</v>
          </cell>
        </row>
      </sheetData>
      <sheetData sheetId="3348">
        <row r="1">
          <cell r="A1" t="str">
            <v>PHIẾU XỬ LÝ HỒ SƠ THANH TOÁN VƯỢT THẨM QUYỀN PD</v>
          </cell>
        </row>
      </sheetData>
      <sheetData sheetId="3349">
        <row r="1">
          <cell r="A1" t="str">
            <v>PHIẾU XỬ LÝ HỒ SƠ THANH TOÁN VƯỢT THẨM QUYỀN PD</v>
          </cell>
        </row>
      </sheetData>
      <sheetData sheetId="3350">
        <row r="1">
          <cell r="A1" t="str">
            <v>PHIẾU XỬ LÝ HỒ SƠ THANH TOÁN VƯỢT THẨM QUYỀN PD</v>
          </cell>
        </row>
      </sheetData>
      <sheetData sheetId="3351">
        <row r="1">
          <cell r="A1" t="str">
            <v>PHIẾU XỬ LÝ HỒ SƠ THANH TOÁN VƯỢT THẨM QUYỀN PD</v>
          </cell>
        </row>
      </sheetData>
      <sheetData sheetId="3352">
        <row r="1">
          <cell r="A1" t="str">
            <v>PHIẾU XỬ LÝ HỒ SƠ THANH TOÁN VƯỢT THẨM QUYỀN PD</v>
          </cell>
        </row>
      </sheetData>
      <sheetData sheetId="3353">
        <row r="1">
          <cell r="A1" t="str">
            <v>PHIẾU XỬ LÝ HỒ SƠ THANH TOÁN VƯỢT THẨM QUYỀN PD</v>
          </cell>
        </row>
      </sheetData>
      <sheetData sheetId="3354">
        <row r="1">
          <cell r="A1" t="str">
            <v>PHIẾU XỬ LÝ HỒ SƠ THANH TOÁN VƯỢT THẨM QUYỀN PD</v>
          </cell>
        </row>
      </sheetData>
      <sheetData sheetId="3355">
        <row r="1">
          <cell r="A1" t="str">
            <v>PHIẾU XỬ LÝ HỒ SƠ THANH TOÁN VƯỢT THẨM QUYỀN PD</v>
          </cell>
        </row>
      </sheetData>
      <sheetData sheetId="3356">
        <row r="1">
          <cell r="A1" t="str">
            <v>PHIẾU XỬ LÝ HỒ SƠ THANH TOÁN VƯỢT THẨM QUYỀN PD</v>
          </cell>
        </row>
      </sheetData>
      <sheetData sheetId="3357">
        <row r="1">
          <cell r="A1" t="str">
            <v>PHIẾU XỬ LÝ HỒ SƠ THANH TOÁN VƯỢT THẨM QUYỀN PD</v>
          </cell>
        </row>
      </sheetData>
      <sheetData sheetId="3358">
        <row r="1">
          <cell r="A1" t="str">
            <v>PHIẾU XỬ LÝ HỒ SƠ THANH TOÁN VƯỢT THẨM QUYỀN PD</v>
          </cell>
        </row>
      </sheetData>
      <sheetData sheetId="3359">
        <row r="1">
          <cell r="A1" t="str">
            <v>PHIẾU XỬ LÝ HỒ SƠ THANH TOÁN VƯỢT THẨM QUYỀN PD</v>
          </cell>
        </row>
      </sheetData>
      <sheetData sheetId="3360">
        <row r="1">
          <cell r="A1" t="str">
            <v>PHIẾU XỬ LÝ HỒ SƠ THANH TOÁN VƯỢT THẨM QUYỀN PD</v>
          </cell>
        </row>
      </sheetData>
      <sheetData sheetId="3361">
        <row r="1">
          <cell r="A1" t="str">
            <v>PHIẾU XỬ LÝ HỒ SƠ THANH TOÁN VƯỢT THẨM QUYỀN PD</v>
          </cell>
        </row>
      </sheetData>
      <sheetData sheetId="3362">
        <row r="1">
          <cell r="A1" t="str">
            <v>PHIẾU XỬ LÝ HỒ SƠ THANH TOÁN VƯỢT THẨM QUYỀN PD</v>
          </cell>
        </row>
      </sheetData>
      <sheetData sheetId="3363">
        <row r="1">
          <cell r="A1" t="str">
            <v>PHIẾU XỬ LÝ HỒ SƠ THANH TOÁN VƯỢT THẨM QUYỀN PD</v>
          </cell>
        </row>
      </sheetData>
      <sheetData sheetId="3364">
        <row r="1">
          <cell r="A1" t="str">
            <v>PHIẾU XỬ LÝ HỒ SƠ THANH TOÁN VƯỢT THẨM QUYỀN PD</v>
          </cell>
        </row>
      </sheetData>
      <sheetData sheetId="3365">
        <row r="1">
          <cell r="A1" t="str">
            <v>PHIẾU XỬ LÝ HỒ SƠ THANH TOÁN VƯỢT THẨM QUYỀN PD</v>
          </cell>
        </row>
      </sheetData>
      <sheetData sheetId="3366">
        <row r="1">
          <cell r="A1" t="str">
            <v>PHIẾU XỬ LÝ HỒ SƠ THANH TOÁN VƯỢT THẨM QUYỀN PD</v>
          </cell>
        </row>
      </sheetData>
      <sheetData sheetId="3367">
        <row r="1">
          <cell r="A1" t="str">
            <v>PHIẾU XỬ LÝ HỒ SƠ THANH TOÁN VƯỢT THẨM QUYỀN PD</v>
          </cell>
        </row>
      </sheetData>
      <sheetData sheetId="3368">
        <row r="1">
          <cell r="A1" t="str">
            <v>PHIẾU XỬ LÝ HỒ SƠ THANH TOÁN VƯỢT THẨM QUYỀN PD</v>
          </cell>
        </row>
      </sheetData>
      <sheetData sheetId="3369">
        <row r="1">
          <cell r="A1" t="str">
            <v>PHIẾU XỬ LÝ HỒ SƠ THANH TOÁN VƯỢT THẨM QUYỀN PD</v>
          </cell>
        </row>
      </sheetData>
      <sheetData sheetId="3370">
        <row r="1">
          <cell r="A1" t="str">
            <v>PHIẾU XỬ LÝ HỒ SƠ THANH TOÁN VƯỢT THẨM QUYỀN PD</v>
          </cell>
        </row>
      </sheetData>
      <sheetData sheetId="3371">
        <row r="1">
          <cell r="A1" t="str">
            <v>PHIẾU XỬ LÝ HỒ SƠ THANH TOÁN VƯỢT THẨM QUYỀN PD</v>
          </cell>
        </row>
      </sheetData>
      <sheetData sheetId="3372">
        <row r="1">
          <cell r="A1" t="str">
            <v>PHIẾU XỬ LÝ HỒ SƠ THANH TOÁN VƯỢT THẨM QUYỀN PD</v>
          </cell>
        </row>
      </sheetData>
      <sheetData sheetId="3373">
        <row r="1">
          <cell r="A1" t="str">
            <v>PHIẾU XỬ LÝ HỒ SƠ THANH TOÁN VƯỢT THẨM QUYỀN PD</v>
          </cell>
        </row>
      </sheetData>
      <sheetData sheetId="3374">
        <row r="1">
          <cell r="A1" t="str">
            <v>PHIẾU XỬ LÝ HỒ SƠ THANH TOÁN VƯỢT THẨM QUYỀN PD</v>
          </cell>
        </row>
      </sheetData>
      <sheetData sheetId="3375">
        <row r="1">
          <cell r="A1" t="str">
            <v>PHIẾU XỬ LÝ HỒ SƠ THANH TOÁN VƯỢT THẨM QUYỀN PD</v>
          </cell>
        </row>
      </sheetData>
      <sheetData sheetId="3376">
        <row r="1">
          <cell r="A1" t="str">
            <v>PHIẾU XỬ LÝ HỒ SƠ THANH TOÁN VƯỢT THẨM QUYỀN PD</v>
          </cell>
        </row>
      </sheetData>
      <sheetData sheetId="3377">
        <row r="1">
          <cell r="A1" t="str">
            <v>PHIẾU XỬ LÝ HỒ SƠ THANH TOÁN VƯỢT THẨM QUYỀN PD</v>
          </cell>
        </row>
      </sheetData>
      <sheetData sheetId="3378">
        <row r="1">
          <cell r="A1" t="str">
            <v>PHIẾU XỬ LÝ HỒ SƠ THANH TOÁN VƯỢT THẨM QUYỀN PD</v>
          </cell>
        </row>
      </sheetData>
      <sheetData sheetId="3379">
        <row r="1">
          <cell r="A1" t="str">
            <v>PHIẾU XỬ LÝ HỒ SƠ THANH TOÁN VƯỢT THẨM QUYỀN PD</v>
          </cell>
        </row>
      </sheetData>
      <sheetData sheetId="3380">
        <row r="1">
          <cell r="A1" t="str">
            <v>PHIẾU XỬ LÝ HỒ SƠ THANH TOÁN VƯỢT THẨM QUYỀN PD</v>
          </cell>
        </row>
      </sheetData>
      <sheetData sheetId="3381">
        <row r="1">
          <cell r="A1" t="str">
            <v>PHIẾU XỬ LÝ HỒ SƠ THANH TOÁN VƯỢT THẨM QUYỀN PD</v>
          </cell>
        </row>
      </sheetData>
      <sheetData sheetId="3382">
        <row r="1">
          <cell r="A1" t="str">
            <v>PHIẾU XỬ LÝ HỒ SƠ THANH TOÁN VƯỢT THẨM QUYỀN PD</v>
          </cell>
        </row>
      </sheetData>
      <sheetData sheetId="3383">
        <row r="1">
          <cell r="A1" t="str">
            <v>PHIẾU XỬ LÝ HỒ SƠ THANH TOÁN VƯỢT THẨM QUYỀN PD</v>
          </cell>
        </row>
      </sheetData>
      <sheetData sheetId="3384">
        <row r="1">
          <cell r="A1" t="str">
            <v>PHIẾU XỬ LÝ HỒ SƠ THANH TOÁN VƯỢT THẨM QUYỀN PD</v>
          </cell>
        </row>
      </sheetData>
      <sheetData sheetId="3385">
        <row r="1">
          <cell r="A1" t="str">
            <v>PHIẾU XỬ LÝ HỒ SƠ THANH TOÁN VƯỢT THẨM QUYỀN PD</v>
          </cell>
        </row>
      </sheetData>
      <sheetData sheetId="3386">
        <row r="1">
          <cell r="A1" t="str">
            <v>PHIẾU XỬ LÝ HỒ SƠ THANH TOÁN VƯỢT THẨM QUYỀN PD</v>
          </cell>
        </row>
      </sheetData>
      <sheetData sheetId="3387">
        <row r="1">
          <cell r="A1" t="str">
            <v>PHIẾU XỬ LÝ HỒ SƠ THANH TOÁN VƯỢT THẨM QUYỀN PD</v>
          </cell>
        </row>
      </sheetData>
      <sheetData sheetId="3388">
        <row r="1">
          <cell r="A1" t="str">
            <v>PHIẾU XỬ LÝ HỒ SƠ THANH TOÁN VƯỢT THẨM QUYỀN PD</v>
          </cell>
        </row>
      </sheetData>
      <sheetData sheetId="3389">
        <row r="1">
          <cell r="A1" t="str">
            <v>PHIẾU XỬ LÝ HỒ SƠ THANH TOÁN VƯỢT THẨM QUYỀN PD</v>
          </cell>
        </row>
      </sheetData>
      <sheetData sheetId="3390">
        <row r="1">
          <cell r="A1" t="str">
            <v>PHIẾU XỬ LÝ HỒ SƠ THANH TOÁN VƯỢT THẨM QUYỀN PD</v>
          </cell>
        </row>
      </sheetData>
      <sheetData sheetId="3391">
        <row r="1">
          <cell r="A1" t="str">
            <v>PHIẾU XỬ LÝ HỒ SƠ THANH TOÁN VƯỢT THẨM QUYỀN PD</v>
          </cell>
        </row>
      </sheetData>
      <sheetData sheetId="3392">
        <row r="1">
          <cell r="A1" t="str">
            <v>PHIẾU XỬ LÝ HỒ SƠ THANH TOÁN VƯỢT THẨM QUYỀN PD</v>
          </cell>
        </row>
      </sheetData>
      <sheetData sheetId="3393">
        <row r="1">
          <cell r="A1" t="str">
            <v>PHIẾU XỬ LÝ HỒ SƠ THANH TOÁN VƯỢT THẨM QUYỀN PD</v>
          </cell>
        </row>
      </sheetData>
      <sheetData sheetId="3394">
        <row r="1">
          <cell r="A1" t="str">
            <v>PHIẾU XỬ LÝ HỒ SƠ THANH TOÁN VƯỢT THẨM QUYỀN PD</v>
          </cell>
        </row>
      </sheetData>
      <sheetData sheetId="3395">
        <row r="1">
          <cell r="A1" t="str">
            <v>PHIẾU XỬ LÝ HỒ SƠ THANH TOÁN VƯỢT THẨM QUYỀN PD</v>
          </cell>
        </row>
      </sheetData>
      <sheetData sheetId="3396">
        <row r="1">
          <cell r="A1" t="str">
            <v>PHIẾU XỬ LÝ HỒ SƠ THANH TOÁN VƯỢT THẨM QUYỀN PD</v>
          </cell>
        </row>
      </sheetData>
      <sheetData sheetId="3397">
        <row r="1">
          <cell r="A1" t="str">
            <v>PHIẾU XỬ LÝ HỒ SƠ THANH TOÁN VƯỢT THẨM QUYỀN PD</v>
          </cell>
        </row>
      </sheetData>
      <sheetData sheetId="3398">
        <row r="1">
          <cell r="A1" t="str">
            <v>PHIẾU XỬ LÝ HỒ SƠ THANH TOÁN VƯỢT THẨM QUYỀN PD</v>
          </cell>
        </row>
      </sheetData>
      <sheetData sheetId="3399">
        <row r="1">
          <cell r="A1" t="str">
            <v>PHIẾU XỬ LÝ HỒ SƠ THANH TOÁN VƯỢT THẨM QUYỀN PD</v>
          </cell>
        </row>
      </sheetData>
      <sheetData sheetId="3400">
        <row r="1">
          <cell r="A1" t="str">
            <v>PHIẾU XỬ LÝ HỒ SƠ THANH TOÁN VƯỢT THẨM QUYỀN PD</v>
          </cell>
        </row>
      </sheetData>
      <sheetData sheetId="3401">
        <row r="1">
          <cell r="A1" t="str">
            <v>PHIẾU XỬ LÝ HỒ SƠ THANH TOÁN VƯỢT THẨM QUYỀN PD</v>
          </cell>
        </row>
      </sheetData>
      <sheetData sheetId="3402">
        <row r="1">
          <cell r="A1" t="str">
            <v>PHIẾU XỬ LÝ HỒ SƠ THANH TOÁN VƯỢT THẨM QUYỀN PD</v>
          </cell>
        </row>
      </sheetData>
      <sheetData sheetId="3403">
        <row r="1">
          <cell r="A1" t="str">
            <v>PHIẾU XỬ LÝ HỒ SƠ THANH TOÁN VƯỢT THẨM QUYỀN PD</v>
          </cell>
        </row>
      </sheetData>
      <sheetData sheetId="3404">
        <row r="1">
          <cell r="A1" t="str">
            <v>PHIẾU XỬ LÝ HỒ SƠ THANH TOÁN VƯỢT THẨM QUYỀN PD</v>
          </cell>
        </row>
      </sheetData>
      <sheetData sheetId="3405">
        <row r="1">
          <cell r="A1" t="str">
            <v>PHIẾU XỬ LÝ HỒ SƠ THANH TOÁN VƯỢT THẨM QUYỀN PD</v>
          </cell>
        </row>
      </sheetData>
      <sheetData sheetId="3406">
        <row r="1">
          <cell r="A1" t="str">
            <v>PHIẾU XỬ LÝ HỒ SƠ THANH TOÁN VƯỢT THẨM QUYỀN PD</v>
          </cell>
        </row>
      </sheetData>
      <sheetData sheetId="3407">
        <row r="1">
          <cell r="A1" t="str">
            <v>PHIẾU XỬ LÝ HỒ SƠ THANH TOÁN VƯỢT THẨM QUYỀN PD</v>
          </cell>
        </row>
      </sheetData>
      <sheetData sheetId="3408">
        <row r="1">
          <cell r="A1" t="str">
            <v>PHIẾU XỬ LÝ HỒ SƠ THANH TOÁN VƯỢT THẨM QUYỀN PD</v>
          </cell>
        </row>
      </sheetData>
      <sheetData sheetId="3409">
        <row r="1">
          <cell r="A1" t="str">
            <v>PHIẾU XỬ LÝ HỒ SƠ THANH TOÁN VƯỢT THẨM QUYỀN PD</v>
          </cell>
        </row>
      </sheetData>
      <sheetData sheetId="3410">
        <row r="1">
          <cell r="A1" t="str">
            <v>PHIẾU XỬ LÝ HỒ SƠ THANH TOÁN VƯỢT THẨM QUYỀN PD</v>
          </cell>
        </row>
      </sheetData>
      <sheetData sheetId="3411">
        <row r="1">
          <cell r="A1" t="str">
            <v>PHIẾU XỬ LÝ HỒ SƠ THANH TOÁN VƯỢT THẨM QUYỀN PD</v>
          </cell>
        </row>
      </sheetData>
      <sheetData sheetId="3412">
        <row r="1">
          <cell r="A1" t="str">
            <v>PHIẾU XỬ LÝ HỒ SƠ THANH TOÁN VƯỢT THẨM QUYỀN PD</v>
          </cell>
        </row>
      </sheetData>
      <sheetData sheetId="3413">
        <row r="1">
          <cell r="A1" t="str">
            <v>PHIẾU XỬ LÝ HỒ SƠ THANH TOÁN VƯỢT THẨM QUYỀN PD</v>
          </cell>
        </row>
      </sheetData>
      <sheetData sheetId="3414">
        <row r="1">
          <cell r="A1" t="str">
            <v>PHIẾU XỬ LÝ HỒ SƠ THANH TOÁN VƯỢT THẨM QUYỀN PD</v>
          </cell>
        </row>
      </sheetData>
      <sheetData sheetId="3415">
        <row r="1">
          <cell r="A1" t="str">
            <v>PHIẾU XỬ LÝ HỒ SƠ THANH TOÁN VƯỢT THẨM QUYỀN PD</v>
          </cell>
        </row>
      </sheetData>
      <sheetData sheetId="3416">
        <row r="1">
          <cell r="A1" t="str">
            <v>PHIẾU XỬ LÝ HỒ SƠ THANH TOÁN VƯỢT THẨM QUYỀN PD</v>
          </cell>
        </row>
      </sheetData>
      <sheetData sheetId="3417">
        <row r="1">
          <cell r="A1" t="str">
            <v>PHIẾU XỬ LÝ HỒ SƠ THANH TOÁN VƯỢT THẨM QUYỀN PD</v>
          </cell>
        </row>
      </sheetData>
      <sheetData sheetId="3418">
        <row r="1">
          <cell r="A1" t="str">
            <v>PHIẾU XỬ LÝ HỒ SƠ THANH TOÁN VƯỢT THẨM QUYỀN PD</v>
          </cell>
        </row>
      </sheetData>
      <sheetData sheetId="3419">
        <row r="1">
          <cell r="A1" t="str">
            <v>PHIẾU XỬ LÝ HỒ SƠ THANH TOÁN VƯỢT THẨM QUYỀN PD</v>
          </cell>
        </row>
      </sheetData>
      <sheetData sheetId="3420">
        <row r="1">
          <cell r="A1" t="str">
            <v>PHIẾU XỬ LÝ HỒ SƠ THANH TOÁN VƯỢT THẨM QUYỀN PD</v>
          </cell>
        </row>
      </sheetData>
      <sheetData sheetId="3421">
        <row r="1">
          <cell r="A1" t="str">
            <v>PHIẾU XỬ LÝ HỒ SƠ THANH TOÁN VƯỢT THẨM QUYỀN PD</v>
          </cell>
        </row>
      </sheetData>
      <sheetData sheetId="3422">
        <row r="1">
          <cell r="A1" t="str">
            <v>PHIẾU XỬ LÝ HỒ SƠ THANH TOÁN VƯỢT THẨM QUYỀN PD</v>
          </cell>
        </row>
      </sheetData>
      <sheetData sheetId="3423">
        <row r="1">
          <cell r="A1" t="str">
            <v>PHIẾU XỬ LÝ HỒ SƠ THANH TOÁN VƯỢT THẨM QUYỀN PD</v>
          </cell>
        </row>
      </sheetData>
      <sheetData sheetId="3424">
        <row r="1">
          <cell r="A1" t="str">
            <v>PHIẾU XỬ LÝ HỒ SƠ THANH TOÁN VƯỢT THẨM QUYỀN PD</v>
          </cell>
        </row>
      </sheetData>
      <sheetData sheetId="3425">
        <row r="1">
          <cell r="A1" t="str">
            <v>PHIẾU XỬ LÝ HỒ SƠ THANH TOÁN VƯỢT THẨM QUYỀN PD</v>
          </cell>
        </row>
      </sheetData>
      <sheetData sheetId="3426">
        <row r="1">
          <cell r="A1" t="str">
            <v>PHIẾU XỬ LÝ HỒ SƠ THANH TOÁN VƯỢT THẨM QUYỀN PD</v>
          </cell>
        </row>
      </sheetData>
      <sheetData sheetId="3427">
        <row r="1">
          <cell r="A1" t="str">
            <v>PHIẾU XỬ LÝ HỒ SƠ THANH TOÁN VƯỢT THẨM QUYỀN PD</v>
          </cell>
        </row>
      </sheetData>
      <sheetData sheetId="3428">
        <row r="1">
          <cell r="A1" t="str">
            <v>PHIẾU XỬ LÝ HỒ SƠ THANH TOÁN VƯỢT THẨM QUYỀN PD</v>
          </cell>
        </row>
      </sheetData>
      <sheetData sheetId="3429">
        <row r="1">
          <cell r="A1" t="str">
            <v>PHIẾU XỬ LÝ HỒ SƠ THANH TOÁN VƯỢT THẨM QUYỀN PD</v>
          </cell>
        </row>
      </sheetData>
      <sheetData sheetId="3430">
        <row r="1">
          <cell r="A1" t="str">
            <v>PHIẾU XỬ LÝ HỒ SƠ THANH TOÁN VƯỢT THẨM QUYỀN PD</v>
          </cell>
        </row>
      </sheetData>
      <sheetData sheetId="3431">
        <row r="1">
          <cell r="A1" t="str">
            <v>PHIẾU XỬ LÝ HỒ SƠ THANH TOÁN VƯỢT THẨM QUYỀN PD</v>
          </cell>
        </row>
      </sheetData>
      <sheetData sheetId="3432">
        <row r="1">
          <cell r="A1" t="str">
            <v>PHIẾU XỬ LÝ HỒ SƠ THANH TOÁN VƯỢT THẨM QUYỀN PD</v>
          </cell>
        </row>
      </sheetData>
      <sheetData sheetId="3433">
        <row r="1">
          <cell r="A1" t="str">
            <v>PHIẾU XỬ LÝ HỒ SƠ THANH TOÁN VƯỢT THẨM QUYỀN PD</v>
          </cell>
        </row>
      </sheetData>
      <sheetData sheetId="3434">
        <row r="1">
          <cell r="A1" t="str">
            <v>PHIẾU XỬ LÝ HỒ SƠ THANH TOÁN VƯỢT THẨM QUYỀN PD</v>
          </cell>
        </row>
      </sheetData>
      <sheetData sheetId="3435">
        <row r="1">
          <cell r="A1" t="str">
            <v>PHIẾU XỬ LÝ HỒ SƠ THANH TOÁN VƯỢT THẨM QUYỀN PD</v>
          </cell>
        </row>
      </sheetData>
      <sheetData sheetId="3436">
        <row r="1">
          <cell r="A1" t="str">
            <v>PHIẾU XỬ LÝ HỒ SƠ THANH TOÁN VƯỢT THẨM QUYỀN PD</v>
          </cell>
        </row>
      </sheetData>
      <sheetData sheetId="3437">
        <row r="1">
          <cell r="A1" t="str">
            <v>PHIẾU XỬ LÝ HỒ SƠ THANH TOÁN VƯỢT THẨM QUYỀN PD</v>
          </cell>
        </row>
      </sheetData>
      <sheetData sheetId="3438">
        <row r="1">
          <cell r="A1" t="str">
            <v>PHIẾU XỬ LÝ HỒ SƠ THANH TOÁN VƯỢT THẨM QUYỀN PD</v>
          </cell>
        </row>
      </sheetData>
      <sheetData sheetId="3439">
        <row r="1">
          <cell r="A1" t="str">
            <v>PHIẾU XỬ LÝ HỒ SƠ THANH TOÁN VƯỢT THẨM QUYỀN PD</v>
          </cell>
        </row>
      </sheetData>
      <sheetData sheetId="3440">
        <row r="1">
          <cell r="A1" t="str">
            <v>PHIẾU XỬ LÝ HỒ SƠ THANH TOÁN VƯỢT THẨM QUYỀN PD</v>
          </cell>
        </row>
      </sheetData>
      <sheetData sheetId="3441">
        <row r="1">
          <cell r="A1" t="str">
            <v>PHIẾU XỬ LÝ HỒ SƠ THANH TOÁN VƯỢT THẨM QUYỀN PD</v>
          </cell>
        </row>
      </sheetData>
      <sheetData sheetId="3442">
        <row r="1">
          <cell r="A1" t="str">
            <v>PHIẾU XỬ LÝ HỒ SƠ THANH TOÁN VƯỢT THẨM QUYỀN PD</v>
          </cell>
        </row>
      </sheetData>
      <sheetData sheetId="3443">
        <row r="1">
          <cell r="A1" t="str">
            <v>PHIẾU XỬ LÝ HỒ SƠ THANH TOÁN VƯỢT THẨM QUYỀN PD</v>
          </cell>
        </row>
      </sheetData>
      <sheetData sheetId="3444">
        <row r="1">
          <cell r="A1" t="str">
            <v>PHIẾU XỬ LÝ HỒ SƠ THANH TOÁN VƯỢT THẨM QUYỀN PD</v>
          </cell>
        </row>
      </sheetData>
      <sheetData sheetId="3445">
        <row r="1">
          <cell r="A1" t="str">
            <v>PHIẾU XỬ LÝ HỒ SƠ THANH TOÁN VƯỢT THẨM QUYỀN PD</v>
          </cell>
        </row>
      </sheetData>
      <sheetData sheetId="3446">
        <row r="1">
          <cell r="A1" t="str">
            <v>PHIẾU XỬ LÝ HỒ SƠ THANH TOÁN VƯỢT THẨM QUYỀN PD</v>
          </cell>
        </row>
      </sheetData>
      <sheetData sheetId="3447">
        <row r="1">
          <cell r="A1" t="str">
            <v>PHIẾU XỬ LÝ HỒ SƠ THANH TOÁN VƯỢT THẨM QUYỀN PD</v>
          </cell>
        </row>
      </sheetData>
      <sheetData sheetId="3448">
        <row r="1">
          <cell r="A1" t="str">
            <v>PHIẾU XỬ LÝ HỒ SƠ THANH TOÁN VƯỢT THẨM QUYỀN PD</v>
          </cell>
        </row>
      </sheetData>
      <sheetData sheetId="3449">
        <row r="1">
          <cell r="A1" t="str">
            <v>PHIẾU XỬ LÝ HỒ SƠ THANH TOÁN VƯỢT THẨM QUYỀN PD</v>
          </cell>
        </row>
      </sheetData>
      <sheetData sheetId="3450">
        <row r="1">
          <cell r="A1" t="str">
            <v>PHIẾU XỬ LÝ HỒ SƠ THANH TOÁN VƯỢT THẨM QUYỀN PD</v>
          </cell>
        </row>
      </sheetData>
      <sheetData sheetId="3451">
        <row r="1">
          <cell r="A1" t="str">
            <v>PHIẾU XỬ LÝ HỒ SƠ THANH TOÁN VƯỢT THẨM QUYỀN PD</v>
          </cell>
        </row>
      </sheetData>
      <sheetData sheetId="3452">
        <row r="1">
          <cell r="A1" t="str">
            <v>PHIẾU XỬ LÝ HỒ SƠ THANH TOÁN VƯỢT THẨM QUYỀN PD</v>
          </cell>
        </row>
      </sheetData>
      <sheetData sheetId="3453">
        <row r="1">
          <cell r="A1" t="str">
            <v>PHIẾU XỬ LÝ HỒ SƠ THANH TOÁN VƯỢT THẨM QUYỀN PD</v>
          </cell>
        </row>
      </sheetData>
      <sheetData sheetId="3454">
        <row r="1">
          <cell r="A1" t="str">
            <v>PHIẾU XỬ LÝ HỒ SƠ THANH TOÁN VƯỢT THẨM QUYỀN PD</v>
          </cell>
        </row>
      </sheetData>
      <sheetData sheetId="3455">
        <row r="1">
          <cell r="A1" t="str">
            <v>PHIẾU XỬ LÝ HỒ SƠ THANH TOÁN VƯỢT THẨM QUYỀN PD</v>
          </cell>
        </row>
      </sheetData>
      <sheetData sheetId="3456">
        <row r="1">
          <cell r="A1" t="str">
            <v>PHIẾU XỬ LÝ HỒ SƠ THANH TOÁN VƯỢT THẨM QUYỀN PD</v>
          </cell>
        </row>
      </sheetData>
      <sheetData sheetId="3457">
        <row r="1">
          <cell r="A1" t="str">
            <v>PHIẾU XỬ LÝ HỒ SƠ THANH TOÁN VƯỢT THẨM QUYỀN PD</v>
          </cell>
        </row>
      </sheetData>
      <sheetData sheetId="3458">
        <row r="1">
          <cell r="A1" t="str">
            <v>PHIẾU XỬ LÝ HỒ SƠ THANH TOÁN VƯỢT THẨM QUYỀN PD</v>
          </cell>
        </row>
      </sheetData>
      <sheetData sheetId="3459">
        <row r="1">
          <cell r="A1" t="str">
            <v>PHIẾU XỬ LÝ HỒ SƠ THANH TOÁN VƯỢT THẨM QUYỀN PD</v>
          </cell>
        </row>
      </sheetData>
      <sheetData sheetId="3460">
        <row r="1">
          <cell r="A1" t="str">
            <v>PHIẾU XỬ LÝ HỒ SƠ THANH TOÁN VƯỢT THẨM QUYỀN PD</v>
          </cell>
        </row>
      </sheetData>
      <sheetData sheetId="3461">
        <row r="1">
          <cell r="A1" t="str">
            <v>PHIẾU XỬ LÝ HỒ SƠ THANH TOÁN VƯỢT THẨM QUYỀN PD</v>
          </cell>
        </row>
      </sheetData>
      <sheetData sheetId="3462">
        <row r="1">
          <cell r="A1" t="str">
            <v>PHIẾU XỬ LÝ HỒ SƠ THANH TOÁN VƯỢT THẨM QUYỀN PD</v>
          </cell>
        </row>
      </sheetData>
      <sheetData sheetId="3463">
        <row r="1">
          <cell r="A1" t="str">
            <v>PHIẾU XỬ LÝ HỒ SƠ THANH TOÁN VƯỢT THẨM QUYỀN PD</v>
          </cell>
        </row>
      </sheetData>
      <sheetData sheetId="3464">
        <row r="1">
          <cell r="A1" t="str">
            <v>PHIẾU XỬ LÝ HỒ SƠ THANH TOÁN VƯỢT THẨM QUYỀN PD</v>
          </cell>
        </row>
      </sheetData>
      <sheetData sheetId="3465">
        <row r="1">
          <cell r="A1" t="str">
            <v>PHIẾU XỬ LÝ HỒ SƠ THANH TOÁN VƯỢT THẨM QUYỀN PD</v>
          </cell>
        </row>
      </sheetData>
      <sheetData sheetId="3466">
        <row r="1">
          <cell r="A1" t="str">
            <v>PHIẾU XỬ LÝ HỒ SƠ THANH TOÁN VƯỢT THẨM QUYỀN PD</v>
          </cell>
        </row>
      </sheetData>
      <sheetData sheetId="3467">
        <row r="1">
          <cell r="A1" t="str">
            <v>PHIẾU XỬ LÝ HỒ SƠ THANH TOÁN VƯỢT THẨM QUYỀN PD</v>
          </cell>
        </row>
      </sheetData>
      <sheetData sheetId="3468">
        <row r="1">
          <cell r="A1" t="str">
            <v>PHIẾU XỬ LÝ HỒ SƠ THANH TOÁN VƯỢT THẨM QUYỀN PD</v>
          </cell>
        </row>
      </sheetData>
      <sheetData sheetId="3469">
        <row r="1">
          <cell r="A1" t="str">
            <v>PHIẾU XỬ LÝ HỒ SƠ THANH TOÁN VƯỢT THẨM QUYỀN PD</v>
          </cell>
        </row>
      </sheetData>
      <sheetData sheetId="3470">
        <row r="1">
          <cell r="A1" t="str">
            <v>PHIẾU XỬ LÝ HỒ SƠ THANH TOÁN VƯỢT THẨM QUYỀN PD</v>
          </cell>
        </row>
      </sheetData>
      <sheetData sheetId="3471">
        <row r="1">
          <cell r="A1" t="str">
            <v>PHIẾU XỬ LÝ HỒ SƠ THANH TOÁN VƯỢT THẨM QUYỀN PD</v>
          </cell>
        </row>
      </sheetData>
      <sheetData sheetId="3472">
        <row r="1">
          <cell r="A1" t="str">
            <v>PHIẾU XỬ LÝ HỒ SƠ THANH TOÁN VƯỢT THẨM QUYỀN PD</v>
          </cell>
        </row>
      </sheetData>
      <sheetData sheetId="3473">
        <row r="1">
          <cell r="A1" t="str">
            <v>PHIẾU XỬ LÝ HỒ SƠ THANH TOÁN VƯỢT THẨM QUYỀN PD</v>
          </cell>
        </row>
      </sheetData>
      <sheetData sheetId="3474">
        <row r="1">
          <cell r="A1" t="str">
            <v>PHIẾU XỬ LÝ HỒ SƠ THANH TOÁN VƯỢT THẨM QUYỀN PD</v>
          </cell>
        </row>
      </sheetData>
      <sheetData sheetId="3475">
        <row r="1">
          <cell r="A1" t="str">
            <v>PHIẾU XỬ LÝ HỒ SƠ THANH TOÁN VƯỢT THẨM QUYỀN PD</v>
          </cell>
        </row>
      </sheetData>
      <sheetData sheetId="3476">
        <row r="1">
          <cell r="A1" t="str">
            <v>PHIẾU XỬ LÝ HỒ SƠ THANH TOÁN VƯỢT THẨM QUYỀN PD</v>
          </cell>
        </row>
      </sheetData>
      <sheetData sheetId="3477">
        <row r="1">
          <cell r="A1" t="str">
            <v>PHIẾU XỬ LÝ HỒ SƠ THANH TOÁN VƯỢT THẨM QUYỀN PD</v>
          </cell>
        </row>
      </sheetData>
      <sheetData sheetId="3478">
        <row r="1">
          <cell r="A1" t="str">
            <v>PHIẾU XỬ LÝ HỒ SƠ THANH TOÁN VƯỢT THẨM QUYỀN PD</v>
          </cell>
        </row>
      </sheetData>
      <sheetData sheetId="3479">
        <row r="1">
          <cell r="A1" t="str">
            <v>PHIẾU XỬ LÝ HỒ SƠ THANH TOÁN VƯỢT THẨM QUYỀN PD</v>
          </cell>
        </row>
      </sheetData>
      <sheetData sheetId="3480">
        <row r="1">
          <cell r="A1" t="str">
            <v>PHIẾU XỬ LÝ HỒ SƠ THANH TOÁN VƯỢT THẨM QUYỀN PD</v>
          </cell>
        </row>
      </sheetData>
      <sheetData sheetId="3481">
        <row r="1">
          <cell r="A1" t="str">
            <v>PHIẾU XỬ LÝ HỒ SƠ THANH TOÁN VƯỢT THẨM QUYỀN PD</v>
          </cell>
        </row>
      </sheetData>
      <sheetData sheetId="3482">
        <row r="1">
          <cell r="A1" t="str">
            <v>PHIẾU XỬ LÝ HỒ SƠ THANH TOÁN VƯỢT THẨM QUYỀN PD</v>
          </cell>
        </row>
      </sheetData>
      <sheetData sheetId="3483">
        <row r="1">
          <cell r="A1" t="str">
            <v>PHIẾU XỬ LÝ HỒ SƠ THANH TOÁN VƯỢT THẨM QUYỀN PD</v>
          </cell>
        </row>
      </sheetData>
      <sheetData sheetId="3484">
        <row r="1">
          <cell r="A1" t="str">
            <v>PHIẾU XỬ LÝ HỒ SƠ THANH TOÁN VƯỢT THẨM QUYỀN PD</v>
          </cell>
        </row>
      </sheetData>
      <sheetData sheetId="3485">
        <row r="1">
          <cell r="A1" t="str">
            <v>PHIẾU XỬ LÝ HỒ SƠ THANH TOÁN VƯỢT THẨM QUYỀN PD</v>
          </cell>
        </row>
      </sheetData>
      <sheetData sheetId="3486">
        <row r="1">
          <cell r="A1" t="str">
            <v>PHIẾU XỬ LÝ HỒ SƠ THANH TOÁN VƯỢT THẨM QUYỀN PD</v>
          </cell>
        </row>
      </sheetData>
      <sheetData sheetId="3487">
        <row r="1">
          <cell r="A1" t="str">
            <v>PHIẾU XỬ LÝ HỒ SƠ THANH TOÁN VƯỢT THẨM QUYỀN PD</v>
          </cell>
        </row>
      </sheetData>
      <sheetData sheetId="3488">
        <row r="1">
          <cell r="A1" t="str">
            <v>PHIẾU XỬ LÝ HỒ SƠ THANH TOÁN VƯỢT THẨM QUYỀN PD</v>
          </cell>
        </row>
      </sheetData>
      <sheetData sheetId="3489">
        <row r="1">
          <cell r="A1" t="str">
            <v>PHIẾU XỬ LÝ HỒ SƠ THANH TOÁN VƯỢT THẨM QUYỀN PD</v>
          </cell>
        </row>
      </sheetData>
      <sheetData sheetId="3490">
        <row r="1">
          <cell r="A1" t="str">
            <v>PHIẾU XỬ LÝ HỒ SƠ THANH TOÁN VƯỢT THẨM QUYỀN PD</v>
          </cell>
        </row>
      </sheetData>
      <sheetData sheetId="3491">
        <row r="1">
          <cell r="A1" t="str">
            <v>PHIẾU XỬ LÝ HỒ SƠ THANH TOÁN VƯỢT THẨM QUYỀN PD</v>
          </cell>
        </row>
      </sheetData>
      <sheetData sheetId="3492">
        <row r="1">
          <cell r="A1" t="str">
            <v>PHIẾU XỬ LÝ HỒ SƠ THANH TOÁN VƯỢT THẨM QUYỀN PD</v>
          </cell>
        </row>
      </sheetData>
      <sheetData sheetId="3493">
        <row r="1">
          <cell r="A1" t="str">
            <v>PHIẾU XỬ LÝ HỒ SƠ THANH TOÁN VƯỢT THẨM QUYỀN PD</v>
          </cell>
        </row>
      </sheetData>
      <sheetData sheetId="3494">
        <row r="1">
          <cell r="A1" t="str">
            <v>PHIẾU XỬ LÝ HỒ SƠ THANH TOÁN VƯỢT THẨM QUYỀN PD</v>
          </cell>
        </row>
      </sheetData>
      <sheetData sheetId="3495">
        <row r="1">
          <cell r="A1" t="str">
            <v>PHIẾU XỬ LÝ HỒ SƠ THANH TOÁN VƯỢT THẨM QUYỀN PD</v>
          </cell>
        </row>
      </sheetData>
      <sheetData sheetId="3496">
        <row r="1">
          <cell r="A1" t="str">
            <v>PHIẾU XỬ LÝ HỒ SƠ THANH TOÁN VƯỢT THẨM QUYỀN PD</v>
          </cell>
        </row>
      </sheetData>
      <sheetData sheetId="3497">
        <row r="1">
          <cell r="A1" t="str">
            <v>PHIẾU XỬ LÝ HỒ SƠ THANH TOÁN VƯỢT THẨM QUYỀN PD</v>
          </cell>
        </row>
      </sheetData>
      <sheetData sheetId="3498">
        <row r="1">
          <cell r="A1" t="str">
            <v>PHIẾU XỬ LÝ HỒ SƠ THANH TOÁN VƯỢT THẨM QUYỀN PD</v>
          </cell>
        </row>
      </sheetData>
      <sheetData sheetId="3499">
        <row r="1">
          <cell r="A1" t="str">
            <v>PHIẾU XỬ LÝ HỒ SƠ THANH TOÁN VƯỢT THẨM QUYỀN PD</v>
          </cell>
        </row>
      </sheetData>
      <sheetData sheetId="3500">
        <row r="1">
          <cell r="A1" t="str">
            <v>PHIẾU XỬ LÝ HỒ SƠ THANH TOÁN VƯỢT THẨM QUYỀN PD</v>
          </cell>
        </row>
      </sheetData>
      <sheetData sheetId="3501">
        <row r="1">
          <cell r="A1" t="str">
            <v>PHIẾU XỬ LÝ HỒ SƠ THANH TOÁN VƯỢT THẨM QUYỀN PD</v>
          </cell>
        </row>
      </sheetData>
      <sheetData sheetId="3502">
        <row r="1">
          <cell r="A1" t="str">
            <v>PHIẾU XỬ LÝ HỒ SƠ THANH TOÁN VƯỢT THẨM QUYỀN PD</v>
          </cell>
        </row>
      </sheetData>
      <sheetData sheetId="3503">
        <row r="1">
          <cell r="A1" t="str">
            <v>PHIẾU XỬ LÝ HỒ SƠ THANH TOÁN VƯỢT THẨM QUYỀN PD</v>
          </cell>
        </row>
      </sheetData>
      <sheetData sheetId="3504">
        <row r="1">
          <cell r="A1" t="str">
            <v>PHIẾU XỬ LÝ HỒ SƠ THANH TOÁN VƯỢT THẨM QUYỀN PD</v>
          </cell>
        </row>
      </sheetData>
      <sheetData sheetId="3505">
        <row r="1">
          <cell r="A1" t="str">
            <v>PHIẾU XỬ LÝ HỒ SƠ THANH TOÁN VƯỢT THẨM QUYỀN PD</v>
          </cell>
        </row>
      </sheetData>
      <sheetData sheetId="3506">
        <row r="1">
          <cell r="A1" t="str">
            <v>PHIẾU XỬ LÝ HỒ SƠ THANH TOÁN VƯỢT THẨM QUYỀN PD</v>
          </cell>
        </row>
      </sheetData>
      <sheetData sheetId="3507">
        <row r="1">
          <cell r="A1" t="str">
            <v>PHIẾU XỬ LÝ HỒ SƠ THANH TOÁN VƯỢT THẨM QUYỀN PD</v>
          </cell>
        </row>
      </sheetData>
      <sheetData sheetId="3508">
        <row r="1">
          <cell r="A1" t="str">
            <v>PHIẾU XỬ LÝ HỒ SƠ THANH TOÁN VƯỢT THẨM QUYỀN PD</v>
          </cell>
        </row>
      </sheetData>
      <sheetData sheetId="3509">
        <row r="1">
          <cell r="A1" t="str">
            <v>PHIẾU XỬ LÝ HỒ SƠ THANH TOÁN VƯỢT THẨM QUYỀN PD</v>
          </cell>
        </row>
      </sheetData>
      <sheetData sheetId="3510">
        <row r="1">
          <cell r="A1" t="str">
            <v>PHIẾU XỬ LÝ HỒ SƠ THANH TOÁN VƯỢT THẨM QUYỀN PD</v>
          </cell>
        </row>
      </sheetData>
      <sheetData sheetId="3511">
        <row r="1">
          <cell r="A1" t="str">
            <v>PHIẾU XỬ LÝ HỒ SƠ THANH TOÁN VƯỢT THẨM QUYỀN PD</v>
          </cell>
        </row>
      </sheetData>
      <sheetData sheetId="3512">
        <row r="1">
          <cell r="A1" t="str">
            <v>PHIẾU XỬ LÝ HỒ SƠ THANH TOÁN VƯỢT THẨM QUYỀN PD</v>
          </cell>
        </row>
      </sheetData>
      <sheetData sheetId="3513">
        <row r="1">
          <cell r="A1" t="str">
            <v>PHIẾU XỬ LÝ HỒ SƠ THANH TOÁN VƯỢT THẨM QUYỀN PD</v>
          </cell>
        </row>
      </sheetData>
      <sheetData sheetId="3514">
        <row r="1">
          <cell r="A1" t="str">
            <v>PHIẾU XỬ LÝ HỒ SƠ THANH TOÁN VƯỢT THẨM QUYỀN PD</v>
          </cell>
        </row>
      </sheetData>
      <sheetData sheetId="3515">
        <row r="1">
          <cell r="A1" t="str">
            <v>PHIẾU XỬ LÝ HỒ SƠ THANH TOÁN VƯỢT THẨM QUYỀN PD</v>
          </cell>
        </row>
      </sheetData>
      <sheetData sheetId="3516">
        <row r="1">
          <cell r="A1" t="str">
            <v>PHIẾU XỬ LÝ HỒ SƠ THANH TOÁN VƯỢT THẨM QUYỀN PD</v>
          </cell>
        </row>
      </sheetData>
      <sheetData sheetId="3517">
        <row r="1">
          <cell r="A1" t="str">
            <v>PHIẾU XỬ LÝ HỒ SƠ THANH TOÁN VƯỢT THẨM QUYỀN PD</v>
          </cell>
        </row>
      </sheetData>
      <sheetData sheetId="3518">
        <row r="1">
          <cell r="A1" t="str">
            <v>PHIẾU XỬ LÝ HỒ SƠ THANH TOÁN VƯỢT THẨM QUYỀN PD</v>
          </cell>
        </row>
      </sheetData>
      <sheetData sheetId="3519">
        <row r="1">
          <cell r="A1" t="str">
            <v>PHIẾU XỬ LÝ HỒ SƠ THANH TOÁN VƯỢT THẨM QUYỀN PD</v>
          </cell>
        </row>
      </sheetData>
      <sheetData sheetId="3520">
        <row r="1">
          <cell r="A1" t="str">
            <v>PHIẾU XỬ LÝ HỒ SƠ THANH TOÁN VƯỢT THẨM QUYỀN PD</v>
          </cell>
        </row>
      </sheetData>
      <sheetData sheetId="3521">
        <row r="1">
          <cell r="A1" t="str">
            <v>PHIẾU XỬ LÝ HỒ SƠ THANH TOÁN VƯỢT THẨM QUYỀN PD</v>
          </cell>
        </row>
      </sheetData>
      <sheetData sheetId="3522">
        <row r="1">
          <cell r="A1" t="str">
            <v>PHIẾU XỬ LÝ HỒ SƠ THANH TOÁN VƯỢT THẨM QUYỀN PD</v>
          </cell>
        </row>
      </sheetData>
      <sheetData sheetId="3523">
        <row r="1">
          <cell r="A1" t="str">
            <v>PHIẾU XỬ LÝ HỒ SƠ THANH TOÁN VƯỢT THẨM QUYỀN PD</v>
          </cell>
        </row>
      </sheetData>
      <sheetData sheetId="3524">
        <row r="1">
          <cell r="A1" t="str">
            <v>PHIẾU XỬ LÝ HỒ SƠ THANH TOÁN VƯỢT THẨM QUYỀN PD</v>
          </cell>
        </row>
      </sheetData>
      <sheetData sheetId="3525">
        <row r="1">
          <cell r="A1" t="str">
            <v>PHIẾU XỬ LÝ HỒ SƠ THANH TOÁN VƯỢT THẨM QUYỀN PD</v>
          </cell>
        </row>
      </sheetData>
      <sheetData sheetId="3526">
        <row r="1">
          <cell r="A1" t="str">
            <v>PHIẾU XỬ LÝ HỒ SƠ THANH TOÁN VƯỢT THẨM QUYỀN PD</v>
          </cell>
        </row>
      </sheetData>
      <sheetData sheetId="3527">
        <row r="1">
          <cell r="A1" t="str">
            <v>PHIẾU XỬ LÝ HỒ SƠ THANH TOÁN VƯỢT THẨM QUYỀN PD</v>
          </cell>
        </row>
      </sheetData>
      <sheetData sheetId="3528">
        <row r="1">
          <cell r="A1" t="str">
            <v>PHIẾU XỬ LÝ HỒ SƠ THANH TOÁN VƯỢT THẨM QUYỀN PD</v>
          </cell>
        </row>
      </sheetData>
      <sheetData sheetId="3529">
        <row r="1">
          <cell r="A1" t="str">
            <v>PHIẾU XỬ LÝ HỒ SƠ THANH TOÁN VƯỢT THẨM QUYỀN PD</v>
          </cell>
        </row>
      </sheetData>
      <sheetData sheetId="3530">
        <row r="1">
          <cell r="A1" t="str">
            <v>PHIẾU XỬ LÝ HỒ SƠ THANH TOÁN VƯỢT THẨM QUYỀN PD</v>
          </cell>
        </row>
      </sheetData>
      <sheetData sheetId="3531">
        <row r="1">
          <cell r="A1" t="str">
            <v>PHIẾU XỬ LÝ HỒ SƠ THANH TOÁN VƯỢT THẨM QUYỀN PD</v>
          </cell>
        </row>
      </sheetData>
      <sheetData sheetId="3532">
        <row r="1">
          <cell r="A1" t="str">
            <v>PHIẾU XỬ LÝ HỒ SƠ THANH TOÁN VƯỢT THẨM QUYỀN PD</v>
          </cell>
        </row>
      </sheetData>
      <sheetData sheetId="3533">
        <row r="1">
          <cell r="A1" t="str">
            <v>PHIẾU XỬ LÝ HỒ SƠ THANH TOÁN VƯỢT THẨM QUYỀN PD</v>
          </cell>
        </row>
      </sheetData>
      <sheetData sheetId="3534">
        <row r="1">
          <cell r="A1" t="str">
            <v>PHIẾU XỬ LÝ HỒ SƠ THANH TOÁN VƯỢT THẨM QUYỀN PD</v>
          </cell>
        </row>
      </sheetData>
      <sheetData sheetId="3535">
        <row r="1">
          <cell r="A1" t="str">
            <v>PHIẾU XỬ LÝ HỒ SƠ THANH TOÁN VƯỢT THẨM QUYỀN PD</v>
          </cell>
        </row>
      </sheetData>
      <sheetData sheetId="3536">
        <row r="1">
          <cell r="A1" t="str">
            <v>PHIẾU XỬ LÝ HỒ SƠ THANH TOÁN VƯỢT THẨM QUYỀN PD</v>
          </cell>
        </row>
      </sheetData>
      <sheetData sheetId="3537">
        <row r="1">
          <cell r="A1" t="str">
            <v>PHIẾU XỬ LÝ HỒ SƠ THANH TOÁN VƯỢT THẨM QUYỀN PD</v>
          </cell>
        </row>
      </sheetData>
      <sheetData sheetId="3538">
        <row r="1">
          <cell r="A1" t="str">
            <v>PHIẾU XỬ LÝ HỒ SƠ THANH TOÁN VƯỢT THẨM QUYỀN PD</v>
          </cell>
        </row>
      </sheetData>
      <sheetData sheetId="3539">
        <row r="1">
          <cell r="A1" t="str">
            <v>PHIẾU XỬ LÝ HỒ SƠ THANH TOÁN VƯỢT THẨM QUYỀN PD</v>
          </cell>
        </row>
      </sheetData>
      <sheetData sheetId="3540">
        <row r="1">
          <cell r="A1" t="str">
            <v>PHIẾU XỬ LÝ HỒ SƠ THANH TOÁN VƯỢT THẨM QUYỀN PD</v>
          </cell>
        </row>
      </sheetData>
      <sheetData sheetId="3541">
        <row r="1">
          <cell r="A1" t="str">
            <v>PHIẾU XỬ LÝ HỒ SƠ THANH TOÁN VƯỢT THẨM QUYỀN PD</v>
          </cell>
        </row>
      </sheetData>
      <sheetData sheetId="3542">
        <row r="1">
          <cell r="A1" t="str">
            <v>PHIẾU XỬ LÝ HỒ SƠ THANH TOÁN VƯỢT THẨM QUYỀN PD</v>
          </cell>
        </row>
      </sheetData>
      <sheetData sheetId="3543">
        <row r="1">
          <cell r="A1" t="str">
            <v>PHIẾU XỬ LÝ HỒ SƠ THANH TOÁN VƯỢT THẨM QUYỀN PD</v>
          </cell>
        </row>
      </sheetData>
      <sheetData sheetId="3544">
        <row r="1">
          <cell r="A1" t="str">
            <v>PHIẾU XỬ LÝ HỒ SƠ THANH TOÁN VƯỢT THẨM QUYỀN PD</v>
          </cell>
        </row>
      </sheetData>
      <sheetData sheetId="3545">
        <row r="1">
          <cell r="A1" t="str">
            <v>PHIẾU XỬ LÝ HỒ SƠ THANH TOÁN VƯỢT THẨM QUYỀN PD</v>
          </cell>
        </row>
      </sheetData>
      <sheetData sheetId="3546">
        <row r="1">
          <cell r="A1" t="str">
            <v>PHIẾU XỬ LÝ HỒ SƠ THANH TOÁN VƯỢT THẨM QUYỀN PD</v>
          </cell>
        </row>
      </sheetData>
      <sheetData sheetId="3547">
        <row r="1">
          <cell r="A1" t="str">
            <v>PHIẾU XỬ LÝ HỒ SƠ THANH TOÁN VƯỢT THẨM QUYỀN PD</v>
          </cell>
        </row>
      </sheetData>
      <sheetData sheetId="3548">
        <row r="1">
          <cell r="A1" t="str">
            <v>PHIẾU XỬ LÝ HỒ SƠ THANH TOÁN VƯỢT THẨM QUYỀN PD</v>
          </cell>
        </row>
      </sheetData>
      <sheetData sheetId="3549">
        <row r="1">
          <cell r="A1" t="str">
            <v>PHIẾU XỬ LÝ HỒ SƠ THANH TOÁN VƯỢT THẨM QUYỀN PD</v>
          </cell>
        </row>
      </sheetData>
      <sheetData sheetId="3550">
        <row r="1">
          <cell r="A1" t="str">
            <v>PHIẾU XỬ LÝ HỒ SƠ THANH TOÁN VƯỢT THẨM QUYỀN PD</v>
          </cell>
        </row>
      </sheetData>
      <sheetData sheetId="3551">
        <row r="1">
          <cell r="A1" t="str">
            <v>PHIẾU XỬ LÝ HỒ SƠ THANH TOÁN VƯỢT THẨM QUYỀN PD</v>
          </cell>
        </row>
      </sheetData>
      <sheetData sheetId="3552">
        <row r="1">
          <cell r="A1" t="str">
            <v>PHIẾU XỬ LÝ HỒ SƠ THANH TOÁN VƯỢT THẨM QUYỀN PD</v>
          </cell>
        </row>
      </sheetData>
      <sheetData sheetId="3553">
        <row r="1">
          <cell r="A1" t="str">
            <v>PHIẾU XỬ LÝ HỒ SƠ THANH TOÁN VƯỢT THẨM QUYỀN PD</v>
          </cell>
        </row>
      </sheetData>
      <sheetData sheetId="3554">
        <row r="1">
          <cell r="A1" t="str">
            <v>PHIẾU XỬ LÝ HỒ SƠ THANH TOÁN VƯỢT THẨM QUYỀN PD</v>
          </cell>
        </row>
      </sheetData>
      <sheetData sheetId="3555">
        <row r="1">
          <cell r="A1" t="str">
            <v>PHIẾU XỬ LÝ HỒ SƠ THANH TOÁN VƯỢT THẨM QUYỀN PD</v>
          </cell>
        </row>
      </sheetData>
      <sheetData sheetId="3556">
        <row r="1">
          <cell r="A1" t="str">
            <v>PHIẾU XỬ LÝ HỒ SƠ THANH TOÁN VƯỢT THẨM QUYỀN PD</v>
          </cell>
        </row>
      </sheetData>
      <sheetData sheetId="3557">
        <row r="1">
          <cell r="A1" t="str">
            <v>PHIẾU XỬ LÝ HỒ SƠ THANH TOÁN VƯỢT THẨM QUYỀN PD</v>
          </cell>
        </row>
      </sheetData>
      <sheetData sheetId="3558">
        <row r="1">
          <cell r="A1" t="str">
            <v>PHIẾU XỬ LÝ HỒ SƠ THANH TOÁN VƯỢT THẨM QUYỀN PD</v>
          </cell>
        </row>
      </sheetData>
      <sheetData sheetId="3559">
        <row r="1">
          <cell r="A1" t="str">
            <v>PHIẾU XỬ LÝ HỒ SƠ THANH TOÁN VƯỢT THẨM QUYỀN PD</v>
          </cell>
        </row>
      </sheetData>
      <sheetData sheetId="3560">
        <row r="1">
          <cell r="A1" t="str">
            <v>PHIẾU XỬ LÝ HỒ SƠ THANH TOÁN VƯỢT THẨM QUYỀN PD</v>
          </cell>
        </row>
      </sheetData>
      <sheetData sheetId="3561">
        <row r="1">
          <cell r="A1" t="str">
            <v>PHIẾU XỬ LÝ HỒ SƠ THANH TOÁN VƯỢT THẨM QUYỀN PD</v>
          </cell>
        </row>
      </sheetData>
      <sheetData sheetId="3562">
        <row r="1">
          <cell r="A1" t="str">
            <v>PHIẾU XỬ LÝ HỒ SƠ THANH TOÁN VƯỢT THẨM QUYỀN PD</v>
          </cell>
        </row>
      </sheetData>
      <sheetData sheetId="3563">
        <row r="1">
          <cell r="A1" t="str">
            <v>PHIẾU XỬ LÝ HỒ SƠ THANH TOÁN VƯỢT THẨM QUYỀN PD</v>
          </cell>
        </row>
      </sheetData>
      <sheetData sheetId="3564">
        <row r="1">
          <cell r="A1" t="str">
            <v>PHIẾU XỬ LÝ HỒ SƠ THANH TOÁN VƯỢT THẨM QUYỀN PD</v>
          </cell>
        </row>
      </sheetData>
      <sheetData sheetId="3565">
        <row r="1">
          <cell r="A1" t="str">
            <v>PHIẾU XỬ LÝ HỒ SƠ THANH TOÁN VƯỢT THẨM QUYỀN PD</v>
          </cell>
        </row>
      </sheetData>
      <sheetData sheetId="3566">
        <row r="1">
          <cell r="A1" t="str">
            <v>PHIẾU XỬ LÝ HỒ SƠ THANH TOÁN VƯỢT THẨM QUYỀN PD</v>
          </cell>
        </row>
      </sheetData>
      <sheetData sheetId="3567">
        <row r="1">
          <cell r="A1" t="str">
            <v>PHIẾU XỬ LÝ HỒ SƠ THANH TOÁN VƯỢT THẨM QUYỀN PD</v>
          </cell>
        </row>
      </sheetData>
      <sheetData sheetId="3568">
        <row r="1">
          <cell r="A1" t="str">
            <v>PHIẾU XỬ LÝ HỒ SƠ THANH TOÁN VƯỢT THẨM QUYỀN PD</v>
          </cell>
        </row>
      </sheetData>
      <sheetData sheetId="3569">
        <row r="1">
          <cell r="A1" t="str">
            <v>PHIẾU XỬ LÝ HỒ SƠ THANH TOÁN VƯỢT THẨM QUYỀN PD</v>
          </cell>
        </row>
      </sheetData>
      <sheetData sheetId="3570">
        <row r="1">
          <cell r="A1" t="str">
            <v>PHIẾU XỬ LÝ HỒ SƠ THANH TOÁN VƯỢT THẨM QUYỀN PD</v>
          </cell>
        </row>
      </sheetData>
      <sheetData sheetId="3571">
        <row r="1">
          <cell r="A1" t="str">
            <v>PHIẾU XỬ LÝ HỒ SƠ THANH TOÁN VƯỢT THẨM QUYỀN PD</v>
          </cell>
        </row>
      </sheetData>
      <sheetData sheetId="3572">
        <row r="1">
          <cell r="A1" t="str">
            <v>PHIẾU XỬ LÝ HỒ SƠ THANH TOÁN VƯỢT THẨM QUYỀN PD</v>
          </cell>
        </row>
      </sheetData>
      <sheetData sheetId="3573">
        <row r="1">
          <cell r="A1" t="str">
            <v>PHIẾU XỬ LÝ HỒ SƠ THANH TOÁN VƯỢT THẨM QUYỀN PD</v>
          </cell>
        </row>
      </sheetData>
      <sheetData sheetId="3574">
        <row r="1">
          <cell r="A1" t="str">
            <v>PHIẾU XỬ LÝ HỒ SƠ THANH TOÁN VƯỢT THẨM QUYỀN PD</v>
          </cell>
        </row>
      </sheetData>
      <sheetData sheetId="3575">
        <row r="1">
          <cell r="A1" t="str">
            <v>PHIẾU XỬ LÝ HỒ SƠ THANH TOÁN VƯỢT THẨM QUYỀN PD</v>
          </cell>
        </row>
      </sheetData>
      <sheetData sheetId="3576">
        <row r="1">
          <cell r="A1" t="str">
            <v>PHIẾU XỬ LÝ HỒ SƠ THANH TOÁN VƯỢT THẨM QUYỀN PD</v>
          </cell>
        </row>
      </sheetData>
      <sheetData sheetId="3577">
        <row r="1">
          <cell r="A1" t="str">
            <v>PHIẾU XỬ LÝ HỒ SƠ THANH TOÁN VƯỢT THẨM QUYỀN PD</v>
          </cell>
        </row>
      </sheetData>
      <sheetData sheetId="3578">
        <row r="1">
          <cell r="A1" t="str">
            <v>PHIẾU XỬ LÝ HỒ SƠ THANH TOÁN VƯỢT THẨM QUYỀN PD</v>
          </cell>
        </row>
      </sheetData>
      <sheetData sheetId="3579">
        <row r="1">
          <cell r="A1" t="str">
            <v>PHIẾU XỬ LÝ HỒ SƠ THANH TOÁN VƯỢT THẨM QUYỀN PD</v>
          </cell>
        </row>
      </sheetData>
      <sheetData sheetId="3580">
        <row r="1">
          <cell r="A1" t="str">
            <v>PHIẾU XỬ LÝ HỒ SƠ THANH TOÁN VƯỢT THẨM QUYỀN PD</v>
          </cell>
        </row>
      </sheetData>
      <sheetData sheetId="3581">
        <row r="1">
          <cell r="A1" t="str">
            <v>PHIẾU XỬ LÝ HỒ SƠ THANH TOÁN VƯỢT THẨM QUYỀN PD</v>
          </cell>
        </row>
      </sheetData>
      <sheetData sheetId="3582">
        <row r="1">
          <cell r="A1" t="str">
            <v>PHIẾU XỬ LÝ HỒ SƠ THANH TOÁN VƯỢT THẨM QUYỀN PD</v>
          </cell>
        </row>
      </sheetData>
      <sheetData sheetId="3583">
        <row r="1">
          <cell r="A1" t="str">
            <v>PHIẾU XỬ LÝ HỒ SƠ THANH TOÁN VƯỢT THẨM QUYỀN PD</v>
          </cell>
        </row>
      </sheetData>
      <sheetData sheetId="3584">
        <row r="1">
          <cell r="A1" t="str">
            <v>PHIẾU XỬ LÝ HỒ SƠ THANH TOÁN VƯỢT THẨM QUYỀN PD</v>
          </cell>
        </row>
      </sheetData>
      <sheetData sheetId="3585">
        <row r="1">
          <cell r="A1" t="str">
            <v>PHIẾU XỬ LÝ HỒ SƠ THANH TOÁN VƯỢT THẨM QUYỀN PD</v>
          </cell>
        </row>
      </sheetData>
      <sheetData sheetId="3586">
        <row r="1">
          <cell r="A1" t="str">
            <v>PHIẾU XỬ LÝ HỒ SƠ THANH TOÁN VƯỢT THẨM QUYỀN PD</v>
          </cell>
        </row>
      </sheetData>
      <sheetData sheetId="3587">
        <row r="1">
          <cell r="A1" t="str">
            <v>PHIẾU XỬ LÝ HỒ SƠ THANH TOÁN VƯỢT THẨM QUYỀN PD</v>
          </cell>
        </row>
      </sheetData>
      <sheetData sheetId="3588">
        <row r="1">
          <cell r="A1" t="str">
            <v>PHIẾU XỬ LÝ HỒ SƠ THANH TOÁN VƯỢT THẨM QUYỀN PD</v>
          </cell>
        </row>
      </sheetData>
      <sheetData sheetId="3589">
        <row r="1">
          <cell r="A1" t="str">
            <v>PHIẾU XỬ LÝ HỒ SƠ THANH TOÁN VƯỢT THẨM QUYỀN PD</v>
          </cell>
        </row>
      </sheetData>
      <sheetData sheetId="3590">
        <row r="1">
          <cell r="A1" t="str">
            <v>PHIẾU XỬ LÝ HỒ SƠ THANH TOÁN VƯỢT THẨM QUYỀN PD</v>
          </cell>
        </row>
      </sheetData>
      <sheetData sheetId="3591">
        <row r="1">
          <cell r="A1" t="str">
            <v>PHIẾU XỬ LÝ HỒ SƠ THANH TOÁN VƯỢT THẨM QUYỀN PD</v>
          </cell>
        </row>
      </sheetData>
      <sheetData sheetId="3592">
        <row r="1">
          <cell r="A1" t="str">
            <v>PHIẾU XỬ LÝ HỒ SƠ THANH TOÁN VƯỢT THẨM QUYỀN PD</v>
          </cell>
        </row>
      </sheetData>
      <sheetData sheetId="3593">
        <row r="1">
          <cell r="A1" t="str">
            <v>PHIẾU XỬ LÝ HỒ SƠ THANH TOÁN VƯỢT THẨM QUYỀN PD</v>
          </cell>
        </row>
      </sheetData>
      <sheetData sheetId="3594">
        <row r="1">
          <cell r="A1" t="str">
            <v>PHIẾU XỬ LÝ HỒ SƠ THANH TOÁN VƯỢT THẨM QUYỀN PD</v>
          </cell>
        </row>
      </sheetData>
      <sheetData sheetId="3595">
        <row r="1">
          <cell r="A1" t="str">
            <v>PHIẾU XỬ LÝ HỒ SƠ THANH TOÁN VƯỢT THẨM QUYỀN PD</v>
          </cell>
        </row>
      </sheetData>
      <sheetData sheetId="3596">
        <row r="1">
          <cell r="A1" t="str">
            <v>PHIẾU XỬ LÝ HỒ SƠ THANH TOÁN VƯỢT THẨM QUYỀN PD</v>
          </cell>
        </row>
      </sheetData>
      <sheetData sheetId="3597">
        <row r="1">
          <cell r="A1" t="str">
            <v>PHIẾU XỬ LÝ HỒ SƠ THANH TOÁN VƯỢT THẨM QUYỀN PD</v>
          </cell>
        </row>
      </sheetData>
      <sheetData sheetId="3598">
        <row r="1">
          <cell r="A1" t="str">
            <v>PHIẾU XỬ LÝ HỒ SƠ THANH TOÁN VƯỢT THẨM QUYỀN PD</v>
          </cell>
        </row>
      </sheetData>
      <sheetData sheetId="3599">
        <row r="1">
          <cell r="A1" t="str">
            <v>PHIẾU XỬ LÝ HỒ SƠ THANH TOÁN VƯỢT THẨM QUYỀN PD</v>
          </cell>
        </row>
      </sheetData>
      <sheetData sheetId="3600">
        <row r="1">
          <cell r="A1" t="str">
            <v>PHIẾU XỬ LÝ HỒ SƠ THANH TOÁN VƯỢT THẨM QUYỀN PD</v>
          </cell>
        </row>
      </sheetData>
      <sheetData sheetId="3601">
        <row r="1">
          <cell r="A1" t="str">
            <v>PHIẾU XỬ LÝ HỒ SƠ THANH TOÁN VƯỢT THẨM QUYỀN PD</v>
          </cell>
        </row>
      </sheetData>
      <sheetData sheetId="3602">
        <row r="1">
          <cell r="A1" t="str">
            <v>PHIẾU XỬ LÝ HỒ SƠ THANH TOÁN VƯỢT THẨM QUYỀN PD</v>
          </cell>
        </row>
      </sheetData>
      <sheetData sheetId="3603">
        <row r="1">
          <cell r="A1" t="str">
            <v>PHIẾU XỬ LÝ HỒ SƠ THANH TOÁN VƯỢT THẨM QUYỀN PD</v>
          </cell>
        </row>
      </sheetData>
      <sheetData sheetId="3604">
        <row r="1">
          <cell r="A1" t="str">
            <v>PHIẾU XỬ LÝ HỒ SƠ THANH TOÁN VƯỢT THẨM QUYỀN PD</v>
          </cell>
        </row>
      </sheetData>
      <sheetData sheetId="3605">
        <row r="1">
          <cell r="A1" t="str">
            <v>PHIẾU XỬ LÝ HỒ SƠ THANH TOÁN VƯỢT THẨM QUYỀN PD</v>
          </cell>
        </row>
      </sheetData>
      <sheetData sheetId="3606">
        <row r="1">
          <cell r="A1" t="str">
            <v>PHIẾU XỬ LÝ HỒ SƠ THANH TOÁN VƯỢT THẨM QUYỀN PD</v>
          </cell>
        </row>
      </sheetData>
      <sheetData sheetId="3607">
        <row r="1">
          <cell r="A1" t="str">
            <v>PHIẾU XỬ LÝ HỒ SƠ THANH TOÁN VƯỢT THẨM QUYỀN PD</v>
          </cell>
        </row>
      </sheetData>
      <sheetData sheetId="3608">
        <row r="1">
          <cell r="A1" t="str">
            <v>PHIẾU XỬ LÝ HỒ SƠ THANH TOÁN VƯỢT THẨM QUYỀN PD</v>
          </cell>
        </row>
      </sheetData>
      <sheetData sheetId="3609">
        <row r="1">
          <cell r="A1" t="str">
            <v>PHIẾU XỬ LÝ HỒ SƠ THANH TOÁN VƯỢT THẨM QUYỀN PD</v>
          </cell>
        </row>
      </sheetData>
      <sheetData sheetId="3610">
        <row r="1">
          <cell r="A1" t="str">
            <v>PHIẾU XỬ LÝ HỒ SƠ THANH TOÁN VƯỢT THẨM QUYỀN PD</v>
          </cell>
        </row>
      </sheetData>
      <sheetData sheetId="3611">
        <row r="1">
          <cell r="A1" t="str">
            <v>PHIẾU XỬ LÝ HỒ SƠ THANH TOÁN VƯỢT THẨM QUYỀN PD</v>
          </cell>
        </row>
      </sheetData>
      <sheetData sheetId="3612">
        <row r="1">
          <cell r="A1" t="str">
            <v>PHIẾU XỬ LÝ HỒ SƠ THANH TOÁN VƯỢT THẨM QUYỀN PD</v>
          </cell>
        </row>
      </sheetData>
      <sheetData sheetId="3613">
        <row r="1">
          <cell r="A1" t="str">
            <v>PHIẾU XỬ LÝ HỒ SƠ THANH TOÁN VƯỢT THẨM QUYỀN PD</v>
          </cell>
        </row>
      </sheetData>
      <sheetData sheetId="3614">
        <row r="1">
          <cell r="A1" t="str">
            <v>PHIẾU XỬ LÝ HỒ SƠ THANH TOÁN VƯỢT THẨM QUYỀN PD</v>
          </cell>
        </row>
      </sheetData>
      <sheetData sheetId="3615">
        <row r="1">
          <cell r="A1" t="str">
            <v>PHIẾU XỬ LÝ HỒ SƠ THANH TOÁN VƯỢT THẨM QUYỀN PD</v>
          </cell>
        </row>
      </sheetData>
      <sheetData sheetId="3616">
        <row r="1">
          <cell r="A1" t="str">
            <v>PHIẾU XỬ LÝ HỒ SƠ THANH TOÁN VƯỢT THẨM QUYỀN PD</v>
          </cell>
        </row>
      </sheetData>
      <sheetData sheetId="3617">
        <row r="1">
          <cell r="A1" t="str">
            <v>PHIẾU XỬ LÝ HỒ SƠ THANH TOÁN VƯỢT THẨM QUYỀN PD</v>
          </cell>
        </row>
      </sheetData>
      <sheetData sheetId="3618">
        <row r="1">
          <cell r="A1" t="str">
            <v>PHIẾU XỬ LÝ HỒ SƠ THANH TOÁN VƯỢT THẨM QUYỀN PD</v>
          </cell>
        </row>
      </sheetData>
      <sheetData sheetId="3619">
        <row r="1">
          <cell r="A1" t="str">
            <v>PHIẾU XỬ LÝ HỒ SƠ THANH TOÁN VƯỢT THẨM QUYỀN PD</v>
          </cell>
        </row>
      </sheetData>
      <sheetData sheetId="3620">
        <row r="1">
          <cell r="A1" t="str">
            <v>PHIẾU XỬ LÝ HỒ SƠ THANH TOÁN VƯỢT THẨM QUYỀN PD</v>
          </cell>
        </row>
      </sheetData>
      <sheetData sheetId="3621">
        <row r="1">
          <cell r="A1" t="str">
            <v>PHIẾU XỬ LÝ HỒ SƠ THANH TOÁN VƯỢT THẨM QUYỀN PD</v>
          </cell>
        </row>
      </sheetData>
      <sheetData sheetId="3622">
        <row r="1">
          <cell r="A1" t="str">
            <v>PHIẾU XỬ LÝ HỒ SƠ THANH TOÁN VƯỢT THẨM QUYỀN PD</v>
          </cell>
        </row>
      </sheetData>
      <sheetData sheetId="3623">
        <row r="1">
          <cell r="A1" t="str">
            <v>PHIẾU XỬ LÝ HỒ SƠ THANH TOÁN VƯỢT THẨM QUYỀN PD</v>
          </cell>
        </row>
      </sheetData>
      <sheetData sheetId="3624">
        <row r="1">
          <cell r="A1" t="str">
            <v>PHIẾU XỬ LÝ HỒ SƠ THANH TOÁN VƯỢT THẨM QUYỀN PD</v>
          </cell>
        </row>
      </sheetData>
      <sheetData sheetId="3625">
        <row r="1">
          <cell r="A1" t="str">
            <v>PHIẾU XỬ LÝ HỒ SƠ THANH TOÁN VƯỢT THẨM QUYỀN PD</v>
          </cell>
        </row>
      </sheetData>
      <sheetData sheetId="3626">
        <row r="1">
          <cell r="A1" t="str">
            <v>PHIẾU XỬ LÝ HỒ SƠ THANH TOÁN VƯỢT THẨM QUYỀN PD</v>
          </cell>
        </row>
      </sheetData>
      <sheetData sheetId="3627">
        <row r="1">
          <cell r="A1" t="str">
            <v>PHIẾU XỬ LÝ HỒ SƠ THANH TOÁN VƯỢT THẨM QUYỀN PD</v>
          </cell>
        </row>
      </sheetData>
      <sheetData sheetId="3628">
        <row r="1">
          <cell r="A1" t="str">
            <v>PHIẾU XỬ LÝ HỒ SƠ THANH TOÁN VƯỢT THẨM QUYỀN PD</v>
          </cell>
        </row>
      </sheetData>
      <sheetData sheetId="3629">
        <row r="1">
          <cell r="A1" t="str">
            <v>PHIẾU XỬ LÝ HỒ SƠ THANH TOÁN VƯỢT THẨM QUYỀN PD</v>
          </cell>
        </row>
      </sheetData>
      <sheetData sheetId="3630">
        <row r="1">
          <cell r="A1" t="str">
            <v>PHIẾU XỬ LÝ HỒ SƠ THANH TOÁN VƯỢT THẨM QUYỀN PD</v>
          </cell>
        </row>
      </sheetData>
      <sheetData sheetId="3631">
        <row r="1">
          <cell r="A1" t="str">
            <v>PHIẾU XỬ LÝ HỒ SƠ THANH TOÁN VƯỢT THẨM QUYỀN PD</v>
          </cell>
        </row>
      </sheetData>
      <sheetData sheetId="3632">
        <row r="1">
          <cell r="A1" t="str">
            <v>PHIẾU XỬ LÝ HỒ SƠ THANH TOÁN VƯỢT THẨM QUYỀN PD</v>
          </cell>
        </row>
      </sheetData>
      <sheetData sheetId="3633">
        <row r="1">
          <cell r="A1" t="str">
            <v>PHIẾU XỬ LÝ HỒ SƠ THANH TOÁN VƯỢT THẨM QUYỀN PD</v>
          </cell>
        </row>
      </sheetData>
      <sheetData sheetId="3634">
        <row r="1">
          <cell r="A1" t="str">
            <v>PHIẾU XỬ LÝ HỒ SƠ THANH TOÁN VƯỢT THẨM QUYỀN PD</v>
          </cell>
        </row>
      </sheetData>
      <sheetData sheetId="3635">
        <row r="1">
          <cell r="A1" t="str">
            <v>PHIẾU XỬ LÝ HỒ SƠ THANH TOÁN VƯỢT THẨM QUYỀN PD</v>
          </cell>
        </row>
      </sheetData>
      <sheetData sheetId="3636">
        <row r="1">
          <cell r="A1" t="str">
            <v>PHIẾU XỬ LÝ HỒ SƠ THANH TOÁN VƯỢT THẨM QUYỀN PD</v>
          </cell>
        </row>
      </sheetData>
      <sheetData sheetId="3637">
        <row r="1">
          <cell r="A1" t="str">
            <v>PHIẾU XỬ LÝ HỒ SƠ THANH TOÁN VƯỢT THẨM QUYỀN PD</v>
          </cell>
        </row>
      </sheetData>
      <sheetData sheetId="3638">
        <row r="1">
          <cell r="A1" t="str">
            <v>PHIẾU XỬ LÝ HỒ SƠ THANH TOÁN VƯỢT THẨM QUYỀN PD</v>
          </cell>
        </row>
      </sheetData>
      <sheetData sheetId="3639">
        <row r="1">
          <cell r="A1" t="str">
            <v>PHIẾU XỬ LÝ HỒ SƠ THANH TOÁN VƯỢT THẨM QUYỀN PD</v>
          </cell>
        </row>
      </sheetData>
      <sheetData sheetId="3640">
        <row r="1">
          <cell r="A1" t="str">
            <v>PHIẾU XỬ LÝ HỒ SƠ THANH TOÁN VƯỢT THẨM QUYỀN PD</v>
          </cell>
        </row>
      </sheetData>
      <sheetData sheetId="3641">
        <row r="1">
          <cell r="A1" t="str">
            <v>PHIẾU XỬ LÝ HỒ SƠ THANH TOÁN VƯỢT THẨM QUYỀN PD</v>
          </cell>
        </row>
      </sheetData>
      <sheetData sheetId="3642">
        <row r="1">
          <cell r="A1" t="str">
            <v>PHIẾU XỬ LÝ HỒ SƠ THANH TOÁN VƯỢT THẨM QUYỀN PD</v>
          </cell>
        </row>
      </sheetData>
      <sheetData sheetId="3643">
        <row r="1">
          <cell r="A1" t="str">
            <v>PHIẾU XỬ LÝ HỒ SƠ THANH TOÁN VƯỢT THẨM QUYỀN PD</v>
          </cell>
        </row>
      </sheetData>
      <sheetData sheetId="3644">
        <row r="1">
          <cell r="A1" t="str">
            <v>PHIẾU XỬ LÝ HỒ SƠ THANH TOÁN VƯỢT THẨM QUYỀN PD</v>
          </cell>
        </row>
      </sheetData>
      <sheetData sheetId="3645">
        <row r="1">
          <cell r="A1" t="str">
            <v>PHIẾU XỬ LÝ HỒ SƠ THANH TOÁN VƯỢT THẨM QUYỀN PD</v>
          </cell>
        </row>
      </sheetData>
      <sheetData sheetId="3646">
        <row r="1">
          <cell r="A1" t="str">
            <v>PHIẾU XỬ LÝ HỒ SƠ THANH TOÁN VƯỢT THẨM QUYỀN PD</v>
          </cell>
        </row>
      </sheetData>
      <sheetData sheetId="3647">
        <row r="1">
          <cell r="A1" t="str">
            <v>PHIẾU XỬ LÝ HỒ SƠ THANH TOÁN VƯỢT THẨM QUYỀN PD</v>
          </cell>
        </row>
      </sheetData>
      <sheetData sheetId="3648">
        <row r="1">
          <cell r="A1" t="str">
            <v>PHIẾU XỬ LÝ HỒ SƠ THANH TOÁN VƯỢT THẨM QUYỀN PD</v>
          </cell>
        </row>
      </sheetData>
      <sheetData sheetId="3649">
        <row r="1">
          <cell r="A1" t="str">
            <v>PHIẾU XỬ LÝ HỒ SƠ THANH TOÁN VƯỢT THẨM QUYỀN PD</v>
          </cell>
        </row>
      </sheetData>
      <sheetData sheetId="3650">
        <row r="1">
          <cell r="A1" t="str">
            <v>PHIẾU XỬ LÝ HỒ SƠ THANH TOÁN VƯỢT THẨM QUYỀN PD</v>
          </cell>
        </row>
      </sheetData>
      <sheetData sheetId="3651">
        <row r="1">
          <cell r="A1" t="str">
            <v>PHIẾU XỬ LÝ HỒ SƠ THANH TOÁN VƯỢT THẨM QUYỀN PD</v>
          </cell>
        </row>
      </sheetData>
      <sheetData sheetId="3652">
        <row r="1">
          <cell r="A1" t="str">
            <v>PHIẾU XỬ LÝ HỒ SƠ THANH TOÁN VƯỢT THẨM QUYỀN PD</v>
          </cell>
        </row>
      </sheetData>
      <sheetData sheetId="3653">
        <row r="1">
          <cell r="A1" t="str">
            <v>PHIẾU XỬ LÝ HỒ SƠ THANH TOÁN VƯỢT THẨM QUYỀN PD</v>
          </cell>
        </row>
      </sheetData>
      <sheetData sheetId="3654">
        <row r="1">
          <cell r="A1" t="str">
            <v>PHIẾU XỬ LÝ HỒ SƠ THANH TOÁN VƯỢT THẨM QUYỀN PD</v>
          </cell>
        </row>
      </sheetData>
      <sheetData sheetId="3655">
        <row r="1">
          <cell r="A1" t="str">
            <v>PHIẾU XỬ LÝ HỒ SƠ THANH TOÁN VƯỢT THẨM QUYỀN PD</v>
          </cell>
        </row>
      </sheetData>
      <sheetData sheetId="3656">
        <row r="1">
          <cell r="A1" t="str">
            <v>PHIẾU XỬ LÝ HỒ SƠ THANH TOÁN VƯỢT THẨM QUYỀN PD</v>
          </cell>
        </row>
      </sheetData>
      <sheetData sheetId="3657">
        <row r="1">
          <cell r="A1" t="str">
            <v>PHIẾU XỬ LÝ HỒ SƠ THANH TOÁN VƯỢT THẨM QUYỀN PD</v>
          </cell>
        </row>
      </sheetData>
      <sheetData sheetId="3658">
        <row r="1">
          <cell r="A1" t="str">
            <v>PHIẾU XỬ LÝ HỒ SƠ THANH TOÁN VƯỢT THẨM QUYỀN PD</v>
          </cell>
        </row>
      </sheetData>
      <sheetData sheetId="3659">
        <row r="1">
          <cell r="A1" t="str">
            <v>PHIẾU XỬ LÝ HỒ SƠ THANH TOÁN VƯỢT THẨM QUYỀN PD</v>
          </cell>
        </row>
      </sheetData>
      <sheetData sheetId="3660">
        <row r="1">
          <cell r="A1" t="str">
            <v>PHIẾU XỬ LÝ HỒ SƠ THANH TOÁN VƯỢT THẨM QUYỀN PD</v>
          </cell>
        </row>
      </sheetData>
      <sheetData sheetId="3661">
        <row r="1">
          <cell r="A1" t="str">
            <v>PHIẾU XỬ LÝ HỒ SƠ THANH TOÁN VƯỢT THẨM QUYỀN PD</v>
          </cell>
        </row>
      </sheetData>
      <sheetData sheetId="3662">
        <row r="1">
          <cell r="A1" t="str">
            <v>PHIẾU XỬ LÝ HỒ SƠ THANH TOÁN VƯỢT THẨM QUYỀN PD</v>
          </cell>
        </row>
      </sheetData>
      <sheetData sheetId="3663">
        <row r="1">
          <cell r="A1" t="str">
            <v>PHIẾU XỬ LÝ HỒ SƠ THANH TOÁN VƯỢT THẨM QUYỀN PD</v>
          </cell>
        </row>
      </sheetData>
      <sheetData sheetId="3664">
        <row r="1">
          <cell r="A1" t="str">
            <v>PHIẾU XỬ LÝ HỒ SƠ THANH TOÁN VƯỢT THẨM QUYỀN PD</v>
          </cell>
        </row>
      </sheetData>
      <sheetData sheetId="3665">
        <row r="1">
          <cell r="A1" t="str">
            <v>PHIẾU XỬ LÝ HỒ SƠ THANH TOÁN VƯỢT THẨM QUYỀN PD</v>
          </cell>
        </row>
      </sheetData>
      <sheetData sheetId="3666">
        <row r="1">
          <cell r="A1" t="str">
            <v>PHIẾU XỬ LÝ HỒ SƠ THANH TOÁN VƯỢT THẨM QUYỀN PD</v>
          </cell>
        </row>
      </sheetData>
      <sheetData sheetId="3667">
        <row r="1">
          <cell r="A1" t="str">
            <v>PHIẾU XỬ LÝ HỒ SƠ THANH TOÁN VƯỢT THẨM QUYỀN PD</v>
          </cell>
        </row>
      </sheetData>
      <sheetData sheetId="3668">
        <row r="1">
          <cell r="A1" t="str">
            <v>PHIẾU XỬ LÝ HỒ SƠ THANH TOÁN VƯỢT THẨM QUYỀN PD</v>
          </cell>
        </row>
      </sheetData>
      <sheetData sheetId="3669">
        <row r="1">
          <cell r="A1" t="str">
            <v>PHIẾU XỬ LÝ HỒ SƠ THANH TOÁN VƯỢT THẨM QUYỀN PD</v>
          </cell>
        </row>
      </sheetData>
      <sheetData sheetId="3670">
        <row r="1">
          <cell r="A1" t="str">
            <v>PHIẾU XỬ LÝ HỒ SƠ THANH TOÁN VƯỢT THẨM QUYỀN PD</v>
          </cell>
        </row>
      </sheetData>
      <sheetData sheetId="3671">
        <row r="1">
          <cell r="A1" t="str">
            <v>PHIẾU XỬ LÝ HỒ SƠ THANH TOÁN VƯỢT THẨM QUYỀN PD</v>
          </cell>
        </row>
      </sheetData>
      <sheetData sheetId="3672">
        <row r="1">
          <cell r="A1" t="str">
            <v>PHIẾU XỬ LÝ HỒ SƠ THANH TOÁN VƯỢT THẨM QUYỀN PD</v>
          </cell>
        </row>
      </sheetData>
      <sheetData sheetId="3673">
        <row r="1">
          <cell r="A1" t="str">
            <v>PHIẾU XỬ LÝ HỒ SƠ THANH TOÁN VƯỢT THẨM QUYỀN PD</v>
          </cell>
        </row>
      </sheetData>
      <sheetData sheetId="3674">
        <row r="1">
          <cell r="A1" t="str">
            <v>PHIẾU XỬ LÝ HỒ SƠ THANH TOÁN VƯỢT THẨM QUYỀN PD</v>
          </cell>
        </row>
      </sheetData>
      <sheetData sheetId="3675">
        <row r="1">
          <cell r="A1" t="str">
            <v>PHIẾU XỬ LÝ HỒ SƠ THANH TOÁN VƯỢT THẨM QUYỀN PD</v>
          </cell>
        </row>
      </sheetData>
      <sheetData sheetId="3676">
        <row r="1">
          <cell r="A1" t="str">
            <v>PHIẾU XỬ LÝ HỒ SƠ THANH TOÁN VƯỢT THẨM QUYỀN PD</v>
          </cell>
        </row>
      </sheetData>
      <sheetData sheetId="3677">
        <row r="1">
          <cell r="A1" t="str">
            <v>PHIẾU XỬ LÝ HỒ SƠ THANH TOÁN VƯỢT THẨM QUYỀN PD</v>
          </cell>
        </row>
      </sheetData>
      <sheetData sheetId="3678">
        <row r="1">
          <cell r="A1" t="str">
            <v>PHIẾU XỬ LÝ HỒ SƠ THANH TOÁN VƯỢT THẨM QUYỀN PD</v>
          </cell>
        </row>
      </sheetData>
      <sheetData sheetId="3679">
        <row r="1">
          <cell r="A1" t="str">
            <v>PHIẾU XỬ LÝ HỒ SƠ THANH TOÁN VƯỢT THẨM QUYỀN PD</v>
          </cell>
        </row>
      </sheetData>
      <sheetData sheetId="3680">
        <row r="1">
          <cell r="A1" t="str">
            <v>PHIẾU XỬ LÝ HỒ SƠ THANH TOÁN VƯỢT THẨM QUYỀN PD</v>
          </cell>
        </row>
      </sheetData>
      <sheetData sheetId="3681">
        <row r="1">
          <cell r="A1" t="str">
            <v>PHIẾU XỬ LÝ HỒ SƠ THANH TOÁN VƯỢT THẨM QUYỀN PD</v>
          </cell>
        </row>
      </sheetData>
      <sheetData sheetId="3682">
        <row r="1">
          <cell r="A1" t="str">
            <v>PHIẾU XỬ LÝ HỒ SƠ THANH TOÁN VƯỢT THẨM QUYỀN PD</v>
          </cell>
        </row>
      </sheetData>
      <sheetData sheetId="3683">
        <row r="1">
          <cell r="A1" t="str">
            <v>PHIẾU XỬ LÝ HỒ SƠ THANH TOÁN VƯỢT THẨM QUYỀN PD</v>
          </cell>
        </row>
      </sheetData>
      <sheetData sheetId="3684">
        <row r="1">
          <cell r="A1" t="str">
            <v>PHIẾU XỬ LÝ HỒ SƠ THANH TOÁN VƯỢT THẨM QUYỀN PD</v>
          </cell>
        </row>
      </sheetData>
      <sheetData sheetId="3685">
        <row r="1">
          <cell r="A1" t="str">
            <v>PHIẾU XỬ LÝ HỒ SƠ THANH TOÁN VƯỢT THẨM QUYỀN PD</v>
          </cell>
        </row>
      </sheetData>
      <sheetData sheetId="3686">
        <row r="1">
          <cell r="A1" t="str">
            <v>PHIẾU XỬ LÝ HỒ SƠ THANH TOÁN VƯỢT THẨM QUYỀN PD</v>
          </cell>
        </row>
      </sheetData>
      <sheetData sheetId="3687">
        <row r="1">
          <cell r="A1" t="str">
            <v>PHIẾU XỬ LÝ HỒ SƠ THANH TOÁN VƯỢT THẨM QUYỀN PD</v>
          </cell>
        </row>
      </sheetData>
      <sheetData sheetId="3688" refreshError="1"/>
      <sheetData sheetId="3689" refreshError="1"/>
      <sheetData sheetId="3690" refreshError="1"/>
      <sheetData sheetId="3691" refreshError="1"/>
      <sheetData sheetId="3692">
        <row r="1">
          <cell r="A1" t="str">
            <v>PHIẾU XỬ LÝ HỒ SƠ THANH TOÁN VƯỢT THẨM QUYỀN PD</v>
          </cell>
        </row>
      </sheetData>
      <sheetData sheetId="3693">
        <row r="1">
          <cell r="A1" t="str">
            <v>PHIẾU XỬ LÝ HỒ SƠ THANH TOÁN VƯỢT THẨM QUYỀN PD</v>
          </cell>
        </row>
      </sheetData>
      <sheetData sheetId="3694">
        <row r="1">
          <cell r="A1" t="str">
            <v>PHIẾU XỬ LÝ HỒ SƠ THANH TOÁN VƯỢT THẨM QUYỀN PD</v>
          </cell>
        </row>
      </sheetData>
      <sheetData sheetId="3695">
        <row r="1">
          <cell r="A1" t="str">
            <v>PHIẾU XỬ LÝ HỒ SƠ THANH TOÁN VƯỢT THẨM QUYỀN PD</v>
          </cell>
        </row>
      </sheetData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>
        <row r="1">
          <cell r="A1" t="str">
            <v>PHIẾU XỬ LÝ HỒ SƠ THANH TOÁN VƯỢT THẨM QUYỀN PD</v>
          </cell>
        </row>
      </sheetData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>
        <row r="1">
          <cell r="A1" t="str">
            <v>PHIẾU XỬ LÝ HỒ SƠ THANH TOÁN VƯỢT THẨM QUYỀN PD</v>
          </cell>
        </row>
      </sheetData>
      <sheetData sheetId="3721">
        <row r="1">
          <cell r="A1" t="str">
            <v>PHIẾU XỬ LÝ HỒ SƠ THANH TOÁN VƯỢT THẨM QUYỀN PD</v>
          </cell>
        </row>
      </sheetData>
      <sheetData sheetId="3722">
        <row r="1">
          <cell r="A1" t="str">
            <v>PHIẾU XỬ LÝ HỒ SƠ THANH TOÁN VƯỢT THẨM QUYỀN PD</v>
          </cell>
        </row>
      </sheetData>
      <sheetData sheetId="3723">
        <row r="1">
          <cell r="A1" t="str">
            <v>PHIẾU XỬ LÝ HỒ SƠ THANH TOÁN VƯỢT THẨM QUYỀN PD</v>
          </cell>
        </row>
      </sheetData>
      <sheetData sheetId="3724">
        <row r="1">
          <cell r="A1" t="str">
            <v>PHIẾU XỬ LÝ HỒ SƠ THANH TOÁN VƯỢT THẨM QUYỀN PD</v>
          </cell>
        </row>
      </sheetData>
      <sheetData sheetId="3725">
        <row r="1">
          <cell r="A1" t="str">
            <v>PHIẾU XỬ LÝ HỒ SƠ THANH TOÁN VƯỢT THẨM QUYỀN PD</v>
          </cell>
        </row>
      </sheetData>
      <sheetData sheetId="3726">
        <row r="1">
          <cell r="A1" t="str">
            <v>PHIẾU XỬ LÝ HỒ SƠ THANH TOÁN VƯỢT THẨM QUYỀN PD</v>
          </cell>
        </row>
      </sheetData>
      <sheetData sheetId="3727">
        <row r="1">
          <cell r="A1" t="str">
            <v>PHIẾU XỬ LÝ HỒ SƠ THANH TOÁN VƯỢT THẨM QUYỀN PD</v>
          </cell>
        </row>
      </sheetData>
      <sheetData sheetId="3728">
        <row r="1">
          <cell r="A1" t="str">
            <v>PHIẾU XỬ LÝ HỒ SƠ THANH TOÁN VƯỢT THẨM QUYỀN PD</v>
          </cell>
        </row>
      </sheetData>
      <sheetData sheetId="3729">
        <row r="1">
          <cell r="A1" t="str">
            <v>PHIẾU XỬ LÝ HỒ SƠ THANH TOÁN VƯỢT THẨM QUYỀN PD</v>
          </cell>
        </row>
      </sheetData>
      <sheetData sheetId="3730">
        <row r="1">
          <cell r="A1" t="str">
            <v>PHIẾU XỬ LÝ HỒ SƠ THANH TOÁN VƯỢT THẨM QUYỀN PD</v>
          </cell>
        </row>
      </sheetData>
      <sheetData sheetId="3731">
        <row r="1">
          <cell r="A1" t="str">
            <v>PHIẾU XỬ LÝ HỒ SƠ THANH TOÁN VƯỢT THẨM QUYỀN PD</v>
          </cell>
        </row>
      </sheetData>
      <sheetData sheetId="3732">
        <row r="1">
          <cell r="A1" t="str">
            <v>PHIẾU XỬ LÝ HỒ SƠ THANH TOÁN VƯỢT THẨM QUYỀN PD</v>
          </cell>
        </row>
      </sheetData>
      <sheetData sheetId="3733">
        <row r="1">
          <cell r="A1" t="str">
            <v>PHIẾU XỬ LÝ HỒ SƠ THANH TOÁN VƯỢT THẨM QUYỀN PD</v>
          </cell>
        </row>
      </sheetData>
      <sheetData sheetId="3734">
        <row r="1">
          <cell r="A1" t="str">
            <v>PHIẾU XỬ LÝ HỒ SƠ THANH TOÁN VƯỢT THẨM QUYỀN PD</v>
          </cell>
        </row>
      </sheetData>
      <sheetData sheetId="3735">
        <row r="1">
          <cell r="A1" t="str">
            <v>PHIẾU XỬ LÝ HỒ SƠ THANH TOÁN VƯỢT THẨM QUYỀN PD</v>
          </cell>
        </row>
      </sheetData>
      <sheetData sheetId="3736">
        <row r="1">
          <cell r="A1" t="str">
            <v>PHIẾU XỬ LÝ HỒ SƠ THANH TOÁN VƯỢT THẨM QUYỀN PD</v>
          </cell>
        </row>
      </sheetData>
      <sheetData sheetId="3737">
        <row r="1">
          <cell r="A1" t="str">
            <v>PHIẾU XỬ LÝ HỒ SƠ THANH TOÁN VƯỢT THẨM QUYỀN PD</v>
          </cell>
        </row>
      </sheetData>
      <sheetData sheetId="3738">
        <row r="1">
          <cell r="A1" t="str">
            <v>PHIẾU XỬ LÝ HỒ SƠ THANH TOÁN VƯỢT THẨM QUYỀN PD</v>
          </cell>
        </row>
      </sheetData>
      <sheetData sheetId="3739">
        <row r="1">
          <cell r="A1" t="str">
            <v>PHIẾU XỬ LÝ HỒ SƠ THANH TOÁN VƯỢT THẨM QUYỀN PD</v>
          </cell>
        </row>
      </sheetData>
      <sheetData sheetId="3740">
        <row r="1">
          <cell r="A1" t="str">
            <v>PHIẾU XỬ LÝ HỒ SƠ THANH TOÁN VƯỢT THẨM QUYỀN PD</v>
          </cell>
        </row>
      </sheetData>
      <sheetData sheetId="3741">
        <row r="1">
          <cell r="A1" t="str">
            <v>PHIẾU XỬ LÝ HỒ SƠ THANH TOÁN VƯỢT THẨM QUYỀN PD</v>
          </cell>
        </row>
      </sheetData>
      <sheetData sheetId="3742">
        <row r="1">
          <cell r="A1" t="str">
            <v>PHIẾU XỬ LÝ HỒ SƠ THANH TOÁN VƯỢT THẨM QUYỀN PD</v>
          </cell>
        </row>
      </sheetData>
      <sheetData sheetId="3743">
        <row r="1">
          <cell r="A1" t="str">
            <v>PHIẾU XỬ LÝ HỒ SƠ THANH TOÁN VƯỢT THẨM QUYỀN PD</v>
          </cell>
        </row>
      </sheetData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>
        <row r="1">
          <cell r="A1" t="str">
            <v>PHIẾU XỬ LÝ HỒ SƠ THANH TOÁN VƯỢT THẨM QUYỀN PD</v>
          </cell>
        </row>
      </sheetData>
      <sheetData sheetId="3766">
        <row r="1">
          <cell r="A1" t="str">
            <v>PHIẾU XỬ LÝ HỒ SƠ THANH TOÁN VƯỢT THẨM QUYỀN PD</v>
          </cell>
        </row>
      </sheetData>
      <sheetData sheetId="3767">
        <row r="1">
          <cell r="A1" t="str">
            <v>PHIẾU XỬ LÝ HỒ SƠ THANH TOÁN VƯỢT THẨM QUYỀN PD</v>
          </cell>
        </row>
      </sheetData>
      <sheetData sheetId="3768">
        <row r="1">
          <cell r="A1" t="str">
            <v>PHIẾU XỬ LÝ HỒ SƠ THANH TOÁN VƯỢT THẨM QUYỀN PD</v>
          </cell>
        </row>
      </sheetData>
      <sheetData sheetId="3769">
        <row r="1">
          <cell r="A1" t="str">
            <v>PHIẾU XỬ LÝ HỒ SƠ THANH TOÁN VƯỢT THẨM QUYỀN PD</v>
          </cell>
        </row>
      </sheetData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/>
      <sheetData sheetId="3780">
        <row r="1">
          <cell r="A1" t="str">
            <v>PHIẾU XỬ LÝ HỒ SƠ THANH TOÁN VƯỢT THẨM QUYỀN PD</v>
          </cell>
        </row>
      </sheetData>
      <sheetData sheetId="3781">
        <row r="1">
          <cell r="A1" t="str">
            <v>PHIẾU XỬ LÝ HỒ SƠ THANH TOÁN VƯỢT THẨM QUYỀN PD</v>
          </cell>
        </row>
      </sheetData>
      <sheetData sheetId="3782">
        <row r="1">
          <cell r="A1" t="str">
            <v>PHIẾU XỬ LÝ HỒ SƠ THANH TOÁN VƯỢT THẨM QUYỀN PD</v>
          </cell>
        </row>
      </sheetData>
      <sheetData sheetId="3783">
        <row r="1">
          <cell r="A1" t="str">
            <v>PHIẾU XỬ LÝ HỒ SƠ THANH TOÁN VƯỢT THẨM QUYỀN PD</v>
          </cell>
        </row>
      </sheetData>
      <sheetData sheetId="3784">
        <row r="1">
          <cell r="A1" t="str">
            <v>PHIẾU XỬ LÝ HỒ SƠ THANH TOÁN VƯỢT THẨM QUYỀN PD</v>
          </cell>
        </row>
      </sheetData>
      <sheetData sheetId="3785">
        <row r="1">
          <cell r="A1" t="str">
            <v>PHIẾU XỬ LÝ HỒ SƠ THANH TOÁN VƯỢT THẨM QUYỀN PD</v>
          </cell>
        </row>
      </sheetData>
      <sheetData sheetId="3786">
        <row r="1">
          <cell r="A1" t="str">
            <v>PHIẾU XỬ LÝ HỒ SƠ THANH TOÁN VƯỢT THẨM QUYỀN PD</v>
          </cell>
        </row>
      </sheetData>
      <sheetData sheetId="3787">
        <row r="1">
          <cell r="A1" t="str">
            <v>PHIẾU XỬ LÝ HỒ SƠ THANH TOÁN VƯỢT THẨM QUYỀN PD</v>
          </cell>
        </row>
      </sheetData>
      <sheetData sheetId="3788">
        <row r="1">
          <cell r="A1" t="str">
            <v>PHIẾU XỬ LÝ HỒ SƠ THANH TOÁN VƯỢT THẨM QUYỀN PD</v>
          </cell>
        </row>
      </sheetData>
      <sheetData sheetId="3789">
        <row r="1">
          <cell r="A1" t="str">
            <v>PHIẾU XỬ LÝ HỒ SƠ THANH TOÁN VƯỢT THẨM QUYỀN PD</v>
          </cell>
        </row>
      </sheetData>
      <sheetData sheetId="3790">
        <row r="1">
          <cell r="A1" t="str">
            <v>PHIẾU XỬ LÝ HỒ SƠ THANH TOÁN VƯỢT THẨM QUYỀN PD</v>
          </cell>
        </row>
      </sheetData>
      <sheetData sheetId="3791">
        <row r="1">
          <cell r="A1" t="str">
            <v>PHIẾU XỬ LÝ HỒ SƠ THANH TOÁN VƯỢT THẨM QUYỀN PD</v>
          </cell>
        </row>
      </sheetData>
      <sheetData sheetId="3792">
        <row r="1">
          <cell r="A1" t="str">
            <v>PHIẾU XỬ LÝ HỒ SƠ THANH TOÁN VƯỢT THẨM QUYỀN PD</v>
          </cell>
        </row>
      </sheetData>
      <sheetData sheetId="3793">
        <row r="1">
          <cell r="A1" t="str">
            <v>PHIẾU XỬ LÝ HỒ SƠ THANH TOÁN VƯỢT THẨM QUYỀN PD</v>
          </cell>
        </row>
      </sheetData>
      <sheetData sheetId="3794">
        <row r="1">
          <cell r="A1" t="str">
            <v>PHIẾU XỬ LÝ HỒ SƠ THANH TOÁN VƯỢT THẨM QUYỀN PD</v>
          </cell>
        </row>
      </sheetData>
      <sheetData sheetId="3795">
        <row r="1">
          <cell r="A1" t="str">
            <v>PHIẾU XỬ LÝ HỒ SƠ THANH TOÁN VƯỢT THẨM QUYỀN PD</v>
          </cell>
        </row>
      </sheetData>
      <sheetData sheetId="3796">
        <row r="1">
          <cell r="A1" t="str">
            <v>PHIẾU XỬ LÝ HỒ SƠ THANH TOÁN VƯỢT THẨM QUYỀN PD</v>
          </cell>
        </row>
      </sheetData>
      <sheetData sheetId="3797">
        <row r="1">
          <cell r="A1" t="str">
            <v>PHIẾU XỬ LÝ HỒ SƠ THANH TOÁN VƯỢT THẨM QUYỀN PD</v>
          </cell>
        </row>
      </sheetData>
      <sheetData sheetId="3798">
        <row r="1">
          <cell r="A1" t="str">
            <v>PHIẾU XỬ LÝ HỒ SƠ THANH TOÁN VƯỢT THẨM QUYỀN PD</v>
          </cell>
        </row>
      </sheetData>
      <sheetData sheetId="3799">
        <row r="1">
          <cell r="A1" t="str">
            <v>PHIẾU XỬ LÝ HỒ SƠ THANH TOÁN VƯỢT THẨM QUYỀN PD</v>
          </cell>
        </row>
      </sheetData>
      <sheetData sheetId="3800">
        <row r="1">
          <cell r="A1" t="str">
            <v>PHIẾU XỬ LÝ HỒ SƠ THANH TOÁN VƯỢT THẨM QUYỀN PD</v>
          </cell>
        </row>
      </sheetData>
      <sheetData sheetId="3801">
        <row r="1">
          <cell r="A1" t="str">
            <v>PHIẾU XỬ LÝ HỒ SƠ THANH TOÁN VƯỢT THẨM QUYỀN PD</v>
          </cell>
        </row>
      </sheetData>
      <sheetData sheetId="3802">
        <row r="1">
          <cell r="A1" t="str">
            <v>PHIẾU XỬ LÝ HỒ SƠ THANH TOÁN VƯỢT THẨM QUYỀN PD</v>
          </cell>
        </row>
      </sheetData>
      <sheetData sheetId="3803">
        <row r="1">
          <cell r="A1" t="str">
            <v>PHIẾU XỬ LÝ HỒ SƠ THANH TOÁN VƯỢT THẨM QUYỀN PD</v>
          </cell>
        </row>
      </sheetData>
      <sheetData sheetId="3804">
        <row r="1">
          <cell r="A1" t="str">
            <v>PHIẾU XỬ LÝ HỒ SƠ THANH TOÁN VƯỢT THẨM QUYỀN PD</v>
          </cell>
        </row>
      </sheetData>
      <sheetData sheetId="3805">
        <row r="1">
          <cell r="A1" t="str">
            <v>PHIẾU XỬ LÝ HỒ SƠ THANH TOÁN VƯỢT THẨM QUYỀN PD</v>
          </cell>
        </row>
      </sheetData>
      <sheetData sheetId="3806">
        <row r="1">
          <cell r="A1" t="str">
            <v>PHIẾU XỬ LÝ HỒ SƠ THANH TOÁN VƯỢT THẨM QUYỀN PD</v>
          </cell>
        </row>
      </sheetData>
      <sheetData sheetId="3807">
        <row r="1">
          <cell r="A1" t="str">
            <v>PHIẾU XỬ LÝ HỒ SƠ THANH TOÁN VƯỢT THẨM QUYỀN PD</v>
          </cell>
        </row>
      </sheetData>
      <sheetData sheetId="3808">
        <row r="1">
          <cell r="A1" t="str">
            <v>PHIẾU XỬ LÝ HỒ SƠ THANH TOÁN VƯỢT THẨM QUYỀN PD</v>
          </cell>
        </row>
      </sheetData>
      <sheetData sheetId="3809">
        <row r="1">
          <cell r="A1" t="str">
            <v>PHIẾU XỬ LÝ HỒ SƠ THANH TOÁN VƯỢT THẨM QUYỀN PD</v>
          </cell>
        </row>
      </sheetData>
      <sheetData sheetId="3810">
        <row r="1">
          <cell r="A1" t="str">
            <v>PHIẾU XỬ LÝ HỒ SƠ THANH TOÁN VƯỢT THẨM QUYỀN PD</v>
          </cell>
        </row>
      </sheetData>
      <sheetData sheetId="3811">
        <row r="1">
          <cell r="A1" t="str">
            <v>PHIẾU XỬ LÝ HỒ SƠ THANH TOÁN VƯỢT THẨM QUYỀN PD</v>
          </cell>
        </row>
      </sheetData>
      <sheetData sheetId="3812">
        <row r="1">
          <cell r="A1" t="str">
            <v>PHIẾU XỬ LÝ HỒ SƠ THANH TOÁN VƯỢT THẨM QUYỀN PD</v>
          </cell>
        </row>
      </sheetData>
      <sheetData sheetId="3813">
        <row r="1">
          <cell r="A1" t="str">
            <v>PHIẾU XỬ LÝ HỒ SƠ THANH TOÁN VƯỢT THẨM QUYỀN PD</v>
          </cell>
        </row>
      </sheetData>
      <sheetData sheetId="3814">
        <row r="1">
          <cell r="A1" t="str">
            <v>PHIẾU XỬ LÝ HỒ SƠ THANH TOÁN VƯỢT THẨM QUYỀN PD</v>
          </cell>
        </row>
      </sheetData>
      <sheetData sheetId="3815">
        <row r="1">
          <cell r="A1" t="str">
            <v>PHIẾU XỬ LÝ HỒ SƠ THANH TOÁN VƯỢT THẨM QUYỀN PD</v>
          </cell>
        </row>
      </sheetData>
      <sheetData sheetId="3816">
        <row r="1">
          <cell r="A1" t="str">
            <v>PHIẾU XỬ LÝ HỒ SƠ THANH TOÁN VƯỢT THẨM QUYỀN PD</v>
          </cell>
        </row>
      </sheetData>
      <sheetData sheetId="3817">
        <row r="1">
          <cell r="A1" t="str">
            <v>PHIẾU XỬ LÝ HỒ SƠ THANH TOÁN VƯỢT THẨM QUYỀN PD</v>
          </cell>
        </row>
      </sheetData>
      <sheetData sheetId="3818">
        <row r="1">
          <cell r="A1" t="str">
            <v>PHIẾU XỬ LÝ HỒ SƠ THANH TOÁN VƯỢT THẨM QUYỀN PD</v>
          </cell>
        </row>
      </sheetData>
      <sheetData sheetId="3819">
        <row r="1">
          <cell r="A1" t="str">
            <v>PHIẾU XỬ LÝ HỒ SƠ THANH TOÁN VƯỢT THẨM QUYỀN PD</v>
          </cell>
        </row>
      </sheetData>
      <sheetData sheetId="3820">
        <row r="1">
          <cell r="A1" t="str">
            <v>PHIẾU XỬ LÝ HỒ SƠ THANH TOÁN VƯỢT THẨM QUYỀN PD</v>
          </cell>
        </row>
      </sheetData>
      <sheetData sheetId="3821">
        <row r="1">
          <cell r="A1" t="str">
            <v>PHIẾU XỬ LÝ HỒ SƠ THANH TOÁN VƯỢT THẨM QUYỀN PD</v>
          </cell>
        </row>
      </sheetData>
      <sheetData sheetId="3822" refreshError="1"/>
      <sheetData sheetId="3823">
        <row r="1">
          <cell r="A1" t="str">
            <v>PHIẾU XỬ LÝ HỒ SƠ THANH TOÁN VƯỢT THẨM QUYỀN PD</v>
          </cell>
        </row>
      </sheetData>
      <sheetData sheetId="3824">
        <row r="1">
          <cell r="A1" t="str">
            <v>PHIẾU XỬ LÝ HỒ SƠ THANH TOÁN VƯỢT THẨM QUYỀN PD</v>
          </cell>
        </row>
      </sheetData>
      <sheetData sheetId="3825">
        <row r="1">
          <cell r="A1" t="str">
            <v>PHIẾU XỬ LÝ HỒ SƠ THANH TOÁN VƯỢT THẨM QUYỀN PD</v>
          </cell>
        </row>
      </sheetData>
      <sheetData sheetId="3826">
        <row r="1">
          <cell r="A1" t="str">
            <v>PHIẾU XỬ LÝ HỒ SƠ THANH TOÁN VƯỢT THẨM QUYỀN PD</v>
          </cell>
        </row>
      </sheetData>
      <sheetData sheetId="3827">
        <row r="1">
          <cell r="A1" t="str">
            <v>PHIẾU XỬ LÝ HỒ SƠ THANH TOÁN VƯỢT THẨM QUYỀN PD</v>
          </cell>
        </row>
      </sheetData>
      <sheetData sheetId="3828">
        <row r="1">
          <cell r="A1" t="str">
            <v>PHIẾU XỬ LÝ HỒ SƠ THANH TOÁN VƯỢT THẨM QUYỀN PD</v>
          </cell>
        </row>
      </sheetData>
      <sheetData sheetId="3829">
        <row r="1">
          <cell r="A1" t="str">
            <v>PHIẾU XỬ LÝ HỒ SƠ THANH TOÁN VƯỢT THẨM QUYỀN PD</v>
          </cell>
        </row>
      </sheetData>
      <sheetData sheetId="3830">
        <row r="1">
          <cell r="A1" t="str">
            <v>PHIẾU XỬ LÝ HỒ SƠ THANH TOÁN VƯỢT THẨM QUYỀN PD</v>
          </cell>
        </row>
      </sheetData>
      <sheetData sheetId="3831">
        <row r="1">
          <cell r="A1" t="str">
            <v>PHIẾU XỬ LÝ HỒ SƠ THANH TOÁN VƯỢT THẨM QUYỀN PD</v>
          </cell>
        </row>
      </sheetData>
      <sheetData sheetId="3832">
        <row r="1">
          <cell r="A1" t="str">
            <v>PHIẾU XỬ LÝ HỒ SƠ THANH TOÁN VƯỢT THẨM QUYỀN PD</v>
          </cell>
        </row>
      </sheetData>
      <sheetData sheetId="3833">
        <row r="1">
          <cell r="A1" t="str">
            <v>PHIẾU XỬ LÝ HỒ SƠ THANH TOÁN VƯỢT THẨM QUYỀN PD</v>
          </cell>
        </row>
      </sheetData>
      <sheetData sheetId="3834">
        <row r="1">
          <cell r="A1" t="str">
            <v>PHIẾU XỬ LÝ HỒ SƠ THANH TOÁN VƯỢT THẨM QUYỀN PD</v>
          </cell>
        </row>
      </sheetData>
      <sheetData sheetId="3835">
        <row r="1">
          <cell r="A1" t="str">
            <v>PHIẾU XỬ LÝ HỒ SƠ THANH TOÁN VƯỢT THẨM QUYỀN PD</v>
          </cell>
        </row>
      </sheetData>
      <sheetData sheetId="3836">
        <row r="1">
          <cell r="A1" t="str">
            <v>PHIẾU XỬ LÝ HỒ SƠ THANH TOÁN VƯỢT THẨM QUYỀN PD</v>
          </cell>
        </row>
      </sheetData>
      <sheetData sheetId="3837">
        <row r="1">
          <cell r="A1" t="str">
            <v>PHIẾU XỬ LÝ HỒ SƠ THANH TOÁN VƯỢT THẨM QUYỀN PD</v>
          </cell>
        </row>
      </sheetData>
      <sheetData sheetId="3838">
        <row r="1">
          <cell r="A1" t="str">
            <v>PHIẾU XỬ LÝ HỒ SƠ THANH TOÁN VƯỢT THẨM QUYỀN PD</v>
          </cell>
        </row>
      </sheetData>
      <sheetData sheetId="3839">
        <row r="1">
          <cell r="A1" t="str">
            <v>PHIẾU XỬ LÝ HỒ SƠ THANH TOÁN VƯỢT THẨM QUYỀN PD</v>
          </cell>
        </row>
      </sheetData>
      <sheetData sheetId="3840">
        <row r="1">
          <cell r="A1" t="str">
            <v>PHIẾU XỬ LÝ HỒ SƠ THANH TOÁN VƯỢT THẨM QUYỀN PD</v>
          </cell>
        </row>
      </sheetData>
      <sheetData sheetId="3841">
        <row r="1">
          <cell r="A1" t="str">
            <v>PHIẾU XỬ LÝ HỒ SƠ THANH TOÁN VƯỢT THẨM QUYỀN PD</v>
          </cell>
        </row>
      </sheetData>
      <sheetData sheetId="3842">
        <row r="1">
          <cell r="A1" t="str">
            <v>PHIẾU XỬ LÝ HỒ SƠ THANH TOÁN VƯỢT THẨM QUYỀN PD</v>
          </cell>
        </row>
      </sheetData>
      <sheetData sheetId="3843">
        <row r="1">
          <cell r="A1" t="str">
            <v>PHIẾU XỬ LÝ HỒ SƠ THANH TOÁN VƯỢT THẨM QUYỀN PD</v>
          </cell>
        </row>
      </sheetData>
      <sheetData sheetId="3844">
        <row r="1">
          <cell r="A1" t="str">
            <v>PHIẾU XỬ LÝ HỒ SƠ THANH TOÁN VƯỢT THẨM QUYỀN PD</v>
          </cell>
        </row>
      </sheetData>
      <sheetData sheetId="3845">
        <row r="1">
          <cell r="A1" t="str">
            <v>PHIẾU XỬ LÝ HỒ SƠ THANH TOÁN VƯỢT THẨM QUYỀN PD</v>
          </cell>
        </row>
      </sheetData>
      <sheetData sheetId="3846">
        <row r="1">
          <cell r="A1" t="str">
            <v>PHIẾU XỬ LÝ HỒ SƠ THANH TOÁN VƯỢT THẨM QUYỀN PD</v>
          </cell>
        </row>
      </sheetData>
      <sheetData sheetId="3847">
        <row r="1">
          <cell r="A1" t="str">
            <v>PHIẾU XỬ LÝ HỒ SƠ THANH TOÁN VƯỢT THẨM QUYỀN PD</v>
          </cell>
        </row>
      </sheetData>
      <sheetData sheetId="3848">
        <row r="1">
          <cell r="A1" t="str">
            <v>PHIẾU XỬ LÝ HỒ SƠ THANH TOÁN VƯỢT THẨM QUYỀN PD</v>
          </cell>
        </row>
      </sheetData>
      <sheetData sheetId="3849">
        <row r="1">
          <cell r="A1" t="str">
            <v>PHIẾU XỬ LÝ HỒ SƠ THANH TOÁN VƯỢT THẨM QUYỀN PD</v>
          </cell>
        </row>
      </sheetData>
      <sheetData sheetId="3850">
        <row r="1">
          <cell r="A1" t="str">
            <v>PHIẾU XỬ LÝ HỒ SƠ THANH TOÁN VƯỢT THẨM QUYỀN PD</v>
          </cell>
        </row>
      </sheetData>
      <sheetData sheetId="3851">
        <row r="1">
          <cell r="A1" t="str">
            <v>PHIẾU XỬ LÝ HỒ SƠ THANH TOÁN VƯỢT THẨM QUYỀN PD</v>
          </cell>
        </row>
      </sheetData>
      <sheetData sheetId="3852">
        <row r="1">
          <cell r="A1" t="str">
            <v>PHIẾU XỬ LÝ HỒ SƠ THANH TOÁN VƯỢT THẨM QUYỀN PD</v>
          </cell>
        </row>
      </sheetData>
      <sheetData sheetId="3853">
        <row r="1">
          <cell r="A1" t="str">
            <v>PHIẾU XỬ LÝ HỒ SƠ THANH TOÁN VƯỢT THẨM QUYỀN PD</v>
          </cell>
        </row>
      </sheetData>
      <sheetData sheetId="3854">
        <row r="1">
          <cell r="A1" t="str">
            <v>PHIẾU XỬ LÝ HỒ SƠ THANH TOÁN VƯỢT THẨM QUYỀN PD</v>
          </cell>
        </row>
      </sheetData>
      <sheetData sheetId="3855">
        <row r="1">
          <cell r="A1" t="str">
            <v>PHIẾU XỬ LÝ HỒ SƠ THANH TOÁN VƯỢT THẨM QUYỀN PD</v>
          </cell>
        </row>
      </sheetData>
      <sheetData sheetId="3856">
        <row r="1">
          <cell r="A1" t="str">
            <v>PHIẾU XỬ LÝ HỒ SƠ THANH TOÁN VƯỢT THẨM QUYỀN PD</v>
          </cell>
        </row>
      </sheetData>
      <sheetData sheetId="3857">
        <row r="1">
          <cell r="A1" t="str">
            <v>PHIẾU XỬ LÝ HỒ SƠ THANH TOÁN VƯỢT THẨM QUYỀN PD</v>
          </cell>
        </row>
      </sheetData>
      <sheetData sheetId="3858">
        <row r="1">
          <cell r="A1" t="str">
            <v>PHIẾU XỬ LÝ HỒ SƠ THANH TOÁN VƯỢT THẨM QUYỀN PD</v>
          </cell>
        </row>
      </sheetData>
      <sheetData sheetId="3859">
        <row r="1">
          <cell r="A1" t="str">
            <v>PHIẾU XỬ LÝ HỒ SƠ THANH TOÁN VƯỢT THẨM QUYỀN PD</v>
          </cell>
        </row>
      </sheetData>
      <sheetData sheetId="3860">
        <row r="1">
          <cell r="A1" t="str">
            <v>PHIẾU XỬ LÝ HỒ SƠ THANH TOÁN VƯỢT THẨM QUYỀN PD</v>
          </cell>
        </row>
      </sheetData>
      <sheetData sheetId="3861">
        <row r="1">
          <cell r="A1" t="str">
            <v>PHIẾU XỬ LÝ HỒ SƠ THANH TOÁN VƯỢT THẨM QUYỀN PD</v>
          </cell>
        </row>
      </sheetData>
      <sheetData sheetId="3862">
        <row r="1">
          <cell r="A1" t="str">
            <v>PHIẾU XỬ LÝ HỒ SƠ THANH TOÁN VƯỢT THẨM QUYỀN PD</v>
          </cell>
        </row>
      </sheetData>
      <sheetData sheetId="3863">
        <row r="1">
          <cell r="A1" t="str">
            <v>PHIẾU XỬ LÝ HỒ SƠ THANH TOÁN VƯỢT THẨM QUYỀN PD</v>
          </cell>
        </row>
      </sheetData>
      <sheetData sheetId="3864">
        <row r="1">
          <cell r="A1" t="str">
            <v>PHIẾU XỬ LÝ HỒ SƠ THANH TOÁN VƯỢT THẨM QUYỀN PD</v>
          </cell>
        </row>
      </sheetData>
      <sheetData sheetId="3865">
        <row r="1">
          <cell r="A1" t="str">
            <v>PHIẾU XỬ LÝ HỒ SƠ THANH TOÁN VƯỢT THẨM QUYỀN PD</v>
          </cell>
        </row>
      </sheetData>
      <sheetData sheetId="3866">
        <row r="1">
          <cell r="A1" t="str">
            <v>PHIẾU XỬ LÝ HỒ SƠ THANH TOÁN VƯỢT THẨM QUYỀN PD</v>
          </cell>
        </row>
      </sheetData>
      <sheetData sheetId="3867">
        <row r="1">
          <cell r="A1" t="str">
            <v>PHIẾU XỬ LÝ HỒ SƠ THANH TOÁN VƯỢT THẨM QUYỀN PD</v>
          </cell>
        </row>
      </sheetData>
      <sheetData sheetId="3868">
        <row r="1">
          <cell r="A1" t="str">
            <v>PHIẾU XỬ LÝ HỒ SƠ THANH TOÁN VƯỢT THẨM QUYỀN PD</v>
          </cell>
        </row>
      </sheetData>
      <sheetData sheetId="3869">
        <row r="1">
          <cell r="A1" t="str">
            <v>PHIẾU XỬ LÝ HỒ SƠ THANH TOÁN VƯỢT THẨM QUYỀN PD</v>
          </cell>
        </row>
      </sheetData>
      <sheetData sheetId="3870">
        <row r="1">
          <cell r="A1" t="str">
            <v>PHIẾU XỬ LÝ HỒ SƠ THANH TOÁN VƯỢT THẨM QUYỀN PD</v>
          </cell>
        </row>
      </sheetData>
      <sheetData sheetId="3871">
        <row r="1">
          <cell r="A1" t="str">
            <v>PHIẾU XỬ LÝ HỒ SƠ THANH TOÁN VƯỢT THẨM QUYỀN PD</v>
          </cell>
        </row>
      </sheetData>
      <sheetData sheetId="3872">
        <row r="1">
          <cell r="A1" t="str">
            <v>PHIẾU XỬ LÝ HỒ SƠ THANH TOÁN VƯỢT THẨM QUYỀN PD</v>
          </cell>
        </row>
      </sheetData>
      <sheetData sheetId="3873">
        <row r="1">
          <cell r="A1" t="str">
            <v>PHIẾU XỬ LÝ HỒ SƠ THANH TOÁN VƯỢT THẨM QUYỀN PD</v>
          </cell>
        </row>
      </sheetData>
      <sheetData sheetId="3874">
        <row r="1">
          <cell r="A1" t="str">
            <v>PHIẾU XỬ LÝ HỒ SƠ THANH TOÁN VƯỢT THẨM QUYỀN PD</v>
          </cell>
        </row>
      </sheetData>
      <sheetData sheetId="3875">
        <row r="1">
          <cell r="A1" t="str">
            <v>PHIẾU XỬ LÝ HỒ SƠ THANH TOÁN VƯỢT THẨM QUYỀN PD</v>
          </cell>
        </row>
      </sheetData>
      <sheetData sheetId="3876">
        <row r="1">
          <cell r="A1" t="str">
            <v>PHIẾU XỬ LÝ HỒ SƠ THANH TOÁN VƯỢT THẨM QUYỀN PD</v>
          </cell>
        </row>
      </sheetData>
      <sheetData sheetId="3877">
        <row r="1">
          <cell r="A1" t="str">
            <v>PHIẾU XỬ LÝ HỒ SƠ THANH TOÁN VƯỢT THẨM QUYỀN PD</v>
          </cell>
        </row>
      </sheetData>
      <sheetData sheetId="3878">
        <row r="1">
          <cell r="A1" t="str">
            <v>PHIẾU XỬ LÝ HỒ SƠ THANH TOÁN VƯỢT THẨM QUYỀN PD</v>
          </cell>
        </row>
      </sheetData>
      <sheetData sheetId="3879">
        <row r="1">
          <cell r="A1" t="str">
            <v>PHIẾU XỬ LÝ HỒ SƠ THANH TOÁN VƯỢT THẨM QUYỀN PD</v>
          </cell>
        </row>
      </sheetData>
      <sheetData sheetId="3880">
        <row r="1">
          <cell r="A1" t="str">
            <v>PHIẾU XỬ LÝ HỒ SƠ THANH TOÁN VƯỢT THẨM QUYỀN PD</v>
          </cell>
        </row>
      </sheetData>
      <sheetData sheetId="3881">
        <row r="1">
          <cell r="A1" t="str">
            <v>PHIẾU XỬ LÝ HỒ SƠ THANH TOÁN VƯỢT THẨM QUYỀN PD</v>
          </cell>
        </row>
      </sheetData>
      <sheetData sheetId="3882">
        <row r="1">
          <cell r="A1" t="str">
            <v>PHIẾU XỬ LÝ HỒ SƠ THANH TOÁN VƯỢT THẨM QUYỀN PD</v>
          </cell>
        </row>
      </sheetData>
      <sheetData sheetId="3883">
        <row r="1">
          <cell r="A1" t="str">
            <v>PHIẾU XỬ LÝ HỒ SƠ THANH TOÁN VƯỢT THẨM QUYỀN PD</v>
          </cell>
        </row>
      </sheetData>
      <sheetData sheetId="3884">
        <row r="1">
          <cell r="A1" t="str">
            <v>PHIẾU XỬ LÝ HỒ SƠ THANH TOÁN VƯỢT THẨM QUYỀN PD</v>
          </cell>
        </row>
      </sheetData>
      <sheetData sheetId="3885">
        <row r="1">
          <cell r="A1" t="str">
            <v>PHIẾU XỬ LÝ HỒ SƠ THANH TOÁN VƯỢT THẨM QUYỀN PD</v>
          </cell>
        </row>
      </sheetData>
      <sheetData sheetId="3886">
        <row r="1">
          <cell r="A1" t="str">
            <v>PHIẾU XỬ LÝ HỒ SƠ THANH TOÁN VƯỢT THẨM QUYỀN PD</v>
          </cell>
        </row>
      </sheetData>
      <sheetData sheetId="3887">
        <row r="1">
          <cell r="A1" t="str">
            <v>PHIẾU XỬ LÝ HỒ SƠ THANH TOÁN VƯỢT THẨM QUYỀN PD</v>
          </cell>
        </row>
      </sheetData>
      <sheetData sheetId="3888">
        <row r="1">
          <cell r="A1" t="str">
            <v>PHIẾU XỬ LÝ HỒ SƠ THANH TOÁN VƯỢT THẨM QUYỀN PD</v>
          </cell>
        </row>
      </sheetData>
      <sheetData sheetId="3889">
        <row r="1">
          <cell r="A1" t="str">
            <v>PHIẾU XỬ LÝ HỒ SƠ THANH TOÁN VƯỢT THẨM QUYỀN PD</v>
          </cell>
        </row>
      </sheetData>
      <sheetData sheetId="3890">
        <row r="1">
          <cell r="A1" t="str">
            <v>PHIẾU XỬ LÝ HỒ SƠ THANH TOÁN VƯỢT THẨM QUYỀN PD</v>
          </cell>
        </row>
      </sheetData>
      <sheetData sheetId="3891">
        <row r="1">
          <cell r="A1" t="str">
            <v>PHIẾU XỬ LÝ HỒ SƠ THANH TOÁN VƯỢT THẨM QUYỀN PD</v>
          </cell>
        </row>
      </sheetData>
      <sheetData sheetId="3892">
        <row r="1">
          <cell r="A1" t="str">
            <v>PHIẾU XỬ LÝ HỒ SƠ THANH TOÁN VƯỢT THẨM QUYỀN PD</v>
          </cell>
        </row>
      </sheetData>
      <sheetData sheetId="3893">
        <row r="1">
          <cell r="A1" t="str">
            <v>PHIẾU XỬ LÝ HỒ SƠ THANH TOÁN VƯỢT THẨM QUYỀN PD</v>
          </cell>
        </row>
      </sheetData>
      <sheetData sheetId="3894">
        <row r="1">
          <cell r="A1" t="str">
            <v>PHIẾU XỬ LÝ HỒ SƠ THANH TOÁN VƯỢT THẨM QUYỀN PD</v>
          </cell>
        </row>
      </sheetData>
      <sheetData sheetId="3895">
        <row r="1">
          <cell r="A1" t="str">
            <v>PHIẾU XỬ LÝ HỒ SƠ THANH TOÁN VƯỢT THẨM QUYỀN PD</v>
          </cell>
        </row>
      </sheetData>
      <sheetData sheetId="3896">
        <row r="1">
          <cell r="A1" t="str">
            <v>PHIẾU XỬ LÝ HỒ SƠ THANH TOÁN VƯỢT THẨM QUYỀN PD</v>
          </cell>
        </row>
      </sheetData>
      <sheetData sheetId="3897">
        <row r="1">
          <cell r="A1" t="str">
            <v>PHIẾU XỬ LÝ HỒ SƠ THANH TOÁN VƯỢT THẨM QUYỀN PD</v>
          </cell>
        </row>
      </sheetData>
      <sheetData sheetId="3898">
        <row r="1">
          <cell r="A1" t="str">
            <v>PHIẾU XỬ LÝ HỒ SƠ THANH TOÁN VƯỢT THẨM QUYỀN PD</v>
          </cell>
        </row>
      </sheetData>
      <sheetData sheetId="3899">
        <row r="1">
          <cell r="A1" t="str">
            <v>PHIẾU XỬ LÝ HỒ SƠ THANH TOÁN VƯỢT THẨM QUYỀN PD</v>
          </cell>
        </row>
      </sheetData>
      <sheetData sheetId="3900">
        <row r="1">
          <cell r="A1" t="str">
            <v>PHIẾU XỬ LÝ HỒ SƠ THANH TOÁN VƯỢT THẨM QUYỀN PD</v>
          </cell>
        </row>
      </sheetData>
      <sheetData sheetId="3901">
        <row r="1">
          <cell r="A1" t="str">
            <v>PHIẾU XỬ LÝ HỒ SƠ THANH TOÁN VƯỢT THẨM QUYỀN PD</v>
          </cell>
        </row>
      </sheetData>
      <sheetData sheetId="3902">
        <row r="1">
          <cell r="A1" t="str">
            <v>PHIẾU XỬ LÝ HỒ SƠ THANH TOÁN VƯỢT THẨM QUYỀN PD</v>
          </cell>
        </row>
      </sheetData>
      <sheetData sheetId="3903">
        <row r="1">
          <cell r="A1" t="str">
            <v>PHIẾU XỬ LÝ HỒ SƠ THANH TOÁN VƯỢT THẨM QUYỀN PD</v>
          </cell>
        </row>
      </sheetData>
      <sheetData sheetId="3904">
        <row r="1">
          <cell r="A1" t="str">
            <v>PHIẾU XỬ LÝ HỒ SƠ THANH TOÁN VƯỢT THẨM QUYỀN PD</v>
          </cell>
        </row>
      </sheetData>
      <sheetData sheetId="3905">
        <row r="1">
          <cell r="A1" t="str">
            <v>PHIẾU XỬ LÝ HỒ SƠ THANH TOÁN VƯỢT THẨM QUYỀN PD</v>
          </cell>
        </row>
      </sheetData>
      <sheetData sheetId="3906">
        <row r="1">
          <cell r="A1" t="str">
            <v>PHIẾU XỬ LÝ HỒ SƠ THANH TOÁN VƯỢT THẨM QUYỀN PD</v>
          </cell>
        </row>
      </sheetData>
      <sheetData sheetId="3907">
        <row r="1">
          <cell r="A1" t="str">
            <v>PHIẾU XỬ LÝ HỒ SƠ THANH TOÁN VƯỢT THẨM QUYỀN PD</v>
          </cell>
        </row>
      </sheetData>
      <sheetData sheetId="3908">
        <row r="1">
          <cell r="A1" t="str">
            <v>PHIẾU XỬ LÝ HỒ SƠ THANH TOÁN VƯỢT THẨM QUYỀN PD</v>
          </cell>
        </row>
      </sheetData>
      <sheetData sheetId="3909">
        <row r="1">
          <cell r="A1" t="str">
            <v>PHIẾU XỬ LÝ HỒ SƠ THANH TOÁN VƯỢT THẨM QUYỀN PD</v>
          </cell>
        </row>
      </sheetData>
      <sheetData sheetId="3910">
        <row r="1">
          <cell r="A1" t="str">
            <v>PHIẾU XỬ LÝ HỒ SƠ THANH TOÁN VƯỢT THẨM QUYỀN PD</v>
          </cell>
        </row>
      </sheetData>
      <sheetData sheetId="3911">
        <row r="1">
          <cell r="A1" t="str">
            <v>PHIẾU XỬ LÝ HỒ SƠ THANH TOÁN VƯỢT THẨM QUYỀN PD</v>
          </cell>
        </row>
      </sheetData>
      <sheetData sheetId="3912">
        <row r="1">
          <cell r="A1" t="str">
            <v>PHIẾU XỬ LÝ HỒ SƠ THANH TOÁN VƯỢT THẨM QUYỀN PD</v>
          </cell>
        </row>
      </sheetData>
      <sheetData sheetId="3913">
        <row r="1">
          <cell r="A1" t="str">
            <v>PHIẾU XỬ LÝ HỒ SƠ THANH TOÁN VƯỢT THẨM QUYỀN PD</v>
          </cell>
        </row>
      </sheetData>
      <sheetData sheetId="3914">
        <row r="1">
          <cell r="A1" t="str">
            <v>PHIẾU XỬ LÝ HỒ SƠ THANH TOÁN VƯỢT THẨM QUYỀN PD</v>
          </cell>
        </row>
      </sheetData>
      <sheetData sheetId="3915">
        <row r="1">
          <cell r="A1" t="str">
            <v>PHIẾU XỬ LÝ HỒ SƠ THANH TOÁN VƯỢT THẨM QUYỀN PD</v>
          </cell>
        </row>
      </sheetData>
      <sheetData sheetId="3916">
        <row r="1">
          <cell r="A1" t="str">
            <v>PHIẾU XỬ LÝ HỒ SƠ THANH TOÁN VƯỢT THẨM QUYỀN PD</v>
          </cell>
        </row>
      </sheetData>
      <sheetData sheetId="3917">
        <row r="1">
          <cell r="A1" t="str">
            <v>PHIẾU XỬ LÝ HỒ SƠ THANH TOÁN VƯỢT THẨM QUYỀN PD</v>
          </cell>
        </row>
      </sheetData>
      <sheetData sheetId="3918">
        <row r="1">
          <cell r="A1" t="str">
            <v>PHIẾU XỬ LÝ HỒ SƠ THANH TOÁN VƯỢT THẨM QUYỀN PD</v>
          </cell>
        </row>
      </sheetData>
      <sheetData sheetId="3919">
        <row r="1">
          <cell r="A1" t="str">
            <v>PHIẾU XỬ LÝ HỒ SƠ THANH TOÁN VƯỢT THẨM QUYỀN PD</v>
          </cell>
        </row>
      </sheetData>
      <sheetData sheetId="3920">
        <row r="1">
          <cell r="A1" t="str">
            <v>PHIẾU XỬ LÝ HỒ SƠ THANH TOÁN VƯỢT THẨM QUYỀN PD</v>
          </cell>
        </row>
      </sheetData>
      <sheetData sheetId="3921">
        <row r="1">
          <cell r="A1" t="str">
            <v>PHIẾU XỬ LÝ HỒ SƠ THANH TOÁN VƯỢT THẨM QUYỀN PD</v>
          </cell>
        </row>
      </sheetData>
      <sheetData sheetId="3922">
        <row r="1">
          <cell r="A1" t="str">
            <v>PHIẾU XỬ LÝ HỒ SƠ THANH TOÁN VƯỢT THẨM QUYỀN PD</v>
          </cell>
        </row>
      </sheetData>
      <sheetData sheetId="3923">
        <row r="1">
          <cell r="A1" t="str">
            <v>PHIẾU XỬ LÝ HỒ SƠ THANH TOÁN VƯỢT THẨM QUYỀN PD</v>
          </cell>
        </row>
      </sheetData>
      <sheetData sheetId="3924">
        <row r="1">
          <cell r="A1" t="str">
            <v>PHIẾU XỬ LÝ HỒ SƠ THANH TOÁN VƯỢT THẨM QUYỀN PD</v>
          </cell>
        </row>
      </sheetData>
      <sheetData sheetId="3925">
        <row r="1">
          <cell r="A1" t="str">
            <v>PHIẾU XỬ LÝ HỒ SƠ THANH TOÁN VƯỢT THẨM QUYỀN PD</v>
          </cell>
        </row>
      </sheetData>
      <sheetData sheetId="3926">
        <row r="1">
          <cell r="A1" t="str">
            <v>PHIẾU XỬ LÝ HỒ SƠ THANH TOÁN VƯỢT THẨM QUYỀN PD</v>
          </cell>
        </row>
      </sheetData>
      <sheetData sheetId="3927">
        <row r="1">
          <cell r="A1" t="str">
            <v>PHIẾU XỬ LÝ HỒ SƠ THANH TOÁN VƯỢT THẨM QUYỀN PD</v>
          </cell>
        </row>
      </sheetData>
      <sheetData sheetId="3928">
        <row r="1">
          <cell r="A1" t="str">
            <v>PHIẾU XỬ LÝ HỒ SƠ THANH TOÁN VƯỢT THẨM QUYỀN PD</v>
          </cell>
        </row>
      </sheetData>
      <sheetData sheetId="3929">
        <row r="1">
          <cell r="A1" t="str">
            <v>PHIẾU XỬ LÝ HỒ SƠ THANH TOÁN VƯỢT THẨM QUYỀN PD</v>
          </cell>
        </row>
      </sheetData>
      <sheetData sheetId="3930">
        <row r="1">
          <cell r="A1" t="str">
            <v>PHIẾU XỬ LÝ HỒ SƠ THANH TOÁN VƯỢT THẨM QUYỀN PD</v>
          </cell>
        </row>
      </sheetData>
      <sheetData sheetId="3931">
        <row r="1">
          <cell r="A1" t="str">
            <v>PHIẾU XỬ LÝ HỒ SƠ THANH TOÁN VƯỢT THẨM QUYỀN PD</v>
          </cell>
        </row>
      </sheetData>
      <sheetData sheetId="3932">
        <row r="1">
          <cell r="A1" t="str">
            <v>PHIẾU XỬ LÝ HỒ SƠ THANH TOÁN VƯỢT THẨM QUYỀN PD</v>
          </cell>
        </row>
      </sheetData>
      <sheetData sheetId="3933">
        <row r="1">
          <cell r="A1" t="str">
            <v>PHIẾU XỬ LÝ HỒ SƠ THANH TOÁN VƯỢT THẨM QUYỀN PD</v>
          </cell>
        </row>
      </sheetData>
      <sheetData sheetId="3934">
        <row r="1">
          <cell r="A1" t="str">
            <v>PHIẾU XỬ LÝ HỒ SƠ THANH TOÁN VƯỢT THẨM QUYỀN PD</v>
          </cell>
        </row>
      </sheetData>
      <sheetData sheetId="3935">
        <row r="1">
          <cell r="A1" t="str">
            <v>PHIẾU XỬ LÝ HỒ SƠ THANH TOÁN VƯỢT THẨM QUYỀN PD</v>
          </cell>
        </row>
      </sheetData>
      <sheetData sheetId="3936">
        <row r="1">
          <cell r="A1" t="str">
            <v>PHIẾU XỬ LÝ HỒ SƠ THANH TOÁN VƯỢT THẨM QUYỀN PD</v>
          </cell>
        </row>
      </sheetData>
      <sheetData sheetId="3937">
        <row r="1">
          <cell r="A1" t="str">
            <v>PHIẾU XỬ LÝ HỒ SƠ THANH TOÁN VƯỢT THẨM QUYỀN PD</v>
          </cell>
        </row>
      </sheetData>
      <sheetData sheetId="3938">
        <row r="1">
          <cell r="A1" t="str">
            <v>PHIẾU XỬ LÝ HỒ SƠ THANH TOÁN VƯỢT THẨM QUYỀN PD</v>
          </cell>
        </row>
      </sheetData>
      <sheetData sheetId="3939">
        <row r="1">
          <cell r="A1" t="str">
            <v>PHIẾU XỬ LÝ HỒ SƠ THANH TOÁN VƯỢT THẨM QUYỀN PD</v>
          </cell>
        </row>
      </sheetData>
      <sheetData sheetId="3940">
        <row r="1">
          <cell r="A1" t="str">
            <v>PHIẾU XỬ LÝ HỒ SƠ THANH TOÁN VƯỢT THẨM QUYỀN PD</v>
          </cell>
        </row>
      </sheetData>
      <sheetData sheetId="3941">
        <row r="1">
          <cell r="A1" t="str">
            <v>PHIẾU XỬ LÝ HỒ SƠ THANH TOÁN VƯỢT THẨM QUYỀN PD</v>
          </cell>
        </row>
      </sheetData>
      <sheetData sheetId="3942">
        <row r="1">
          <cell r="A1" t="str">
            <v>PHIẾU XỬ LÝ HỒ SƠ THANH TOÁN VƯỢT THẨM QUYỀN PD</v>
          </cell>
        </row>
      </sheetData>
      <sheetData sheetId="3943">
        <row r="1">
          <cell r="A1" t="str">
            <v>PHIẾU XỬ LÝ HỒ SƠ THANH TOÁN VƯỢT THẨM QUYỀN PD</v>
          </cell>
        </row>
      </sheetData>
      <sheetData sheetId="3944">
        <row r="1">
          <cell r="A1" t="str">
            <v>PHIẾU XỬ LÝ HỒ SƠ THANH TOÁN VƯỢT THẨM QUYỀN PD</v>
          </cell>
        </row>
      </sheetData>
      <sheetData sheetId="3945">
        <row r="1">
          <cell r="A1" t="str">
            <v>PHIẾU XỬ LÝ HỒ SƠ THANH TOÁN VƯỢT THẨM QUYỀN PD</v>
          </cell>
        </row>
      </sheetData>
      <sheetData sheetId="3946">
        <row r="1">
          <cell r="A1" t="str">
            <v>PHIẾU XỬ LÝ HỒ SƠ THANH TOÁN VƯỢT THẨM QUYỀN PD</v>
          </cell>
        </row>
      </sheetData>
      <sheetData sheetId="3947">
        <row r="1">
          <cell r="A1" t="str">
            <v>PHIẾU XỬ LÝ HỒ SƠ THANH TOÁN VƯỢT THẨM QUYỀN PD</v>
          </cell>
        </row>
      </sheetData>
      <sheetData sheetId="3948">
        <row r="1">
          <cell r="A1" t="str">
            <v>PHIẾU XỬ LÝ HỒ SƠ THANH TOÁN VƯỢT THẨM QUYỀN PD</v>
          </cell>
        </row>
      </sheetData>
      <sheetData sheetId="3949">
        <row r="1">
          <cell r="A1" t="str">
            <v>PHIẾU XỬ LÝ HỒ SƠ THANH TOÁN VƯỢT THẨM QUYỀN PD</v>
          </cell>
        </row>
      </sheetData>
      <sheetData sheetId="3950">
        <row r="1">
          <cell r="A1" t="str">
            <v>PHIẾU XỬ LÝ HỒ SƠ THANH TOÁN VƯỢT THẨM QUYỀN PD</v>
          </cell>
        </row>
      </sheetData>
      <sheetData sheetId="3951">
        <row r="1">
          <cell r="A1" t="str">
            <v>PHIẾU XỬ LÝ HỒ SƠ THANH TOÁN VƯỢT THẨM QUYỀN PD</v>
          </cell>
        </row>
      </sheetData>
      <sheetData sheetId="3952">
        <row r="1">
          <cell r="A1" t="str">
            <v>PHIẾU XỬ LÝ HỒ SƠ THANH TOÁN VƯỢT THẨM QUYỀN PD</v>
          </cell>
        </row>
      </sheetData>
      <sheetData sheetId="3953">
        <row r="1">
          <cell r="A1" t="str">
            <v>PHIẾU XỬ LÝ HỒ SƠ THANH TOÁN VƯỢT THẨM QUYỀN PD</v>
          </cell>
        </row>
      </sheetData>
      <sheetData sheetId="3954">
        <row r="1">
          <cell r="A1" t="str">
            <v>PHIẾU XỬ LÝ HỒ SƠ THANH TOÁN VƯỢT THẨM QUYỀN PD</v>
          </cell>
        </row>
      </sheetData>
      <sheetData sheetId="3955">
        <row r="1">
          <cell r="A1" t="str">
            <v>PHIẾU XỬ LÝ HỒ SƠ THANH TOÁN VƯỢT THẨM QUYỀN PD</v>
          </cell>
        </row>
      </sheetData>
      <sheetData sheetId="3956">
        <row r="1">
          <cell r="A1" t="str">
            <v>PHIẾU XỬ LÝ HỒ SƠ THANH TOÁN VƯỢT THẨM QUYỀN PD</v>
          </cell>
        </row>
      </sheetData>
      <sheetData sheetId="3957">
        <row r="1">
          <cell r="A1" t="str">
            <v>PHIẾU XỬ LÝ HỒ SƠ THANH TOÁN VƯỢT THẨM QUYỀN PD</v>
          </cell>
        </row>
      </sheetData>
      <sheetData sheetId="3958">
        <row r="1">
          <cell r="A1" t="str">
            <v>PHIẾU XỬ LÝ HỒ SƠ THANH TOÁN VƯỢT THẨM QUYỀN PD</v>
          </cell>
        </row>
      </sheetData>
      <sheetData sheetId="3959">
        <row r="1">
          <cell r="A1" t="str">
            <v>PHIẾU XỬ LÝ HỒ SƠ THANH TOÁN VƯỢT THẨM QUYỀN PD</v>
          </cell>
        </row>
      </sheetData>
      <sheetData sheetId="3960">
        <row r="1">
          <cell r="A1" t="str">
            <v>PHIẾU XỬ LÝ HỒ SƠ THANH TOÁN VƯỢT THẨM QUYỀN PD</v>
          </cell>
        </row>
      </sheetData>
      <sheetData sheetId="3961">
        <row r="1">
          <cell r="A1" t="str">
            <v>PHIẾU XỬ LÝ HỒ SƠ THANH TOÁN VƯỢT THẨM QUYỀN PD</v>
          </cell>
        </row>
      </sheetData>
      <sheetData sheetId="3962">
        <row r="1">
          <cell r="A1" t="str">
            <v>PHIẾU XỬ LÝ HỒ SƠ THANH TOÁN VƯỢT THẨM QUYỀN PD</v>
          </cell>
        </row>
      </sheetData>
      <sheetData sheetId="3963">
        <row r="1">
          <cell r="A1" t="str">
            <v>PHIẾU XỬ LÝ HỒ SƠ THANH TOÁN VƯỢT THẨM QUYỀN PD</v>
          </cell>
        </row>
      </sheetData>
      <sheetData sheetId="3964">
        <row r="1">
          <cell r="A1" t="str">
            <v>PHIẾU XỬ LÝ HỒ SƠ THANH TOÁN VƯỢT THẨM QUYỀN PD</v>
          </cell>
        </row>
      </sheetData>
      <sheetData sheetId="3965">
        <row r="1">
          <cell r="A1" t="str">
            <v>PHIẾU XỬ LÝ HỒ SƠ THANH TOÁN VƯỢT THẨM QUYỀN PD</v>
          </cell>
        </row>
      </sheetData>
      <sheetData sheetId="3966">
        <row r="1">
          <cell r="A1" t="str">
            <v>PHIẾU XỬ LÝ HỒ SƠ THANH TOÁN VƯỢT THẨM QUYỀN PD</v>
          </cell>
        </row>
      </sheetData>
      <sheetData sheetId="3967">
        <row r="1">
          <cell r="A1" t="str">
            <v>PHIẾU XỬ LÝ HỒ SƠ THANH TOÁN VƯỢT THẨM QUYỀN PD</v>
          </cell>
        </row>
      </sheetData>
      <sheetData sheetId="3968">
        <row r="1">
          <cell r="A1" t="str">
            <v>PHIẾU XỬ LÝ HỒ SƠ THANH TOÁN VƯỢT THẨM QUYỀN PD</v>
          </cell>
        </row>
      </sheetData>
      <sheetData sheetId="3969">
        <row r="1">
          <cell r="A1" t="str">
            <v>PHIẾU XỬ LÝ HỒ SƠ THANH TOÁN VƯỢT THẨM QUYỀN PD</v>
          </cell>
        </row>
      </sheetData>
      <sheetData sheetId="3970">
        <row r="1">
          <cell r="A1" t="str">
            <v>PHIẾU XỬ LÝ HỒ SƠ THANH TOÁN VƯỢT THẨM QUYỀN PD</v>
          </cell>
        </row>
      </sheetData>
      <sheetData sheetId="3971">
        <row r="1">
          <cell r="A1" t="str">
            <v>PHIẾU XỬ LÝ HỒ SƠ THANH TOÁN VƯỢT THẨM QUYỀN PD</v>
          </cell>
        </row>
      </sheetData>
      <sheetData sheetId="3972">
        <row r="1">
          <cell r="A1" t="str">
            <v>PHIẾU XỬ LÝ HỒ SƠ THANH TOÁN VƯỢT THẨM QUYỀN PD</v>
          </cell>
        </row>
      </sheetData>
      <sheetData sheetId="3973">
        <row r="1">
          <cell r="A1" t="str">
            <v>PHIẾU XỬ LÝ HỒ SƠ THANH TOÁN VƯỢT THẨM QUYỀN PD</v>
          </cell>
        </row>
      </sheetData>
      <sheetData sheetId="3974">
        <row r="1">
          <cell r="A1" t="str">
            <v>PHIẾU XỬ LÝ HỒ SƠ THANH TOÁN VƯỢT THẨM QUYỀN PD</v>
          </cell>
        </row>
      </sheetData>
      <sheetData sheetId="3975">
        <row r="1">
          <cell r="A1" t="str">
            <v>PHIẾU XỬ LÝ HỒ SƠ THANH TOÁN VƯỢT THẨM QUYỀN PD</v>
          </cell>
        </row>
      </sheetData>
      <sheetData sheetId="3976">
        <row r="1">
          <cell r="A1" t="str">
            <v>PHIẾU XỬ LÝ HỒ SƠ THANH TOÁN VƯỢT THẨM QUYỀN PD</v>
          </cell>
        </row>
      </sheetData>
      <sheetData sheetId="3977">
        <row r="1">
          <cell r="A1" t="str">
            <v>PHIẾU XỬ LÝ HỒ SƠ THANH TOÁN VƯỢT THẨM QUYỀN PD</v>
          </cell>
        </row>
      </sheetData>
      <sheetData sheetId="3978">
        <row r="1">
          <cell r="A1" t="str">
            <v>PHIẾU XỬ LÝ HỒ SƠ THANH TOÁN VƯỢT THẨM QUYỀN PD</v>
          </cell>
        </row>
      </sheetData>
      <sheetData sheetId="3979">
        <row r="1">
          <cell r="A1" t="str">
            <v>PHIẾU XỬ LÝ HỒ SƠ THANH TOÁN VƯỢT THẨM QUYỀN PD</v>
          </cell>
        </row>
      </sheetData>
      <sheetData sheetId="3980">
        <row r="1">
          <cell r="A1" t="str">
            <v>PHIẾU XỬ LÝ HỒ SƠ THANH TOÁN VƯỢT THẨM QUYỀN PD</v>
          </cell>
        </row>
      </sheetData>
      <sheetData sheetId="3981">
        <row r="1">
          <cell r="A1" t="str">
            <v>PHIẾU XỬ LÝ HỒ SƠ THANH TOÁN VƯỢT THẨM QUYỀN PD</v>
          </cell>
        </row>
      </sheetData>
      <sheetData sheetId="3982">
        <row r="1">
          <cell r="A1" t="str">
            <v>PHIẾU XỬ LÝ HỒ SƠ THANH TOÁN VƯỢT THẨM QUYỀN PD</v>
          </cell>
        </row>
      </sheetData>
      <sheetData sheetId="3983">
        <row r="1">
          <cell r="A1" t="str">
            <v>PHIẾU XỬ LÝ HỒ SƠ THANH TOÁN VƯỢT THẨM QUYỀN PD</v>
          </cell>
        </row>
      </sheetData>
      <sheetData sheetId="3984">
        <row r="1">
          <cell r="A1" t="str">
            <v>PHIẾU XỬ LÝ HỒ SƠ THANH TOÁN VƯỢT THẨM QUYỀN PD</v>
          </cell>
        </row>
      </sheetData>
      <sheetData sheetId="3985">
        <row r="1">
          <cell r="A1" t="str">
            <v>PHIẾU XỬ LÝ HỒ SƠ THANH TOÁN VƯỢT THẨM QUYỀN PD</v>
          </cell>
        </row>
      </sheetData>
      <sheetData sheetId="3986">
        <row r="1">
          <cell r="A1" t="str">
            <v>PHIẾU XỬ LÝ HỒ SƠ THANH TOÁN VƯỢT THẨM QUYỀN PD</v>
          </cell>
        </row>
      </sheetData>
      <sheetData sheetId="3987">
        <row r="1">
          <cell r="A1" t="str">
            <v>PHIẾU XỬ LÝ HỒ SƠ THANH TOÁN VƯỢT THẨM QUYỀN PD</v>
          </cell>
        </row>
      </sheetData>
      <sheetData sheetId="3988">
        <row r="1">
          <cell r="A1" t="str">
            <v>PHIẾU XỬ LÝ HỒ SƠ THANH TOÁN VƯỢT THẨM QUYỀN PD</v>
          </cell>
        </row>
      </sheetData>
      <sheetData sheetId="3989">
        <row r="1">
          <cell r="A1" t="str">
            <v>PHIẾU XỬ LÝ HỒ SƠ THANH TOÁN VƯỢT THẨM QUYỀN PD</v>
          </cell>
        </row>
      </sheetData>
      <sheetData sheetId="3990">
        <row r="1">
          <cell r="A1" t="str">
            <v>PHIẾU XỬ LÝ HỒ SƠ THANH TOÁN VƯỢT THẨM QUYỀN PD</v>
          </cell>
        </row>
      </sheetData>
      <sheetData sheetId="3991">
        <row r="1">
          <cell r="A1" t="str">
            <v>PHIẾU XỬ LÝ HỒ SƠ THANH TOÁN VƯỢT THẨM QUYỀN PD</v>
          </cell>
        </row>
      </sheetData>
      <sheetData sheetId="3992">
        <row r="1">
          <cell r="A1" t="str">
            <v>PHIẾU XỬ LÝ HỒ SƠ THANH TOÁN VƯỢT THẨM QUYỀN PD</v>
          </cell>
        </row>
      </sheetData>
      <sheetData sheetId="3993">
        <row r="1">
          <cell r="A1" t="str">
            <v>PHIẾU XỬ LÝ HỒ SƠ THANH TOÁN VƯỢT THẨM QUYỀN PD</v>
          </cell>
        </row>
      </sheetData>
      <sheetData sheetId="3994">
        <row r="1">
          <cell r="A1" t="str">
            <v>PHIẾU XỬ LÝ HỒ SƠ THANH TOÁN VƯỢT THẨM QUYỀN PD</v>
          </cell>
        </row>
      </sheetData>
      <sheetData sheetId="3995">
        <row r="1">
          <cell r="A1" t="str">
            <v>PHIẾU XỬ LÝ HỒ SƠ THANH TOÁN VƯỢT THẨM QUYỀN PD</v>
          </cell>
        </row>
      </sheetData>
      <sheetData sheetId="3996">
        <row r="1">
          <cell r="A1" t="str">
            <v>PHIẾU XỬ LÝ HỒ SƠ THANH TOÁN VƯỢT THẨM QUYỀN PD</v>
          </cell>
        </row>
      </sheetData>
      <sheetData sheetId="3997">
        <row r="1">
          <cell r="A1" t="str">
            <v>PHIẾU XỬ LÝ HỒ SƠ THANH TOÁN VƯỢT THẨM QUYỀN PD</v>
          </cell>
        </row>
      </sheetData>
      <sheetData sheetId="3998">
        <row r="1">
          <cell r="A1" t="str">
            <v>PHIẾU XỬ LÝ HỒ SƠ THANH TOÁN VƯỢT THẨM QUYỀN PD</v>
          </cell>
        </row>
      </sheetData>
      <sheetData sheetId="3999">
        <row r="1">
          <cell r="A1" t="str">
            <v>PHIẾU XỬ LÝ HỒ SƠ THANH TOÁN VƯỢT THẨM QUYỀN PD</v>
          </cell>
        </row>
      </sheetData>
      <sheetData sheetId="4000">
        <row r="1">
          <cell r="A1" t="str">
            <v>PHIẾU XỬ LÝ HỒ SƠ THANH TOÁN VƯỢT THẨM QUYỀN PD</v>
          </cell>
        </row>
      </sheetData>
      <sheetData sheetId="4001">
        <row r="1">
          <cell r="A1" t="str">
            <v>PHIẾU XỬ LÝ HỒ SƠ THANH TOÁN VƯỢT THẨM QUYỀN PD</v>
          </cell>
        </row>
      </sheetData>
      <sheetData sheetId="4002">
        <row r="1">
          <cell r="A1" t="str">
            <v>PHIẾU XỬ LÝ HỒ SƠ THANH TOÁN VƯỢT THẨM QUYỀN PD</v>
          </cell>
        </row>
      </sheetData>
      <sheetData sheetId="4003">
        <row r="1">
          <cell r="A1" t="str">
            <v>PHIẾU XỬ LÝ HỒ SƠ THANH TOÁN VƯỢT THẨM QUYỀN PD</v>
          </cell>
        </row>
      </sheetData>
      <sheetData sheetId="4004">
        <row r="1">
          <cell r="A1" t="str">
            <v>PHIẾU XỬ LÝ HỒ SƠ THANH TOÁN VƯỢT THẨM QUYỀN PD</v>
          </cell>
        </row>
      </sheetData>
      <sheetData sheetId="4005">
        <row r="1">
          <cell r="A1" t="str">
            <v>PHIẾU XỬ LÝ HỒ SƠ THANH TOÁN VƯỢT THẨM QUYỀN PD</v>
          </cell>
        </row>
      </sheetData>
      <sheetData sheetId="4006">
        <row r="1">
          <cell r="A1" t="str">
            <v>PHIẾU XỬ LÝ HỒ SƠ THANH TOÁN VƯỢT THẨM QUYỀN PD</v>
          </cell>
        </row>
      </sheetData>
      <sheetData sheetId="4007">
        <row r="1">
          <cell r="A1" t="str">
            <v>PHIẾU XỬ LÝ HỒ SƠ THANH TOÁN VƯỢT THẨM QUYỀN PD</v>
          </cell>
        </row>
      </sheetData>
      <sheetData sheetId="4008">
        <row r="1">
          <cell r="A1" t="str">
            <v>PHIẾU XỬ LÝ HỒ SƠ THANH TOÁN VƯỢT THẨM QUYỀN PD</v>
          </cell>
        </row>
      </sheetData>
      <sheetData sheetId="4009">
        <row r="1">
          <cell r="A1" t="str">
            <v>PHIẾU XỬ LÝ HỒ SƠ THANH TOÁN VƯỢT THẨM QUYỀN PD</v>
          </cell>
        </row>
      </sheetData>
      <sheetData sheetId="4010">
        <row r="1">
          <cell r="A1" t="str">
            <v>PHIẾU XỬ LÝ HỒ SƠ THANH TOÁN VƯỢT THẨM QUYỀN PD</v>
          </cell>
        </row>
      </sheetData>
      <sheetData sheetId="4011">
        <row r="1">
          <cell r="A1" t="str">
            <v>PHIẾU XỬ LÝ HỒ SƠ THANH TOÁN VƯỢT THẨM QUYỀN PD</v>
          </cell>
        </row>
      </sheetData>
      <sheetData sheetId="4012">
        <row r="1">
          <cell r="A1" t="str">
            <v>PHIẾU XỬ LÝ HỒ SƠ THANH TOÁN VƯỢT THẨM QUYỀN PD</v>
          </cell>
        </row>
      </sheetData>
      <sheetData sheetId="4013">
        <row r="1">
          <cell r="A1" t="str">
            <v>PHIẾU XỬ LÝ HỒ SƠ THANH TOÁN VƯỢT THẨM QUYỀN PD</v>
          </cell>
        </row>
      </sheetData>
      <sheetData sheetId="4014">
        <row r="1">
          <cell r="A1" t="str">
            <v>PHIẾU XỬ LÝ HỒ SƠ THANH TOÁN VƯỢT THẨM QUYỀN PD</v>
          </cell>
        </row>
      </sheetData>
      <sheetData sheetId="4015">
        <row r="1">
          <cell r="A1" t="str">
            <v>PHIẾU XỬ LÝ HỒ SƠ THANH TOÁN VƯỢT THẨM QUYỀN PD</v>
          </cell>
        </row>
      </sheetData>
      <sheetData sheetId="4016">
        <row r="1">
          <cell r="A1" t="str">
            <v>PHIẾU XỬ LÝ HỒ SƠ THANH TOÁN VƯỢT THẨM QUYỀN PD</v>
          </cell>
        </row>
      </sheetData>
      <sheetData sheetId="4017">
        <row r="1">
          <cell r="A1" t="str">
            <v>PHIẾU XỬ LÝ HỒ SƠ THANH TOÁN VƯỢT THẨM QUYỀN PD</v>
          </cell>
        </row>
      </sheetData>
      <sheetData sheetId="4018">
        <row r="1">
          <cell r="A1" t="str">
            <v>PHIẾU XỬ LÝ HỒ SƠ THANH TOÁN VƯỢT THẨM QUYỀN PD</v>
          </cell>
        </row>
      </sheetData>
      <sheetData sheetId="4019">
        <row r="1">
          <cell r="A1" t="str">
            <v>PHIẾU XỬ LÝ HỒ SƠ THANH TOÁN VƯỢT THẨM QUYỀN PD</v>
          </cell>
        </row>
      </sheetData>
      <sheetData sheetId="4020">
        <row r="1">
          <cell r="A1" t="str">
            <v>PHIẾU XỬ LÝ HỒ SƠ THANH TOÁN VƯỢT THẨM QUYỀN PD</v>
          </cell>
        </row>
      </sheetData>
      <sheetData sheetId="4021">
        <row r="1">
          <cell r="A1" t="str">
            <v>PHIẾU XỬ LÝ HỒ SƠ THANH TOÁN VƯỢT THẨM QUYỀN PD</v>
          </cell>
        </row>
      </sheetData>
      <sheetData sheetId="4022">
        <row r="1">
          <cell r="A1" t="str">
            <v>PHIẾU XỬ LÝ HỒ SƠ THANH TOÁN VƯỢT THẨM QUYỀN PD</v>
          </cell>
        </row>
      </sheetData>
      <sheetData sheetId="4023">
        <row r="1">
          <cell r="A1" t="str">
            <v>PHIẾU XỬ LÝ HỒ SƠ THANH TOÁN VƯỢT THẨM QUYỀN PD</v>
          </cell>
        </row>
      </sheetData>
      <sheetData sheetId="4024">
        <row r="1">
          <cell r="A1" t="str">
            <v>PHIẾU XỬ LÝ HỒ SƠ THANH TOÁN VƯỢT THẨM QUYỀN PD</v>
          </cell>
        </row>
      </sheetData>
      <sheetData sheetId="4025">
        <row r="1">
          <cell r="A1" t="str">
            <v>PHIẾU XỬ LÝ HỒ SƠ THANH TOÁN VƯỢT THẨM QUYỀN PD</v>
          </cell>
        </row>
      </sheetData>
      <sheetData sheetId="4026">
        <row r="1">
          <cell r="A1" t="str">
            <v>PHIẾU XỬ LÝ HỒ SƠ THANH TOÁN VƯỢT THẨM QUYỀN PD</v>
          </cell>
        </row>
      </sheetData>
      <sheetData sheetId="4027">
        <row r="1">
          <cell r="A1" t="str">
            <v>PHIẾU XỬ LÝ HỒ SƠ THANH TOÁN VƯỢT THẨM QUYỀN PD</v>
          </cell>
        </row>
      </sheetData>
      <sheetData sheetId="4028">
        <row r="1">
          <cell r="A1" t="str">
            <v>PHIẾU XỬ LÝ HỒ SƠ THANH TOÁN VƯỢT THẨM QUYỀN PD</v>
          </cell>
        </row>
      </sheetData>
      <sheetData sheetId="4029">
        <row r="1">
          <cell r="A1" t="str">
            <v>PHIẾU XỬ LÝ HỒ SƠ THANH TOÁN VƯỢT THẨM QUYỀN PD</v>
          </cell>
        </row>
      </sheetData>
      <sheetData sheetId="4030">
        <row r="1">
          <cell r="A1" t="str">
            <v>PHIẾU XỬ LÝ HỒ SƠ THANH TOÁN VƯỢT THẨM QUYỀN PD</v>
          </cell>
        </row>
      </sheetData>
      <sheetData sheetId="4031">
        <row r="1">
          <cell r="A1" t="str">
            <v>PHIẾU XỬ LÝ HỒ SƠ THANH TOÁN VƯỢT THẨM QUYỀN PD</v>
          </cell>
        </row>
      </sheetData>
      <sheetData sheetId="4032">
        <row r="1">
          <cell r="A1" t="str">
            <v>PHIẾU XỬ LÝ HỒ SƠ THANH TOÁN VƯỢT THẨM QUYỀN PD</v>
          </cell>
        </row>
      </sheetData>
      <sheetData sheetId="4033">
        <row r="1">
          <cell r="A1" t="str">
            <v>PHIẾU XỬ LÝ HỒ SƠ THANH TOÁN VƯỢT THẨM QUYỀN PD</v>
          </cell>
        </row>
      </sheetData>
      <sheetData sheetId="4034">
        <row r="1">
          <cell r="A1" t="str">
            <v>PHIẾU XỬ LÝ HỒ SƠ THANH TOÁN VƯỢT THẨM QUYỀN PD</v>
          </cell>
        </row>
      </sheetData>
      <sheetData sheetId="4035">
        <row r="1">
          <cell r="A1" t="str">
            <v>PHIẾU XỬ LÝ HỒ SƠ THANH TOÁN VƯỢT THẨM QUYỀN PD</v>
          </cell>
        </row>
      </sheetData>
      <sheetData sheetId="4036">
        <row r="1">
          <cell r="A1" t="str">
            <v>PHIẾU XỬ LÝ HỒ SƠ THANH TOÁN VƯỢT THẨM QUYỀN PD</v>
          </cell>
        </row>
      </sheetData>
      <sheetData sheetId="4037">
        <row r="1">
          <cell r="A1" t="str">
            <v>PHIẾU XỬ LÝ HỒ SƠ THANH TOÁN VƯỢT THẨM QUYỀN PD</v>
          </cell>
        </row>
      </sheetData>
      <sheetData sheetId="4038">
        <row r="1">
          <cell r="A1" t="str">
            <v>PHIẾU XỬ LÝ HỒ SƠ THANH TOÁN VƯỢT THẨM QUYỀN PD</v>
          </cell>
        </row>
      </sheetData>
      <sheetData sheetId="4039">
        <row r="1">
          <cell r="A1" t="str">
            <v>PHIẾU XỬ LÝ HỒ SƠ THANH TOÁN VƯỢT THẨM QUYỀN PD</v>
          </cell>
        </row>
      </sheetData>
      <sheetData sheetId="4040">
        <row r="1">
          <cell r="A1" t="str">
            <v>PHIẾU XỬ LÝ HỒ SƠ THANH TOÁN VƯỢT THẨM QUYỀN PD</v>
          </cell>
        </row>
      </sheetData>
      <sheetData sheetId="4041">
        <row r="1">
          <cell r="A1" t="str">
            <v>PHIẾU XỬ LÝ HỒ SƠ THANH TOÁN VƯỢT THẨM QUYỀN PD</v>
          </cell>
        </row>
      </sheetData>
      <sheetData sheetId="4042">
        <row r="1">
          <cell r="A1" t="str">
            <v>PHIẾU XỬ LÝ HỒ SƠ THANH TOÁN VƯỢT THẨM QUYỀN PD</v>
          </cell>
        </row>
      </sheetData>
      <sheetData sheetId="4043">
        <row r="1">
          <cell r="A1" t="str">
            <v>PHIẾU XỬ LÝ HỒ SƠ THANH TOÁN VƯỢT THẨM QUYỀN PD</v>
          </cell>
        </row>
      </sheetData>
      <sheetData sheetId="4044">
        <row r="1">
          <cell r="A1" t="str">
            <v>PHIẾU XỬ LÝ HỒ SƠ THANH TOÁN VƯỢT THẨM QUYỀN PD</v>
          </cell>
        </row>
      </sheetData>
      <sheetData sheetId="4045">
        <row r="1">
          <cell r="A1" t="str">
            <v>PHIẾU XỬ LÝ HỒ SƠ THANH TOÁN VƯỢT THẨM QUYỀN PD</v>
          </cell>
        </row>
      </sheetData>
      <sheetData sheetId="4046">
        <row r="1">
          <cell r="A1" t="str">
            <v>PHIẾU XỬ LÝ HỒ SƠ THANH TOÁN VƯỢT THẨM QUYỀN PD</v>
          </cell>
        </row>
      </sheetData>
      <sheetData sheetId="4047">
        <row r="1">
          <cell r="A1" t="str">
            <v>PHIẾU XỬ LÝ HỒ SƠ THANH TOÁN VƯỢT THẨM QUYỀN PD</v>
          </cell>
        </row>
      </sheetData>
      <sheetData sheetId="4048">
        <row r="1">
          <cell r="A1" t="str">
            <v>PHIẾU XỬ LÝ HỒ SƠ THANH TOÁN VƯỢT THẨM QUYỀN PD</v>
          </cell>
        </row>
      </sheetData>
      <sheetData sheetId="4049">
        <row r="1">
          <cell r="A1" t="str">
            <v>PHIẾU XỬ LÝ HỒ SƠ THANH TOÁN VƯỢT THẨM QUYỀN PD</v>
          </cell>
        </row>
      </sheetData>
      <sheetData sheetId="4050">
        <row r="1">
          <cell r="A1" t="str">
            <v>PHIẾU XỬ LÝ HỒ SƠ THANH TOÁN VƯỢT THẨM QUYỀN PD</v>
          </cell>
        </row>
      </sheetData>
      <sheetData sheetId="4051">
        <row r="1">
          <cell r="A1" t="str">
            <v>PHIẾU XỬ LÝ HỒ SƠ THANH TOÁN VƯỢT THẨM QUYỀN PD</v>
          </cell>
        </row>
      </sheetData>
      <sheetData sheetId="4052">
        <row r="1">
          <cell r="A1" t="str">
            <v>PHIẾU XỬ LÝ HỒ SƠ THANH TOÁN VƯỢT THẨM QUYỀN PD</v>
          </cell>
        </row>
      </sheetData>
      <sheetData sheetId="4053">
        <row r="1">
          <cell r="A1" t="str">
            <v>PHIẾU XỬ LÝ HỒ SƠ THANH TOÁN VƯỢT THẨM QUYỀN PD</v>
          </cell>
        </row>
      </sheetData>
      <sheetData sheetId="4054">
        <row r="1">
          <cell r="A1" t="str">
            <v>PHIẾU XỬ LÝ HỒ SƠ THANH TOÁN VƯỢT THẨM QUYỀN PD</v>
          </cell>
        </row>
      </sheetData>
      <sheetData sheetId="4055">
        <row r="1">
          <cell r="A1" t="str">
            <v>PHIẾU XỬ LÝ HỒ SƠ THANH TOÁN VƯỢT THẨM QUYỀN PD</v>
          </cell>
        </row>
      </sheetData>
      <sheetData sheetId="4056">
        <row r="1">
          <cell r="A1" t="str">
            <v>PHIẾU XỬ LÝ HỒ SƠ THANH TOÁN VƯỢT THẨM QUYỀN PD</v>
          </cell>
        </row>
      </sheetData>
      <sheetData sheetId="4057">
        <row r="1">
          <cell r="A1" t="str">
            <v>PHIẾU XỬ LÝ HỒ SƠ THANH TOÁN VƯỢT THẨM QUYỀN PD</v>
          </cell>
        </row>
      </sheetData>
      <sheetData sheetId="4058">
        <row r="1">
          <cell r="A1" t="str">
            <v>PHIẾU XỬ LÝ HỒ SƠ THANH TOÁN VƯỢT THẨM QUYỀN PD</v>
          </cell>
        </row>
      </sheetData>
      <sheetData sheetId="4059">
        <row r="1">
          <cell r="A1" t="str">
            <v>PHIẾU XỬ LÝ HỒ SƠ THANH TOÁN VƯỢT THẨM QUYỀN PD</v>
          </cell>
        </row>
      </sheetData>
      <sheetData sheetId="4060">
        <row r="1">
          <cell r="A1" t="str">
            <v>PHIẾU XỬ LÝ HỒ SƠ THANH TOÁN VƯỢT THẨM QUYỀN PD</v>
          </cell>
        </row>
      </sheetData>
      <sheetData sheetId="4061">
        <row r="1">
          <cell r="A1" t="str">
            <v>PHIẾU XỬ LÝ HỒ SƠ THANH TOÁN VƯỢT THẨM QUYỀN PD</v>
          </cell>
        </row>
      </sheetData>
      <sheetData sheetId="4062">
        <row r="1">
          <cell r="A1" t="str">
            <v>PHIẾU XỬ LÝ HỒ SƠ THANH TOÁN VƯỢT THẨM QUYỀN PD</v>
          </cell>
        </row>
      </sheetData>
      <sheetData sheetId="4063">
        <row r="1">
          <cell r="A1" t="str">
            <v>PHIẾU XỬ LÝ HỒ SƠ THANH TOÁN VƯỢT THẨM QUYỀN PD</v>
          </cell>
        </row>
      </sheetData>
      <sheetData sheetId="4064">
        <row r="1">
          <cell r="A1" t="str">
            <v>PHIẾU XỬ LÝ HỒ SƠ THANH TOÁN VƯỢT THẨM QUYỀN PD</v>
          </cell>
        </row>
      </sheetData>
      <sheetData sheetId="4065">
        <row r="1">
          <cell r="A1" t="str">
            <v>PHIẾU XỬ LÝ HỒ SƠ THANH TOÁN VƯỢT THẨM QUYỀN PD</v>
          </cell>
        </row>
      </sheetData>
      <sheetData sheetId="4066">
        <row r="1">
          <cell r="A1" t="str">
            <v>PHIẾU XỬ LÝ HỒ SƠ THANH TOÁN VƯỢT THẨM QUYỀN PD</v>
          </cell>
        </row>
      </sheetData>
      <sheetData sheetId="4067">
        <row r="1">
          <cell r="A1" t="str">
            <v>PHIẾU XỬ LÝ HỒ SƠ THANH TOÁN VƯỢT THẨM QUYỀN PD</v>
          </cell>
        </row>
      </sheetData>
      <sheetData sheetId="4068">
        <row r="1">
          <cell r="A1" t="str">
            <v>PHIẾU XỬ LÝ HỒ SƠ THANH TOÁN VƯỢT THẨM QUYỀN PD</v>
          </cell>
        </row>
      </sheetData>
      <sheetData sheetId="4069">
        <row r="1">
          <cell r="A1" t="str">
            <v>PHIẾU XỬ LÝ HỒ SƠ THANH TOÁN VƯỢT THẨM QUYỀN PD</v>
          </cell>
        </row>
      </sheetData>
      <sheetData sheetId="4070">
        <row r="1">
          <cell r="A1" t="str">
            <v>PHIẾU XỬ LÝ HỒ SƠ THANH TOÁN VƯỢT THẨM QUYỀN PD</v>
          </cell>
        </row>
      </sheetData>
      <sheetData sheetId="4071">
        <row r="1">
          <cell r="A1" t="str">
            <v>PHIẾU XỬ LÝ HỒ SƠ THANH TOÁN VƯỢT THẨM QUYỀN PD</v>
          </cell>
        </row>
      </sheetData>
      <sheetData sheetId="4072">
        <row r="1">
          <cell r="A1" t="str">
            <v>PHIẾU XỬ LÝ HỒ SƠ THANH TOÁN VƯỢT THẨM QUYỀN PD</v>
          </cell>
        </row>
      </sheetData>
      <sheetData sheetId="4073">
        <row r="1">
          <cell r="A1" t="str">
            <v>PHIẾU XỬ LÝ HỒ SƠ THANH TOÁN VƯỢT THẨM QUYỀN PD</v>
          </cell>
        </row>
      </sheetData>
      <sheetData sheetId="4074">
        <row r="1">
          <cell r="A1" t="str">
            <v>PHIẾU XỬ LÝ HỒ SƠ THANH TOÁN VƯỢT THẨM QUYỀN PD</v>
          </cell>
        </row>
      </sheetData>
      <sheetData sheetId="4075">
        <row r="1">
          <cell r="A1" t="str">
            <v>PHIẾU XỬ LÝ HỒ SƠ THANH TOÁN VƯỢT THẨM QUYỀN PD</v>
          </cell>
        </row>
      </sheetData>
      <sheetData sheetId="4076">
        <row r="1">
          <cell r="A1" t="str">
            <v>PHIẾU XỬ LÝ HỒ SƠ THANH TOÁN VƯỢT THẨM QUYỀN PD</v>
          </cell>
        </row>
      </sheetData>
      <sheetData sheetId="4077">
        <row r="1">
          <cell r="A1" t="str">
            <v>PHIẾU XỬ LÝ HỒ SƠ THANH TOÁN VƯỢT THẨM QUYỀN PD</v>
          </cell>
        </row>
      </sheetData>
      <sheetData sheetId="4078">
        <row r="1">
          <cell r="A1" t="str">
            <v>PHIẾU XỬ LÝ HỒ SƠ THANH TOÁN VƯỢT THẨM QUYỀN PD</v>
          </cell>
        </row>
      </sheetData>
      <sheetData sheetId="4079">
        <row r="1">
          <cell r="A1" t="str">
            <v>PHIẾU XỬ LÝ HỒ SƠ THANH TOÁN VƯỢT THẨM QUYỀN PD</v>
          </cell>
        </row>
      </sheetData>
      <sheetData sheetId="4080">
        <row r="1">
          <cell r="A1" t="str">
            <v>PHIẾU XỬ LÝ HỒ SƠ THANH TOÁN VƯỢT THẨM QUYỀN PD</v>
          </cell>
        </row>
      </sheetData>
      <sheetData sheetId="4081">
        <row r="1">
          <cell r="A1" t="str">
            <v>PHIẾU XỬ LÝ HỒ SƠ THANH TOÁN VƯỢT THẨM QUYỀN PD</v>
          </cell>
        </row>
      </sheetData>
      <sheetData sheetId="4082">
        <row r="1">
          <cell r="A1" t="str">
            <v>PHIẾU XỬ LÝ HỒ SƠ THANH TOÁN VƯỢT THẨM QUYỀN PD</v>
          </cell>
        </row>
      </sheetData>
      <sheetData sheetId="4083">
        <row r="1">
          <cell r="A1" t="str">
            <v>PHIẾU XỬ LÝ HỒ SƠ THANH TOÁN VƯỢT THẨM QUYỀN PD</v>
          </cell>
        </row>
      </sheetData>
      <sheetData sheetId="4084">
        <row r="1">
          <cell r="A1" t="str">
            <v>PHIẾU XỬ LÝ HỒ SƠ THANH TOÁN VƯỢT THẨM QUYỀN PD</v>
          </cell>
        </row>
      </sheetData>
      <sheetData sheetId="4085">
        <row r="1">
          <cell r="A1" t="str">
            <v>PHIẾU XỬ LÝ HỒ SƠ THANH TOÁN VƯỢT THẨM QUYỀN PD</v>
          </cell>
        </row>
      </sheetData>
      <sheetData sheetId="4086">
        <row r="1">
          <cell r="A1" t="str">
            <v>PHIẾU XỬ LÝ HỒ SƠ THANH TOÁN VƯỢT THẨM QUYỀN PD</v>
          </cell>
        </row>
      </sheetData>
      <sheetData sheetId="4087">
        <row r="1">
          <cell r="A1" t="str">
            <v>PHIẾU XỬ LÝ HỒ SƠ THANH TOÁN VƯỢT THẨM QUYỀN PD</v>
          </cell>
        </row>
      </sheetData>
      <sheetData sheetId="4088">
        <row r="1">
          <cell r="A1" t="str">
            <v>PHIẾU XỬ LÝ HỒ SƠ THANH TOÁN VƯỢT THẨM QUYỀN PD</v>
          </cell>
        </row>
      </sheetData>
      <sheetData sheetId="4089">
        <row r="1">
          <cell r="A1" t="str">
            <v>PHIẾU XỬ LÝ HỒ SƠ THANH TOÁN VƯỢT THẨM QUYỀN PD</v>
          </cell>
        </row>
      </sheetData>
      <sheetData sheetId="4090">
        <row r="1">
          <cell r="A1" t="str">
            <v>PHIẾU XỬ LÝ HỒ SƠ THANH TOÁN VƯỢT THẨM QUYỀN PD</v>
          </cell>
        </row>
      </sheetData>
      <sheetData sheetId="4091">
        <row r="1">
          <cell r="A1" t="str">
            <v>PHIẾU XỬ LÝ HỒ SƠ THANH TOÁN VƯỢT THẨM QUYỀN PD</v>
          </cell>
        </row>
      </sheetData>
      <sheetData sheetId="4092">
        <row r="1">
          <cell r="A1" t="str">
            <v>PHIẾU XỬ LÝ HỒ SƠ THANH TOÁN VƯỢT THẨM QUYỀN PD</v>
          </cell>
        </row>
      </sheetData>
      <sheetData sheetId="4093">
        <row r="1">
          <cell r="A1" t="str">
            <v>PHIẾU XỬ LÝ HỒ SƠ THANH TOÁN VƯỢT THẨM QUYỀN PD</v>
          </cell>
        </row>
      </sheetData>
      <sheetData sheetId="4094">
        <row r="1">
          <cell r="A1" t="str">
            <v>PHIẾU XỬ LÝ HỒ SƠ THANH TOÁN VƯỢT THẨM QUYỀN PD</v>
          </cell>
        </row>
      </sheetData>
      <sheetData sheetId="4095">
        <row r="1">
          <cell r="A1" t="str">
            <v>PHIẾU XỬ LÝ HỒ SƠ THANH TOÁN VƯỢT THẨM QUYỀN PD</v>
          </cell>
        </row>
      </sheetData>
      <sheetData sheetId="4096">
        <row r="1">
          <cell r="A1" t="str">
            <v>PHIẾU XỬ LÝ HỒ SƠ THANH TOÁN VƯỢT THẨM QUYỀN PD</v>
          </cell>
        </row>
      </sheetData>
      <sheetData sheetId="4097">
        <row r="1">
          <cell r="A1" t="str">
            <v>PHIẾU XỬ LÝ HỒ SƠ THANH TOÁN VƯỢT THẨM QUYỀN PD</v>
          </cell>
        </row>
      </sheetData>
      <sheetData sheetId="4098">
        <row r="1">
          <cell r="A1" t="str">
            <v>PHIẾU XỬ LÝ HỒ SƠ THANH TOÁN VƯỢT THẨM QUYỀN PD</v>
          </cell>
        </row>
      </sheetData>
      <sheetData sheetId="4099">
        <row r="1">
          <cell r="A1" t="str">
            <v>PHIẾU XỬ LÝ HỒ SƠ THANH TOÁN VƯỢT THẨM QUYỀN PD</v>
          </cell>
        </row>
      </sheetData>
      <sheetData sheetId="4100">
        <row r="1">
          <cell r="A1" t="str">
            <v>PHIẾU XỬ LÝ HỒ SƠ THANH TOÁN VƯỢT THẨM QUYỀN PD</v>
          </cell>
        </row>
      </sheetData>
      <sheetData sheetId="4101">
        <row r="1">
          <cell r="A1" t="str">
            <v>PHIẾU XỬ LÝ HỒ SƠ THANH TOÁN VƯỢT THẨM QUYỀN PD</v>
          </cell>
        </row>
      </sheetData>
      <sheetData sheetId="4102">
        <row r="1">
          <cell r="A1" t="str">
            <v>PHIẾU XỬ LÝ HỒ SƠ THANH TOÁN VƯỢT THẨM QUYỀN PD</v>
          </cell>
        </row>
      </sheetData>
      <sheetData sheetId="4103">
        <row r="1">
          <cell r="A1" t="str">
            <v>PHIẾU XỬ LÝ HỒ SƠ THANH TOÁN VƯỢT THẨM QUYỀN PD</v>
          </cell>
        </row>
      </sheetData>
      <sheetData sheetId="4104">
        <row r="1">
          <cell r="A1" t="str">
            <v>PHIẾU XỬ LÝ HỒ SƠ THANH TOÁN VƯỢT THẨM QUYỀN PD</v>
          </cell>
        </row>
      </sheetData>
      <sheetData sheetId="4105">
        <row r="1">
          <cell r="A1" t="str">
            <v>PHIẾU XỬ LÝ HỒ SƠ THANH TOÁN VƯỢT THẨM QUYỀN PD</v>
          </cell>
        </row>
      </sheetData>
      <sheetData sheetId="4106">
        <row r="1">
          <cell r="A1" t="str">
            <v>PHIẾU XỬ LÝ HỒ SƠ THANH TOÁN VƯỢT THẨM QUYỀN PD</v>
          </cell>
        </row>
      </sheetData>
      <sheetData sheetId="4107">
        <row r="1">
          <cell r="A1" t="str">
            <v>PHIẾU XỬ LÝ HỒ SƠ THANH TOÁN VƯỢT THẨM QUYỀN PD</v>
          </cell>
        </row>
      </sheetData>
      <sheetData sheetId="4108">
        <row r="1">
          <cell r="A1" t="str">
            <v>PHIẾU XỬ LÝ HỒ SƠ THANH TOÁN VƯỢT THẨM QUYỀN PD</v>
          </cell>
        </row>
      </sheetData>
      <sheetData sheetId="4109">
        <row r="1">
          <cell r="A1" t="str">
            <v>PHIẾU XỬ LÝ HỒ SƠ THANH TOÁN VƯỢT THẨM QUYỀN PD</v>
          </cell>
        </row>
      </sheetData>
      <sheetData sheetId="4110">
        <row r="1">
          <cell r="A1" t="str">
            <v>PHIẾU XỬ LÝ HỒ SƠ THANH TOÁN VƯỢT THẨM QUYỀN PD</v>
          </cell>
        </row>
      </sheetData>
      <sheetData sheetId="4111">
        <row r="1">
          <cell r="A1" t="str">
            <v>PHIẾU XỬ LÝ HỒ SƠ THANH TOÁN VƯỢT THẨM QUYỀN PD</v>
          </cell>
        </row>
      </sheetData>
      <sheetData sheetId="4112">
        <row r="1">
          <cell r="A1" t="str">
            <v>PHIẾU XỬ LÝ HỒ SƠ THANH TOÁN VƯỢT THẨM QUYỀN PD</v>
          </cell>
        </row>
      </sheetData>
      <sheetData sheetId="4113">
        <row r="1">
          <cell r="A1" t="str">
            <v>PHIẾU XỬ LÝ HỒ SƠ THANH TOÁN VƯỢT THẨM QUYỀN PD</v>
          </cell>
        </row>
      </sheetData>
      <sheetData sheetId="4114">
        <row r="1">
          <cell r="A1" t="str">
            <v>PHIẾU XỬ LÝ HỒ SƠ THANH TOÁN VƯỢT THẨM QUYỀN PD</v>
          </cell>
        </row>
      </sheetData>
      <sheetData sheetId="4115">
        <row r="1">
          <cell r="A1" t="str">
            <v>PHIẾU XỬ LÝ HỒ SƠ THANH TOÁN VƯỢT THẨM QUYỀN PD</v>
          </cell>
        </row>
      </sheetData>
      <sheetData sheetId="4116">
        <row r="1">
          <cell r="A1" t="str">
            <v>PHIẾU XỬ LÝ HỒ SƠ THANH TOÁN VƯỢT THẨM QUYỀN PD</v>
          </cell>
        </row>
      </sheetData>
      <sheetData sheetId="4117">
        <row r="1">
          <cell r="A1" t="str">
            <v>PHIẾU XỬ LÝ HỒ SƠ THANH TOÁN VƯỢT THẨM QUYỀN PD</v>
          </cell>
        </row>
      </sheetData>
      <sheetData sheetId="4118">
        <row r="1">
          <cell r="A1" t="str">
            <v>PHIẾU XỬ LÝ HỒ SƠ THANH TOÁN VƯỢT THẨM QUYỀN PD</v>
          </cell>
        </row>
      </sheetData>
      <sheetData sheetId="4119">
        <row r="1">
          <cell r="A1" t="str">
            <v>PHIẾU XỬ LÝ HỒ SƠ THANH TOÁN VƯỢT THẨM QUYỀN PD</v>
          </cell>
        </row>
      </sheetData>
      <sheetData sheetId="4120">
        <row r="1">
          <cell r="A1" t="str">
            <v>PHIẾU XỬ LÝ HỒ SƠ THANH TOÁN VƯỢT THẨM QUYỀN PD</v>
          </cell>
        </row>
      </sheetData>
      <sheetData sheetId="4121">
        <row r="1">
          <cell r="A1" t="str">
            <v>PHIẾU XỬ LÝ HỒ SƠ THANH TOÁN VƯỢT THẨM QUYỀN PD</v>
          </cell>
        </row>
      </sheetData>
      <sheetData sheetId="4122">
        <row r="1">
          <cell r="A1" t="str">
            <v>PHIẾU XỬ LÝ HỒ SƠ THANH TOÁN VƯỢT THẨM QUYỀN PD</v>
          </cell>
        </row>
      </sheetData>
      <sheetData sheetId="4123">
        <row r="1">
          <cell r="A1" t="str">
            <v>PHIẾU XỬ LÝ HỒ SƠ THANH TOÁN VƯỢT THẨM QUYỀN PD</v>
          </cell>
        </row>
      </sheetData>
      <sheetData sheetId="4124">
        <row r="1">
          <cell r="A1" t="str">
            <v>PHIẾU XỬ LÝ HỒ SƠ THANH TOÁN VƯỢT THẨM QUYỀN PD</v>
          </cell>
        </row>
      </sheetData>
      <sheetData sheetId="4125">
        <row r="1">
          <cell r="A1" t="str">
            <v>PHIẾU XỬ LÝ HỒ SƠ THANH TOÁN VƯỢT THẨM QUYỀN PD</v>
          </cell>
        </row>
      </sheetData>
      <sheetData sheetId="4126">
        <row r="1">
          <cell r="A1" t="str">
            <v>PHIẾU XỬ LÝ HỒ SƠ THANH TOÁN VƯỢT THẨM QUYỀN PD</v>
          </cell>
        </row>
      </sheetData>
      <sheetData sheetId="4127">
        <row r="1">
          <cell r="A1" t="str">
            <v>PHIẾU XỬ LÝ HỒ SƠ THANH TOÁN VƯỢT THẨM QUYỀN PD</v>
          </cell>
        </row>
      </sheetData>
      <sheetData sheetId="4128">
        <row r="1">
          <cell r="A1" t="str">
            <v>PHIẾU XỬ LÝ HỒ SƠ THANH TOÁN VƯỢT THẨM QUYỀN PD</v>
          </cell>
        </row>
      </sheetData>
      <sheetData sheetId="4129">
        <row r="1">
          <cell r="A1" t="str">
            <v>PHIẾU XỬ LÝ HỒ SƠ THANH TOÁN VƯỢT THẨM QUYỀN PD</v>
          </cell>
        </row>
      </sheetData>
      <sheetData sheetId="4130">
        <row r="1">
          <cell r="A1" t="str">
            <v>PHIẾU XỬ LÝ HỒ SƠ THANH TOÁN VƯỢT THẨM QUYỀN PD</v>
          </cell>
        </row>
      </sheetData>
      <sheetData sheetId="4131">
        <row r="1">
          <cell r="A1" t="str">
            <v>PHIẾU XỬ LÝ HỒ SƠ THANH TOÁN VƯỢT THẨM QUYỀN PD</v>
          </cell>
        </row>
      </sheetData>
      <sheetData sheetId="4132">
        <row r="1">
          <cell r="A1" t="str">
            <v>PHIẾU XỬ LÝ HỒ SƠ THANH TOÁN VƯỢT THẨM QUYỀN PD</v>
          </cell>
        </row>
      </sheetData>
      <sheetData sheetId="4133">
        <row r="1">
          <cell r="A1" t="str">
            <v>PHIẾU XỬ LÝ HỒ SƠ THANH TOÁN VƯỢT THẨM QUYỀN PD</v>
          </cell>
        </row>
      </sheetData>
      <sheetData sheetId="4134">
        <row r="1">
          <cell r="A1" t="str">
            <v>PHIẾU XỬ LÝ HỒ SƠ THANH TOÁN VƯỢT THẨM QUYỀN PD</v>
          </cell>
        </row>
      </sheetData>
      <sheetData sheetId="4135">
        <row r="1">
          <cell r="A1" t="str">
            <v>PHIẾU XỬ LÝ HỒ SƠ THANH TOÁN VƯỢT THẨM QUYỀN PD</v>
          </cell>
        </row>
      </sheetData>
      <sheetData sheetId="4136">
        <row r="1">
          <cell r="A1" t="str">
            <v>PHIẾU XỬ LÝ HỒ SƠ THANH TOÁN VƯỢT THẨM QUYỀN PD</v>
          </cell>
        </row>
      </sheetData>
      <sheetData sheetId="4137">
        <row r="1">
          <cell r="A1" t="str">
            <v>PHIẾU XỬ LÝ HỒ SƠ THANH TOÁN VƯỢT THẨM QUYỀN PD</v>
          </cell>
        </row>
      </sheetData>
      <sheetData sheetId="4138">
        <row r="1">
          <cell r="A1" t="str">
            <v>PHIẾU XỬ LÝ HỒ SƠ THANH TOÁN VƯỢT THẨM QUYỀN PD</v>
          </cell>
        </row>
      </sheetData>
      <sheetData sheetId="4139">
        <row r="1">
          <cell r="A1" t="str">
            <v>PHIẾU XỬ LÝ HỒ SƠ THANH TOÁN VƯỢT THẨM QUYỀN PD</v>
          </cell>
        </row>
      </sheetData>
      <sheetData sheetId="4140">
        <row r="1">
          <cell r="A1" t="str">
            <v>PHIẾU XỬ LÝ HỒ SƠ THANH TOÁN VƯỢT THẨM QUYỀN PD</v>
          </cell>
        </row>
      </sheetData>
      <sheetData sheetId="4141">
        <row r="1">
          <cell r="A1" t="str">
            <v>PHIẾU XỬ LÝ HỒ SƠ THANH TOÁN VƯỢT THẨM QUYỀN PD</v>
          </cell>
        </row>
      </sheetData>
      <sheetData sheetId="4142">
        <row r="1">
          <cell r="A1" t="str">
            <v>PHIẾU XỬ LÝ HỒ SƠ THANH TOÁN VƯỢT THẨM QUYỀN PD</v>
          </cell>
        </row>
      </sheetData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>
        <row r="1">
          <cell r="A1" t="str">
            <v>PHIẾU XỬ LÝ HỒ SƠ THANH TOÁN VƯỢT THẨM QUYỀN PD</v>
          </cell>
        </row>
      </sheetData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>
        <row r="1">
          <cell r="A1" t="str">
            <v>PHIẾU XỬ LÝ HỒ SƠ THANH TOÁN VƯỢT THẨM QUYỀN PD</v>
          </cell>
        </row>
      </sheetData>
      <sheetData sheetId="4159">
        <row r="1">
          <cell r="A1" t="str">
            <v>PHIẾU XỬ LÝ HỒ SƠ THANH TOÁN VƯỢT THẨM QUYỀN PD</v>
          </cell>
        </row>
      </sheetData>
      <sheetData sheetId="4160">
        <row r="1">
          <cell r="A1" t="str">
            <v>PHIẾU XỬ LÝ HỒ SƠ THANH TOÁN VƯỢT THẨM QUYỀN PD</v>
          </cell>
        </row>
      </sheetData>
      <sheetData sheetId="4161">
        <row r="1">
          <cell r="A1" t="str">
            <v>PHIẾU XỬ LÝ HỒ SƠ THANH TOÁN VƯỢT THẨM QUYỀN PD</v>
          </cell>
        </row>
      </sheetData>
      <sheetData sheetId="4162" refreshError="1"/>
      <sheetData sheetId="4163">
        <row r="1">
          <cell r="A1" t="str">
            <v>PHIẾU XỬ LÝ HỒ SƠ THANH TOÁN VƯỢT THẨM QUYỀN PD</v>
          </cell>
        </row>
      </sheetData>
      <sheetData sheetId="4164" refreshError="1"/>
      <sheetData sheetId="4165" refreshError="1"/>
      <sheetData sheetId="4166">
        <row r="1">
          <cell r="A1" t="str">
            <v>PHIẾU XỬ LÝ HỒ SƠ THANH TOÁN VƯỢT THẨM QUYỀN PD</v>
          </cell>
        </row>
      </sheetData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>
        <row r="1">
          <cell r="A1" t="str">
            <v>PHIẾU XỬ LÝ HỒ SƠ THANH TOÁN VƯỢT THẨM QUYỀN PD</v>
          </cell>
        </row>
      </sheetData>
      <sheetData sheetId="4173">
        <row r="1">
          <cell r="A1" t="str">
            <v>PHIẾU XỬ LÝ HỒ SƠ THANH TOÁN VƯỢT THẨM QUYỀN PD</v>
          </cell>
        </row>
      </sheetData>
      <sheetData sheetId="4174">
        <row r="1">
          <cell r="A1" t="str">
            <v>PHIẾU XỬ LÝ HỒ SƠ THANH TOÁN VƯỢT THẨM QUYỀN PD</v>
          </cell>
        </row>
      </sheetData>
      <sheetData sheetId="4175">
        <row r="1">
          <cell r="A1" t="str">
            <v>PHIẾU XỬ LÝ HỒ SƠ THANH TOÁN VƯỢT THẨM QUYỀN PD</v>
          </cell>
        </row>
      </sheetData>
      <sheetData sheetId="4176">
        <row r="1">
          <cell r="A1" t="str">
            <v>PHIẾU XỬ LÝ HỒ SƠ THANH TOÁN VƯỢT THẨM QUYỀN PD</v>
          </cell>
        </row>
      </sheetData>
      <sheetData sheetId="4177">
        <row r="1">
          <cell r="A1" t="str">
            <v>PHIẾU XỬ LÝ HỒ SƠ THANH TOÁN VƯỢT THẨM QUYỀN PD</v>
          </cell>
        </row>
      </sheetData>
      <sheetData sheetId="4178">
        <row r="1">
          <cell r="A1" t="str">
            <v>PHIẾU XỬ LÝ HỒ SƠ THANH TOÁN VƯỢT THẨM QUYỀN PD</v>
          </cell>
        </row>
      </sheetData>
      <sheetData sheetId="4179">
        <row r="1">
          <cell r="A1" t="str">
            <v>PHIẾU XỬ LÝ HỒ SƠ THANH TOÁN VƯỢT THẨM QUYỀN PD</v>
          </cell>
        </row>
      </sheetData>
      <sheetData sheetId="4180">
        <row r="1">
          <cell r="A1" t="str">
            <v>PHIẾU XỬ LÝ HỒ SƠ THANH TOÁN VƯỢT THẨM QUYỀN PD</v>
          </cell>
        </row>
      </sheetData>
      <sheetData sheetId="4181">
        <row r="1">
          <cell r="A1" t="str">
            <v>PHIẾU XỬ LÝ HỒ SƠ THANH TOÁN VƯỢT THẨM QUYỀN PD</v>
          </cell>
        </row>
      </sheetData>
      <sheetData sheetId="4182">
        <row r="1">
          <cell r="A1" t="str">
            <v>PHIẾU XỬ LÝ HỒ SƠ THANH TOÁN VƯỢT THẨM QUYỀN PD</v>
          </cell>
        </row>
      </sheetData>
      <sheetData sheetId="4183">
        <row r="1">
          <cell r="A1" t="str">
            <v>PHIẾU XỬ LÝ HỒ SƠ THANH TOÁN VƯỢT THẨM QUYỀN PD</v>
          </cell>
        </row>
      </sheetData>
      <sheetData sheetId="4184">
        <row r="1">
          <cell r="A1" t="str">
            <v>PHIẾU XỬ LÝ HỒ SƠ THANH TOÁN VƯỢT THẨM QUYỀN PD</v>
          </cell>
        </row>
      </sheetData>
      <sheetData sheetId="4185">
        <row r="1">
          <cell r="A1" t="str">
            <v>PHIẾU XỬ LÝ HỒ SƠ THANH TOÁN VƯỢT THẨM QUYỀN PD</v>
          </cell>
        </row>
      </sheetData>
      <sheetData sheetId="4186">
        <row r="1">
          <cell r="A1" t="str">
            <v>PHIẾU XỬ LÝ HỒ SƠ THANH TOÁN VƯỢT THẨM QUYỀN PD</v>
          </cell>
        </row>
      </sheetData>
      <sheetData sheetId="4187">
        <row r="1">
          <cell r="A1" t="str">
            <v>PHIẾU XỬ LÝ HỒ SƠ THANH TOÁN VƯỢT THẨM QUYỀN PD</v>
          </cell>
        </row>
      </sheetData>
      <sheetData sheetId="4188">
        <row r="1">
          <cell r="A1" t="str">
            <v>PHIẾU XỬ LÝ HỒ SƠ THANH TOÁN VƯỢT THẨM QUYỀN PD</v>
          </cell>
        </row>
      </sheetData>
      <sheetData sheetId="4189">
        <row r="1">
          <cell r="A1" t="str">
            <v>PHIẾU XỬ LÝ HỒ SƠ THANH TOÁN VƯỢT THẨM QUYỀN PD</v>
          </cell>
        </row>
      </sheetData>
      <sheetData sheetId="4190">
        <row r="1">
          <cell r="A1" t="str">
            <v>PHIẾU XỬ LÝ HỒ SƠ THANH TOÁN VƯỢT THẨM QUYỀN PD</v>
          </cell>
        </row>
      </sheetData>
      <sheetData sheetId="4191">
        <row r="1">
          <cell r="A1" t="str">
            <v>PHIẾU XỬ LÝ HỒ SƠ THANH TOÁN VƯỢT THẨM QUYỀN PD</v>
          </cell>
        </row>
      </sheetData>
      <sheetData sheetId="4192">
        <row r="1">
          <cell r="A1" t="str">
            <v>PHIẾU XỬ LÝ HỒ SƠ THANH TOÁN VƯỢT THẨM QUYỀN PD</v>
          </cell>
        </row>
      </sheetData>
      <sheetData sheetId="4193">
        <row r="1">
          <cell r="A1" t="str">
            <v>PHIẾU XỬ LÝ HỒ SƠ THANH TOÁN VƯỢT THẨM QUYỀN PD</v>
          </cell>
        </row>
      </sheetData>
      <sheetData sheetId="4194">
        <row r="1">
          <cell r="A1" t="str">
            <v>PHIẾU XỬ LÝ HỒ SƠ THANH TOÁN VƯỢT THẨM QUYỀN PD</v>
          </cell>
        </row>
      </sheetData>
      <sheetData sheetId="4195">
        <row r="1">
          <cell r="A1" t="str">
            <v>PHIẾU XỬ LÝ HỒ SƠ THANH TOÁN VƯỢT THẨM QUYỀN PD</v>
          </cell>
        </row>
      </sheetData>
      <sheetData sheetId="4196">
        <row r="1">
          <cell r="A1" t="str">
            <v>PHIẾU XỬ LÝ HỒ SƠ THANH TOÁN VƯỢT THẨM QUYỀN PD</v>
          </cell>
        </row>
      </sheetData>
      <sheetData sheetId="4197">
        <row r="1">
          <cell r="A1" t="str">
            <v>PHIẾU XỬ LÝ HỒ SƠ THANH TOÁN VƯỢT THẨM QUYỀN PD</v>
          </cell>
        </row>
      </sheetData>
      <sheetData sheetId="4198">
        <row r="1">
          <cell r="A1" t="str">
            <v>PHIẾU XỬ LÝ HỒ SƠ THANH TOÁN VƯỢT THẨM QUYỀN PD</v>
          </cell>
        </row>
      </sheetData>
      <sheetData sheetId="4199">
        <row r="1">
          <cell r="A1" t="str">
            <v>PHIẾU XỬ LÝ HỒ SƠ THANH TOÁN VƯỢT THẨM QUYỀN PD</v>
          </cell>
        </row>
      </sheetData>
      <sheetData sheetId="4200">
        <row r="1">
          <cell r="A1" t="str">
            <v>PHIẾU XỬ LÝ HỒ SƠ THANH TOÁN VƯỢT THẨM QUYỀN PD</v>
          </cell>
        </row>
      </sheetData>
      <sheetData sheetId="4201">
        <row r="1">
          <cell r="A1" t="str">
            <v>PHIẾU XỬ LÝ HỒ SƠ THANH TOÁN VƯỢT THẨM QUYỀN PD</v>
          </cell>
        </row>
      </sheetData>
      <sheetData sheetId="4202">
        <row r="1">
          <cell r="A1" t="str">
            <v>PHIẾU XỬ LÝ HỒ SƠ THANH TOÁN VƯỢT THẨM QUYỀN PD</v>
          </cell>
        </row>
      </sheetData>
      <sheetData sheetId="4203">
        <row r="1">
          <cell r="A1" t="str">
            <v>PHIẾU XỬ LÝ HỒ SƠ THANH TOÁN VƯỢT THẨM QUYỀN PD</v>
          </cell>
        </row>
      </sheetData>
      <sheetData sheetId="4204">
        <row r="1">
          <cell r="A1" t="str">
            <v>PHIẾU XỬ LÝ HỒ SƠ THANH TOÁN VƯỢT THẨM QUYỀN PD</v>
          </cell>
        </row>
      </sheetData>
      <sheetData sheetId="4205">
        <row r="1">
          <cell r="A1" t="str">
            <v>PHIẾU XỬ LÝ HỒ SƠ THANH TOÁN VƯỢT THẨM QUYỀN PD</v>
          </cell>
        </row>
      </sheetData>
      <sheetData sheetId="4206">
        <row r="1">
          <cell r="A1" t="str">
            <v>PHIẾU XỬ LÝ HỒ SƠ THANH TOÁN VƯỢT THẨM QUYỀN PD</v>
          </cell>
        </row>
      </sheetData>
      <sheetData sheetId="4207">
        <row r="1">
          <cell r="A1" t="str">
            <v>PHIẾU XỬ LÝ HỒ SƠ THANH TOÁN VƯỢT THẨM QUYỀN PD</v>
          </cell>
        </row>
      </sheetData>
      <sheetData sheetId="4208">
        <row r="1">
          <cell r="A1" t="str">
            <v>PHIẾU XỬ LÝ HỒ SƠ THANH TOÁN VƯỢT THẨM QUYỀN PD</v>
          </cell>
        </row>
      </sheetData>
      <sheetData sheetId="4209">
        <row r="1">
          <cell r="A1" t="str">
            <v>PHIẾU XỬ LÝ HỒ SƠ THANH TOÁN VƯỢT THẨM QUYỀN PD</v>
          </cell>
        </row>
      </sheetData>
      <sheetData sheetId="4210">
        <row r="1">
          <cell r="A1" t="str">
            <v>PHIẾU XỬ LÝ HỒ SƠ THANH TOÁN VƯỢT THẨM QUYỀN PD</v>
          </cell>
        </row>
      </sheetData>
      <sheetData sheetId="4211">
        <row r="1">
          <cell r="A1" t="str">
            <v>PHIẾU XỬ LÝ HỒ SƠ THANH TOÁN VƯỢT THẨM QUYỀN PD</v>
          </cell>
        </row>
      </sheetData>
      <sheetData sheetId="4212">
        <row r="1">
          <cell r="A1" t="str">
            <v>PHIẾU XỬ LÝ HỒ SƠ THANH TOÁN VƯỢT THẨM QUYỀN PD</v>
          </cell>
        </row>
      </sheetData>
      <sheetData sheetId="4213">
        <row r="1">
          <cell r="A1" t="str">
            <v>PHIẾU XỬ LÝ HỒ SƠ THANH TOÁN VƯỢT THẨM QUYỀN PD</v>
          </cell>
        </row>
      </sheetData>
      <sheetData sheetId="4214">
        <row r="1">
          <cell r="A1" t="str">
            <v>PHIẾU XỬ LÝ HỒ SƠ THANH TOÁN VƯỢT THẨM QUYỀN PD</v>
          </cell>
        </row>
      </sheetData>
      <sheetData sheetId="4215">
        <row r="1">
          <cell r="A1" t="str">
            <v>PHIẾU XỬ LÝ HỒ SƠ THANH TOÁN VƯỢT THẨM QUYỀN PD</v>
          </cell>
        </row>
      </sheetData>
      <sheetData sheetId="4216">
        <row r="1">
          <cell r="A1" t="str">
            <v>PHIẾU XỬ LÝ HỒ SƠ THANH TOÁN VƯỢT THẨM QUYỀN PD</v>
          </cell>
        </row>
      </sheetData>
      <sheetData sheetId="4217">
        <row r="1">
          <cell r="A1" t="str">
            <v>PHIẾU XỬ LÝ HỒ SƠ THANH TOÁN VƯỢT THẨM QUYỀN PD</v>
          </cell>
        </row>
      </sheetData>
      <sheetData sheetId="4218">
        <row r="1">
          <cell r="A1" t="str">
            <v>PHIẾU XỬ LÝ HỒ SƠ THANH TOÁN VƯỢT THẨM QUYỀN PD</v>
          </cell>
        </row>
      </sheetData>
      <sheetData sheetId="4219">
        <row r="1">
          <cell r="A1" t="str">
            <v>PHIẾU XỬ LÝ HỒ SƠ THANH TOÁN VƯỢT THẨM QUYỀN PD</v>
          </cell>
        </row>
      </sheetData>
      <sheetData sheetId="4220">
        <row r="1">
          <cell r="A1" t="str">
            <v>PHIẾU XỬ LÝ HỒ SƠ THANH TOÁN VƯỢT THẨM QUYỀN PD</v>
          </cell>
        </row>
      </sheetData>
      <sheetData sheetId="4221">
        <row r="1">
          <cell r="A1" t="str">
            <v>PHIẾU XỬ LÝ HỒ SƠ THANH TOÁN VƯỢT THẨM QUYỀN PD</v>
          </cell>
        </row>
      </sheetData>
      <sheetData sheetId="4222">
        <row r="1">
          <cell r="A1" t="str">
            <v>PHIẾU XỬ LÝ HỒ SƠ THANH TOÁN VƯỢT THẨM QUYỀN PD</v>
          </cell>
        </row>
      </sheetData>
      <sheetData sheetId="4223">
        <row r="1">
          <cell r="A1" t="str">
            <v>PHIẾU XỬ LÝ HỒ SƠ THANH TOÁN VƯỢT THẨM QUYỀN PD</v>
          </cell>
        </row>
      </sheetData>
      <sheetData sheetId="4224">
        <row r="1">
          <cell r="A1" t="str">
            <v>PHIẾU XỬ LÝ HỒ SƠ THANH TOÁN VƯỢT THẨM QUYỀN PD</v>
          </cell>
        </row>
      </sheetData>
      <sheetData sheetId="4225">
        <row r="1">
          <cell r="A1" t="str">
            <v>PHIẾU XỬ LÝ HỒ SƠ THANH TOÁN VƯỢT THẨM QUYỀN PD</v>
          </cell>
        </row>
      </sheetData>
      <sheetData sheetId="4226">
        <row r="1">
          <cell r="A1" t="str">
            <v>PHIẾU XỬ LÝ HỒ SƠ THANH TOÁN VƯỢT THẨM QUYỀN PD</v>
          </cell>
        </row>
      </sheetData>
      <sheetData sheetId="4227">
        <row r="1">
          <cell r="A1" t="str">
            <v>PHIẾU XỬ LÝ HỒ SƠ THANH TOÁN VƯỢT THẨM QUYỀN PD</v>
          </cell>
        </row>
      </sheetData>
      <sheetData sheetId="4228">
        <row r="1">
          <cell r="A1" t="str">
            <v>PHIẾU XỬ LÝ HỒ SƠ THANH TOÁN VƯỢT THẨM QUYỀN PD</v>
          </cell>
        </row>
      </sheetData>
      <sheetData sheetId="4229">
        <row r="1">
          <cell r="A1" t="str">
            <v>PHIẾU XỬ LÝ HỒ SƠ THANH TOÁN VƯỢT THẨM QUYỀN PD</v>
          </cell>
        </row>
      </sheetData>
      <sheetData sheetId="4230">
        <row r="1">
          <cell r="A1" t="str">
            <v>PHIẾU XỬ LÝ HỒ SƠ THANH TOÁN VƯỢT THẨM QUYỀN PD</v>
          </cell>
        </row>
      </sheetData>
      <sheetData sheetId="4231">
        <row r="1">
          <cell r="A1" t="str">
            <v>PHIẾU XỬ LÝ HỒ SƠ THANH TOÁN VƯỢT THẨM QUYỀN PD</v>
          </cell>
        </row>
      </sheetData>
      <sheetData sheetId="4232">
        <row r="1">
          <cell r="A1" t="str">
            <v>PHIẾU XỬ LÝ HỒ SƠ THANH TOÁN VƯỢT THẨM QUYỀN PD</v>
          </cell>
        </row>
      </sheetData>
      <sheetData sheetId="4233">
        <row r="1">
          <cell r="A1" t="str">
            <v>PHIẾU XỬ LÝ HỒ SƠ THANH TOÁN VƯỢT THẨM QUYỀN PD</v>
          </cell>
        </row>
      </sheetData>
      <sheetData sheetId="4234">
        <row r="1">
          <cell r="A1" t="str">
            <v>PHIẾU XỬ LÝ HỒ SƠ THANH TOÁN VƯỢT THẨM QUYỀN PD</v>
          </cell>
        </row>
      </sheetData>
      <sheetData sheetId="4235">
        <row r="1">
          <cell r="A1" t="str">
            <v>PHIẾU XỬ LÝ HỒ SƠ THANH TOÁN VƯỢT THẨM QUYỀN PD</v>
          </cell>
        </row>
      </sheetData>
      <sheetData sheetId="4236">
        <row r="1">
          <cell r="A1" t="str">
            <v>PHIẾU XỬ LÝ HỒ SƠ THANH TOÁN VƯỢT THẨM QUYỀN PD</v>
          </cell>
        </row>
      </sheetData>
      <sheetData sheetId="4237">
        <row r="1">
          <cell r="A1" t="str">
            <v>PHIẾU XỬ LÝ HỒ SƠ THANH TOÁN VƯỢT THẨM QUYỀN PD</v>
          </cell>
        </row>
      </sheetData>
      <sheetData sheetId="4238">
        <row r="1">
          <cell r="A1" t="str">
            <v>PHIẾU XỬ LÝ HỒ SƠ THANH TOÁN VƯỢT THẨM QUYỀN PD</v>
          </cell>
        </row>
      </sheetData>
      <sheetData sheetId="4239">
        <row r="1">
          <cell r="A1" t="str">
            <v>PHIẾU XỬ LÝ HỒ SƠ THANH TOÁN VƯỢT THẨM QUYỀN PD</v>
          </cell>
        </row>
      </sheetData>
      <sheetData sheetId="4240">
        <row r="1">
          <cell r="A1" t="str">
            <v>PHIẾU XỬ LÝ HỒ SƠ THANH TOÁN VƯỢT THẨM QUYỀN PD</v>
          </cell>
        </row>
      </sheetData>
      <sheetData sheetId="4241">
        <row r="1">
          <cell r="A1" t="str">
            <v>PHIẾU XỬ LÝ HỒ SƠ THANH TOÁN VƯỢT THẨM QUYỀN PD</v>
          </cell>
        </row>
      </sheetData>
      <sheetData sheetId="4242">
        <row r="1">
          <cell r="A1" t="str">
            <v>PHIẾU XỬ LÝ HỒ SƠ THANH TOÁN VƯỢT THẨM QUYỀN PD</v>
          </cell>
        </row>
      </sheetData>
      <sheetData sheetId="4243">
        <row r="1">
          <cell r="A1" t="str">
            <v>PHIẾU XỬ LÝ HỒ SƠ THANH TOÁN VƯỢT THẨM QUYỀN PD</v>
          </cell>
        </row>
      </sheetData>
      <sheetData sheetId="4244">
        <row r="1">
          <cell r="A1" t="str">
            <v>PHIẾU XỬ LÝ HỒ SƠ THANH TOÁN VƯỢT THẨM QUYỀN PD</v>
          </cell>
        </row>
      </sheetData>
      <sheetData sheetId="4245">
        <row r="1">
          <cell r="A1" t="str">
            <v>PHIẾU XỬ LÝ HỒ SƠ THANH TOÁN VƯỢT THẨM QUYỀN PD</v>
          </cell>
        </row>
      </sheetData>
      <sheetData sheetId="4246">
        <row r="1">
          <cell r="A1" t="str">
            <v>PHIẾU XỬ LÝ HỒ SƠ THANH TOÁN VƯỢT THẨM QUYỀN PD</v>
          </cell>
        </row>
      </sheetData>
      <sheetData sheetId="4247">
        <row r="1">
          <cell r="A1" t="str">
            <v>PHIẾU XỬ LÝ HỒ SƠ THANH TOÁN VƯỢT THẨM QUYỀN PD</v>
          </cell>
        </row>
      </sheetData>
      <sheetData sheetId="4248">
        <row r="1">
          <cell r="A1" t="str">
            <v>PHIẾU XỬ LÝ HỒ SƠ THANH TOÁN VƯỢT THẨM QUYỀN PD</v>
          </cell>
        </row>
      </sheetData>
      <sheetData sheetId="4249">
        <row r="1">
          <cell r="A1" t="str">
            <v>PHIẾU XỬ LÝ HỒ SƠ THANH TOÁN VƯỢT THẨM QUYỀN PD</v>
          </cell>
        </row>
      </sheetData>
      <sheetData sheetId="4250">
        <row r="1">
          <cell r="A1" t="str">
            <v>PHIẾU XỬ LÝ HỒ SƠ THANH TOÁN VƯỢT THẨM QUYỀN PD</v>
          </cell>
        </row>
      </sheetData>
      <sheetData sheetId="4251">
        <row r="1">
          <cell r="A1" t="str">
            <v>PHIẾU XỬ LÝ HỒ SƠ THANH TOÁN VƯỢT THẨM QUYỀN PD</v>
          </cell>
        </row>
      </sheetData>
      <sheetData sheetId="4252">
        <row r="1">
          <cell r="A1" t="str">
            <v>PHIẾU XỬ LÝ HỒ SƠ THANH TOÁN VƯỢT THẨM QUYỀN PD</v>
          </cell>
        </row>
      </sheetData>
      <sheetData sheetId="4253">
        <row r="1">
          <cell r="A1" t="str">
            <v>PHIẾU XỬ LÝ HỒ SƠ THANH TOÁN VƯỢT THẨM QUYỀN PD</v>
          </cell>
        </row>
      </sheetData>
      <sheetData sheetId="4254">
        <row r="1">
          <cell r="A1" t="str">
            <v>PHIẾU XỬ LÝ HỒ SƠ THANH TOÁN VƯỢT THẨM QUYỀN PD</v>
          </cell>
        </row>
      </sheetData>
      <sheetData sheetId="4255">
        <row r="1">
          <cell r="A1" t="str">
            <v>PHIẾU XỬ LÝ HỒ SƠ THANH TOÁN VƯỢT THẨM QUYỀN PD</v>
          </cell>
        </row>
      </sheetData>
      <sheetData sheetId="4256">
        <row r="1">
          <cell r="A1" t="str">
            <v>PHIẾU XỬ LÝ HỒ SƠ THANH TOÁN VƯỢT THẨM QUYỀN PD</v>
          </cell>
        </row>
      </sheetData>
      <sheetData sheetId="4257">
        <row r="1">
          <cell r="A1" t="str">
            <v>PHIẾU XỬ LÝ HỒ SƠ THANH TOÁN VƯỢT THẨM QUYỀN PD</v>
          </cell>
        </row>
      </sheetData>
      <sheetData sheetId="4258">
        <row r="1">
          <cell r="A1" t="str">
            <v>PHIẾU XỬ LÝ HỒ SƠ THANH TOÁN VƯỢT THẨM QUYỀN PD</v>
          </cell>
        </row>
      </sheetData>
      <sheetData sheetId="4259">
        <row r="1">
          <cell r="A1" t="str">
            <v>PHIẾU XỬ LÝ HỒ SƠ THANH TOÁN VƯỢT THẨM QUYỀN PD</v>
          </cell>
        </row>
      </sheetData>
      <sheetData sheetId="4260">
        <row r="1">
          <cell r="A1" t="str">
            <v>PHIẾU XỬ LÝ HỒ SƠ THANH TOÁN VƯỢT THẨM QUYỀN PD</v>
          </cell>
        </row>
      </sheetData>
      <sheetData sheetId="4261">
        <row r="1">
          <cell r="A1" t="str">
            <v>PHIẾU XỬ LÝ HỒ SƠ THANH TOÁN VƯỢT THẨM QUYỀN PD</v>
          </cell>
        </row>
      </sheetData>
      <sheetData sheetId="4262">
        <row r="1">
          <cell r="A1" t="str">
            <v>PHIẾU XỬ LÝ HỒ SƠ THANH TOÁN VƯỢT THẨM QUYỀN PD</v>
          </cell>
        </row>
      </sheetData>
      <sheetData sheetId="4263">
        <row r="1">
          <cell r="A1" t="str">
            <v>PHIẾU XỬ LÝ HỒ SƠ THANH TOÁN VƯỢT THẨM QUYỀN PD</v>
          </cell>
        </row>
      </sheetData>
      <sheetData sheetId="4264">
        <row r="1">
          <cell r="A1" t="str">
            <v>PHIẾU XỬ LÝ HỒ SƠ THANH TOÁN VƯỢT THẨM QUYỀN PD</v>
          </cell>
        </row>
      </sheetData>
      <sheetData sheetId="4265">
        <row r="1">
          <cell r="A1" t="str">
            <v>PHIẾU XỬ LÝ HỒ SƠ THANH TOÁN VƯỢT THẨM QUYỀN PD</v>
          </cell>
        </row>
      </sheetData>
      <sheetData sheetId="4266">
        <row r="1">
          <cell r="A1" t="str">
            <v>PHIẾU XỬ LÝ HỒ SƠ THANH TOÁN VƯỢT THẨM QUYỀN PD</v>
          </cell>
        </row>
      </sheetData>
      <sheetData sheetId="4267">
        <row r="1">
          <cell r="A1" t="str">
            <v>PHIẾU XỬ LÝ HỒ SƠ THANH TOÁN VƯỢT THẨM QUYỀN PD</v>
          </cell>
        </row>
      </sheetData>
      <sheetData sheetId="4268">
        <row r="1">
          <cell r="A1" t="str">
            <v>PHIẾU XỬ LÝ HỒ SƠ THANH TOÁN VƯỢT THẨM QUYỀN PD</v>
          </cell>
        </row>
      </sheetData>
      <sheetData sheetId="4269">
        <row r="1">
          <cell r="A1" t="str">
            <v>PHIẾU XỬ LÝ HỒ SƠ THANH TOÁN VƯỢT THẨM QUYỀN PD</v>
          </cell>
        </row>
      </sheetData>
      <sheetData sheetId="4270">
        <row r="1">
          <cell r="A1" t="str">
            <v>PHIẾU XỬ LÝ HỒ SƠ THANH TOÁN VƯỢT THẨM QUYỀN PD</v>
          </cell>
        </row>
      </sheetData>
      <sheetData sheetId="4271">
        <row r="1">
          <cell r="A1" t="str">
            <v>PHIẾU XỬ LÝ HỒ SƠ THANH TOÁN VƯỢT THẨM QUYỀN PD</v>
          </cell>
        </row>
      </sheetData>
      <sheetData sheetId="4272">
        <row r="1">
          <cell r="A1" t="str">
            <v>PHIẾU XỬ LÝ HỒ SƠ THANH TOÁN VƯỢT THẨM QUYỀN PD</v>
          </cell>
        </row>
      </sheetData>
      <sheetData sheetId="4273">
        <row r="1">
          <cell r="A1" t="str">
            <v>PHIẾU XỬ LÝ HỒ SƠ THANH TOÁN VƯỢT THẨM QUYỀN PD</v>
          </cell>
        </row>
      </sheetData>
      <sheetData sheetId="4274">
        <row r="1">
          <cell r="A1" t="str">
            <v>PHIẾU XỬ LÝ HỒ SƠ THANH TOÁN VƯỢT THẨM QUYỀN PD</v>
          </cell>
        </row>
      </sheetData>
      <sheetData sheetId="4275">
        <row r="1">
          <cell r="A1" t="str">
            <v>PHIẾU XỬ LÝ HỒ SƠ THANH TOÁN VƯỢT THẨM QUYỀN PD</v>
          </cell>
        </row>
      </sheetData>
      <sheetData sheetId="4276">
        <row r="1">
          <cell r="A1" t="str">
            <v>PHIẾU XỬ LÝ HỒ SƠ THANH TOÁN VƯỢT THẨM QUYỀN PD</v>
          </cell>
        </row>
      </sheetData>
      <sheetData sheetId="4277">
        <row r="1">
          <cell r="A1" t="str">
            <v>PHIẾU XỬ LÝ HỒ SƠ THANH TOÁN VƯỢT THẨM QUYỀN PD</v>
          </cell>
        </row>
      </sheetData>
      <sheetData sheetId="4278">
        <row r="1">
          <cell r="A1" t="str">
            <v>PHIẾU XỬ LÝ HỒ SƠ THANH TOÁN VƯỢT THẨM QUYỀN PD</v>
          </cell>
        </row>
      </sheetData>
      <sheetData sheetId="4279">
        <row r="1">
          <cell r="A1" t="str">
            <v>PHIẾU XỬ LÝ HỒ SƠ THANH TOÁN VƯỢT THẨM QUYỀN PD</v>
          </cell>
        </row>
      </sheetData>
      <sheetData sheetId="4280">
        <row r="1">
          <cell r="A1" t="str">
            <v>PHIẾU XỬ LÝ HỒ SƠ THANH TOÁN VƯỢT THẨM QUYỀN PD</v>
          </cell>
        </row>
      </sheetData>
      <sheetData sheetId="4281">
        <row r="1">
          <cell r="A1" t="str">
            <v>PHIẾU XỬ LÝ HỒ SƠ THANH TOÁN VƯỢT THẨM QUYỀN PD</v>
          </cell>
        </row>
      </sheetData>
      <sheetData sheetId="4282">
        <row r="1">
          <cell r="A1" t="str">
            <v>PHIẾU XỬ LÝ HỒ SƠ THANH TOÁN VƯỢT THẨM QUYỀN PD</v>
          </cell>
        </row>
      </sheetData>
      <sheetData sheetId="4283">
        <row r="1">
          <cell r="A1" t="str">
            <v>PHIẾU XỬ LÝ HỒ SƠ THANH TOÁN VƯỢT THẨM QUYỀN PD</v>
          </cell>
        </row>
      </sheetData>
      <sheetData sheetId="4284">
        <row r="1">
          <cell r="A1" t="str">
            <v>PHIẾU XỬ LÝ HỒ SƠ THANH TOÁN VƯỢT THẨM QUYỀN PD</v>
          </cell>
        </row>
      </sheetData>
      <sheetData sheetId="4285">
        <row r="1">
          <cell r="A1" t="str">
            <v>PHIẾU XỬ LÝ HỒ SƠ THANH TOÁN VƯỢT THẨM QUYỀN PD</v>
          </cell>
        </row>
      </sheetData>
      <sheetData sheetId="4286">
        <row r="1">
          <cell r="A1" t="str">
            <v>PHIẾU XỬ LÝ HỒ SƠ THANH TOÁN VƯỢT THẨM QUYỀN PD</v>
          </cell>
        </row>
      </sheetData>
      <sheetData sheetId="4287">
        <row r="1">
          <cell r="A1" t="str">
            <v>PHIẾU XỬ LÝ HỒ SƠ THANH TOÁN VƯỢT THẨM QUYỀN PD</v>
          </cell>
        </row>
      </sheetData>
      <sheetData sheetId="4288">
        <row r="1">
          <cell r="A1" t="str">
            <v>PHIẾU XỬ LÝ HỒ SƠ THANH TOÁN VƯỢT THẨM QUYỀN PD</v>
          </cell>
        </row>
      </sheetData>
      <sheetData sheetId="4289">
        <row r="1">
          <cell r="A1" t="str">
            <v>PHIẾU XỬ LÝ HỒ SƠ THANH TOÁN VƯỢT THẨM QUYỀN PD</v>
          </cell>
        </row>
      </sheetData>
      <sheetData sheetId="4290">
        <row r="1">
          <cell r="A1" t="str">
            <v>PHIẾU XỬ LÝ HỒ SƠ THANH TOÁN VƯỢT THẨM QUYỀN PD</v>
          </cell>
        </row>
      </sheetData>
      <sheetData sheetId="4291">
        <row r="1">
          <cell r="A1" t="str">
            <v>PHIẾU XỬ LÝ HỒ SƠ THANH TOÁN VƯỢT THẨM QUYỀN PD</v>
          </cell>
        </row>
      </sheetData>
      <sheetData sheetId="4292">
        <row r="1">
          <cell r="A1" t="str">
            <v>PHIẾU XỬ LÝ HỒ SƠ THANH TOÁN VƯỢT THẨM QUYỀN PD</v>
          </cell>
        </row>
      </sheetData>
      <sheetData sheetId="4293">
        <row r="1">
          <cell r="A1" t="str">
            <v>PHIẾU XỬ LÝ HỒ SƠ THANH TOÁN VƯỢT THẨM QUYỀN PD</v>
          </cell>
        </row>
      </sheetData>
      <sheetData sheetId="4294">
        <row r="1">
          <cell r="A1" t="str">
            <v>PHIẾU XỬ LÝ HỒ SƠ THANH TOÁN VƯỢT THẨM QUYỀN PD</v>
          </cell>
        </row>
      </sheetData>
      <sheetData sheetId="4295">
        <row r="1">
          <cell r="A1" t="str">
            <v>PHIẾU XỬ LÝ HỒ SƠ THANH TOÁN VƯỢT THẨM QUYỀN PD</v>
          </cell>
        </row>
      </sheetData>
      <sheetData sheetId="4296">
        <row r="1">
          <cell r="A1" t="str">
            <v>PHIẾU XỬ LÝ HỒ SƠ THANH TOÁN VƯỢT THẨM QUYỀN PD</v>
          </cell>
        </row>
      </sheetData>
      <sheetData sheetId="4297">
        <row r="1">
          <cell r="A1" t="str">
            <v>PHIẾU XỬ LÝ HỒ SƠ THANH TOÁN VƯỢT THẨM QUYỀN PD</v>
          </cell>
        </row>
      </sheetData>
      <sheetData sheetId="4298">
        <row r="1">
          <cell r="A1" t="str">
            <v>PHIẾU XỬ LÝ HỒ SƠ THANH TOÁN VƯỢT THẨM QUYỀN PD</v>
          </cell>
        </row>
      </sheetData>
      <sheetData sheetId="4299">
        <row r="1">
          <cell r="A1" t="str">
            <v>PHIẾU XỬ LÝ HỒ SƠ THANH TOÁN VƯỢT THẨM QUYỀN PD</v>
          </cell>
        </row>
      </sheetData>
      <sheetData sheetId="4300">
        <row r="1">
          <cell r="A1" t="str">
            <v>PHIẾU XỬ LÝ HỒ SƠ THANH TOÁN VƯỢT THẨM QUYỀN PD</v>
          </cell>
        </row>
      </sheetData>
      <sheetData sheetId="4301">
        <row r="1">
          <cell r="A1" t="str">
            <v>PHIẾU XỬ LÝ HỒ SƠ THANH TOÁN VƯỢT THẨM QUYỀN PD</v>
          </cell>
        </row>
      </sheetData>
      <sheetData sheetId="4302">
        <row r="1">
          <cell r="A1" t="str">
            <v>PHIẾU XỬ LÝ HỒ SƠ THANH TOÁN VƯỢT THẨM QUYỀN PD</v>
          </cell>
        </row>
      </sheetData>
      <sheetData sheetId="4303">
        <row r="1">
          <cell r="A1" t="str">
            <v>PHIẾU XỬ LÝ HỒ SƠ THANH TOÁN VƯỢT THẨM QUYỀN PD</v>
          </cell>
        </row>
      </sheetData>
      <sheetData sheetId="4304">
        <row r="1">
          <cell r="A1" t="str">
            <v>PHIẾU XỬ LÝ HỒ SƠ THANH TOÁN VƯỢT THẨM QUYỀN PD</v>
          </cell>
        </row>
      </sheetData>
      <sheetData sheetId="4305">
        <row r="1">
          <cell r="A1" t="str">
            <v>PHIẾU XỬ LÝ HỒ SƠ THANH TOÁN VƯỢT THẨM QUYỀN PD</v>
          </cell>
        </row>
      </sheetData>
      <sheetData sheetId="4306">
        <row r="1">
          <cell r="A1" t="str">
            <v>PHIẾU XỬ LÝ HỒ SƠ THANH TOÁN VƯỢT THẨM QUYỀN PD</v>
          </cell>
        </row>
      </sheetData>
      <sheetData sheetId="4307">
        <row r="1">
          <cell r="A1" t="str">
            <v>PHIẾU XỬ LÝ HỒ SƠ THANH TOÁN VƯỢT THẨM QUYỀN PD</v>
          </cell>
        </row>
      </sheetData>
      <sheetData sheetId="4308">
        <row r="1">
          <cell r="A1" t="str">
            <v>PHIẾU XỬ LÝ HỒ SƠ THANH TOÁN VƯỢT THẨM QUYỀN PD</v>
          </cell>
        </row>
      </sheetData>
      <sheetData sheetId="4309">
        <row r="1">
          <cell r="A1" t="str">
            <v>PHIẾU XỬ LÝ HỒ SƠ THANH TOÁN VƯỢT THẨM QUYỀN PD</v>
          </cell>
        </row>
      </sheetData>
      <sheetData sheetId="4310">
        <row r="1">
          <cell r="A1" t="str">
            <v>PHIẾU XỬ LÝ HỒ SƠ THANH TOÁN VƯỢT THẨM QUYỀN PD</v>
          </cell>
        </row>
      </sheetData>
      <sheetData sheetId="4311">
        <row r="1">
          <cell r="A1" t="str">
            <v>PHIẾU XỬ LÝ HỒ SƠ THANH TOÁN VƯỢT THẨM QUYỀN PD</v>
          </cell>
        </row>
      </sheetData>
      <sheetData sheetId="4312">
        <row r="1">
          <cell r="A1" t="str">
            <v>PHIẾU XỬ LÝ HỒ SƠ THANH TOÁN VƯỢT THẨM QUYỀN PD</v>
          </cell>
        </row>
      </sheetData>
      <sheetData sheetId="4313">
        <row r="1">
          <cell r="A1" t="str">
            <v>PHIẾU XỬ LÝ HỒ SƠ THANH TOÁN VƯỢT THẨM QUYỀN PD</v>
          </cell>
        </row>
      </sheetData>
      <sheetData sheetId="4314">
        <row r="1">
          <cell r="A1" t="str">
            <v>PHIẾU XỬ LÝ HỒ SƠ THANH TOÁN VƯỢT THẨM QUYỀN PD</v>
          </cell>
        </row>
      </sheetData>
      <sheetData sheetId="4315">
        <row r="1">
          <cell r="A1" t="str">
            <v>PHIẾU XỬ LÝ HỒ SƠ THANH TOÁN VƯỢT THẨM QUYỀN PD</v>
          </cell>
        </row>
      </sheetData>
      <sheetData sheetId="4316">
        <row r="1">
          <cell r="A1" t="str">
            <v>PHIẾU XỬ LÝ HỒ SƠ THANH TOÁN VƯỢT THẨM QUYỀN PD</v>
          </cell>
        </row>
      </sheetData>
      <sheetData sheetId="4317">
        <row r="1">
          <cell r="A1" t="str">
            <v>PHIẾU XỬ LÝ HỒ SƠ THANH TOÁN VƯỢT THẨM QUYỀN PD</v>
          </cell>
        </row>
      </sheetData>
      <sheetData sheetId="4318">
        <row r="1">
          <cell r="A1" t="str">
            <v>PHIẾU XỬ LÝ HỒ SƠ THANH TOÁN VƯỢT THẨM QUYỀN PD</v>
          </cell>
        </row>
      </sheetData>
      <sheetData sheetId="4319">
        <row r="1">
          <cell r="A1" t="str">
            <v>PHIẾU XỬ LÝ HỒ SƠ THANH TOÁN VƯỢT THẨM QUYỀN PD</v>
          </cell>
        </row>
      </sheetData>
      <sheetData sheetId="4320">
        <row r="1">
          <cell r="A1" t="str">
            <v>PHIẾU XỬ LÝ HỒ SƠ THANH TOÁN VƯỢT THẨM QUYỀN PD</v>
          </cell>
        </row>
      </sheetData>
      <sheetData sheetId="4321">
        <row r="1">
          <cell r="A1" t="str">
            <v>PHIẾU XỬ LÝ HỒ SƠ THANH TOÁN VƯỢT THẨM QUYỀN PD</v>
          </cell>
        </row>
      </sheetData>
      <sheetData sheetId="4322">
        <row r="1">
          <cell r="A1" t="str">
            <v>PHIẾU XỬ LÝ HỒ SƠ THANH TOÁN VƯỢT THẨM QUYỀN PD</v>
          </cell>
        </row>
      </sheetData>
      <sheetData sheetId="4323">
        <row r="1">
          <cell r="A1" t="str">
            <v>PHIẾU XỬ LÝ HỒ SƠ THANH TOÁN VƯỢT THẨM QUYỀN PD</v>
          </cell>
        </row>
      </sheetData>
      <sheetData sheetId="4324">
        <row r="1">
          <cell r="A1" t="str">
            <v>PHIẾU XỬ LÝ HỒ SƠ THANH TOÁN VƯỢT THẨM QUYỀN PD</v>
          </cell>
        </row>
      </sheetData>
      <sheetData sheetId="4325">
        <row r="1">
          <cell r="A1" t="str">
            <v>PHIẾU XỬ LÝ HỒ SƠ THANH TOÁN VƯỢT THẨM QUYỀN PD</v>
          </cell>
        </row>
      </sheetData>
      <sheetData sheetId="4326">
        <row r="1">
          <cell r="A1" t="str">
            <v>PHIẾU XỬ LÝ HỒ SƠ THANH TOÁN VƯỢT THẨM QUYỀN PD</v>
          </cell>
        </row>
      </sheetData>
      <sheetData sheetId="4327">
        <row r="1">
          <cell r="A1" t="str">
            <v>PHIẾU XỬ LÝ HỒ SƠ THANH TOÁN VƯỢT THẨM QUYỀN PD</v>
          </cell>
        </row>
      </sheetData>
      <sheetData sheetId="4328">
        <row r="1">
          <cell r="A1" t="str">
            <v>PHIẾU XỬ LÝ HỒ SƠ THANH TOÁN VƯỢT THẨM QUYỀN PD</v>
          </cell>
        </row>
      </sheetData>
      <sheetData sheetId="4329">
        <row r="1">
          <cell r="A1" t="str">
            <v>PHIẾU XỬ LÝ HỒ SƠ THANH TOÁN VƯỢT THẨM QUYỀN PD</v>
          </cell>
        </row>
      </sheetData>
      <sheetData sheetId="4330">
        <row r="1">
          <cell r="A1" t="str">
            <v>PHIẾU XỬ LÝ HỒ SƠ THANH TOÁN VƯỢT THẨM QUYỀN PD</v>
          </cell>
        </row>
      </sheetData>
      <sheetData sheetId="4331">
        <row r="1">
          <cell r="A1" t="str">
            <v>PHIẾU XỬ LÝ HỒ SƠ THANH TOÁN VƯỢT THẨM QUYỀN PD</v>
          </cell>
        </row>
      </sheetData>
      <sheetData sheetId="4332">
        <row r="1">
          <cell r="A1" t="str">
            <v>PHIẾU XỬ LÝ HỒ SƠ THANH TOÁN VƯỢT THẨM QUYỀN PD</v>
          </cell>
        </row>
      </sheetData>
      <sheetData sheetId="4333">
        <row r="1">
          <cell r="A1" t="str">
            <v>PHIẾU XỬ LÝ HỒ SƠ THANH TOÁN VƯỢT THẨM QUYỀN PD</v>
          </cell>
        </row>
      </sheetData>
      <sheetData sheetId="4334">
        <row r="1">
          <cell r="A1" t="str">
            <v>PHIẾU XỬ LÝ HỒ SƠ THANH TOÁN VƯỢT THẨM QUYỀN PD</v>
          </cell>
        </row>
      </sheetData>
      <sheetData sheetId="4335">
        <row r="1">
          <cell r="A1" t="str">
            <v>PHIẾU XỬ LÝ HỒ SƠ THANH TOÁN VƯỢT THẨM QUYỀN PD</v>
          </cell>
        </row>
      </sheetData>
      <sheetData sheetId="4336">
        <row r="1">
          <cell r="A1" t="str">
            <v>PHIẾU XỬ LÝ HỒ SƠ THANH TOÁN VƯỢT THẨM QUYỀN PD</v>
          </cell>
        </row>
      </sheetData>
      <sheetData sheetId="4337">
        <row r="1">
          <cell r="A1" t="str">
            <v>PHIẾU XỬ LÝ HỒ SƠ THANH TOÁN VƯỢT THẨM QUYỀN PD</v>
          </cell>
        </row>
      </sheetData>
      <sheetData sheetId="4338">
        <row r="1">
          <cell r="A1" t="str">
            <v>PHIẾU XỬ LÝ HỒ SƠ THANH TOÁN VƯỢT THẨM QUYỀN PD</v>
          </cell>
        </row>
      </sheetData>
      <sheetData sheetId="4339">
        <row r="1">
          <cell r="A1" t="str">
            <v>PHIẾU XỬ LÝ HỒ SƠ THANH TOÁN VƯỢT THẨM QUYỀN PD</v>
          </cell>
        </row>
      </sheetData>
      <sheetData sheetId="4340">
        <row r="1">
          <cell r="A1" t="str">
            <v>PHIẾU XỬ LÝ HỒ SƠ THANH TOÁN VƯỢT THẨM QUYỀN PD</v>
          </cell>
        </row>
      </sheetData>
      <sheetData sheetId="4341">
        <row r="1">
          <cell r="A1" t="str">
            <v>PHIẾU XỬ LÝ HỒ SƠ THANH TOÁN VƯỢT THẨM QUYỀN PD</v>
          </cell>
        </row>
      </sheetData>
      <sheetData sheetId="4342">
        <row r="1">
          <cell r="A1" t="str">
            <v>PHIẾU XỬ LÝ HỒ SƠ THANH TOÁN VƯỢT THẨM QUYỀN PD</v>
          </cell>
        </row>
      </sheetData>
      <sheetData sheetId="4343">
        <row r="1">
          <cell r="A1" t="str">
            <v>PHIẾU XỬ LÝ HỒ SƠ THANH TOÁN VƯỢT THẨM QUYỀN PD</v>
          </cell>
        </row>
      </sheetData>
      <sheetData sheetId="4344">
        <row r="1">
          <cell r="A1" t="str">
            <v>PHIẾU XỬ LÝ HỒ SƠ THANH TOÁN VƯỢT THẨM QUYỀN PD</v>
          </cell>
        </row>
      </sheetData>
      <sheetData sheetId="4345">
        <row r="1">
          <cell r="A1" t="str">
            <v>PHIẾU XỬ LÝ HỒ SƠ THANH TOÁN VƯỢT THẨM QUYỀN PD</v>
          </cell>
        </row>
      </sheetData>
      <sheetData sheetId="4346">
        <row r="1">
          <cell r="A1" t="str">
            <v>PHIẾU XỬ LÝ HỒ SƠ THANH TOÁN VƯỢT THẨM QUYỀN PD</v>
          </cell>
        </row>
      </sheetData>
      <sheetData sheetId="4347">
        <row r="1">
          <cell r="A1" t="str">
            <v>PHIẾU XỬ LÝ HỒ SƠ THANH TOÁN VƯỢT THẨM QUYỀN PD</v>
          </cell>
        </row>
      </sheetData>
      <sheetData sheetId="4348" refreshError="1"/>
      <sheetData sheetId="4349">
        <row r="1">
          <cell r="A1" t="str">
            <v>PHIẾU XỬ LÝ HỒ SƠ THANH TOÁN VƯỢT THẨM QUYỀN PD</v>
          </cell>
        </row>
      </sheetData>
      <sheetData sheetId="4350">
        <row r="1">
          <cell r="A1" t="str">
            <v>PHIẾU XỬ LÝ HỒ SƠ THANH TOÁN VƯỢT THẨM QUYỀN PD</v>
          </cell>
        </row>
      </sheetData>
      <sheetData sheetId="4351">
        <row r="1">
          <cell r="A1" t="str">
            <v>PHIẾU XỬ LÝ HỒ SƠ THANH TOÁN VƯỢT THẨM QUYỀN PD</v>
          </cell>
        </row>
      </sheetData>
      <sheetData sheetId="4352">
        <row r="1">
          <cell r="A1" t="str">
            <v>PHIẾU XỬ LÝ HỒ SƠ THANH TOÁN VƯỢT THẨM QUYỀN PD</v>
          </cell>
        </row>
      </sheetData>
      <sheetData sheetId="4353">
        <row r="1">
          <cell r="A1" t="str">
            <v>PHIẾU XỬ LÝ HỒ SƠ THANH TOÁN VƯỢT THẨM QUYỀN PD</v>
          </cell>
        </row>
      </sheetData>
      <sheetData sheetId="4354">
        <row r="1">
          <cell r="A1" t="str">
            <v>PHIẾU XỬ LÝ HỒ SƠ THANH TOÁN VƯỢT THẨM QUYỀN PD</v>
          </cell>
        </row>
      </sheetData>
      <sheetData sheetId="4355">
        <row r="1">
          <cell r="A1" t="str">
            <v>PHIẾU XỬ LÝ HỒ SƠ THANH TOÁN VƯỢT THẨM QUYỀN PD</v>
          </cell>
        </row>
      </sheetData>
      <sheetData sheetId="4356">
        <row r="1">
          <cell r="A1" t="str">
            <v>PHIẾU XỬ LÝ HỒ SƠ THANH TOÁN VƯỢT THẨM QUYỀN PD</v>
          </cell>
        </row>
      </sheetData>
      <sheetData sheetId="4357">
        <row r="1">
          <cell r="A1" t="str">
            <v>PHIẾU XỬ LÝ HỒ SƠ THANH TOÁN VƯỢT THẨM QUYỀN PD</v>
          </cell>
        </row>
      </sheetData>
      <sheetData sheetId="4358">
        <row r="1">
          <cell r="A1" t="str">
            <v>PHIẾU XỬ LÝ HỒ SƠ THANH TOÁN VƯỢT THẨM QUYỀN PD</v>
          </cell>
        </row>
      </sheetData>
      <sheetData sheetId="4359">
        <row r="1">
          <cell r="A1" t="str">
            <v>PHIẾU XỬ LÝ HỒ SƠ THANH TOÁN VƯỢT THẨM QUYỀN PD</v>
          </cell>
        </row>
      </sheetData>
      <sheetData sheetId="4360">
        <row r="1">
          <cell r="A1" t="str">
            <v>PHIẾU XỬ LÝ HỒ SƠ THANH TOÁN VƯỢT THẨM QUYỀN PD</v>
          </cell>
        </row>
      </sheetData>
      <sheetData sheetId="4361">
        <row r="1">
          <cell r="A1" t="str">
            <v>PHIẾU XỬ LÝ HỒ SƠ THANH TOÁN VƯỢT THẨM QUYỀN PD</v>
          </cell>
        </row>
      </sheetData>
      <sheetData sheetId="4362">
        <row r="1">
          <cell r="A1" t="str">
            <v>PHIẾU XỬ LÝ HỒ SƠ THANH TOÁN VƯỢT THẨM QUYỀN PD</v>
          </cell>
        </row>
      </sheetData>
      <sheetData sheetId="4363">
        <row r="1">
          <cell r="A1" t="str">
            <v>PHIẾU XỬ LÝ HỒ SƠ THANH TOÁN VƯỢT THẨM QUYỀN PD</v>
          </cell>
        </row>
      </sheetData>
      <sheetData sheetId="4364">
        <row r="1">
          <cell r="A1" t="str">
            <v>PHIẾU XỬ LÝ HỒ SƠ THANH TOÁN VƯỢT THẨM QUYỀN PD</v>
          </cell>
        </row>
      </sheetData>
      <sheetData sheetId="4365">
        <row r="1">
          <cell r="A1" t="str">
            <v>PHIẾU XỬ LÝ HỒ SƠ THANH TOÁN VƯỢT THẨM QUYỀN PD</v>
          </cell>
        </row>
      </sheetData>
      <sheetData sheetId="4366">
        <row r="1">
          <cell r="A1" t="str">
            <v>PHIẾU XỬ LÝ HỒ SƠ THANH TOÁN VƯỢT THẨM QUYỀN PD</v>
          </cell>
        </row>
      </sheetData>
      <sheetData sheetId="4367">
        <row r="1">
          <cell r="A1" t="str">
            <v>PHIẾU XỬ LÝ HỒ SƠ THANH TOÁN VƯỢT THẨM QUYỀN PD</v>
          </cell>
        </row>
      </sheetData>
      <sheetData sheetId="4368">
        <row r="1">
          <cell r="A1" t="str">
            <v>PHIẾU XỬ LÝ HỒ SƠ THANH TOÁN VƯỢT THẨM QUYỀN PD</v>
          </cell>
        </row>
      </sheetData>
      <sheetData sheetId="4369">
        <row r="1">
          <cell r="A1" t="str">
            <v>PHIẾU XỬ LÝ HỒ SƠ THANH TOÁN VƯỢT THẨM QUYỀN PD</v>
          </cell>
        </row>
      </sheetData>
      <sheetData sheetId="4370">
        <row r="1">
          <cell r="A1" t="str">
            <v>PHIẾU XỬ LÝ HỒ SƠ THANH TOÁN VƯỢT THẨM QUYỀN PD</v>
          </cell>
        </row>
      </sheetData>
      <sheetData sheetId="4371">
        <row r="1">
          <cell r="A1" t="str">
            <v>PHIẾU XỬ LÝ HỒ SƠ THANH TOÁN VƯỢT THẨM QUYỀN PD</v>
          </cell>
        </row>
      </sheetData>
      <sheetData sheetId="4372">
        <row r="1">
          <cell r="A1" t="str">
            <v>PHIẾU XỬ LÝ HỒ SƠ THANH TOÁN VƯỢT THẨM QUYỀN PD</v>
          </cell>
        </row>
      </sheetData>
      <sheetData sheetId="4373">
        <row r="1">
          <cell r="A1" t="str">
            <v>PHIẾU XỬ LÝ HỒ SƠ THANH TOÁN VƯỢT THẨM QUYỀN PD</v>
          </cell>
        </row>
      </sheetData>
      <sheetData sheetId="4374">
        <row r="1">
          <cell r="A1" t="str">
            <v>PHIẾU XỬ LÝ HỒ SƠ THANH TOÁN VƯỢT THẨM QUYỀN PD</v>
          </cell>
        </row>
      </sheetData>
      <sheetData sheetId="4375">
        <row r="1">
          <cell r="A1" t="str">
            <v>PHIẾU XỬ LÝ HỒ SƠ THANH TOÁN VƯỢT THẨM QUYỀN PD</v>
          </cell>
        </row>
      </sheetData>
      <sheetData sheetId="4376">
        <row r="1">
          <cell r="A1" t="str">
            <v>PHIẾU XỬ LÝ HỒ SƠ THANH TOÁN VƯỢT THẨM QUYỀN PD</v>
          </cell>
        </row>
      </sheetData>
      <sheetData sheetId="4377">
        <row r="1">
          <cell r="A1" t="str">
            <v>PHIẾU XỬ LÝ HỒ SƠ THANH TOÁN VƯỢT THẨM QUYỀN PD</v>
          </cell>
        </row>
      </sheetData>
      <sheetData sheetId="4378">
        <row r="1">
          <cell r="A1" t="str">
            <v>PHIẾU XỬ LÝ HỒ SƠ THANH TOÁN VƯỢT THẨM QUYỀN PD</v>
          </cell>
        </row>
      </sheetData>
      <sheetData sheetId="4379">
        <row r="1">
          <cell r="A1" t="str">
            <v>PHIẾU XỬ LÝ HỒ SƠ THANH TOÁN VƯỢT THẨM QUYỀN PD</v>
          </cell>
        </row>
      </sheetData>
      <sheetData sheetId="4380">
        <row r="1">
          <cell r="A1" t="str">
            <v>PHIẾU XỬ LÝ HỒ SƠ THANH TOÁN VƯỢT THẨM QUYỀN PD</v>
          </cell>
        </row>
      </sheetData>
      <sheetData sheetId="4381">
        <row r="1">
          <cell r="A1" t="str">
            <v>PHIẾU XỬ LÝ HỒ SƠ THANH TOÁN VƯỢT THẨM QUYỀN PD</v>
          </cell>
        </row>
      </sheetData>
      <sheetData sheetId="4382">
        <row r="1">
          <cell r="A1" t="str">
            <v>PHIẾU XỬ LÝ HỒ SƠ THANH TOÁN VƯỢT THẨM QUYỀN PD</v>
          </cell>
        </row>
      </sheetData>
      <sheetData sheetId="4383">
        <row r="1">
          <cell r="A1" t="str">
            <v>PHIẾU XỬ LÝ HỒ SƠ THANH TOÁN VƯỢT THẨM QUYỀN PD</v>
          </cell>
        </row>
      </sheetData>
      <sheetData sheetId="4384">
        <row r="1">
          <cell r="A1" t="str">
            <v>PHIẾU XỬ LÝ HỒ SƠ THANH TOÁN VƯỢT THẨM QUYỀN PD</v>
          </cell>
        </row>
      </sheetData>
      <sheetData sheetId="4385">
        <row r="1">
          <cell r="A1" t="str">
            <v>PHIẾU XỬ LÝ HỒ SƠ THANH TOÁN VƯỢT THẨM QUYỀN PD</v>
          </cell>
        </row>
      </sheetData>
      <sheetData sheetId="4386">
        <row r="1">
          <cell r="A1" t="str">
            <v>PHIẾU XỬ LÝ HỒ SƠ THANH TOÁN VƯỢT THẨM QUYỀN PD</v>
          </cell>
        </row>
      </sheetData>
      <sheetData sheetId="4387">
        <row r="1">
          <cell r="A1" t="str">
            <v>PHIẾU XỬ LÝ HỒ SƠ THANH TOÁN VƯỢT THẨM QUYỀN PD</v>
          </cell>
        </row>
      </sheetData>
      <sheetData sheetId="4388">
        <row r="1">
          <cell r="A1" t="str">
            <v>PHIẾU XỬ LÝ HỒ SƠ THANH TOÁN VƯỢT THẨM QUYỀN PD</v>
          </cell>
        </row>
      </sheetData>
      <sheetData sheetId="4389">
        <row r="1">
          <cell r="A1" t="str">
            <v>PHIẾU XỬ LÝ HỒ SƠ THANH TOÁN VƯỢT THẨM QUYỀN PD</v>
          </cell>
        </row>
      </sheetData>
      <sheetData sheetId="4390">
        <row r="1">
          <cell r="A1" t="str">
            <v>PHIẾU XỬ LÝ HỒ SƠ THANH TOÁN VƯỢT THẨM QUYỀN PD</v>
          </cell>
        </row>
      </sheetData>
      <sheetData sheetId="4391">
        <row r="1">
          <cell r="A1" t="str">
            <v>PHIẾU XỬ LÝ HỒ SƠ THANH TOÁN VƯỢT THẨM QUYỀN PD</v>
          </cell>
        </row>
      </sheetData>
      <sheetData sheetId="4392">
        <row r="1">
          <cell r="A1" t="str">
            <v>PHIẾU XỬ LÝ HỒ SƠ THANH TOÁN VƯỢT THẨM QUYỀN PD</v>
          </cell>
        </row>
      </sheetData>
      <sheetData sheetId="4393">
        <row r="1">
          <cell r="A1" t="str">
            <v>PHIẾU XỬ LÝ HỒ SƠ THANH TOÁN VƯỢT THẨM QUYỀN PD</v>
          </cell>
        </row>
      </sheetData>
      <sheetData sheetId="4394">
        <row r="1">
          <cell r="A1" t="str">
            <v>PHIẾU XỬ LÝ HỒ SƠ THANH TOÁN VƯỢT THẨM QUYỀN PD</v>
          </cell>
        </row>
      </sheetData>
      <sheetData sheetId="4395">
        <row r="1">
          <cell r="A1" t="str">
            <v>PHIẾU XỬ LÝ HỒ SƠ THANH TOÁN VƯỢT THẨM QUYỀN PD</v>
          </cell>
        </row>
      </sheetData>
      <sheetData sheetId="4396">
        <row r="1">
          <cell r="A1" t="str">
            <v>PHIẾU XỬ LÝ HỒ SƠ THANH TOÁN VƯỢT THẨM QUYỀN PD</v>
          </cell>
        </row>
      </sheetData>
      <sheetData sheetId="4397">
        <row r="1">
          <cell r="A1" t="str">
            <v>PHIẾU XỬ LÝ HỒ SƠ THANH TOÁN VƯỢT THẨM QUYỀN PD</v>
          </cell>
        </row>
      </sheetData>
      <sheetData sheetId="4398">
        <row r="1">
          <cell r="A1" t="str">
            <v>PHIẾU XỬ LÝ HỒ SƠ THANH TOÁN VƯỢT THẨM QUYỀN PD</v>
          </cell>
        </row>
      </sheetData>
      <sheetData sheetId="4399">
        <row r="1">
          <cell r="A1" t="str">
            <v>PHIẾU XỬ LÝ HỒ SƠ THANH TOÁN VƯỢT THẨM QUYỀN PD</v>
          </cell>
        </row>
      </sheetData>
      <sheetData sheetId="4400">
        <row r="1">
          <cell r="A1" t="str">
            <v>PHIẾU XỬ LÝ HỒ SƠ THANH TOÁN VƯỢT THẨM QUYỀN PD</v>
          </cell>
        </row>
      </sheetData>
      <sheetData sheetId="4401">
        <row r="1">
          <cell r="A1" t="str">
            <v>PHIẾU XỬ LÝ HỒ SƠ THANH TOÁN VƯỢT THẨM QUYỀN PD</v>
          </cell>
        </row>
      </sheetData>
      <sheetData sheetId="4402">
        <row r="1">
          <cell r="A1" t="str">
            <v>PHIẾU XỬ LÝ HỒ SƠ THANH TOÁN VƯỢT THẨM QUYỀN PD</v>
          </cell>
        </row>
      </sheetData>
      <sheetData sheetId="4403">
        <row r="1">
          <cell r="A1" t="str">
            <v>PHIẾU XỬ LÝ HỒ SƠ THANH TOÁN VƯỢT THẨM QUYỀN PD</v>
          </cell>
        </row>
      </sheetData>
      <sheetData sheetId="4404">
        <row r="1">
          <cell r="A1" t="str">
            <v>PHIẾU XỬ LÝ HỒ SƠ THANH TOÁN VƯỢT THẨM QUYỀN PD</v>
          </cell>
        </row>
      </sheetData>
      <sheetData sheetId="4405">
        <row r="1">
          <cell r="A1" t="str">
            <v>PHIẾU XỬ LÝ HỒ SƠ THANH TOÁN VƯỢT THẨM QUYỀN PD</v>
          </cell>
        </row>
      </sheetData>
      <sheetData sheetId="4406">
        <row r="1">
          <cell r="A1" t="str">
            <v>PHIẾU XỬ LÝ HỒ SƠ THANH TOÁN VƯỢT THẨM QUYỀN PD</v>
          </cell>
        </row>
      </sheetData>
      <sheetData sheetId="4407">
        <row r="1">
          <cell r="A1" t="str">
            <v>PHIẾU XỬ LÝ HỒ SƠ THANH TOÁN VƯỢT THẨM QUYỀN PD</v>
          </cell>
        </row>
      </sheetData>
      <sheetData sheetId="4408">
        <row r="1">
          <cell r="A1" t="str">
            <v>PHIẾU XỬ LÝ HỒ SƠ THANH TOÁN VƯỢT THẨM QUYỀN PD</v>
          </cell>
        </row>
      </sheetData>
      <sheetData sheetId="4409">
        <row r="1">
          <cell r="A1" t="str">
            <v>PHIẾU XỬ LÝ HỒ SƠ THANH TOÁN VƯỢT THẨM QUYỀN PD</v>
          </cell>
        </row>
      </sheetData>
      <sheetData sheetId="4410">
        <row r="1">
          <cell r="A1" t="str">
            <v>PHIẾU XỬ LÝ HỒ SƠ THANH TOÁN VƯỢT THẨM QUYỀN PD</v>
          </cell>
        </row>
      </sheetData>
      <sheetData sheetId="4411">
        <row r="1">
          <cell r="A1" t="str">
            <v>PHIẾU XỬ LÝ HỒ SƠ THANH TOÁN VƯỢT THẨM QUYỀN PD</v>
          </cell>
        </row>
      </sheetData>
      <sheetData sheetId="4412">
        <row r="1">
          <cell r="A1" t="str">
            <v>PHIẾU XỬ LÝ HỒ SƠ THANH TOÁN VƯỢT THẨM QUYỀN PD</v>
          </cell>
        </row>
      </sheetData>
      <sheetData sheetId="4413">
        <row r="1">
          <cell r="A1" t="str">
            <v>PHIẾU XỬ LÝ HỒ SƠ THANH TOÁN VƯỢT THẨM QUYỀN PD</v>
          </cell>
        </row>
      </sheetData>
      <sheetData sheetId="4414">
        <row r="1">
          <cell r="A1" t="str">
            <v>PHIẾU XỬ LÝ HỒ SƠ THANH TOÁN VƯỢT THẨM QUYỀN PD</v>
          </cell>
        </row>
      </sheetData>
      <sheetData sheetId="4415">
        <row r="1">
          <cell r="A1" t="str">
            <v>PHIẾU XỬ LÝ HỒ SƠ THANH TOÁN VƯỢT THẨM QUYỀN PD</v>
          </cell>
        </row>
      </sheetData>
      <sheetData sheetId="4416">
        <row r="1">
          <cell r="A1" t="str">
            <v>PHIẾU XỬ LÝ HỒ SƠ THANH TOÁN VƯỢT THẨM QUYỀN PD</v>
          </cell>
        </row>
      </sheetData>
      <sheetData sheetId="4417">
        <row r="1">
          <cell r="A1" t="str">
            <v>PHIẾU XỬ LÝ HỒ SƠ THANH TOÁN VƯỢT THẨM QUYỀN PD</v>
          </cell>
        </row>
      </sheetData>
      <sheetData sheetId="4418">
        <row r="1">
          <cell r="A1" t="str">
            <v>PHIẾU XỬ LÝ HỒ SƠ THANH TOÁN VƯỢT THẨM QUYỀN PD</v>
          </cell>
        </row>
      </sheetData>
      <sheetData sheetId="4419">
        <row r="1">
          <cell r="A1" t="str">
            <v>PHIẾU XỬ LÝ HỒ SƠ THANH TOÁN VƯỢT THẨM QUYỀN PD</v>
          </cell>
        </row>
      </sheetData>
      <sheetData sheetId="4420">
        <row r="1">
          <cell r="A1" t="str">
            <v>PHIẾU XỬ LÝ HỒ SƠ THANH TOÁN VƯỢT THẨM QUYỀN PD</v>
          </cell>
        </row>
      </sheetData>
      <sheetData sheetId="4421">
        <row r="1">
          <cell r="A1" t="str">
            <v>PHIẾU XỬ LÝ HỒ SƠ THANH TOÁN VƯỢT THẨM QUYỀN PD</v>
          </cell>
        </row>
      </sheetData>
      <sheetData sheetId="4422">
        <row r="1">
          <cell r="A1" t="str">
            <v>PHIẾU XỬ LÝ HỒ SƠ THANH TOÁN VƯỢT THẨM QUYỀN PD</v>
          </cell>
        </row>
      </sheetData>
      <sheetData sheetId="4423" refreshError="1"/>
      <sheetData sheetId="4424" refreshError="1"/>
      <sheetData sheetId="4425">
        <row r="1">
          <cell r="A1" t="str">
            <v>PHIẾU XỬ LÝ HỒ SƠ THANH TOÁN VƯỢT THẨM QUYỀN PD</v>
          </cell>
        </row>
      </sheetData>
      <sheetData sheetId="4426">
        <row r="1">
          <cell r="A1" t="str">
            <v>PHIẾU XỬ LÝ HỒ SƠ THANH TOÁN VƯỢT THẨM QUYỀN PD</v>
          </cell>
        </row>
      </sheetData>
      <sheetData sheetId="4427">
        <row r="1">
          <cell r="A1" t="str">
            <v>PHIẾU XỬ LÝ HỒ SƠ THANH TOÁN VƯỢT THẨM QUYỀN PD</v>
          </cell>
        </row>
      </sheetData>
      <sheetData sheetId="4428">
        <row r="1">
          <cell r="A1" t="str">
            <v>PHIẾU XỬ LÝ HỒ SƠ THANH TOÁN VƯỢT THẨM QUYỀN PD</v>
          </cell>
        </row>
      </sheetData>
      <sheetData sheetId="4429">
        <row r="1">
          <cell r="A1" t="str">
            <v>PHIẾU XỬ LÝ HỒ SƠ THANH TOÁN VƯỢT THẨM QUYỀN PD</v>
          </cell>
        </row>
      </sheetData>
      <sheetData sheetId="4430">
        <row r="1">
          <cell r="A1" t="str">
            <v>PHIẾU XỬ LÝ HỒ SƠ THANH TOÁN VƯỢT THẨM QUYỀN PD</v>
          </cell>
        </row>
      </sheetData>
      <sheetData sheetId="4431">
        <row r="1">
          <cell r="A1" t="str">
            <v>PHIẾU XỬ LÝ HỒ SƠ THANH TOÁN VƯỢT THẨM QUYỀN PD</v>
          </cell>
        </row>
      </sheetData>
      <sheetData sheetId="4432">
        <row r="1">
          <cell r="A1" t="str">
            <v>PHIẾU XỬ LÝ HỒ SƠ THANH TOÁN VƯỢT THẨM QUYỀN PD</v>
          </cell>
        </row>
      </sheetData>
      <sheetData sheetId="4433">
        <row r="1">
          <cell r="A1" t="str">
            <v>PHIẾU XỬ LÝ HỒ SƠ THANH TOÁN VƯỢT THẨM QUYỀN PD</v>
          </cell>
        </row>
      </sheetData>
      <sheetData sheetId="4434">
        <row r="1">
          <cell r="A1" t="str">
            <v>PHIẾU XỬ LÝ HỒ SƠ THANH TOÁN VƯỢT THẨM QUYỀN PD</v>
          </cell>
        </row>
      </sheetData>
      <sheetData sheetId="4435">
        <row r="1">
          <cell r="A1" t="str">
            <v>PHIẾU XỬ LÝ HỒ SƠ THANH TOÁN VƯỢT THẨM QUYỀN PD</v>
          </cell>
        </row>
      </sheetData>
      <sheetData sheetId="4436">
        <row r="1">
          <cell r="A1" t="str">
            <v>PHIẾU XỬ LÝ HỒ SƠ THANH TOÁN VƯỢT THẨM QUYỀN PD</v>
          </cell>
        </row>
      </sheetData>
      <sheetData sheetId="4437">
        <row r="1">
          <cell r="A1" t="str">
            <v>PHIẾU XỬ LÝ HỒ SƠ THANH TOÁN VƯỢT THẨM QUYỀN PD</v>
          </cell>
        </row>
      </sheetData>
      <sheetData sheetId="4438">
        <row r="1">
          <cell r="A1" t="str">
            <v>PHIẾU XỬ LÝ HỒ SƠ THANH TOÁN VƯỢT THẨM QUYỀN PD</v>
          </cell>
        </row>
      </sheetData>
      <sheetData sheetId="4439">
        <row r="1">
          <cell r="A1" t="str">
            <v>PHIẾU XỬ LÝ HỒ SƠ THANH TOÁN VƯỢT THẨM QUYỀN PD</v>
          </cell>
        </row>
      </sheetData>
      <sheetData sheetId="4440">
        <row r="1">
          <cell r="A1" t="str">
            <v>PHIẾU XỬ LÝ HỒ SƠ THANH TOÁN VƯỢT THẨM QUYỀN PD</v>
          </cell>
        </row>
      </sheetData>
      <sheetData sheetId="4441">
        <row r="1">
          <cell r="A1" t="str">
            <v>PHIẾU XỬ LÝ HỒ SƠ THANH TOÁN VƯỢT THẨM QUYỀN PD</v>
          </cell>
        </row>
      </sheetData>
      <sheetData sheetId="4442">
        <row r="1">
          <cell r="A1" t="str">
            <v>PHIẾU XỬ LÝ HỒ SƠ THANH TOÁN VƯỢT THẨM QUYỀN PD</v>
          </cell>
        </row>
      </sheetData>
      <sheetData sheetId="4443">
        <row r="1">
          <cell r="A1" t="str">
            <v>PHIẾU XỬ LÝ HỒ SƠ THANH TOÁN VƯỢT THẨM QUYỀN PD</v>
          </cell>
        </row>
      </sheetData>
      <sheetData sheetId="4444">
        <row r="1">
          <cell r="A1" t="str">
            <v>PHIẾU XỬ LÝ HỒ SƠ THANH TOÁN VƯỢT THẨM QUYỀN PD</v>
          </cell>
        </row>
      </sheetData>
      <sheetData sheetId="4445">
        <row r="1">
          <cell r="A1" t="str">
            <v>PHIẾU XỬ LÝ HỒ SƠ THANH TOÁN VƯỢT THẨM QUYỀN PD</v>
          </cell>
        </row>
      </sheetData>
      <sheetData sheetId="4446">
        <row r="1">
          <cell r="A1" t="str">
            <v>PHIẾU XỬ LÝ HỒ SƠ THANH TOÁN VƯỢT THẨM QUYỀN PD</v>
          </cell>
        </row>
      </sheetData>
      <sheetData sheetId="4447">
        <row r="1">
          <cell r="A1" t="str">
            <v>PHIẾU XỬ LÝ HỒ SƠ THANH TOÁN VƯỢT THẨM QUYỀN PD</v>
          </cell>
        </row>
      </sheetData>
      <sheetData sheetId="4448">
        <row r="1">
          <cell r="A1" t="str">
            <v>PHIẾU XỬ LÝ HỒ SƠ THANH TOÁN VƯỢT THẨM QUYỀN PD</v>
          </cell>
        </row>
      </sheetData>
      <sheetData sheetId="4449">
        <row r="1">
          <cell r="A1" t="str">
            <v>PHIẾU XỬ LÝ HỒ SƠ THANH TOÁN VƯỢT THẨM QUYỀN PD</v>
          </cell>
        </row>
      </sheetData>
      <sheetData sheetId="4450">
        <row r="1">
          <cell r="A1" t="str">
            <v>PHIẾU XỬ LÝ HỒ SƠ THANH TOÁN VƯỢT THẨM QUYỀN PD</v>
          </cell>
        </row>
      </sheetData>
      <sheetData sheetId="4451">
        <row r="1">
          <cell r="A1" t="str">
            <v>PHIẾU XỬ LÝ HỒ SƠ THANH TOÁN VƯỢT THẨM QUYỀN PD</v>
          </cell>
        </row>
      </sheetData>
      <sheetData sheetId="4452">
        <row r="1">
          <cell r="A1" t="str">
            <v>PHIẾU XỬ LÝ HỒ SƠ THANH TOÁN VƯỢT THẨM QUYỀN PD</v>
          </cell>
        </row>
      </sheetData>
      <sheetData sheetId="4453">
        <row r="1">
          <cell r="A1" t="str">
            <v>PHIẾU XỬ LÝ HỒ SƠ THANH TOÁN VƯỢT THẨM QUYỀN PD</v>
          </cell>
        </row>
      </sheetData>
      <sheetData sheetId="4454">
        <row r="1">
          <cell r="A1" t="str">
            <v>PHIẾU XỬ LÝ HỒ SƠ THANH TOÁN VƯỢT THẨM QUYỀN PD</v>
          </cell>
        </row>
      </sheetData>
      <sheetData sheetId="4455">
        <row r="1">
          <cell r="A1" t="str">
            <v>PHIẾU XỬ LÝ HỒ SƠ THANH TOÁN VƯỢT THẨM QUYỀN PD</v>
          </cell>
        </row>
      </sheetData>
      <sheetData sheetId="4456">
        <row r="1">
          <cell r="A1" t="str">
            <v>PHIẾU XỬ LÝ HỒ SƠ THANH TOÁN VƯỢT THẨM QUYỀN PD</v>
          </cell>
        </row>
      </sheetData>
      <sheetData sheetId="4457">
        <row r="1">
          <cell r="A1" t="str">
            <v>PHIẾU XỬ LÝ HỒ SƠ THANH TOÁN VƯỢT THẨM QUYỀN PD</v>
          </cell>
        </row>
      </sheetData>
      <sheetData sheetId="4458">
        <row r="1">
          <cell r="A1" t="str">
            <v>PHIẾU XỬ LÝ HỒ SƠ THANH TOÁN VƯỢT THẨM QUYỀN PD</v>
          </cell>
        </row>
      </sheetData>
      <sheetData sheetId="4459">
        <row r="1">
          <cell r="A1" t="str">
            <v>PHIẾU XỬ LÝ HỒ SƠ THANH TOÁN VƯỢT THẨM QUYỀN PD</v>
          </cell>
        </row>
      </sheetData>
      <sheetData sheetId="4460">
        <row r="1">
          <cell r="A1" t="str">
            <v>PHIẾU XỬ LÝ HỒ SƠ THANH TOÁN VƯỢT THẨM QUYỀN PD</v>
          </cell>
        </row>
      </sheetData>
      <sheetData sheetId="4461">
        <row r="1">
          <cell r="A1" t="str">
            <v>PHIẾU XỬ LÝ HỒ SƠ THANH TOÁN VƯỢT THẨM QUYỀN PD</v>
          </cell>
        </row>
      </sheetData>
      <sheetData sheetId="4462">
        <row r="1">
          <cell r="A1" t="str">
            <v>PHIẾU XỬ LÝ HỒ SƠ THANH TOÁN VƯỢT THẨM QUYỀN PD</v>
          </cell>
        </row>
      </sheetData>
      <sheetData sheetId="4463">
        <row r="1">
          <cell r="A1" t="str">
            <v>PHIẾU XỬ LÝ HỒ SƠ THANH TOÁN VƯỢT THẨM QUYỀN PD</v>
          </cell>
        </row>
      </sheetData>
      <sheetData sheetId="4464">
        <row r="1">
          <cell r="A1" t="str">
            <v>PHIẾU XỬ LÝ HỒ SƠ THANH TOÁN VƯỢT THẨM QUYỀN PD</v>
          </cell>
        </row>
      </sheetData>
      <sheetData sheetId="4465">
        <row r="1">
          <cell r="A1" t="str">
            <v>PHIẾU XỬ LÝ HỒ SƠ THANH TOÁN VƯỢT THẨM QUYỀN PD</v>
          </cell>
        </row>
      </sheetData>
      <sheetData sheetId="4466">
        <row r="1">
          <cell r="A1" t="str">
            <v>PHIẾU XỬ LÝ HỒ SƠ THANH TOÁN VƯỢT THẨM QUYỀN PD</v>
          </cell>
        </row>
      </sheetData>
      <sheetData sheetId="4467">
        <row r="1">
          <cell r="A1" t="str">
            <v>PHIẾU XỬ LÝ HỒ SƠ THANH TOÁN VƯỢT THẨM QUYỀN PD</v>
          </cell>
        </row>
      </sheetData>
      <sheetData sheetId="4468">
        <row r="1">
          <cell r="A1" t="str">
            <v>PHIẾU XỬ LÝ HỒ SƠ THANH TOÁN VƯỢT THẨM QUYỀN PD</v>
          </cell>
        </row>
      </sheetData>
      <sheetData sheetId="4469">
        <row r="1">
          <cell r="A1" t="str">
            <v>PHIẾU XỬ LÝ HỒ SƠ THANH TOÁN VƯỢT THẨM QUYỀN PD</v>
          </cell>
        </row>
      </sheetData>
      <sheetData sheetId="4470">
        <row r="1">
          <cell r="A1" t="str">
            <v>PHIẾU XỬ LÝ HỒ SƠ THANH TOÁN VƯỢT THẨM QUYỀN PD</v>
          </cell>
        </row>
      </sheetData>
      <sheetData sheetId="4471">
        <row r="1">
          <cell r="A1" t="str">
            <v>PHIẾU XỬ LÝ HỒ SƠ THANH TOÁN VƯỢT THẨM QUYỀN PD</v>
          </cell>
        </row>
      </sheetData>
      <sheetData sheetId="4472">
        <row r="1">
          <cell r="A1" t="str">
            <v>PHIẾU XỬ LÝ HỒ SƠ THANH TOÁN VƯỢT THẨM QUYỀN PD</v>
          </cell>
        </row>
      </sheetData>
      <sheetData sheetId="4473">
        <row r="1">
          <cell r="A1" t="str">
            <v>PHIẾU XỬ LÝ HỒ SƠ THANH TOÁN VƯỢT THẨM QUYỀN PD</v>
          </cell>
        </row>
      </sheetData>
      <sheetData sheetId="4474">
        <row r="1">
          <cell r="A1" t="str">
            <v>PHIẾU XỬ LÝ HỒ SƠ THANH TOÁN VƯỢT THẨM QUYỀN PD</v>
          </cell>
        </row>
      </sheetData>
      <sheetData sheetId="4475">
        <row r="1">
          <cell r="A1" t="str">
            <v>PHIẾU XỬ LÝ HỒ SƠ THANH TOÁN VƯỢT THẨM QUYỀN PD</v>
          </cell>
        </row>
      </sheetData>
      <sheetData sheetId="4476">
        <row r="1">
          <cell r="A1" t="str">
            <v>PHIẾU XỬ LÝ HỒ SƠ THANH TOÁN VƯỢT THẨM QUYỀN PD</v>
          </cell>
        </row>
      </sheetData>
      <sheetData sheetId="4477">
        <row r="1">
          <cell r="A1" t="str">
            <v>PHIẾU XỬ LÝ HỒ SƠ THANH TOÁN VƯỢT THẨM QUYỀN PD</v>
          </cell>
        </row>
      </sheetData>
      <sheetData sheetId="4478">
        <row r="1">
          <cell r="A1" t="str">
            <v>PHIẾU XỬ LÝ HỒ SƠ THANH TOÁN VƯỢT THẨM QUYỀN PD</v>
          </cell>
        </row>
      </sheetData>
      <sheetData sheetId="4479">
        <row r="1">
          <cell r="A1" t="str">
            <v>PHIẾU XỬ LÝ HỒ SƠ THANH TOÁN VƯỢT THẨM QUYỀN PD</v>
          </cell>
        </row>
      </sheetData>
      <sheetData sheetId="4480">
        <row r="1">
          <cell r="A1" t="str">
            <v>PHIẾU XỬ LÝ HỒ SƠ THANH TOÁN VƯỢT THẨM QUYỀN PD</v>
          </cell>
        </row>
      </sheetData>
      <sheetData sheetId="4481" refreshError="1"/>
      <sheetData sheetId="4482">
        <row r="1">
          <cell r="A1" t="str">
            <v>PHIẾU XỬ LÝ HỒ SƠ THANH TOÁN VƯỢT THẨM QUYỀN PD</v>
          </cell>
        </row>
      </sheetData>
      <sheetData sheetId="4483">
        <row r="1">
          <cell r="A1" t="str">
            <v>PHIẾU XỬ LÝ HỒ SƠ THANH TOÁN VƯỢT THẨM QUYỀN PD</v>
          </cell>
        </row>
      </sheetData>
      <sheetData sheetId="4484">
        <row r="1">
          <cell r="A1" t="str">
            <v>PHIẾU XỬ LÝ HỒ SƠ THANH TOÁN VƯỢT THẨM QUYỀN PD</v>
          </cell>
        </row>
      </sheetData>
      <sheetData sheetId="4485">
        <row r="1">
          <cell r="A1" t="str">
            <v>PHIẾU XỬ LÝ HỒ SƠ THANH TOÁN VƯỢT THẨM QUYỀN PD</v>
          </cell>
        </row>
      </sheetData>
      <sheetData sheetId="4486" refreshError="1"/>
      <sheetData sheetId="4487">
        <row r="1">
          <cell r="A1" t="str">
            <v>PHIẾU XỬ LÝ HỒ SƠ THANH TOÁN VƯỢT THẨM QUYỀN PD</v>
          </cell>
        </row>
      </sheetData>
      <sheetData sheetId="4488">
        <row r="1">
          <cell r="A1" t="str">
            <v>PHIẾU XỬ LÝ HỒ SƠ THANH TOÁN VƯỢT THẨM QUYỀN PD</v>
          </cell>
        </row>
      </sheetData>
      <sheetData sheetId="4489">
        <row r="1">
          <cell r="A1" t="str">
            <v>PHIẾU XỬ LÝ HỒ SƠ THANH TOÁN VƯỢT THẨM QUYỀN PD</v>
          </cell>
        </row>
      </sheetData>
      <sheetData sheetId="4490">
        <row r="1">
          <cell r="A1" t="str">
            <v>PHIẾU XỬ LÝ HỒ SƠ THANH TOÁN VƯỢT THẨM QUYỀN PD</v>
          </cell>
        </row>
      </sheetData>
      <sheetData sheetId="4491">
        <row r="1">
          <cell r="A1" t="str">
            <v>PHIẾU XỬ LÝ HỒ SƠ THANH TOÁN VƯỢT THẨM QUYỀN PD</v>
          </cell>
        </row>
      </sheetData>
      <sheetData sheetId="4492">
        <row r="1">
          <cell r="A1" t="str">
            <v>PHIẾU XỬ LÝ HỒ SƠ THANH TOÁN VƯỢT THẨM QUYỀN PD</v>
          </cell>
        </row>
      </sheetData>
      <sheetData sheetId="4493">
        <row r="1">
          <cell r="A1" t="str">
            <v>PHIẾU XỬ LÝ HỒ SƠ THANH TOÁN VƯỢT THẨM QUYỀN PD</v>
          </cell>
        </row>
      </sheetData>
      <sheetData sheetId="4494">
        <row r="1">
          <cell r="A1" t="str">
            <v>PHIẾU XỬ LÝ HỒ SƠ THANH TOÁN VƯỢT THẨM QUYỀN PD</v>
          </cell>
        </row>
      </sheetData>
      <sheetData sheetId="4495">
        <row r="1">
          <cell r="A1" t="str">
            <v>PHIẾU XỬ LÝ HỒ SƠ THANH TOÁN VƯỢT THẨM QUYỀN PD</v>
          </cell>
        </row>
      </sheetData>
      <sheetData sheetId="4496">
        <row r="1">
          <cell r="A1" t="str">
            <v>PHIẾU XỬ LÝ HỒ SƠ THANH TOÁN VƯỢT THẨM QUYỀN PD</v>
          </cell>
        </row>
      </sheetData>
      <sheetData sheetId="4497">
        <row r="1">
          <cell r="A1" t="str">
            <v>PHIẾU XỬ LÝ HỒ SƠ THANH TOÁN VƯỢT THẨM QUYỀN PD</v>
          </cell>
        </row>
      </sheetData>
      <sheetData sheetId="4498">
        <row r="1">
          <cell r="A1" t="str">
            <v>PHIẾU XỬ LÝ HỒ SƠ THANH TOÁN VƯỢT THẨM QUYỀN PD</v>
          </cell>
        </row>
      </sheetData>
      <sheetData sheetId="4499">
        <row r="1">
          <cell r="A1" t="str">
            <v>PHIẾU XỬ LÝ HỒ SƠ THANH TOÁN VƯỢT THẨM QUYỀN PD</v>
          </cell>
        </row>
      </sheetData>
      <sheetData sheetId="4500">
        <row r="1">
          <cell r="A1" t="str">
            <v>PHIẾU XỬ LÝ HỒ SƠ THANH TOÁN VƯỢT THẨM QUYỀN PD</v>
          </cell>
        </row>
      </sheetData>
      <sheetData sheetId="4501" refreshError="1"/>
      <sheetData sheetId="4502">
        <row r="1">
          <cell r="A1" t="str">
            <v>PHIẾU XỬ LÝ HỒ SƠ THANH TOÁN VƯỢT THẨM QUYỀN PD</v>
          </cell>
        </row>
      </sheetData>
      <sheetData sheetId="4503" refreshError="1"/>
      <sheetData sheetId="4504" refreshError="1"/>
      <sheetData sheetId="4505">
        <row r="1">
          <cell r="A1" t="str">
            <v>PHIẾU XỬ LÝ HỒ SƠ THANH TOÁN VƯỢT THẨM QUYỀN PD</v>
          </cell>
        </row>
      </sheetData>
      <sheetData sheetId="4506">
        <row r="1">
          <cell r="A1" t="str">
            <v>PHIẾU XỬ LÝ HỒ SƠ THANH TOÁN VƯỢT THẨM QUYỀN PD</v>
          </cell>
        </row>
      </sheetData>
      <sheetData sheetId="4507">
        <row r="1">
          <cell r="A1" t="str">
            <v>PHIẾU XỬ LÝ HỒ SƠ THANH TOÁN VƯỢT THẨM QUYỀN PD</v>
          </cell>
        </row>
      </sheetData>
      <sheetData sheetId="4508">
        <row r="1">
          <cell r="A1" t="str">
            <v>PHIẾU XỬ LÝ HỒ SƠ THANH TOÁN VƯỢT THẨM QUYỀN PD</v>
          </cell>
        </row>
      </sheetData>
      <sheetData sheetId="4509">
        <row r="1">
          <cell r="A1" t="str">
            <v>PHIẾU XỬ LÝ HỒ SƠ THANH TOÁN VƯỢT THẨM QUYỀN PD</v>
          </cell>
        </row>
      </sheetData>
      <sheetData sheetId="4510">
        <row r="1">
          <cell r="A1" t="str">
            <v>PHIẾU XỬ LÝ HỒ SƠ THANH TOÁN VƯỢT THẨM QUYỀN PD</v>
          </cell>
        </row>
      </sheetData>
      <sheetData sheetId="4511">
        <row r="1">
          <cell r="A1" t="str">
            <v>PHIẾU XỬ LÝ HỒ SƠ THANH TOÁN VƯỢT THẨM QUYỀN PD</v>
          </cell>
        </row>
      </sheetData>
      <sheetData sheetId="4512">
        <row r="1">
          <cell r="A1" t="str">
            <v>PHIẾU XỬ LÝ HỒ SƠ THANH TOÁN VƯỢT THẨM QUYỀN PD</v>
          </cell>
        </row>
      </sheetData>
      <sheetData sheetId="4513">
        <row r="1">
          <cell r="A1" t="str">
            <v>PHIẾU XỬ LÝ HỒ SƠ THANH TOÁN VƯỢT THẨM QUYỀN PD</v>
          </cell>
        </row>
      </sheetData>
      <sheetData sheetId="4514">
        <row r="1">
          <cell r="A1" t="str">
            <v>PHIẾU XỬ LÝ HỒ SƠ THANH TOÁN VƯỢT THẨM QUYỀN PD</v>
          </cell>
        </row>
      </sheetData>
      <sheetData sheetId="4515">
        <row r="1">
          <cell r="A1" t="str">
            <v>PHIẾU XỬ LÝ HỒ SƠ THANH TOÁN VƯỢT THẨM QUYỀN PD</v>
          </cell>
        </row>
      </sheetData>
      <sheetData sheetId="4516">
        <row r="1">
          <cell r="A1" t="str">
            <v>PHIẾU XỬ LÝ HỒ SƠ THANH TOÁN VƯỢT THẨM QUYỀN PD</v>
          </cell>
        </row>
      </sheetData>
      <sheetData sheetId="4517">
        <row r="1">
          <cell r="A1" t="str">
            <v>PHIẾU XỬ LÝ HỒ SƠ THANH TOÁN VƯỢT THẨM QUYỀN PD</v>
          </cell>
        </row>
      </sheetData>
      <sheetData sheetId="4518">
        <row r="1">
          <cell r="A1" t="str">
            <v>PHIẾU XỬ LÝ HỒ SƠ THANH TOÁN VƯỢT THẨM QUYỀN PD</v>
          </cell>
        </row>
      </sheetData>
      <sheetData sheetId="4519">
        <row r="1">
          <cell r="A1" t="str">
            <v>PHIẾU XỬ LÝ HỒ SƠ THANH TOÁN VƯỢT THẨM QUYỀN PD</v>
          </cell>
        </row>
      </sheetData>
      <sheetData sheetId="4520">
        <row r="1">
          <cell r="A1" t="str">
            <v>PHIẾU XỬ LÝ HỒ SƠ THANH TOÁN VƯỢT THẨM QUYỀN PD</v>
          </cell>
        </row>
      </sheetData>
      <sheetData sheetId="4521">
        <row r="1">
          <cell r="A1" t="str">
            <v>PHIẾU XỬ LÝ HỒ SƠ THANH TOÁN VƯỢT THẨM QUYỀN PD</v>
          </cell>
        </row>
      </sheetData>
      <sheetData sheetId="4522">
        <row r="1">
          <cell r="A1" t="str">
            <v>PHIẾU XỬ LÝ HỒ SƠ THANH TOÁN VƯỢT THẨM QUYỀN PD</v>
          </cell>
        </row>
      </sheetData>
      <sheetData sheetId="4523">
        <row r="1">
          <cell r="A1" t="str">
            <v>PHIẾU XỬ LÝ HỒ SƠ THANH TOÁN VƯỢT THẨM QUYỀN PD</v>
          </cell>
        </row>
      </sheetData>
      <sheetData sheetId="4524">
        <row r="1">
          <cell r="A1" t="str">
            <v>PHIẾU XỬ LÝ HỒ SƠ THANH TOÁN VƯỢT THẨM QUYỀN PD</v>
          </cell>
        </row>
      </sheetData>
      <sheetData sheetId="4525">
        <row r="1">
          <cell r="A1" t="str">
            <v>PHIẾU XỬ LÝ HỒ SƠ THANH TOÁN VƯỢT THẨM QUYỀN PD</v>
          </cell>
        </row>
      </sheetData>
      <sheetData sheetId="4526">
        <row r="1">
          <cell r="A1" t="str">
            <v>PHIẾU XỬ LÝ HỒ SƠ THANH TOÁN VƯỢT THẨM QUYỀN PD</v>
          </cell>
        </row>
      </sheetData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>
        <row r="1">
          <cell r="A1" t="str">
            <v>PHIẾU XỬ LÝ HỒ SƠ THANH TOÁN VƯỢT THẨM QUYỀN PD</v>
          </cell>
        </row>
      </sheetData>
      <sheetData sheetId="4533" refreshError="1"/>
      <sheetData sheetId="4534" refreshError="1"/>
      <sheetData sheetId="4535" refreshError="1"/>
      <sheetData sheetId="4536">
        <row r="1">
          <cell r="A1" t="str">
            <v>PHIẾU XỬ LÝ HỒ SƠ THANH TOÁN VƯỢT THẨM QUYỀN PD</v>
          </cell>
        </row>
      </sheetData>
      <sheetData sheetId="4537">
        <row r="1">
          <cell r="A1" t="str">
            <v>PHIẾU XỬ LÝ HỒ SƠ THANH TOÁN VƯỢT THẨM QUYỀN PD</v>
          </cell>
        </row>
      </sheetData>
      <sheetData sheetId="4538">
        <row r="1">
          <cell r="A1" t="str">
            <v>PHIẾU XỬ LÝ HỒ SƠ THANH TOÁN VƯỢT THẨM QUYỀN PD</v>
          </cell>
        </row>
      </sheetData>
      <sheetData sheetId="4539">
        <row r="1">
          <cell r="A1" t="str">
            <v>PHIẾU XỬ LÝ HỒ SƠ THANH TOÁN VƯỢT THẨM QUYỀN PD</v>
          </cell>
        </row>
      </sheetData>
      <sheetData sheetId="4540">
        <row r="1">
          <cell r="A1" t="str">
            <v>PHIẾU XỬ LÝ HỒ SƠ THANH TOÁN VƯỢT THẨM QUYỀN PD</v>
          </cell>
        </row>
      </sheetData>
      <sheetData sheetId="4541">
        <row r="1">
          <cell r="A1" t="str">
            <v>PHIẾU XỬ LÝ HỒ SƠ THANH TOÁN VƯỢT THẨM QUYỀN PD</v>
          </cell>
        </row>
      </sheetData>
      <sheetData sheetId="4542">
        <row r="1">
          <cell r="A1" t="str">
            <v>PHIẾU XỬ LÝ HỒ SƠ THANH TOÁN VƯỢT THẨM QUYỀN PD</v>
          </cell>
        </row>
      </sheetData>
      <sheetData sheetId="4543">
        <row r="1">
          <cell r="A1" t="str">
            <v>PHIẾU XỬ LÝ HỒ SƠ THANH TOÁN VƯỢT THẨM QUYỀN PD</v>
          </cell>
        </row>
      </sheetData>
      <sheetData sheetId="4544">
        <row r="1">
          <cell r="A1" t="str">
            <v>PHIẾU XỬ LÝ HỒ SƠ THANH TOÁN VƯỢT THẨM QUYỀN PD</v>
          </cell>
        </row>
      </sheetData>
      <sheetData sheetId="4545">
        <row r="1">
          <cell r="A1" t="str">
            <v>PHIẾU XỬ LÝ HỒ SƠ THANH TOÁN VƯỢT THẨM QUYỀN PD</v>
          </cell>
        </row>
      </sheetData>
      <sheetData sheetId="4546">
        <row r="1">
          <cell r="A1" t="str">
            <v>PHIẾU XỬ LÝ HỒ SƠ THANH TOÁN VƯỢT THẨM QUYỀN PD</v>
          </cell>
        </row>
      </sheetData>
      <sheetData sheetId="4547">
        <row r="1">
          <cell r="A1" t="str">
            <v>PHIẾU XỬ LÝ HỒ SƠ THANH TOÁN VƯỢT THẨM QUYỀN PD</v>
          </cell>
        </row>
      </sheetData>
      <sheetData sheetId="4548">
        <row r="1">
          <cell r="A1" t="str">
            <v>PHIẾU XỬ LÝ HỒ SƠ THANH TOÁN VƯỢT THẨM QUYỀN PD</v>
          </cell>
        </row>
      </sheetData>
      <sheetData sheetId="4549">
        <row r="1">
          <cell r="A1" t="str">
            <v>PHIẾU XỬ LÝ HỒ SƠ THANH TOÁN VƯỢT THẨM QUYỀN PD</v>
          </cell>
        </row>
      </sheetData>
      <sheetData sheetId="4550">
        <row r="1">
          <cell r="A1" t="str">
            <v>PHIẾU XỬ LÝ HỒ SƠ THANH TOÁN VƯỢT THẨM QUYỀN PD</v>
          </cell>
        </row>
      </sheetData>
      <sheetData sheetId="4551">
        <row r="1">
          <cell r="A1" t="str">
            <v>PHIẾU XỬ LÝ HỒ SƠ THANH TOÁN VƯỢT THẨM QUYỀN PD</v>
          </cell>
        </row>
      </sheetData>
      <sheetData sheetId="4552">
        <row r="1">
          <cell r="A1" t="str">
            <v>PHIẾU XỬ LÝ HỒ SƠ THANH TOÁN VƯỢT THẨM QUYỀN PD</v>
          </cell>
        </row>
      </sheetData>
      <sheetData sheetId="4553">
        <row r="1">
          <cell r="A1" t="str">
            <v>PHIẾU XỬ LÝ HỒ SƠ THANH TOÁN VƯỢT THẨM QUYỀN PD</v>
          </cell>
        </row>
      </sheetData>
      <sheetData sheetId="4554">
        <row r="1">
          <cell r="A1" t="str">
            <v>PHIẾU XỬ LÝ HỒ SƠ THANH TOÁN VƯỢT THẨM QUYỀN PD</v>
          </cell>
        </row>
      </sheetData>
      <sheetData sheetId="4555">
        <row r="1">
          <cell r="A1" t="str">
            <v>PHIẾU XỬ LÝ HỒ SƠ THANH TOÁN VƯỢT THẨM QUYỀN PD</v>
          </cell>
        </row>
      </sheetData>
      <sheetData sheetId="4556">
        <row r="1">
          <cell r="A1" t="str">
            <v>PHIẾU XỬ LÝ HỒ SƠ THANH TOÁN VƯỢT THẨM QUYỀN PD</v>
          </cell>
        </row>
      </sheetData>
      <sheetData sheetId="4557">
        <row r="1">
          <cell r="A1" t="str">
            <v>PHIẾU XỬ LÝ HỒ SƠ THANH TOÁN VƯỢT THẨM QUYỀN PD</v>
          </cell>
        </row>
      </sheetData>
      <sheetData sheetId="4558">
        <row r="1">
          <cell r="A1" t="str">
            <v>PHIẾU XỬ LÝ HỒ SƠ THANH TOÁN VƯỢT THẨM QUYỀN PD</v>
          </cell>
        </row>
      </sheetData>
      <sheetData sheetId="4559">
        <row r="1">
          <cell r="A1" t="str">
            <v>PHIẾU XỬ LÝ HỒ SƠ THANH TOÁN VƯỢT THẨM QUYỀN PD</v>
          </cell>
        </row>
      </sheetData>
      <sheetData sheetId="4560">
        <row r="1">
          <cell r="A1" t="str">
            <v>PHIẾU XỬ LÝ HỒ SƠ THANH TOÁN VƯỢT THẨM QUYỀN PD</v>
          </cell>
        </row>
      </sheetData>
      <sheetData sheetId="4561">
        <row r="1">
          <cell r="A1" t="str">
            <v>PHIẾU XỬ LÝ HỒ SƠ THANH TOÁN VƯỢT THẨM QUYỀN PD</v>
          </cell>
        </row>
      </sheetData>
      <sheetData sheetId="4562">
        <row r="1">
          <cell r="A1" t="str">
            <v>PHIẾU XỬ LÝ HỒ SƠ THANH TOÁN VƯỢT THẨM QUYỀN PD</v>
          </cell>
        </row>
      </sheetData>
      <sheetData sheetId="4563">
        <row r="1">
          <cell r="A1" t="str">
            <v>PHIẾU XỬ LÝ HỒ SƠ THANH TOÁN VƯỢT THẨM QUYỀN PD</v>
          </cell>
        </row>
      </sheetData>
      <sheetData sheetId="4564">
        <row r="1">
          <cell r="A1" t="str">
            <v>PHIẾU XỬ LÝ HỒ SƠ THANH TOÁN VƯỢT THẨM QUYỀN PD</v>
          </cell>
        </row>
      </sheetData>
      <sheetData sheetId="4565">
        <row r="1">
          <cell r="A1" t="str">
            <v>PHIẾU XỬ LÝ HỒ SƠ THANH TOÁN VƯỢT THẨM QUYỀN PD</v>
          </cell>
        </row>
      </sheetData>
      <sheetData sheetId="4566">
        <row r="1">
          <cell r="A1" t="str">
            <v>PHIẾU XỬ LÝ HỒ SƠ THANH TOÁN VƯỢT THẨM QUYỀN PD</v>
          </cell>
        </row>
      </sheetData>
      <sheetData sheetId="4567">
        <row r="1">
          <cell r="A1" t="str">
            <v>PHIẾU XỬ LÝ HỒ SƠ THANH TOÁN VƯỢT THẨM QUYỀN PD</v>
          </cell>
        </row>
      </sheetData>
      <sheetData sheetId="4568">
        <row r="1">
          <cell r="A1" t="str">
            <v>PHIẾU XỬ LÝ HỒ SƠ THANH TOÁN VƯỢT THẨM QUYỀN PD</v>
          </cell>
        </row>
      </sheetData>
      <sheetData sheetId="4569">
        <row r="1">
          <cell r="A1" t="str">
            <v>PHIẾU XỬ LÝ HỒ SƠ THANH TOÁN VƯỢT THẨM QUYỀN PD</v>
          </cell>
        </row>
      </sheetData>
      <sheetData sheetId="4570">
        <row r="1">
          <cell r="A1" t="str">
            <v>PHIẾU XỬ LÝ HỒ SƠ THANH TOÁN VƯỢT THẨM QUYỀN PD</v>
          </cell>
        </row>
      </sheetData>
      <sheetData sheetId="4571">
        <row r="1">
          <cell r="A1" t="str">
            <v>PHIẾU XỬ LÝ HỒ SƠ THANH TOÁN VƯỢT THẨM QUYỀN PD</v>
          </cell>
        </row>
      </sheetData>
      <sheetData sheetId="4572">
        <row r="1">
          <cell r="A1" t="str">
            <v>PHIẾU XỬ LÝ HỒ SƠ THANH TOÁN VƯỢT THẨM QUYỀN PD</v>
          </cell>
        </row>
      </sheetData>
      <sheetData sheetId="4573">
        <row r="1">
          <cell r="A1" t="str">
            <v>PHIẾU XỬ LÝ HỒ SƠ THANH TOÁN VƯỢT THẨM QUYỀN PD</v>
          </cell>
        </row>
      </sheetData>
      <sheetData sheetId="4574">
        <row r="1">
          <cell r="A1" t="str">
            <v>PHIẾU XỬ LÝ HỒ SƠ THANH TOÁN VƯỢT THẨM QUYỀN PD</v>
          </cell>
        </row>
      </sheetData>
      <sheetData sheetId="4575">
        <row r="1">
          <cell r="A1" t="str">
            <v>PHIẾU XỬ LÝ HỒ SƠ THANH TOÁN VƯỢT THẨM QUYỀN PD</v>
          </cell>
        </row>
      </sheetData>
      <sheetData sheetId="4576">
        <row r="1">
          <cell r="A1" t="str">
            <v>PHIẾU XỬ LÝ HỒ SƠ THANH TOÁN VƯỢT THẨM QUYỀN PD</v>
          </cell>
        </row>
      </sheetData>
      <sheetData sheetId="4577">
        <row r="1">
          <cell r="A1" t="str">
            <v>PHIẾU XỬ LÝ HỒ SƠ THANH TOÁN VƯỢT THẨM QUYỀN PD</v>
          </cell>
        </row>
      </sheetData>
      <sheetData sheetId="4578">
        <row r="1">
          <cell r="A1" t="str">
            <v>PHIẾU XỬ LÝ HỒ SƠ THANH TOÁN VƯỢT THẨM QUYỀN PD</v>
          </cell>
        </row>
      </sheetData>
      <sheetData sheetId="4579">
        <row r="1">
          <cell r="A1" t="str">
            <v>PHIẾU XỬ LÝ HỒ SƠ THANH TOÁN VƯỢT THẨM QUYỀN PD</v>
          </cell>
        </row>
      </sheetData>
      <sheetData sheetId="4580">
        <row r="1">
          <cell r="A1" t="str">
            <v>PHIẾU XỬ LÝ HỒ SƠ THANH TOÁN VƯỢT THẨM QUYỀN PD</v>
          </cell>
        </row>
      </sheetData>
      <sheetData sheetId="4581">
        <row r="1">
          <cell r="A1" t="str">
            <v>PHIẾU XỬ LÝ HỒ SƠ THANH TOÁN VƯỢT THẨM QUYỀN PD</v>
          </cell>
        </row>
      </sheetData>
      <sheetData sheetId="4582">
        <row r="1">
          <cell r="A1" t="str">
            <v>PHIẾU XỬ LÝ HỒ SƠ THANH TOÁN VƯỢT THẨM QUYỀN PD</v>
          </cell>
        </row>
      </sheetData>
      <sheetData sheetId="4583">
        <row r="1">
          <cell r="A1" t="str">
            <v>PHIẾU XỬ LÝ HỒ SƠ THANH TOÁN VƯỢT THẨM QUYỀN PD</v>
          </cell>
        </row>
      </sheetData>
      <sheetData sheetId="4584">
        <row r="1">
          <cell r="A1" t="str">
            <v>PHIẾU XỬ LÝ HỒ SƠ THANH TOÁN VƯỢT THẨM QUYỀN PD</v>
          </cell>
        </row>
      </sheetData>
      <sheetData sheetId="4585">
        <row r="1">
          <cell r="A1" t="str">
            <v>PHIẾU XỬ LÝ HỒ SƠ THANH TOÁN VƯỢT THẨM QUYỀN PD</v>
          </cell>
        </row>
      </sheetData>
      <sheetData sheetId="4586">
        <row r="1">
          <cell r="A1" t="str">
            <v>PHIẾU XỬ LÝ HỒ SƠ THANH TOÁN VƯỢT THẨM QUYỀN PD</v>
          </cell>
        </row>
      </sheetData>
      <sheetData sheetId="4587">
        <row r="1">
          <cell r="A1" t="str">
            <v>PHIẾU XỬ LÝ HỒ SƠ THANH TOÁN VƯỢT THẨM QUYỀN PD</v>
          </cell>
        </row>
      </sheetData>
      <sheetData sheetId="4588">
        <row r="1">
          <cell r="A1" t="str">
            <v>PHIẾU XỬ LÝ HỒ SƠ THANH TOÁN VƯỢT THẨM QUYỀN PD</v>
          </cell>
        </row>
      </sheetData>
      <sheetData sheetId="4589">
        <row r="1">
          <cell r="A1" t="str">
            <v>PHIẾU XỬ LÝ HỒ SƠ THANH TOÁN VƯỢT THẨM QUYỀN PD</v>
          </cell>
        </row>
      </sheetData>
      <sheetData sheetId="4590">
        <row r="1">
          <cell r="A1" t="str">
            <v>PHIẾU XỬ LÝ HỒ SƠ THANH TOÁN VƯỢT THẨM QUYỀN PD</v>
          </cell>
        </row>
      </sheetData>
      <sheetData sheetId="4591">
        <row r="1">
          <cell r="A1" t="str">
            <v>PHIẾU XỬ LÝ HỒ SƠ THANH TOÁN VƯỢT THẨM QUYỀN PD</v>
          </cell>
        </row>
      </sheetData>
      <sheetData sheetId="4592">
        <row r="1">
          <cell r="A1" t="str">
            <v>PHIẾU XỬ LÝ HỒ SƠ THANH TOÁN VƯỢT THẨM QUYỀN PD</v>
          </cell>
        </row>
      </sheetData>
      <sheetData sheetId="4593">
        <row r="1">
          <cell r="A1" t="str">
            <v>PHIẾU XỬ LÝ HỒ SƠ THANH TOÁN VƯỢT THẨM QUYỀN PD</v>
          </cell>
        </row>
      </sheetData>
      <sheetData sheetId="4594">
        <row r="1">
          <cell r="A1" t="str">
            <v>PHIẾU XỬ LÝ HỒ SƠ THANH TOÁN VƯỢT THẨM QUYỀN PD</v>
          </cell>
        </row>
      </sheetData>
      <sheetData sheetId="4595">
        <row r="1">
          <cell r="A1" t="str">
            <v>PHIẾU XỬ LÝ HỒ SƠ THANH TOÁN VƯỢT THẨM QUYỀN PD</v>
          </cell>
        </row>
      </sheetData>
      <sheetData sheetId="4596">
        <row r="1">
          <cell r="A1" t="str">
            <v>PHIẾU XỬ LÝ HỒ SƠ THANH TOÁN VƯỢT THẨM QUYỀN PD</v>
          </cell>
        </row>
      </sheetData>
      <sheetData sheetId="4597">
        <row r="1">
          <cell r="A1" t="str">
            <v>PHIẾU XỬ LÝ HỒ SƠ THANH TOÁN VƯỢT THẨM QUYỀN PD</v>
          </cell>
        </row>
      </sheetData>
      <sheetData sheetId="4598">
        <row r="1">
          <cell r="A1" t="str">
            <v>PHIẾU XỬ LÝ HỒ SƠ THANH TOÁN VƯỢT THẨM QUYỀN PD</v>
          </cell>
        </row>
      </sheetData>
      <sheetData sheetId="4599">
        <row r="1">
          <cell r="A1" t="str">
            <v>PHIẾU XỬ LÝ HỒ SƠ THANH TOÁN VƯỢT THẨM QUYỀN PD</v>
          </cell>
        </row>
      </sheetData>
      <sheetData sheetId="4600">
        <row r="1">
          <cell r="A1" t="str">
            <v>PHIẾU XỬ LÝ HỒ SƠ THANH TOÁN VƯỢT THẨM QUYỀN PD</v>
          </cell>
        </row>
      </sheetData>
      <sheetData sheetId="4601">
        <row r="1">
          <cell r="A1" t="str">
            <v>PHIẾU XỬ LÝ HỒ SƠ THANH TOÁN VƯỢT THẨM QUYỀN PD</v>
          </cell>
        </row>
      </sheetData>
      <sheetData sheetId="4602">
        <row r="1">
          <cell r="A1" t="str">
            <v>PHIẾU XỬ LÝ HỒ SƠ THANH TOÁN VƯỢT THẨM QUYỀN PD</v>
          </cell>
        </row>
      </sheetData>
      <sheetData sheetId="4603">
        <row r="1">
          <cell r="A1" t="str">
            <v>PHIẾU XỬ LÝ HỒ SƠ THANH TOÁN VƯỢT THẨM QUYỀN PD</v>
          </cell>
        </row>
      </sheetData>
      <sheetData sheetId="4604">
        <row r="1">
          <cell r="A1" t="str">
            <v>PHIẾU XỬ LÝ HỒ SƠ THANH TOÁN VƯỢT THẨM QUYỀN PD</v>
          </cell>
        </row>
      </sheetData>
      <sheetData sheetId="4605">
        <row r="1">
          <cell r="A1" t="str">
            <v>PHIẾU XỬ LÝ HỒ SƠ THANH TOÁN VƯỢT THẨM QUYỀN PD</v>
          </cell>
        </row>
      </sheetData>
      <sheetData sheetId="4606">
        <row r="1">
          <cell r="A1" t="str">
            <v>PHIẾU XỬ LÝ HỒ SƠ THANH TOÁN VƯỢT THẨM QUYỀN PD</v>
          </cell>
        </row>
      </sheetData>
      <sheetData sheetId="4607">
        <row r="1">
          <cell r="A1" t="str">
            <v>PHIẾU XỬ LÝ HỒ SƠ THANH TOÁN VƯỢT THẨM QUYỀN PD</v>
          </cell>
        </row>
      </sheetData>
      <sheetData sheetId="4608">
        <row r="1">
          <cell r="A1" t="str">
            <v>PHIẾU XỬ LÝ HỒ SƠ THANH TOÁN VƯỢT THẨM QUYỀN PD</v>
          </cell>
        </row>
      </sheetData>
      <sheetData sheetId="4609">
        <row r="1">
          <cell r="A1" t="str">
            <v>PHIẾU XỬ LÝ HỒ SƠ THANH TOÁN VƯỢT THẨM QUYỀN PD</v>
          </cell>
        </row>
      </sheetData>
      <sheetData sheetId="4610">
        <row r="1">
          <cell r="A1" t="str">
            <v>PHIẾU XỬ LÝ HỒ SƠ THANH TOÁN VƯỢT THẨM QUYỀN PD</v>
          </cell>
        </row>
      </sheetData>
      <sheetData sheetId="4611">
        <row r="1">
          <cell r="A1" t="str">
            <v>PHIẾU XỬ LÝ HỒ SƠ THANH TOÁN VƯỢT THẨM QUYỀN PD</v>
          </cell>
        </row>
      </sheetData>
      <sheetData sheetId="4612">
        <row r="1">
          <cell r="A1" t="str">
            <v>PHIẾU XỬ LÝ HỒ SƠ THANH TOÁN VƯỢT THẨM QUYỀN PD</v>
          </cell>
        </row>
      </sheetData>
      <sheetData sheetId="4613">
        <row r="1">
          <cell r="A1" t="str">
            <v>PHIẾU XỬ LÝ HỒ SƠ THANH TOÁN VƯỢT THẨM QUYỀN PD</v>
          </cell>
        </row>
      </sheetData>
      <sheetData sheetId="4614">
        <row r="1">
          <cell r="A1" t="str">
            <v>PHIẾU XỬ LÝ HỒ SƠ THANH TOÁN VƯỢT THẨM QUYỀN PD</v>
          </cell>
        </row>
      </sheetData>
      <sheetData sheetId="4615">
        <row r="1">
          <cell r="A1" t="str">
            <v>PHIẾU XỬ LÝ HỒ SƠ THANH TOÁN VƯỢT THẨM QUYỀN PD</v>
          </cell>
        </row>
      </sheetData>
      <sheetData sheetId="4616">
        <row r="1">
          <cell r="A1" t="str">
            <v>PHIẾU XỬ LÝ HỒ SƠ THANH TOÁN VƯỢT THẨM QUYỀN PD</v>
          </cell>
        </row>
      </sheetData>
      <sheetData sheetId="4617">
        <row r="1">
          <cell r="A1" t="str">
            <v>PHIẾU XỬ LÝ HỒ SƠ THANH TOÁN VƯỢT THẨM QUYỀN PD</v>
          </cell>
        </row>
      </sheetData>
      <sheetData sheetId="4618">
        <row r="1">
          <cell r="A1" t="str">
            <v>PHIẾU XỬ LÝ HỒ SƠ THANH TOÁN VƯỢT THẨM QUYỀN PD</v>
          </cell>
        </row>
      </sheetData>
      <sheetData sheetId="4619">
        <row r="1">
          <cell r="A1" t="str">
            <v>PHIẾU XỬ LÝ HỒ SƠ THANH TOÁN VƯỢT THẨM QUYỀN PD</v>
          </cell>
        </row>
      </sheetData>
      <sheetData sheetId="4620">
        <row r="1">
          <cell r="A1" t="str">
            <v>PHIẾU XỬ LÝ HỒ SƠ THANH TOÁN VƯỢT THẨM QUYỀN PD</v>
          </cell>
        </row>
      </sheetData>
      <sheetData sheetId="4621">
        <row r="1">
          <cell r="A1" t="str">
            <v>PHIẾU XỬ LÝ HỒ SƠ THANH TOÁN VƯỢT THẨM QUYỀN PD</v>
          </cell>
        </row>
      </sheetData>
      <sheetData sheetId="4622">
        <row r="1">
          <cell r="A1" t="str">
            <v>PHIẾU XỬ LÝ HỒ SƠ THANH TOÁN VƯỢT THẨM QUYỀN PD</v>
          </cell>
        </row>
      </sheetData>
      <sheetData sheetId="4623">
        <row r="1">
          <cell r="A1" t="str">
            <v>PHIẾU XỬ LÝ HỒ SƠ THANH TOÁN VƯỢT THẨM QUYỀN PD</v>
          </cell>
        </row>
      </sheetData>
      <sheetData sheetId="4624">
        <row r="1">
          <cell r="A1" t="str">
            <v>PHIẾU XỬ LÝ HỒ SƠ THANH TOÁN VƯỢT THẨM QUYỀN PD</v>
          </cell>
        </row>
      </sheetData>
      <sheetData sheetId="4625">
        <row r="1">
          <cell r="A1" t="str">
            <v>PHIẾU XỬ LÝ HỒ SƠ THANH TOÁN VƯỢT THẨM QUYỀN PD</v>
          </cell>
        </row>
      </sheetData>
      <sheetData sheetId="4626">
        <row r="1">
          <cell r="A1" t="str">
            <v>PHIẾU XỬ LÝ HỒ SƠ THANH TOÁN VƯỢT THẨM QUYỀN PD</v>
          </cell>
        </row>
      </sheetData>
      <sheetData sheetId="4627">
        <row r="1">
          <cell r="A1" t="str">
            <v>PHIẾU XỬ LÝ HỒ SƠ THANH TOÁN VƯỢT THẨM QUYỀN PD</v>
          </cell>
        </row>
      </sheetData>
      <sheetData sheetId="4628">
        <row r="1">
          <cell r="A1" t="str">
            <v>PHIẾU XỬ LÝ HỒ SƠ THANH TOÁN VƯỢT THẨM QUYỀN PD</v>
          </cell>
        </row>
      </sheetData>
      <sheetData sheetId="4629">
        <row r="1">
          <cell r="A1" t="str">
            <v>PHIẾU XỬ LÝ HỒ SƠ THANH TOÁN VƯỢT THẨM QUYỀN PD</v>
          </cell>
        </row>
      </sheetData>
      <sheetData sheetId="4630">
        <row r="1">
          <cell r="A1" t="str">
            <v>PHIẾU XỬ LÝ HỒ SƠ THANH TOÁN VƯỢT THẨM QUYỀN PD</v>
          </cell>
        </row>
      </sheetData>
      <sheetData sheetId="4631">
        <row r="1">
          <cell r="A1" t="str">
            <v>PHIẾU XỬ LÝ HỒ SƠ THANH TOÁN VƯỢT THẨM QUYỀN PD</v>
          </cell>
        </row>
      </sheetData>
      <sheetData sheetId="4632">
        <row r="1">
          <cell r="A1" t="str">
            <v>PHIẾU XỬ LÝ HỒ SƠ THANH TOÁN VƯỢT THẨM QUYỀN PD</v>
          </cell>
        </row>
      </sheetData>
      <sheetData sheetId="4633">
        <row r="1">
          <cell r="A1" t="str">
            <v>PHIẾU XỬ LÝ HỒ SƠ THANH TOÁN VƯỢT THẨM QUYỀN PD</v>
          </cell>
        </row>
      </sheetData>
      <sheetData sheetId="4634">
        <row r="1">
          <cell r="A1" t="str">
            <v>PHIẾU XỬ LÝ HỒ SƠ THANH TOÁN VƯỢT THẨM QUYỀN PD</v>
          </cell>
        </row>
      </sheetData>
      <sheetData sheetId="4635">
        <row r="1">
          <cell r="A1" t="str">
            <v>PHIẾU XỬ LÝ HỒ SƠ THANH TOÁN VƯỢT THẨM QUYỀN PD</v>
          </cell>
        </row>
      </sheetData>
      <sheetData sheetId="4636">
        <row r="1">
          <cell r="A1" t="str">
            <v>PHIẾU XỬ LÝ HỒ SƠ THANH TOÁN VƯỢT THẨM QUYỀN PD</v>
          </cell>
        </row>
      </sheetData>
      <sheetData sheetId="4637">
        <row r="1">
          <cell r="A1" t="str">
            <v>PHIẾU XỬ LÝ HỒ SƠ THANH TOÁN VƯỢT THẨM QUYỀN PD</v>
          </cell>
        </row>
      </sheetData>
      <sheetData sheetId="4638">
        <row r="1">
          <cell r="A1" t="str">
            <v>PHIẾU XỬ LÝ HỒ SƠ THANH TOÁN VƯỢT THẨM QUYỀN PD</v>
          </cell>
        </row>
      </sheetData>
      <sheetData sheetId="4639">
        <row r="1">
          <cell r="A1" t="str">
            <v>PHIẾU XỬ LÝ HỒ SƠ THANH TOÁN VƯỢT THẨM QUYỀN PD</v>
          </cell>
        </row>
      </sheetData>
      <sheetData sheetId="4640">
        <row r="1">
          <cell r="A1" t="str">
            <v>PHIẾU XỬ LÝ HỒ SƠ THANH TOÁN VƯỢT THẨM QUYỀN PD</v>
          </cell>
        </row>
      </sheetData>
      <sheetData sheetId="4641">
        <row r="1">
          <cell r="A1" t="str">
            <v>PHIẾU XỬ LÝ HỒ SƠ THANH TOÁN VƯỢT THẨM QUYỀN PD</v>
          </cell>
        </row>
      </sheetData>
      <sheetData sheetId="4642">
        <row r="1">
          <cell r="A1" t="str">
            <v>PHIẾU XỬ LÝ HỒ SƠ THANH TOÁN VƯỢT THẨM QUYỀN PD</v>
          </cell>
        </row>
      </sheetData>
      <sheetData sheetId="4643">
        <row r="1">
          <cell r="A1" t="str">
            <v>PHIẾU XỬ LÝ HỒ SƠ THANH TOÁN VƯỢT THẨM QUYỀN PD</v>
          </cell>
        </row>
      </sheetData>
      <sheetData sheetId="4644">
        <row r="1">
          <cell r="A1" t="str">
            <v>PHIẾU XỬ LÝ HỒ SƠ THANH TOÁN VƯỢT THẨM QUYỀN PD</v>
          </cell>
        </row>
      </sheetData>
      <sheetData sheetId="4645">
        <row r="1">
          <cell r="A1" t="str">
            <v>PHIẾU XỬ LÝ HỒ SƠ THANH TOÁN VƯỢT THẨM QUYỀN PD</v>
          </cell>
        </row>
      </sheetData>
      <sheetData sheetId="4646">
        <row r="1">
          <cell r="A1" t="str">
            <v>PHIẾU XỬ LÝ HỒ SƠ THANH TOÁN VƯỢT THẨM QUYỀN PD</v>
          </cell>
        </row>
      </sheetData>
      <sheetData sheetId="4647">
        <row r="1">
          <cell r="A1" t="str">
            <v>PHIẾU XỬ LÝ HỒ SƠ THANH TOÁN VƯỢT THẨM QUYỀN PD</v>
          </cell>
        </row>
      </sheetData>
      <sheetData sheetId="4648">
        <row r="1">
          <cell r="A1" t="str">
            <v>PHIẾU XỬ LÝ HỒ SƠ THANH TOÁN VƯỢT THẨM QUYỀN PD</v>
          </cell>
        </row>
      </sheetData>
      <sheetData sheetId="4649">
        <row r="1">
          <cell r="A1" t="str">
            <v>PHIẾU XỬ LÝ HỒ SƠ THANH TOÁN VƯỢT THẨM QUYỀN PD</v>
          </cell>
        </row>
      </sheetData>
      <sheetData sheetId="4650">
        <row r="1">
          <cell r="A1" t="str">
            <v>PHIẾU XỬ LÝ HỒ SƠ THANH TOÁN VƯỢT THẨM QUYỀN PD</v>
          </cell>
        </row>
      </sheetData>
      <sheetData sheetId="4651">
        <row r="1">
          <cell r="A1" t="str">
            <v>PHIẾU XỬ LÝ HỒ SƠ THANH TOÁN VƯỢT THẨM QUYỀN PD</v>
          </cell>
        </row>
      </sheetData>
      <sheetData sheetId="4652">
        <row r="1">
          <cell r="A1" t="str">
            <v>PHIẾU XỬ LÝ HỒ SƠ THANH TOÁN VƯỢT THẨM QUYỀN PD</v>
          </cell>
        </row>
      </sheetData>
      <sheetData sheetId="4653">
        <row r="1">
          <cell r="A1" t="str">
            <v>PHIẾU XỬ LÝ HỒ SƠ THANH TOÁN VƯỢT THẨM QUYỀN PD</v>
          </cell>
        </row>
      </sheetData>
      <sheetData sheetId="4654">
        <row r="1">
          <cell r="A1" t="str">
            <v>PHIẾU XỬ LÝ HỒ SƠ THANH TOÁN VƯỢT THẨM QUYỀN PD</v>
          </cell>
        </row>
      </sheetData>
      <sheetData sheetId="4655">
        <row r="1">
          <cell r="A1" t="str">
            <v>PHIẾU XỬ LÝ HỒ SƠ THANH TOÁN VƯỢT THẨM QUYỀN PD</v>
          </cell>
        </row>
      </sheetData>
      <sheetData sheetId="4656">
        <row r="1">
          <cell r="A1" t="str">
            <v>PHIẾU XỬ LÝ HỒ SƠ THANH TOÁN VƯỢT THẨM QUYỀN PD</v>
          </cell>
        </row>
      </sheetData>
      <sheetData sheetId="4657">
        <row r="1">
          <cell r="A1" t="str">
            <v>PHIẾU XỬ LÝ HỒ SƠ THANH TOÁN VƯỢT THẨM QUYỀN PD</v>
          </cell>
        </row>
      </sheetData>
      <sheetData sheetId="4658">
        <row r="1">
          <cell r="A1" t="str">
            <v>PHIẾU XỬ LÝ HỒ SƠ THANH TOÁN VƯỢT THẨM QUYỀN PD</v>
          </cell>
        </row>
      </sheetData>
      <sheetData sheetId="4659">
        <row r="1">
          <cell r="A1" t="str">
            <v>PHIẾU XỬ LÝ HỒ SƠ THANH TOÁN VƯỢT THẨM QUYỀN PD</v>
          </cell>
        </row>
      </sheetData>
      <sheetData sheetId="4660">
        <row r="1">
          <cell r="A1" t="str">
            <v>PHIẾU XỬ LÝ HỒ SƠ THANH TOÁN VƯỢT THẨM QUYỀN PD</v>
          </cell>
        </row>
      </sheetData>
      <sheetData sheetId="4661">
        <row r="1">
          <cell r="A1" t="str">
            <v>PHIẾU XỬ LÝ HỒ SƠ THANH TOÁN VƯỢT THẨM QUYỀN PD</v>
          </cell>
        </row>
      </sheetData>
      <sheetData sheetId="4662">
        <row r="1">
          <cell r="A1" t="str">
            <v>PHIẾU XỬ LÝ HỒ SƠ THANH TOÁN VƯỢT THẨM QUYỀN PD</v>
          </cell>
        </row>
      </sheetData>
      <sheetData sheetId="4663">
        <row r="1">
          <cell r="A1" t="str">
            <v>PHIẾU XỬ LÝ HỒ SƠ THANH TOÁN VƯỢT THẨM QUYỀN PD</v>
          </cell>
        </row>
      </sheetData>
      <sheetData sheetId="4664">
        <row r="1">
          <cell r="A1" t="str">
            <v>PHIẾU XỬ LÝ HỒ SƠ THANH TOÁN VƯỢT THẨM QUYỀN PD</v>
          </cell>
        </row>
      </sheetData>
      <sheetData sheetId="4665">
        <row r="1">
          <cell r="A1" t="str">
            <v>PHIẾU XỬ LÝ HỒ SƠ THANH TOÁN VƯỢT THẨM QUYỀN PD</v>
          </cell>
        </row>
      </sheetData>
      <sheetData sheetId="4666">
        <row r="1">
          <cell r="A1" t="str">
            <v>PHIẾU XỬ LÝ HỒ SƠ THANH TOÁN VƯỢT THẨM QUYỀN PD</v>
          </cell>
        </row>
      </sheetData>
      <sheetData sheetId="4667">
        <row r="1">
          <cell r="A1" t="str">
            <v>PHIẾU XỬ LÝ HỒ SƠ THANH TOÁN VƯỢT THẨM QUYỀN PD</v>
          </cell>
        </row>
      </sheetData>
      <sheetData sheetId="4668">
        <row r="1">
          <cell r="A1" t="str">
            <v>PHIẾU XỬ LÝ HỒ SƠ THANH TOÁN VƯỢT THẨM QUYỀN PD</v>
          </cell>
        </row>
      </sheetData>
      <sheetData sheetId="4669">
        <row r="1">
          <cell r="A1" t="str">
            <v>PHIẾU XỬ LÝ HỒ SƠ THANH TOÁN VƯỢT THẨM QUYỀN PD</v>
          </cell>
        </row>
      </sheetData>
      <sheetData sheetId="4670">
        <row r="1">
          <cell r="A1" t="str">
            <v>PHIẾU XỬ LÝ HỒ SƠ THANH TOÁN VƯỢT THẨM QUYỀN PD</v>
          </cell>
        </row>
      </sheetData>
      <sheetData sheetId="4671">
        <row r="1">
          <cell r="A1" t="str">
            <v>PHIẾU XỬ LÝ HỒ SƠ THANH TOÁN VƯỢT THẨM QUYỀN PD</v>
          </cell>
        </row>
      </sheetData>
      <sheetData sheetId="4672">
        <row r="1">
          <cell r="A1" t="str">
            <v>PHIẾU XỬ LÝ HỒ SƠ THANH TOÁN VƯỢT THẨM QUYỀN PD</v>
          </cell>
        </row>
      </sheetData>
      <sheetData sheetId="4673">
        <row r="1">
          <cell r="A1" t="str">
            <v>PHIẾU XỬ LÝ HỒ SƠ THANH TOÁN VƯỢT THẨM QUYỀN PD</v>
          </cell>
        </row>
      </sheetData>
      <sheetData sheetId="4674">
        <row r="1">
          <cell r="A1" t="str">
            <v>PHIẾU XỬ LÝ HỒ SƠ THANH TOÁN VƯỢT THẨM QUYỀN PD</v>
          </cell>
        </row>
      </sheetData>
      <sheetData sheetId="4675">
        <row r="1">
          <cell r="A1" t="str">
            <v>PHIẾU XỬ LÝ HỒ SƠ THANH TOÁN VƯỢT THẨM QUYỀN PD</v>
          </cell>
        </row>
      </sheetData>
      <sheetData sheetId="4676">
        <row r="1">
          <cell r="A1" t="str">
            <v>PHIẾU XỬ LÝ HỒ SƠ THANH TOÁN VƯỢT THẨM QUYỀN PD</v>
          </cell>
        </row>
      </sheetData>
      <sheetData sheetId="4677">
        <row r="1">
          <cell r="A1" t="str">
            <v>PHIẾU XỬ LÝ HỒ SƠ THANH TOÁN VƯỢT THẨM QUYỀN PD</v>
          </cell>
        </row>
      </sheetData>
      <sheetData sheetId="4678">
        <row r="1">
          <cell r="A1" t="str">
            <v>PHIẾU XỬ LÝ HỒ SƠ THANH TOÁN VƯỢT THẨM QUYỀN PD</v>
          </cell>
        </row>
      </sheetData>
      <sheetData sheetId="4679">
        <row r="1">
          <cell r="A1" t="str">
            <v>PHIẾU XỬ LÝ HỒ SƠ THANH TOÁN VƯỢT THẨM QUYỀN PD</v>
          </cell>
        </row>
      </sheetData>
      <sheetData sheetId="4680">
        <row r="1">
          <cell r="A1" t="str">
            <v>PHIẾU XỬ LÝ HỒ SƠ THANH TOÁN VƯỢT THẨM QUYỀN PD</v>
          </cell>
        </row>
      </sheetData>
      <sheetData sheetId="4681">
        <row r="1">
          <cell r="A1" t="str">
            <v>PHIẾU XỬ LÝ HỒ SƠ THANH TOÁN VƯỢT THẨM QUYỀN PD</v>
          </cell>
        </row>
      </sheetData>
      <sheetData sheetId="4682">
        <row r="1">
          <cell r="A1" t="str">
            <v>PHIẾU XỬ LÝ HỒ SƠ THANH TOÁN VƯỢT THẨM QUYỀN PD</v>
          </cell>
        </row>
      </sheetData>
      <sheetData sheetId="4683">
        <row r="1">
          <cell r="A1" t="str">
            <v>PHIẾU XỬ LÝ HỒ SƠ THANH TOÁN VƯỢT THẨM QUYỀN PD</v>
          </cell>
        </row>
      </sheetData>
      <sheetData sheetId="4684">
        <row r="1">
          <cell r="A1" t="str">
            <v>PHIẾU XỬ LÝ HỒ SƠ THANH TOÁN VƯỢT THẨM QUYỀN PD</v>
          </cell>
        </row>
      </sheetData>
      <sheetData sheetId="4685">
        <row r="1">
          <cell r="A1" t="str">
            <v>PHIẾU XỬ LÝ HỒ SƠ THANH TOÁN VƯỢT THẨM QUYỀN PD</v>
          </cell>
        </row>
      </sheetData>
      <sheetData sheetId="4686">
        <row r="1">
          <cell r="A1" t="str">
            <v>PHIẾU XỬ LÝ HỒ SƠ THANH TOÁN VƯỢT THẨM QUYỀN PD</v>
          </cell>
        </row>
      </sheetData>
      <sheetData sheetId="4687">
        <row r="1">
          <cell r="A1" t="str">
            <v>PHIẾU XỬ LÝ HỒ SƠ THANH TOÁN VƯỢT THẨM QUYỀN PD</v>
          </cell>
        </row>
      </sheetData>
      <sheetData sheetId="4688">
        <row r="1">
          <cell r="A1" t="str">
            <v>PHIẾU XỬ LÝ HỒ SƠ THANH TOÁN VƯỢT THẨM QUYỀN PD</v>
          </cell>
        </row>
      </sheetData>
      <sheetData sheetId="4689">
        <row r="1">
          <cell r="A1" t="str">
            <v>PHIẾU XỬ LÝ HỒ SƠ THANH TOÁN VƯỢT THẨM QUYỀN PD</v>
          </cell>
        </row>
      </sheetData>
      <sheetData sheetId="4690">
        <row r="1">
          <cell r="A1" t="str">
            <v>PHIẾU XỬ LÝ HỒ SƠ THANH TOÁN VƯỢT THẨM QUYỀN PD</v>
          </cell>
        </row>
      </sheetData>
      <sheetData sheetId="4691">
        <row r="1">
          <cell r="A1" t="str">
            <v>PHIẾU XỬ LÝ HỒ SƠ THANH TOÁN VƯỢT THẨM QUYỀN PD</v>
          </cell>
        </row>
      </sheetData>
      <sheetData sheetId="4692">
        <row r="1">
          <cell r="A1" t="str">
            <v>PHIẾU XỬ LÝ HỒ SƠ THANH TOÁN VƯỢT THẨM QUYỀN PD</v>
          </cell>
        </row>
      </sheetData>
      <sheetData sheetId="4693">
        <row r="1">
          <cell r="A1" t="str">
            <v>PHIẾU XỬ LÝ HỒ SƠ THANH TOÁN VƯỢT THẨM QUYỀN PD</v>
          </cell>
        </row>
      </sheetData>
      <sheetData sheetId="4694">
        <row r="1">
          <cell r="A1" t="str">
            <v>PHIẾU XỬ LÝ HỒ SƠ THANH TOÁN VƯỢT THẨM QUYỀN PD</v>
          </cell>
        </row>
      </sheetData>
      <sheetData sheetId="4695">
        <row r="1">
          <cell r="A1" t="str">
            <v>PHIẾU XỬ LÝ HỒ SƠ THANH TOÁN VƯỢT THẨM QUYỀN PD</v>
          </cell>
        </row>
      </sheetData>
      <sheetData sheetId="4696">
        <row r="1">
          <cell r="A1" t="str">
            <v>PHIẾU XỬ LÝ HỒ SƠ THANH TOÁN VƯỢT THẨM QUYỀN PD</v>
          </cell>
        </row>
      </sheetData>
      <sheetData sheetId="4697">
        <row r="1">
          <cell r="A1" t="str">
            <v>PHIẾU XỬ LÝ HỒ SƠ THANH TOÁN VƯỢT THẨM QUYỀN PD</v>
          </cell>
        </row>
      </sheetData>
      <sheetData sheetId="4698">
        <row r="1">
          <cell r="A1" t="str">
            <v>PHIẾU XỬ LÝ HỒ SƠ THANH TOÁN VƯỢT THẨM QUYỀN PD</v>
          </cell>
        </row>
      </sheetData>
      <sheetData sheetId="4699">
        <row r="1">
          <cell r="A1" t="str">
            <v>PHIẾU XỬ LÝ HỒ SƠ THANH TOÁN VƯỢT THẨM QUYỀN PD</v>
          </cell>
        </row>
      </sheetData>
      <sheetData sheetId="4700">
        <row r="1">
          <cell r="A1" t="str">
            <v>PHIẾU XỬ LÝ HỒ SƠ THANH TOÁN VƯỢT THẨM QUYỀN PD</v>
          </cell>
        </row>
      </sheetData>
      <sheetData sheetId="4701">
        <row r="1">
          <cell r="A1" t="str">
            <v>PHIẾU XỬ LÝ HỒ SƠ THANH TOÁN VƯỢT THẨM QUYỀN PD</v>
          </cell>
        </row>
      </sheetData>
      <sheetData sheetId="4702">
        <row r="1">
          <cell r="A1" t="str">
            <v>PHIẾU XỬ LÝ HỒ SƠ THANH TOÁN VƯỢT THẨM QUYỀN PD</v>
          </cell>
        </row>
      </sheetData>
      <sheetData sheetId="4703">
        <row r="1">
          <cell r="A1" t="str">
            <v>PHIẾU XỬ LÝ HỒ SƠ THANH TOÁN VƯỢT THẨM QUYỀN PD</v>
          </cell>
        </row>
      </sheetData>
      <sheetData sheetId="4704">
        <row r="1">
          <cell r="A1" t="str">
            <v>PHIẾU XỬ LÝ HỒ SƠ THANH TOÁN VƯỢT THẨM QUYỀN PD</v>
          </cell>
        </row>
      </sheetData>
      <sheetData sheetId="4705">
        <row r="1">
          <cell r="A1" t="str">
            <v>PHIẾU XỬ LÝ HỒ SƠ THANH TOÁN VƯỢT THẨM QUYỀN PD</v>
          </cell>
        </row>
      </sheetData>
      <sheetData sheetId="4706">
        <row r="1">
          <cell r="A1" t="str">
            <v>PHIẾU XỬ LÝ HỒ SƠ THANH TOÁN VƯỢT THẨM QUYỀN PD</v>
          </cell>
        </row>
      </sheetData>
      <sheetData sheetId="4707">
        <row r="1">
          <cell r="A1" t="str">
            <v>PHIẾU XỬ LÝ HỒ SƠ THANH TOÁN VƯỢT THẨM QUYỀN PD</v>
          </cell>
        </row>
      </sheetData>
      <sheetData sheetId="4708">
        <row r="1">
          <cell r="A1" t="str">
            <v>PHIẾU XỬ LÝ HỒ SƠ THANH TOÁN VƯỢT THẨM QUYỀN PD</v>
          </cell>
        </row>
      </sheetData>
      <sheetData sheetId="4709">
        <row r="1">
          <cell r="A1" t="str">
            <v>PHIẾU XỬ LÝ HỒ SƠ THANH TOÁN VƯỢT THẨM QUYỀN PD</v>
          </cell>
        </row>
      </sheetData>
      <sheetData sheetId="4710">
        <row r="1">
          <cell r="A1" t="str">
            <v>PHIẾU XỬ LÝ HỒ SƠ THANH TOÁN VƯỢT THẨM QUYỀN PD</v>
          </cell>
        </row>
      </sheetData>
      <sheetData sheetId="4711">
        <row r="1">
          <cell r="A1" t="str">
            <v>PHIẾU XỬ LÝ HỒ SƠ THANH TOÁN VƯỢT THẨM QUYỀN PD</v>
          </cell>
        </row>
      </sheetData>
      <sheetData sheetId="4712">
        <row r="1">
          <cell r="A1" t="str">
            <v>PHIẾU XỬ LÝ HỒ SƠ THANH TOÁN VƯỢT THẨM QUYỀN PD</v>
          </cell>
        </row>
      </sheetData>
      <sheetData sheetId="4713">
        <row r="1">
          <cell r="A1" t="str">
            <v>PHIẾU XỬ LÝ HỒ SƠ THANH TOÁN VƯỢT THẨM QUYỀN PD</v>
          </cell>
        </row>
      </sheetData>
      <sheetData sheetId="4714">
        <row r="1">
          <cell r="A1" t="str">
            <v>PHIẾU XỬ LÝ HỒ SƠ THANH TOÁN VƯỢT THẨM QUYỀN PD</v>
          </cell>
        </row>
      </sheetData>
      <sheetData sheetId="4715">
        <row r="1">
          <cell r="A1" t="str">
            <v>PHIẾU XỬ LÝ HỒ SƠ THANH TOÁN VƯỢT THẨM QUYỀN PD</v>
          </cell>
        </row>
      </sheetData>
      <sheetData sheetId="4716">
        <row r="1">
          <cell r="A1" t="str">
            <v>PHIẾU XỬ LÝ HỒ SƠ THANH TOÁN VƯỢT THẨM QUYỀN PD</v>
          </cell>
        </row>
      </sheetData>
      <sheetData sheetId="4717">
        <row r="1">
          <cell r="A1" t="str">
            <v>PHIẾU XỬ LÝ HỒ SƠ THANH TOÁN VƯỢT THẨM QUYỀN PD</v>
          </cell>
        </row>
      </sheetData>
      <sheetData sheetId="4718">
        <row r="1">
          <cell r="A1" t="str">
            <v>PHIẾU XỬ LÝ HỒ SƠ THANH TOÁN VƯỢT THẨM QUYỀN PD</v>
          </cell>
        </row>
      </sheetData>
      <sheetData sheetId="4719">
        <row r="1">
          <cell r="A1" t="str">
            <v>PHIẾU XỬ LÝ HỒ SƠ THANH TOÁN VƯỢT THẨM QUYỀN PD</v>
          </cell>
        </row>
      </sheetData>
      <sheetData sheetId="4720">
        <row r="1">
          <cell r="A1" t="str">
            <v>PHIẾU XỬ LÝ HỒ SƠ THANH TOÁN VƯỢT THẨM QUYỀN PD</v>
          </cell>
        </row>
      </sheetData>
      <sheetData sheetId="4721">
        <row r="1">
          <cell r="A1" t="str">
            <v>PHIẾU XỬ LÝ HỒ SƠ THANH TOÁN VƯỢT THẨM QUYỀN PD</v>
          </cell>
        </row>
      </sheetData>
      <sheetData sheetId="4722">
        <row r="1">
          <cell r="A1" t="str">
            <v>PHIẾU XỬ LÝ HỒ SƠ THANH TOÁN VƯỢT THẨM QUYỀN PD</v>
          </cell>
        </row>
      </sheetData>
      <sheetData sheetId="4723">
        <row r="1">
          <cell r="A1" t="str">
            <v>PHIẾU XỬ LÝ HỒ SƠ THANH TOÁN VƯỢT THẨM QUYỀN PD</v>
          </cell>
        </row>
      </sheetData>
      <sheetData sheetId="4724">
        <row r="1">
          <cell r="A1" t="str">
            <v>PHIẾU XỬ LÝ HỒ SƠ THANH TOÁN VƯỢT THẨM QUYỀN PD</v>
          </cell>
        </row>
      </sheetData>
      <sheetData sheetId="4725">
        <row r="1">
          <cell r="A1" t="str">
            <v>PHIẾU XỬ LÝ HỒ SƠ THANH TOÁN VƯỢT THẨM QUYỀN PD</v>
          </cell>
        </row>
      </sheetData>
      <sheetData sheetId="4726">
        <row r="1">
          <cell r="A1" t="str">
            <v>PHIẾU XỬ LÝ HỒ SƠ THANH TOÁN VƯỢT THẨM QUYỀN PD</v>
          </cell>
        </row>
      </sheetData>
      <sheetData sheetId="4727">
        <row r="1">
          <cell r="A1" t="str">
            <v>PHIẾU XỬ LÝ HỒ SƠ THANH TOÁN VƯỢT THẨM QUYỀN PD</v>
          </cell>
        </row>
      </sheetData>
      <sheetData sheetId="4728">
        <row r="1">
          <cell r="A1" t="str">
            <v>PHIẾU XỬ LÝ HỒ SƠ THANH TOÁN VƯỢT THẨM QUYỀN PD</v>
          </cell>
        </row>
      </sheetData>
      <sheetData sheetId="4729">
        <row r="1">
          <cell r="A1" t="str">
            <v>PHIẾU XỬ LÝ HỒ SƠ THANH TOÁN VƯỢT THẨM QUYỀN PD</v>
          </cell>
        </row>
      </sheetData>
      <sheetData sheetId="4730">
        <row r="1">
          <cell r="A1" t="str">
            <v>PHIẾU XỬ LÝ HỒ SƠ THANH TOÁN VƯỢT THẨM QUYỀN PD</v>
          </cell>
        </row>
      </sheetData>
      <sheetData sheetId="4731">
        <row r="1">
          <cell r="A1" t="str">
            <v>PHIẾU XỬ LÝ HỒ SƠ THANH TOÁN VƯỢT THẨM QUYỀN PD</v>
          </cell>
        </row>
      </sheetData>
      <sheetData sheetId="4732">
        <row r="1">
          <cell r="A1" t="str">
            <v>PHIẾU XỬ LÝ HỒ SƠ THANH TOÁN VƯỢT THẨM QUYỀN PD</v>
          </cell>
        </row>
      </sheetData>
      <sheetData sheetId="4733">
        <row r="1">
          <cell r="A1" t="str">
            <v>PHIẾU XỬ LÝ HỒ SƠ THANH TOÁN VƯỢT THẨM QUYỀN PD</v>
          </cell>
        </row>
      </sheetData>
      <sheetData sheetId="4734">
        <row r="1">
          <cell r="A1" t="str">
            <v>PHIẾU XỬ LÝ HỒ SƠ THANH TOÁN VƯỢT THẨM QUYỀN PD</v>
          </cell>
        </row>
      </sheetData>
      <sheetData sheetId="4735">
        <row r="1">
          <cell r="A1" t="str">
            <v>PHIẾU XỬ LÝ HỒ SƠ THANH TOÁN VƯỢT THẨM QUYỀN PD</v>
          </cell>
        </row>
      </sheetData>
      <sheetData sheetId="4736">
        <row r="1">
          <cell r="A1" t="str">
            <v>PHIẾU XỬ LÝ HỒ SƠ THANH TOÁN VƯỢT THẨM QUYỀN PD</v>
          </cell>
        </row>
      </sheetData>
      <sheetData sheetId="4737">
        <row r="1">
          <cell r="A1" t="str">
            <v>PHIẾU XỬ LÝ HỒ SƠ THANH TOÁN VƯỢT THẨM QUYỀN PD</v>
          </cell>
        </row>
      </sheetData>
      <sheetData sheetId="4738">
        <row r="1">
          <cell r="A1" t="str">
            <v>PHIẾU XỬ LÝ HỒ SƠ THANH TOÁN VƯỢT THẨM QUYỀN PD</v>
          </cell>
        </row>
      </sheetData>
      <sheetData sheetId="4739">
        <row r="1">
          <cell r="A1" t="str">
            <v>PHIẾU XỬ LÝ HỒ SƠ THANH TOÁN VƯỢT THẨM QUYỀN PD</v>
          </cell>
        </row>
      </sheetData>
      <sheetData sheetId="4740">
        <row r="1">
          <cell r="A1" t="str">
            <v>PHIẾU XỬ LÝ HỒ SƠ THANH TOÁN VƯỢT THẨM QUYỀN PD</v>
          </cell>
        </row>
      </sheetData>
      <sheetData sheetId="4741">
        <row r="1">
          <cell r="A1" t="str">
            <v>PHIẾU XỬ LÝ HỒ SƠ THANH TOÁN VƯỢT THẨM QUYỀN PD</v>
          </cell>
        </row>
      </sheetData>
      <sheetData sheetId="4742">
        <row r="1">
          <cell r="A1" t="str">
            <v>PHIẾU XỬ LÝ HỒ SƠ THANH TOÁN VƯỢT THẨM QUYỀN PD</v>
          </cell>
        </row>
      </sheetData>
      <sheetData sheetId="4743">
        <row r="1">
          <cell r="A1" t="str">
            <v>PHIẾU XỬ LÝ HỒ SƠ THANH TOÁN VƯỢT THẨM QUYỀN PD</v>
          </cell>
        </row>
      </sheetData>
      <sheetData sheetId="4744">
        <row r="1">
          <cell r="A1" t="str">
            <v>PHIẾU XỬ LÝ HỒ SƠ THANH TOÁN VƯỢT THẨM QUYỀN PD</v>
          </cell>
        </row>
      </sheetData>
      <sheetData sheetId="4745">
        <row r="1">
          <cell r="A1" t="str">
            <v>PHIẾU XỬ LÝ HỒ SƠ THANH TOÁN VƯỢT THẨM QUYỀN PD</v>
          </cell>
        </row>
      </sheetData>
      <sheetData sheetId="4746">
        <row r="1">
          <cell r="A1" t="str">
            <v>PHIẾU XỬ LÝ HỒ SƠ THANH TOÁN VƯỢT THẨM QUYỀN PD</v>
          </cell>
        </row>
      </sheetData>
      <sheetData sheetId="4747">
        <row r="1">
          <cell r="A1" t="str">
            <v>PHIẾU XỬ LÝ HỒ SƠ THANH TOÁN VƯỢT THẨM QUYỀN PD</v>
          </cell>
        </row>
      </sheetData>
      <sheetData sheetId="4748">
        <row r="1">
          <cell r="A1" t="str">
            <v>PHIẾU XỬ LÝ HỒ SƠ THANH TOÁN VƯỢT THẨM QUYỀN PD</v>
          </cell>
        </row>
      </sheetData>
      <sheetData sheetId="4749">
        <row r="1">
          <cell r="A1" t="str">
            <v>PHIẾU XỬ LÝ HỒ SƠ THANH TOÁN VƯỢT THẨM QUYỀN PD</v>
          </cell>
        </row>
      </sheetData>
      <sheetData sheetId="4750">
        <row r="1">
          <cell r="A1" t="str">
            <v>PHIẾU XỬ LÝ HỒ SƠ THANH TOÁN VƯỢT THẨM QUYỀN PD</v>
          </cell>
        </row>
      </sheetData>
      <sheetData sheetId="4751">
        <row r="1">
          <cell r="A1" t="str">
            <v>PHIẾU XỬ LÝ HỒ SƠ THANH TOÁN VƯỢT THẨM QUYỀN PD</v>
          </cell>
        </row>
      </sheetData>
      <sheetData sheetId="4752">
        <row r="1">
          <cell r="A1" t="str">
            <v>PHIẾU XỬ LÝ HỒ SƠ THANH TOÁN VƯỢT THẨM QUYỀN PD</v>
          </cell>
        </row>
      </sheetData>
      <sheetData sheetId="4753">
        <row r="1">
          <cell r="A1" t="str">
            <v>PHIẾU XỬ LÝ HỒ SƠ THANH TOÁN VƯỢT THẨM QUYỀN PD</v>
          </cell>
        </row>
      </sheetData>
      <sheetData sheetId="4754">
        <row r="1">
          <cell r="A1" t="str">
            <v>PHIẾU XỬ LÝ HỒ SƠ THANH TOÁN VƯỢT THẨM QUYỀN PD</v>
          </cell>
        </row>
      </sheetData>
      <sheetData sheetId="4755">
        <row r="1">
          <cell r="A1" t="str">
            <v>PHIẾU XỬ LÝ HỒ SƠ THANH TOÁN VƯỢT THẨM QUYỀN PD</v>
          </cell>
        </row>
      </sheetData>
      <sheetData sheetId="4756">
        <row r="1">
          <cell r="A1" t="str">
            <v>PHIẾU XỬ LÝ HỒ SƠ THANH TOÁN VƯỢT THẨM QUYỀN PD</v>
          </cell>
        </row>
      </sheetData>
      <sheetData sheetId="4757">
        <row r="1">
          <cell r="A1" t="str">
            <v>PHIẾU XỬ LÝ HỒ SƠ THANH TOÁN VƯỢT THẨM QUYỀN PD</v>
          </cell>
        </row>
      </sheetData>
      <sheetData sheetId="4758">
        <row r="1">
          <cell r="A1" t="str">
            <v>PHIẾU XỬ LÝ HỒ SƠ THANH TOÁN VƯỢT THẨM QUYỀN PD</v>
          </cell>
        </row>
      </sheetData>
      <sheetData sheetId="4759">
        <row r="1">
          <cell r="A1" t="str">
            <v>PHIẾU XỬ LÝ HỒ SƠ THANH TOÁN VƯỢT THẨM QUYỀN PD</v>
          </cell>
        </row>
      </sheetData>
      <sheetData sheetId="4760">
        <row r="1">
          <cell r="A1" t="str">
            <v>PHIẾU XỬ LÝ HỒ SƠ THANH TOÁN VƯỢT THẨM QUYỀN PD</v>
          </cell>
        </row>
      </sheetData>
      <sheetData sheetId="4761">
        <row r="1">
          <cell r="A1" t="str">
            <v>PHIẾU XỬ LÝ HỒ SƠ THANH TOÁN VƯỢT THẨM QUYỀN PD</v>
          </cell>
        </row>
      </sheetData>
      <sheetData sheetId="4762">
        <row r="1">
          <cell r="A1" t="str">
            <v>PHIẾU XỬ LÝ HỒ SƠ THANH TOÁN VƯỢT THẨM QUYỀN PD</v>
          </cell>
        </row>
      </sheetData>
      <sheetData sheetId="4763">
        <row r="1">
          <cell r="A1" t="str">
            <v>PHIẾU XỬ LÝ HỒ SƠ THANH TOÁN VƯỢT THẨM QUYỀN PD</v>
          </cell>
        </row>
      </sheetData>
      <sheetData sheetId="4764">
        <row r="1">
          <cell r="A1" t="str">
            <v>PHIẾU XỬ LÝ HỒ SƠ THANH TOÁN VƯỢT THẨM QUYỀN PD</v>
          </cell>
        </row>
      </sheetData>
      <sheetData sheetId="4765">
        <row r="1">
          <cell r="A1" t="str">
            <v>PHIẾU XỬ LÝ HỒ SƠ THANH TOÁN VƯỢT THẨM QUYỀN PD</v>
          </cell>
        </row>
      </sheetData>
      <sheetData sheetId="4766">
        <row r="1">
          <cell r="A1" t="str">
            <v>PHIẾU XỬ LÝ HỒ SƠ THANH TOÁN VƯỢT THẨM QUYỀN PD</v>
          </cell>
        </row>
      </sheetData>
      <sheetData sheetId="4767">
        <row r="1">
          <cell r="A1" t="str">
            <v>PHIẾU XỬ LÝ HỒ SƠ THANH TOÁN VƯỢT THẨM QUYỀN PD</v>
          </cell>
        </row>
      </sheetData>
      <sheetData sheetId="4768">
        <row r="1">
          <cell r="A1" t="str">
            <v>PHIẾU XỬ LÝ HỒ SƠ THANH TOÁN VƯỢT THẨM QUYỀN PD</v>
          </cell>
        </row>
      </sheetData>
      <sheetData sheetId="4769">
        <row r="1">
          <cell r="A1" t="str">
            <v>PHIẾU XỬ LÝ HỒ SƠ THANH TOÁN VƯỢT THẨM QUYỀN PD</v>
          </cell>
        </row>
      </sheetData>
      <sheetData sheetId="4770">
        <row r="1">
          <cell r="A1" t="str">
            <v>PHIẾU XỬ LÝ HỒ SƠ THANH TOÁN VƯỢT THẨM QUYỀN PD</v>
          </cell>
        </row>
      </sheetData>
      <sheetData sheetId="4771">
        <row r="1">
          <cell r="A1" t="str">
            <v>PHIẾU XỬ LÝ HỒ SƠ THANH TOÁN VƯỢT THẨM QUYỀN PD</v>
          </cell>
        </row>
      </sheetData>
      <sheetData sheetId="4772">
        <row r="1">
          <cell r="A1" t="str">
            <v>PHIẾU XỬ LÝ HỒ SƠ THANH TOÁN VƯỢT THẨM QUYỀN PD</v>
          </cell>
        </row>
      </sheetData>
      <sheetData sheetId="4773">
        <row r="1">
          <cell r="A1" t="str">
            <v>PHIẾU XỬ LÝ HỒ SƠ THANH TOÁN VƯỢT THẨM QUYỀN PD</v>
          </cell>
        </row>
      </sheetData>
      <sheetData sheetId="4774">
        <row r="1">
          <cell r="A1" t="str">
            <v>PHIẾU XỬ LÝ HỒ SƠ THANH TOÁN VƯỢT THẨM QUYỀN PD</v>
          </cell>
        </row>
      </sheetData>
      <sheetData sheetId="4775">
        <row r="1">
          <cell r="A1" t="str">
            <v>PHIẾU XỬ LÝ HỒ SƠ THANH TOÁN VƯỢT THẨM QUYỀN PD</v>
          </cell>
        </row>
      </sheetData>
      <sheetData sheetId="4776">
        <row r="1">
          <cell r="A1" t="str">
            <v>PHIẾU XỬ LÝ HỒ SƠ THANH TOÁN VƯỢT THẨM QUYỀN PD</v>
          </cell>
        </row>
      </sheetData>
      <sheetData sheetId="4777">
        <row r="1">
          <cell r="A1" t="str">
            <v>PHIẾU XỬ LÝ HỒ SƠ THANH TOÁN VƯỢT THẨM QUYỀN PD</v>
          </cell>
        </row>
      </sheetData>
      <sheetData sheetId="4778">
        <row r="1">
          <cell r="A1" t="str">
            <v>PHIẾU XỬ LÝ HỒ SƠ THANH TOÁN VƯỢT THẨM QUYỀN PD</v>
          </cell>
        </row>
      </sheetData>
      <sheetData sheetId="4779">
        <row r="1">
          <cell r="A1" t="str">
            <v>PHIẾU XỬ LÝ HỒ SƠ THANH TOÁN VƯỢT THẨM QUYỀN PD</v>
          </cell>
        </row>
      </sheetData>
      <sheetData sheetId="4780">
        <row r="1">
          <cell r="A1" t="str">
            <v>PHIẾU XỬ LÝ HỒ SƠ THANH TOÁN VƯỢT THẨM QUYỀN PD</v>
          </cell>
        </row>
      </sheetData>
      <sheetData sheetId="4781">
        <row r="1">
          <cell r="A1" t="str">
            <v>PHIẾU XỬ LÝ HỒ SƠ THANH TOÁN VƯỢT THẨM QUYỀN PD</v>
          </cell>
        </row>
      </sheetData>
      <sheetData sheetId="4782">
        <row r="1">
          <cell r="A1" t="str">
            <v>PHIẾU XỬ LÝ HỒ SƠ THANH TOÁN VƯỢT THẨM QUYỀN PD</v>
          </cell>
        </row>
      </sheetData>
      <sheetData sheetId="4783">
        <row r="1">
          <cell r="A1" t="str">
            <v>PHIẾU XỬ LÝ HỒ SƠ THANH TOÁN VƯỢT THẨM QUYỀN PD</v>
          </cell>
        </row>
      </sheetData>
      <sheetData sheetId="4784">
        <row r="1">
          <cell r="A1" t="str">
            <v>PHIẾU XỬ LÝ HỒ SƠ THANH TOÁN VƯỢT THẨM QUYỀN PD</v>
          </cell>
        </row>
      </sheetData>
      <sheetData sheetId="4785">
        <row r="1">
          <cell r="A1" t="str">
            <v>PHIẾU XỬ LÝ HỒ SƠ THANH TOÁN VƯỢT THẨM QUYỀN PD</v>
          </cell>
        </row>
      </sheetData>
      <sheetData sheetId="4786">
        <row r="1">
          <cell r="A1" t="str">
            <v>PHIẾU XỬ LÝ HỒ SƠ THANH TOÁN VƯỢT THẨM QUYỀN PD</v>
          </cell>
        </row>
      </sheetData>
      <sheetData sheetId="4787">
        <row r="1">
          <cell r="A1" t="str">
            <v>PHIẾU XỬ LÝ HỒ SƠ THANH TOÁN VƯỢT THẨM QUYỀN PD</v>
          </cell>
        </row>
      </sheetData>
      <sheetData sheetId="4788">
        <row r="1">
          <cell r="A1" t="str">
            <v>PHIẾU XỬ LÝ HỒ SƠ THANH TOÁN VƯỢT THẨM QUYỀN PD</v>
          </cell>
        </row>
      </sheetData>
      <sheetData sheetId="4789">
        <row r="1">
          <cell r="A1" t="str">
            <v>PHIẾU XỬ LÝ HỒ SƠ THANH TOÁN VƯỢT THẨM QUYỀN PD</v>
          </cell>
        </row>
      </sheetData>
      <sheetData sheetId="4790">
        <row r="1">
          <cell r="A1" t="str">
            <v>PHIẾU XỬ LÝ HỒ SƠ THANH TOÁN VƯỢT THẨM QUYỀN PD</v>
          </cell>
        </row>
      </sheetData>
      <sheetData sheetId="4791">
        <row r="1">
          <cell r="A1" t="str">
            <v>PHIẾU XỬ LÝ HỒ SƠ THANH TOÁN VƯỢT THẨM QUYỀN PD</v>
          </cell>
        </row>
      </sheetData>
      <sheetData sheetId="4792">
        <row r="1">
          <cell r="A1" t="str">
            <v>PHIẾU XỬ LÝ HỒ SƠ THANH TOÁN VƯỢT THẨM QUYỀN PD</v>
          </cell>
        </row>
      </sheetData>
      <sheetData sheetId="4793">
        <row r="1">
          <cell r="A1" t="str">
            <v>PHIẾU XỬ LÝ HỒ SƠ THANH TOÁN VƯỢT THẨM QUYỀN PD</v>
          </cell>
        </row>
      </sheetData>
      <sheetData sheetId="4794">
        <row r="1">
          <cell r="A1" t="str">
            <v>PHIẾU XỬ LÝ HỒ SƠ THANH TOÁN VƯỢT THẨM QUYỀN PD</v>
          </cell>
        </row>
      </sheetData>
      <sheetData sheetId="4795">
        <row r="1">
          <cell r="A1" t="str">
            <v>PHIẾU XỬ LÝ HỒ SƠ THANH TOÁN VƯỢT THẨM QUYỀN PD</v>
          </cell>
        </row>
      </sheetData>
      <sheetData sheetId="4796">
        <row r="1">
          <cell r="A1" t="str">
            <v>PHIẾU XỬ LÝ HỒ SƠ THANH TOÁN VƯỢT THẨM QUYỀN PD</v>
          </cell>
        </row>
      </sheetData>
      <sheetData sheetId="4797">
        <row r="1">
          <cell r="A1" t="str">
            <v>PHIẾU XỬ LÝ HỒ SƠ THANH TOÁN VƯỢT THẨM QUYỀN PD</v>
          </cell>
        </row>
      </sheetData>
      <sheetData sheetId="4798">
        <row r="1">
          <cell r="A1" t="str">
            <v>PHIẾU XỬ LÝ HỒ SƠ THANH TOÁN VƯỢT THẨM QUYỀN PD</v>
          </cell>
        </row>
      </sheetData>
      <sheetData sheetId="4799">
        <row r="1">
          <cell r="A1" t="str">
            <v>PHIẾU XỬ LÝ HỒ SƠ THANH TOÁN VƯỢT THẨM QUYỀN PD</v>
          </cell>
        </row>
      </sheetData>
      <sheetData sheetId="4800">
        <row r="1">
          <cell r="A1" t="str">
            <v>PHIẾU XỬ LÝ HỒ SƠ THANH TOÁN VƯỢT THẨM QUYỀN PD</v>
          </cell>
        </row>
      </sheetData>
      <sheetData sheetId="4801">
        <row r="1">
          <cell r="A1" t="str">
            <v>PHIẾU XỬ LÝ HỒ SƠ THANH TOÁN VƯỢT THẨM QUYỀN PD</v>
          </cell>
        </row>
      </sheetData>
      <sheetData sheetId="4802">
        <row r="1">
          <cell r="A1" t="str">
            <v>PHIẾU XỬ LÝ HỒ SƠ THANH TOÁN VƯỢT THẨM QUYỀN PD</v>
          </cell>
        </row>
      </sheetData>
      <sheetData sheetId="4803">
        <row r="1">
          <cell r="A1" t="str">
            <v>PHIẾU XỬ LÝ HỒ SƠ THANH TOÁN VƯỢT THẨM QUYỀN PD</v>
          </cell>
        </row>
      </sheetData>
      <sheetData sheetId="4804">
        <row r="1">
          <cell r="A1" t="str">
            <v>PHIẾU XỬ LÝ HỒ SƠ THANH TOÁN VƯỢT THẨM QUYỀN PD</v>
          </cell>
        </row>
      </sheetData>
      <sheetData sheetId="4805">
        <row r="1">
          <cell r="A1" t="str">
            <v>PHIẾU XỬ LÝ HỒ SƠ THANH TOÁN VƯỢT THẨM QUYỀN PD</v>
          </cell>
        </row>
      </sheetData>
      <sheetData sheetId="4806">
        <row r="1">
          <cell r="A1" t="str">
            <v>PHIẾU XỬ LÝ HỒ SƠ THANH TOÁN VƯỢT THẨM QUYỀN PD</v>
          </cell>
        </row>
      </sheetData>
      <sheetData sheetId="4807">
        <row r="1">
          <cell r="A1" t="str">
            <v>PHIẾU XỬ LÝ HỒ SƠ THANH TOÁN VƯỢT THẨM QUYỀN PD</v>
          </cell>
        </row>
      </sheetData>
      <sheetData sheetId="4808">
        <row r="1">
          <cell r="A1" t="str">
            <v>PHIẾU XỬ LÝ HỒ SƠ THANH TOÁN VƯỢT THẨM QUYỀN PD</v>
          </cell>
        </row>
      </sheetData>
      <sheetData sheetId="4809">
        <row r="1">
          <cell r="A1" t="str">
            <v>PHIẾU XỬ LÝ HỒ SƠ THANH TOÁN VƯỢT THẨM QUYỀN PD</v>
          </cell>
        </row>
      </sheetData>
      <sheetData sheetId="4810">
        <row r="1">
          <cell r="A1" t="str">
            <v>PHIẾU XỬ LÝ HỒ SƠ THANH TOÁN VƯỢT THẨM QUYỀN PD</v>
          </cell>
        </row>
      </sheetData>
      <sheetData sheetId="4811">
        <row r="1">
          <cell r="A1" t="str">
            <v>PHIẾU XỬ LÝ HỒ SƠ THANH TOÁN VƯỢT THẨM QUYỀN PD</v>
          </cell>
        </row>
      </sheetData>
      <sheetData sheetId="4812">
        <row r="1">
          <cell r="A1" t="str">
            <v>PHIẾU XỬ LÝ HỒ SƠ THANH TOÁN VƯỢT THẨM QUYỀN PD</v>
          </cell>
        </row>
      </sheetData>
      <sheetData sheetId="4813">
        <row r="1">
          <cell r="A1" t="str">
            <v>PHIẾU XỬ LÝ HỒ SƠ THANH TOÁN VƯỢT THẨM QUYỀN PD</v>
          </cell>
        </row>
      </sheetData>
      <sheetData sheetId="4814">
        <row r="1">
          <cell r="A1" t="str">
            <v>PHIẾU XỬ LÝ HỒ SƠ THANH TOÁN VƯỢT THẨM QUYỀN PD</v>
          </cell>
        </row>
      </sheetData>
      <sheetData sheetId="4815">
        <row r="1">
          <cell r="A1" t="str">
            <v>PHIẾU XỬ LÝ HỒ SƠ THANH TOÁN VƯỢT THẨM QUYỀN PD</v>
          </cell>
        </row>
      </sheetData>
      <sheetData sheetId="4816">
        <row r="1">
          <cell r="A1" t="str">
            <v>PHIẾU XỬ LÝ HỒ SƠ THANH TOÁN VƯỢT THẨM QUYỀN PD</v>
          </cell>
        </row>
      </sheetData>
      <sheetData sheetId="4817">
        <row r="1">
          <cell r="A1" t="str">
            <v>PHIẾU XỬ LÝ HỒ SƠ THANH TOÁN VƯỢT THẨM QUYỀN PD</v>
          </cell>
        </row>
      </sheetData>
      <sheetData sheetId="4818">
        <row r="1">
          <cell r="A1" t="str">
            <v>PHIẾU XỬ LÝ HỒ SƠ THANH TOÁN VƯỢT THẨM QUYỀN PD</v>
          </cell>
        </row>
      </sheetData>
      <sheetData sheetId="4819">
        <row r="1">
          <cell r="A1" t="str">
            <v>PHIẾU XỬ LÝ HỒ SƠ THANH TOÁN VƯỢT THẨM QUYỀN PD</v>
          </cell>
        </row>
      </sheetData>
      <sheetData sheetId="4820">
        <row r="1">
          <cell r="A1" t="str">
            <v>PHIẾU XỬ LÝ HỒ SƠ THANH TOÁN VƯỢT THẨM QUYỀN PD</v>
          </cell>
        </row>
      </sheetData>
      <sheetData sheetId="4821">
        <row r="1">
          <cell r="A1" t="str">
            <v>PHIẾU XỬ LÝ HỒ SƠ THANH TOÁN VƯỢT THẨM QUYỀN PD</v>
          </cell>
        </row>
      </sheetData>
      <sheetData sheetId="4822">
        <row r="1">
          <cell r="A1" t="str">
            <v>PHIẾU XỬ LÝ HỒ SƠ THANH TOÁN VƯỢT THẨM QUYỀN PD</v>
          </cell>
        </row>
      </sheetData>
      <sheetData sheetId="4823">
        <row r="1">
          <cell r="A1" t="str">
            <v>PHIẾU XỬ LÝ HỒ SƠ THANH TOÁN VƯỢT THẨM QUYỀN PD</v>
          </cell>
        </row>
      </sheetData>
      <sheetData sheetId="4824">
        <row r="1">
          <cell r="A1" t="str">
            <v>PHIẾU XỬ LÝ HỒ SƠ THANH TOÁN VƯỢT THẨM QUYỀN PD</v>
          </cell>
        </row>
      </sheetData>
      <sheetData sheetId="4825">
        <row r="1">
          <cell r="A1" t="str">
            <v>PHIẾU XỬ LÝ HỒ SƠ THANH TOÁN VƯỢT THẨM QUYỀN PD</v>
          </cell>
        </row>
      </sheetData>
      <sheetData sheetId="4826">
        <row r="1">
          <cell r="A1" t="str">
            <v>PHIẾU XỬ LÝ HỒ SƠ THANH TOÁN VƯỢT THẨM QUYỀN PD</v>
          </cell>
        </row>
      </sheetData>
      <sheetData sheetId="4827">
        <row r="1">
          <cell r="A1" t="str">
            <v>PHIẾU XỬ LÝ HỒ SƠ THANH TOÁN VƯỢT THẨM QUYỀN PD</v>
          </cell>
        </row>
      </sheetData>
      <sheetData sheetId="4828">
        <row r="1">
          <cell r="A1" t="str">
            <v>PHIẾU XỬ LÝ HỒ SƠ THANH TOÁN VƯỢT THẨM QUYỀN PD</v>
          </cell>
        </row>
      </sheetData>
      <sheetData sheetId="4829">
        <row r="1">
          <cell r="A1" t="str">
            <v>PHIẾU XỬ LÝ HỒ SƠ THANH TOÁN VƯỢT THẨM QUYỀN PD</v>
          </cell>
        </row>
      </sheetData>
      <sheetData sheetId="4830">
        <row r="1">
          <cell r="A1" t="str">
            <v>PHIẾU XỬ LÝ HỒ SƠ THANH TOÁN VƯỢT THẨM QUYỀN PD</v>
          </cell>
        </row>
      </sheetData>
      <sheetData sheetId="4831">
        <row r="1">
          <cell r="A1" t="str">
            <v>PHIẾU XỬ LÝ HỒ SƠ THANH TOÁN VƯỢT THẨM QUYỀN PD</v>
          </cell>
        </row>
      </sheetData>
      <sheetData sheetId="4832">
        <row r="1">
          <cell r="A1" t="str">
            <v>PHIẾU XỬ LÝ HỒ SƠ THANH TOÁN VƯỢT THẨM QUYỀN PD</v>
          </cell>
        </row>
      </sheetData>
      <sheetData sheetId="4833">
        <row r="1">
          <cell r="A1" t="str">
            <v>PHIẾU XỬ LÝ HỒ SƠ THANH TOÁN VƯỢT THẨM QUYỀN PD</v>
          </cell>
        </row>
      </sheetData>
      <sheetData sheetId="4834">
        <row r="1">
          <cell r="A1" t="str">
            <v>PHIẾU XỬ LÝ HỒ SƠ THANH TOÁN VƯỢT THẨM QUYỀN PD</v>
          </cell>
        </row>
      </sheetData>
      <sheetData sheetId="4835">
        <row r="1">
          <cell r="A1" t="str">
            <v>PHIẾU XỬ LÝ HỒ SƠ THANH TOÁN VƯỢT THẨM QUYỀN PD</v>
          </cell>
        </row>
      </sheetData>
      <sheetData sheetId="4836">
        <row r="1">
          <cell r="A1" t="str">
            <v>PHIẾU XỬ LÝ HỒ SƠ THANH TOÁN VƯỢT THẨM QUYỀN PD</v>
          </cell>
        </row>
      </sheetData>
      <sheetData sheetId="4837">
        <row r="1">
          <cell r="A1" t="str">
            <v>PHIẾU XỬ LÝ HỒ SƠ THANH TOÁN VƯỢT THẨM QUYỀN PD</v>
          </cell>
        </row>
      </sheetData>
      <sheetData sheetId="4838">
        <row r="1">
          <cell r="A1" t="str">
            <v>PHIẾU XỬ LÝ HỒ SƠ THANH TOÁN VƯỢT THẨM QUYỀN PD</v>
          </cell>
        </row>
      </sheetData>
      <sheetData sheetId="4839">
        <row r="1">
          <cell r="A1" t="str">
            <v>PHIẾU XỬ LÝ HỒ SƠ THANH TOÁN VƯỢT THẨM QUYỀN PD</v>
          </cell>
        </row>
      </sheetData>
      <sheetData sheetId="4840">
        <row r="1">
          <cell r="A1" t="str">
            <v>PHIẾU XỬ LÝ HỒ SƠ THANH TOÁN VƯỢT THẨM QUYỀN PD</v>
          </cell>
        </row>
      </sheetData>
      <sheetData sheetId="4841">
        <row r="1">
          <cell r="A1" t="str">
            <v>PHIẾU XỬ LÝ HỒ SƠ THANH TOÁN VƯỢT THẨM QUYỀN PD</v>
          </cell>
        </row>
      </sheetData>
      <sheetData sheetId="4842">
        <row r="1">
          <cell r="A1" t="str">
            <v>PHIẾU XỬ LÝ HỒ SƠ THANH TOÁN VƯỢT THẨM QUYỀN PD</v>
          </cell>
        </row>
      </sheetData>
      <sheetData sheetId="4843">
        <row r="1">
          <cell r="A1" t="str">
            <v>PHIẾU XỬ LÝ HỒ SƠ THANH TOÁN VƯỢT THẨM QUYỀN PD</v>
          </cell>
        </row>
      </sheetData>
      <sheetData sheetId="4844">
        <row r="1">
          <cell r="A1" t="str">
            <v>PHIẾU XỬ LÝ HỒ SƠ THANH TOÁN VƯỢT THẨM QUYỀN PD</v>
          </cell>
        </row>
      </sheetData>
      <sheetData sheetId="4845">
        <row r="1">
          <cell r="A1" t="str">
            <v>PHIẾU XỬ LÝ HỒ SƠ THANH TOÁN VƯỢT THẨM QUYỀN PD</v>
          </cell>
        </row>
      </sheetData>
      <sheetData sheetId="4846">
        <row r="1">
          <cell r="A1" t="str">
            <v>PHIẾU XỬ LÝ HỒ SƠ THANH TOÁN VƯỢT THẨM QUYỀN PD</v>
          </cell>
        </row>
      </sheetData>
      <sheetData sheetId="4847">
        <row r="1">
          <cell r="A1" t="str">
            <v>PHIẾU XỬ LÝ HỒ SƠ THANH TOÁN VƯỢT THẨM QUYỀN PD</v>
          </cell>
        </row>
      </sheetData>
      <sheetData sheetId="4848">
        <row r="1">
          <cell r="A1" t="str">
            <v>PHIẾU XỬ LÝ HỒ SƠ THANH TOÁN VƯỢT THẨM QUYỀN PD</v>
          </cell>
        </row>
      </sheetData>
      <sheetData sheetId="4849">
        <row r="1">
          <cell r="A1" t="str">
            <v>PHIẾU XỬ LÝ HỒ SƠ THANH TOÁN VƯỢT THẨM QUYỀN PD</v>
          </cell>
        </row>
      </sheetData>
      <sheetData sheetId="4850">
        <row r="1">
          <cell r="A1" t="str">
            <v>PHIẾU XỬ LÝ HỒ SƠ THANH TOÁN VƯỢT THẨM QUYỀN PD</v>
          </cell>
        </row>
      </sheetData>
      <sheetData sheetId="4851">
        <row r="1">
          <cell r="A1" t="str">
            <v>PHIẾU XỬ LÝ HỒ SƠ THANH TOÁN VƯỢT THẨM QUYỀN PD</v>
          </cell>
        </row>
      </sheetData>
      <sheetData sheetId="4852">
        <row r="1">
          <cell r="A1" t="str">
            <v>PHIẾU XỬ LÝ HỒ SƠ THANH TOÁN VƯỢT THẨM QUYỀN PD</v>
          </cell>
        </row>
      </sheetData>
      <sheetData sheetId="4853">
        <row r="1">
          <cell r="A1" t="str">
            <v>PHIẾU XỬ LÝ HỒ SƠ THANH TOÁN VƯỢT THẨM QUYỀN PD</v>
          </cell>
        </row>
      </sheetData>
      <sheetData sheetId="4854">
        <row r="1">
          <cell r="A1" t="str">
            <v>PHIẾU XỬ LÝ HỒ SƠ THANH TOÁN VƯỢT THẨM QUYỀN PD</v>
          </cell>
        </row>
      </sheetData>
      <sheetData sheetId="4855">
        <row r="1">
          <cell r="A1" t="str">
            <v>PHIẾU XỬ LÝ HỒ SƠ THANH TOÁN VƯỢT THẨM QUYỀN PD</v>
          </cell>
        </row>
      </sheetData>
      <sheetData sheetId="4856">
        <row r="1">
          <cell r="A1" t="str">
            <v>PHIẾU XỬ LÝ HỒ SƠ THANH TOÁN VƯỢT THẨM QUYỀN PD</v>
          </cell>
        </row>
      </sheetData>
      <sheetData sheetId="4857">
        <row r="1">
          <cell r="A1" t="str">
            <v>PHIẾU XỬ LÝ HỒ SƠ THANH TOÁN VƯỢT THẨM QUYỀN PD</v>
          </cell>
        </row>
      </sheetData>
      <sheetData sheetId="4858">
        <row r="1">
          <cell r="A1" t="str">
            <v>PHIẾU XỬ LÝ HỒ SƠ THANH TOÁN VƯỢT THẨM QUYỀN PD</v>
          </cell>
        </row>
      </sheetData>
      <sheetData sheetId="4859">
        <row r="1">
          <cell r="A1" t="str">
            <v>PHIẾU XỬ LÝ HỒ SƠ THANH TOÁN VƯỢT THẨM QUYỀN PD</v>
          </cell>
        </row>
      </sheetData>
      <sheetData sheetId="4860">
        <row r="1">
          <cell r="A1" t="str">
            <v>PHIẾU XỬ LÝ HỒ SƠ THANH TOÁN VƯỢT THẨM QUYỀN PD</v>
          </cell>
        </row>
      </sheetData>
      <sheetData sheetId="4861">
        <row r="1">
          <cell r="A1" t="str">
            <v>PHIẾU XỬ LÝ HỒ SƠ THANH TOÁN VƯỢT THẨM QUYỀN PD</v>
          </cell>
        </row>
      </sheetData>
      <sheetData sheetId="4862">
        <row r="1">
          <cell r="A1" t="str">
            <v>PHIẾU XỬ LÝ HỒ SƠ THANH TOÁN VƯỢT THẨM QUYỀN PD</v>
          </cell>
        </row>
      </sheetData>
      <sheetData sheetId="4863">
        <row r="1">
          <cell r="A1" t="str">
            <v>PHIẾU XỬ LÝ HỒ SƠ THANH TOÁN VƯỢT THẨM QUYỀN PD</v>
          </cell>
        </row>
      </sheetData>
      <sheetData sheetId="4864">
        <row r="1">
          <cell r="A1" t="str">
            <v>PHIẾU XỬ LÝ HỒ SƠ THANH TOÁN VƯỢT THẨM QUYỀN PD</v>
          </cell>
        </row>
      </sheetData>
      <sheetData sheetId="4865">
        <row r="1">
          <cell r="A1" t="str">
            <v>PHIẾU XỬ LÝ HỒ SƠ THANH TOÁN VƯỢT THẨM QUYỀN PD</v>
          </cell>
        </row>
      </sheetData>
      <sheetData sheetId="4866">
        <row r="1">
          <cell r="A1" t="str">
            <v>PHIẾU XỬ LÝ HỒ SƠ THANH TOÁN VƯỢT THẨM QUYỀN PD</v>
          </cell>
        </row>
      </sheetData>
      <sheetData sheetId="4867">
        <row r="1">
          <cell r="A1" t="str">
            <v>PHIẾU XỬ LÝ HỒ SƠ THANH TOÁN VƯỢT THẨM QUYỀN PD</v>
          </cell>
        </row>
      </sheetData>
      <sheetData sheetId="4868">
        <row r="1">
          <cell r="A1" t="str">
            <v>PHIẾU XỬ LÝ HỒ SƠ THANH TOÁN VƯỢT THẨM QUYỀN PD</v>
          </cell>
        </row>
      </sheetData>
      <sheetData sheetId="4869">
        <row r="1">
          <cell r="A1" t="str">
            <v>PHIẾU XỬ LÝ HỒ SƠ THANH TOÁN VƯỢT THẨM QUYỀN PD</v>
          </cell>
        </row>
      </sheetData>
      <sheetData sheetId="4870">
        <row r="1">
          <cell r="A1" t="str">
            <v>PHIẾU XỬ LÝ HỒ SƠ THANH TOÁN VƯỢT THẨM QUYỀN PD</v>
          </cell>
        </row>
      </sheetData>
      <sheetData sheetId="4871">
        <row r="1">
          <cell r="A1" t="str">
            <v>PHIẾU XỬ LÝ HỒ SƠ THANH TOÁN VƯỢT THẨM QUYỀN PD</v>
          </cell>
        </row>
      </sheetData>
      <sheetData sheetId="4872">
        <row r="1">
          <cell r="A1" t="str">
            <v>PHIẾU XỬ LÝ HỒ SƠ THANH TOÁN VƯỢT THẨM QUYỀN PD</v>
          </cell>
        </row>
      </sheetData>
      <sheetData sheetId="4873">
        <row r="1">
          <cell r="A1" t="str">
            <v>PHIẾU XỬ LÝ HỒ SƠ THANH TOÁN VƯỢT THẨM QUYỀN PD</v>
          </cell>
        </row>
      </sheetData>
      <sheetData sheetId="4874">
        <row r="1">
          <cell r="A1" t="str">
            <v>PHIẾU XỬ LÝ HỒ SƠ THANH TOÁN VƯỢT THẨM QUYỀN PD</v>
          </cell>
        </row>
      </sheetData>
      <sheetData sheetId="4875">
        <row r="1">
          <cell r="A1" t="str">
            <v>PHIẾU XỬ LÝ HỒ SƠ THANH TOÁN VƯỢT THẨM QUYỀN PD</v>
          </cell>
        </row>
      </sheetData>
      <sheetData sheetId="4876">
        <row r="1">
          <cell r="A1" t="str">
            <v>PHIẾU XỬ LÝ HỒ SƠ THANH TOÁN VƯỢT THẨM QUYỀN PD</v>
          </cell>
        </row>
      </sheetData>
      <sheetData sheetId="4877">
        <row r="1">
          <cell r="A1" t="str">
            <v>PHIẾU XỬ LÝ HỒ SƠ THANH TOÁN VƯỢT THẨM QUYỀN PD</v>
          </cell>
        </row>
      </sheetData>
      <sheetData sheetId="4878">
        <row r="1">
          <cell r="A1" t="str">
            <v>PHIẾU XỬ LÝ HỒ SƠ THANH TOÁN VƯỢT THẨM QUYỀN PD</v>
          </cell>
        </row>
      </sheetData>
      <sheetData sheetId="4879">
        <row r="1">
          <cell r="A1" t="str">
            <v>PHIẾU XỬ LÝ HỒ SƠ THANH TOÁN VƯỢT THẨM QUYỀN PD</v>
          </cell>
        </row>
      </sheetData>
      <sheetData sheetId="4880">
        <row r="1">
          <cell r="A1" t="str">
            <v>PHIẾU XỬ LÝ HỒ SƠ THANH TOÁN VƯỢT THẨM QUYỀN PD</v>
          </cell>
        </row>
      </sheetData>
      <sheetData sheetId="4881">
        <row r="1">
          <cell r="A1" t="str">
            <v>PHIẾU XỬ LÝ HỒ SƠ THANH TOÁN VƯỢT THẨM QUYỀN PD</v>
          </cell>
        </row>
      </sheetData>
      <sheetData sheetId="4882">
        <row r="1">
          <cell r="A1" t="str">
            <v>PHIẾU XỬ LÝ HỒ SƠ THANH TOÁN VƯỢT THẨM QUYỀN PD</v>
          </cell>
        </row>
      </sheetData>
      <sheetData sheetId="4883">
        <row r="1">
          <cell r="A1" t="str">
            <v>PHIẾU XỬ LÝ HỒ SƠ THANH TOÁN VƯỢT THẨM QUYỀN PD</v>
          </cell>
        </row>
      </sheetData>
      <sheetData sheetId="4884">
        <row r="1">
          <cell r="A1" t="str">
            <v>PHIẾU XỬ LÝ HỒ SƠ THANH TOÁN VƯỢT THẨM QUYỀN PD</v>
          </cell>
        </row>
      </sheetData>
      <sheetData sheetId="4885">
        <row r="1">
          <cell r="A1" t="str">
            <v>PHIẾU XỬ LÝ HỒ SƠ THANH TOÁN VƯỢT THẨM QUYỀN PD</v>
          </cell>
        </row>
      </sheetData>
      <sheetData sheetId="4886">
        <row r="1">
          <cell r="A1" t="str">
            <v>PHIẾU XỬ LÝ HỒ SƠ THANH TOÁN VƯỢT THẨM QUYỀN PD</v>
          </cell>
        </row>
      </sheetData>
      <sheetData sheetId="4887">
        <row r="1">
          <cell r="A1" t="str">
            <v>PHIẾU XỬ LÝ HỒ SƠ THANH TOÁN VƯỢT THẨM QUYỀN PD</v>
          </cell>
        </row>
      </sheetData>
      <sheetData sheetId="4888">
        <row r="1">
          <cell r="A1" t="str">
            <v>PHIẾU XỬ LÝ HỒ SƠ THANH TOÁN VƯỢT THẨM QUYỀN PD</v>
          </cell>
        </row>
      </sheetData>
      <sheetData sheetId="4889">
        <row r="1">
          <cell r="A1" t="str">
            <v>PHIẾU XỬ LÝ HỒ SƠ THANH TOÁN VƯỢT THẨM QUYỀN PD</v>
          </cell>
        </row>
      </sheetData>
      <sheetData sheetId="4890">
        <row r="1">
          <cell r="A1" t="str">
            <v>PHIẾU XỬ LÝ HỒ SƠ THANH TOÁN VƯỢT THẨM QUYỀN PD</v>
          </cell>
        </row>
      </sheetData>
      <sheetData sheetId="4891">
        <row r="1">
          <cell r="A1" t="str">
            <v>PHIẾU XỬ LÝ HỒ SƠ THANH TOÁN VƯỢT THẨM QUYỀN PD</v>
          </cell>
        </row>
      </sheetData>
      <sheetData sheetId="4892">
        <row r="1">
          <cell r="A1" t="str">
            <v>PHIẾU XỬ LÝ HỒ SƠ THANH TOÁN VƯỢT THẨM QUYỀN PD</v>
          </cell>
        </row>
      </sheetData>
      <sheetData sheetId="4893">
        <row r="1">
          <cell r="A1" t="str">
            <v>PHIẾU XỬ LÝ HỒ SƠ THANH TOÁN VƯỢT THẨM QUYỀN PD</v>
          </cell>
        </row>
      </sheetData>
      <sheetData sheetId="4894">
        <row r="1">
          <cell r="A1" t="str">
            <v>PHIẾU XỬ LÝ HỒ SƠ THANH TOÁN VƯỢT THẨM QUYỀN PD</v>
          </cell>
        </row>
      </sheetData>
      <sheetData sheetId="4895">
        <row r="1">
          <cell r="A1" t="str">
            <v>PHIẾU XỬ LÝ HỒ SƠ THANH TOÁN VƯỢT THẨM QUYỀN PD</v>
          </cell>
        </row>
      </sheetData>
      <sheetData sheetId="4896">
        <row r="1">
          <cell r="A1" t="str">
            <v>PHIẾU XỬ LÝ HỒ SƠ THANH TOÁN VƯỢT THẨM QUYỀN PD</v>
          </cell>
        </row>
      </sheetData>
      <sheetData sheetId="4897">
        <row r="1">
          <cell r="A1" t="str">
            <v>PHIẾU XỬ LÝ HỒ SƠ THANH TOÁN VƯỢT THẨM QUYỀN PD</v>
          </cell>
        </row>
      </sheetData>
      <sheetData sheetId="4898">
        <row r="1">
          <cell r="A1" t="str">
            <v>PHIẾU XỬ LÝ HỒ SƠ THANH TOÁN VƯỢT THẨM QUYỀN PD</v>
          </cell>
        </row>
      </sheetData>
      <sheetData sheetId="4899">
        <row r="1">
          <cell r="A1" t="str">
            <v>PHIẾU XỬ LÝ HỒ SƠ THANH TOÁN VƯỢT THẨM QUYỀN PD</v>
          </cell>
        </row>
      </sheetData>
      <sheetData sheetId="4900">
        <row r="1">
          <cell r="A1" t="str">
            <v>PHIẾU XỬ LÝ HỒ SƠ THANH TOÁN VƯỢT THẨM QUYỀN PD</v>
          </cell>
        </row>
      </sheetData>
      <sheetData sheetId="4901">
        <row r="1">
          <cell r="A1" t="str">
            <v>PHIẾU XỬ LÝ HỒ SƠ THANH TOÁN VƯỢT THẨM QUYỀN PD</v>
          </cell>
        </row>
      </sheetData>
      <sheetData sheetId="4902">
        <row r="1">
          <cell r="A1" t="str">
            <v>PHIẾU XỬ LÝ HỒ SƠ THANH TOÁN VƯỢT THẨM QUYỀN PD</v>
          </cell>
        </row>
      </sheetData>
      <sheetData sheetId="4903">
        <row r="1">
          <cell r="A1" t="str">
            <v>PHIẾU XỬ LÝ HỒ SƠ THANH TOÁN VƯỢT THẨM QUYỀN PD</v>
          </cell>
        </row>
      </sheetData>
      <sheetData sheetId="4904">
        <row r="1">
          <cell r="A1" t="str">
            <v>PHIẾU XỬ LÝ HỒ SƠ THANH TOÁN VƯỢT THẨM QUYỀN PD</v>
          </cell>
        </row>
      </sheetData>
      <sheetData sheetId="4905">
        <row r="1">
          <cell r="A1" t="str">
            <v>PHIẾU XỬ LÝ HỒ SƠ THANH TOÁN VƯỢT THẨM QUYỀN PD</v>
          </cell>
        </row>
      </sheetData>
      <sheetData sheetId="4906">
        <row r="1">
          <cell r="A1" t="str">
            <v>PHIẾU XỬ LÝ HỒ SƠ THANH TOÁN VƯỢT THẨM QUYỀN PD</v>
          </cell>
        </row>
      </sheetData>
      <sheetData sheetId="4907">
        <row r="1">
          <cell r="A1" t="str">
            <v>PHIẾU XỬ LÝ HỒ SƠ THANH TOÁN VƯỢT THẨM QUYỀN PD</v>
          </cell>
        </row>
      </sheetData>
      <sheetData sheetId="4908">
        <row r="1">
          <cell r="A1" t="str">
            <v>PHIẾU XỬ LÝ HỒ SƠ THANH TOÁN VƯỢT THẨM QUYỀN PD</v>
          </cell>
        </row>
      </sheetData>
      <sheetData sheetId="4909">
        <row r="1">
          <cell r="A1" t="str">
            <v>PHIẾU XỬ LÝ HỒ SƠ THANH TOÁN VƯỢT THẨM QUYỀN PD</v>
          </cell>
        </row>
      </sheetData>
      <sheetData sheetId="4910">
        <row r="1">
          <cell r="A1" t="str">
            <v>PHIẾU XỬ LÝ HỒ SƠ THANH TOÁN VƯỢT THẨM QUYỀN PD</v>
          </cell>
        </row>
      </sheetData>
      <sheetData sheetId="4911">
        <row r="1">
          <cell r="A1" t="str">
            <v>PHIẾU XỬ LÝ HỒ SƠ THANH TOÁN VƯỢT THẨM QUYỀN PD</v>
          </cell>
        </row>
      </sheetData>
      <sheetData sheetId="4912">
        <row r="1">
          <cell r="A1" t="str">
            <v>PHIẾU XỬ LÝ HỒ SƠ THANH TOÁN VƯỢT THẨM QUYỀN PD</v>
          </cell>
        </row>
      </sheetData>
      <sheetData sheetId="4913">
        <row r="1">
          <cell r="A1" t="str">
            <v>PHIẾU XỬ LÝ HỒ SƠ THANH TOÁN VƯỢT THẨM QUYỀN PD</v>
          </cell>
        </row>
      </sheetData>
      <sheetData sheetId="4914">
        <row r="1">
          <cell r="A1" t="str">
            <v>PHIẾU XỬ LÝ HỒ SƠ THANH TOÁN VƯỢT THẨM QUYỀN PD</v>
          </cell>
        </row>
      </sheetData>
      <sheetData sheetId="4915">
        <row r="1">
          <cell r="A1" t="str">
            <v>PHIẾU XỬ LÝ HỒ SƠ THANH TOÁN VƯỢT THẨM QUYỀN PD</v>
          </cell>
        </row>
      </sheetData>
      <sheetData sheetId="4916">
        <row r="1">
          <cell r="A1" t="str">
            <v>PHIẾU XỬ LÝ HỒ SƠ THANH TOÁN VƯỢT THẨM QUYỀN PD</v>
          </cell>
        </row>
      </sheetData>
      <sheetData sheetId="4917">
        <row r="1">
          <cell r="A1" t="str">
            <v>PHIẾU XỬ LÝ HỒ SƠ THANH TOÁN VƯỢT THẨM QUYỀN PD</v>
          </cell>
        </row>
      </sheetData>
      <sheetData sheetId="4918">
        <row r="1">
          <cell r="A1" t="str">
            <v>PHIẾU XỬ LÝ HỒ SƠ THANH TOÁN VƯỢT THẨM QUYỀN PD</v>
          </cell>
        </row>
      </sheetData>
      <sheetData sheetId="4919">
        <row r="1">
          <cell r="A1" t="str">
            <v>PHIẾU XỬ LÝ HỒ SƠ THANH TOÁN VƯỢT THẨM QUYỀN PD</v>
          </cell>
        </row>
      </sheetData>
      <sheetData sheetId="4920">
        <row r="1">
          <cell r="A1" t="str">
            <v>PHIẾU XỬ LÝ HỒ SƠ THANH TOÁN VƯỢT THẨM QUYỀN PD</v>
          </cell>
        </row>
      </sheetData>
      <sheetData sheetId="4921">
        <row r="1">
          <cell r="A1" t="str">
            <v>PHIẾU XỬ LÝ HỒ SƠ THANH TOÁN VƯỢT THẨM QUYỀN PD</v>
          </cell>
        </row>
      </sheetData>
      <sheetData sheetId="4922">
        <row r="1">
          <cell r="A1" t="str">
            <v>PHIẾU XỬ LÝ HỒ SƠ THANH TOÁN VƯỢT THẨM QUYỀN PD</v>
          </cell>
        </row>
      </sheetData>
      <sheetData sheetId="4923">
        <row r="1">
          <cell r="A1" t="str">
            <v>PHIẾU XỬ LÝ HỒ SƠ THANH TOÁN VƯỢT THẨM QUYỀN PD</v>
          </cell>
        </row>
      </sheetData>
      <sheetData sheetId="4924">
        <row r="1">
          <cell r="A1" t="str">
            <v>PHIẾU XỬ LÝ HỒ SƠ THANH TOÁN VƯỢT THẨM QUYỀN PD</v>
          </cell>
        </row>
      </sheetData>
      <sheetData sheetId="4925">
        <row r="1">
          <cell r="A1" t="str">
            <v>PHIẾU XỬ LÝ HỒ SƠ THANH TOÁN VƯỢT THẨM QUYỀN PD</v>
          </cell>
        </row>
      </sheetData>
      <sheetData sheetId="4926">
        <row r="1">
          <cell r="A1" t="str">
            <v>PHIẾU XỬ LÝ HỒ SƠ THANH TOÁN VƯỢT THẨM QUYỀN PD</v>
          </cell>
        </row>
      </sheetData>
      <sheetData sheetId="4927">
        <row r="1">
          <cell r="A1" t="str">
            <v>PHIẾU XỬ LÝ HỒ SƠ THANH TOÁN VƯỢT THẨM QUYỀN PD</v>
          </cell>
        </row>
      </sheetData>
      <sheetData sheetId="4928">
        <row r="1">
          <cell r="A1" t="str">
            <v>PHIẾU XỬ LÝ HỒ SƠ THANH TOÁN VƯỢT THẨM QUYỀN PD</v>
          </cell>
        </row>
      </sheetData>
      <sheetData sheetId="4929">
        <row r="1">
          <cell r="A1" t="str">
            <v>PHIẾU XỬ LÝ HỒ SƠ THANH TOÁN VƯỢT THẨM QUYỀN PD</v>
          </cell>
        </row>
      </sheetData>
      <sheetData sheetId="4930">
        <row r="1">
          <cell r="A1" t="str">
            <v>PHIẾU XỬ LÝ HỒ SƠ THANH TOÁN VƯỢT THẨM QUYỀN PD</v>
          </cell>
        </row>
      </sheetData>
      <sheetData sheetId="4931">
        <row r="1">
          <cell r="A1" t="str">
            <v>PHIẾU XỬ LÝ HỒ SƠ THANH TOÁN VƯỢT THẨM QUYỀN PD</v>
          </cell>
        </row>
      </sheetData>
      <sheetData sheetId="4932">
        <row r="1">
          <cell r="A1" t="str">
            <v>PHIẾU XỬ LÝ HỒ SƠ THANH TOÁN VƯỢT THẨM QUYỀN PD</v>
          </cell>
        </row>
      </sheetData>
      <sheetData sheetId="4933">
        <row r="1">
          <cell r="A1" t="str">
            <v>PHIẾU XỬ LÝ HỒ SƠ THANH TOÁN VƯỢT THẨM QUYỀN PD</v>
          </cell>
        </row>
      </sheetData>
      <sheetData sheetId="4934">
        <row r="1">
          <cell r="A1" t="str">
            <v>PHIẾU XỬ LÝ HỒ SƠ THANH TOÁN VƯỢT THẨM QUYỀN PD</v>
          </cell>
        </row>
      </sheetData>
      <sheetData sheetId="4935">
        <row r="1">
          <cell r="A1" t="str">
            <v>PHIẾU XỬ LÝ HỒ SƠ THANH TOÁN VƯỢT THẨM QUYỀN PD</v>
          </cell>
        </row>
      </sheetData>
      <sheetData sheetId="4936">
        <row r="1">
          <cell r="A1" t="str">
            <v>PHIẾU XỬ LÝ HỒ SƠ THANH TOÁN VƯỢT THẨM QUYỀN PD</v>
          </cell>
        </row>
      </sheetData>
      <sheetData sheetId="4937">
        <row r="1">
          <cell r="A1" t="str">
            <v>PHIẾU XỬ LÝ HỒ SƠ THANH TOÁN VƯỢT THẨM QUYỀN PD</v>
          </cell>
        </row>
      </sheetData>
      <sheetData sheetId="4938">
        <row r="1">
          <cell r="A1" t="str">
            <v>PHIẾU XỬ LÝ HỒ SƠ THANH TOÁN VƯỢT THẨM QUYỀN PD</v>
          </cell>
        </row>
      </sheetData>
      <sheetData sheetId="4939">
        <row r="1">
          <cell r="A1" t="str">
            <v>PHIẾU XỬ LÝ HỒ SƠ THANH TOÁN VƯỢT THẨM QUYỀN PD</v>
          </cell>
        </row>
      </sheetData>
      <sheetData sheetId="4940">
        <row r="1">
          <cell r="A1" t="str">
            <v>PHIẾU XỬ LÝ HỒ SƠ THANH TOÁN VƯỢT THẨM QUYỀN PD</v>
          </cell>
        </row>
      </sheetData>
      <sheetData sheetId="4941">
        <row r="1">
          <cell r="A1" t="str">
            <v>PHIẾU XỬ LÝ HỒ SƠ THANH TOÁN VƯỢT THẨM QUYỀN PD</v>
          </cell>
        </row>
      </sheetData>
      <sheetData sheetId="4942">
        <row r="1">
          <cell r="A1" t="str">
            <v>PHIẾU XỬ LÝ HỒ SƠ THANH TOÁN VƯỢT THẨM QUYỀN PD</v>
          </cell>
        </row>
      </sheetData>
      <sheetData sheetId="4943">
        <row r="1">
          <cell r="A1" t="str">
            <v>PHIẾU XỬ LÝ HỒ SƠ THANH TOÁN VƯỢT THẨM QUYỀN PD</v>
          </cell>
        </row>
      </sheetData>
      <sheetData sheetId="4944">
        <row r="1">
          <cell r="A1" t="str">
            <v>PHIẾU XỬ LÝ HỒ SƠ THANH TOÁN VƯỢT THẨM QUYỀN PD</v>
          </cell>
        </row>
      </sheetData>
      <sheetData sheetId="4945">
        <row r="1">
          <cell r="A1" t="str">
            <v>PHIẾU XỬ LÝ HỒ SƠ THANH TOÁN VƯỢT THẨM QUYỀN PD</v>
          </cell>
        </row>
      </sheetData>
      <sheetData sheetId="4946">
        <row r="1">
          <cell r="A1" t="str">
            <v>PHIẾU XỬ LÝ HỒ SƠ THANH TOÁN VƯỢT THẨM QUYỀN PD</v>
          </cell>
        </row>
      </sheetData>
      <sheetData sheetId="4947">
        <row r="1">
          <cell r="A1" t="str">
            <v>PHIẾU XỬ LÝ HỒ SƠ THANH TOÁN VƯỢT THẨM QUYỀN PD</v>
          </cell>
        </row>
      </sheetData>
      <sheetData sheetId="4948">
        <row r="1">
          <cell r="A1" t="str">
            <v>PHIẾU XỬ LÝ HỒ SƠ THANH TOÁN VƯỢT THẨM QUYỀN PD</v>
          </cell>
        </row>
      </sheetData>
      <sheetData sheetId="4949">
        <row r="1">
          <cell r="A1" t="str">
            <v>PHIẾU XỬ LÝ HỒ SƠ THANH TOÁN VƯỢT THẨM QUYỀN PD</v>
          </cell>
        </row>
      </sheetData>
      <sheetData sheetId="4950">
        <row r="1">
          <cell r="A1" t="str">
            <v>PHIẾU XỬ LÝ HỒ SƠ THANH TOÁN VƯỢT THẨM QUYỀN PD</v>
          </cell>
        </row>
      </sheetData>
      <sheetData sheetId="4951">
        <row r="1">
          <cell r="A1" t="str">
            <v>PHIẾU XỬ LÝ HỒ SƠ THANH TOÁN VƯỢT THẨM QUYỀN PD</v>
          </cell>
        </row>
      </sheetData>
      <sheetData sheetId="4952">
        <row r="1">
          <cell r="A1" t="str">
            <v>PHIẾU XỬ LÝ HỒ SƠ THANH TOÁN VƯỢT THẨM QUYỀN PD</v>
          </cell>
        </row>
      </sheetData>
      <sheetData sheetId="4953">
        <row r="1">
          <cell r="A1" t="str">
            <v>PHIẾU XỬ LÝ HỒ SƠ THANH TOÁN VƯỢT THẨM QUYỀN PD</v>
          </cell>
        </row>
      </sheetData>
      <sheetData sheetId="4954">
        <row r="1">
          <cell r="A1" t="str">
            <v>PHIẾU XỬ LÝ HỒ SƠ THANH TOÁN VƯỢT THẨM QUYỀN PD</v>
          </cell>
        </row>
      </sheetData>
      <sheetData sheetId="4955">
        <row r="1">
          <cell r="A1" t="str">
            <v>PHIẾU XỬ LÝ HỒ SƠ THANH TOÁN VƯỢT THẨM QUYỀN PD</v>
          </cell>
        </row>
      </sheetData>
      <sheetData sheetId="4956">
        <row r="1">
          <cell r="A1" t="str">
            <v>PHIẾU XỬ LÝ HỒ SƠ THANH TOÁN VƯỢT THẨM QUYỀN PD</v>
          </cell>
        </row>
      </sheetData>
      <sheetData sheetId="4957">
        <row r="1">
          <cell r="A1" t="str">
            <v>PHIẾU XỬ LÝ HỒ SƠ THANH TOÁN VƯỢT THẨM QUYỀN PD</v>
          </cell>
        </row>
      </sheetData>
      <sheetData sheetId="4958">
        <row r="1">
          <cell r="A1" t="str">
            <v>PHIẾU XỬ LÝ HỒ SƠ THANH TOÁN VƯỢT THẨM QUYỀN PD</v>
          </cell>
        </row>
      </sheetData>
      <sheetData sheetId="4959">
        <row r="1">
          <cell r="A1" t="str">
            <v>PHIẾU XỬ LÝ HỒ SƠ THANH TOÁN VƯỢT THẨM QUYỀN PD</v>
          </cell>
        </row>
      </sheetData>
      <sheetData sheetId="4960">
        <row r="1">
          <cell r="A1" t="str">
            <v>PHIẾU XỬ LÝ HỒ SƠ THANH TOÁN VƯỢT THẨM QUYỀN PD</v>
          </cell>
        </row>
      </sheetData>
      <sheetData sheetId="4961">
        <row r="1">
          <cell r="A1" t="str">
            <v>PHIẾU XỬ LÝ HỒ SƠ THANH TOÁN VƯỢT THẨM QUYỀN PD</v>
          </cell>
        </row>
      </sheetData>
      <sheetData sheetId="4962">
        <row r="1">
          <cell r="A1" t="str">
            <v>PHIẾU XỬ LÝ HỒ SƠ THANH TOÁN VƯỢT THẨM QUYỀN PD</v>
          </cell>
        </row>
      </sheetData>
      <sheetData sheetId="4963">
        <row r="1">
          <cell r="A1" t="str">
            <v>PHIẾU XỬ LÝ HỒ SƠ THANH TOÁN VƯỢT THẨM QUYỀN PD</v>
          </cell>
        </row>
      </sheetData>
      <sheetData sheetId="4964">
        <row r="1">
          <cell r="A1" t="str">
            <v>PHIẾU XỬ LÝ HỒ SƠ THANH TOÁN VƯỢT THẨM QUYỀN PD</v>
          </cell>
        </row>
      </sheetData>
      <sheetData sheetId="4965">
        <row r="1">
          <cell r="A1" t="str">
            <v>PHIẾU XỬ LÝ HỒ SƠ THANH TOÁN VƯỢT THẨM QUYỀN PD</v>
          </cell>
        </row>
      </sheetData>
      <sheetData sheetId="4966">
        <row r="1">
          <cell r="A1" t="str">
            <v>PHIẾU XỬ LÝ HỒ SƠ THANH TOÁN VƯỢT THẨM QUYỀN PD</v>
          </cell>
        </row>
      </sheetData>
      <sheetData sheetId="4967">
        <row r="1">
          <cell r="A1" t="str">
            <v>PHIẾU XỬ LÝ HỒ SƠ THANH TOÁN VƯỢT THẨM QUYỀN PD</v>
          </cell>
        </row>
      </sheetData>
      <sheetData sheetId="4968">
        <row r="1">
          <cell r="A1" t="str">
            <v>PHIẾU XỬ LÝ HỒ SƠ THANH TOÁN VƯỢT THẨM QUYỀN PD</v>
          </cell>
        </row>
      </sheetData>
      <sheetData sheetId="4969">
        <row r="1">
          <cell r="A1" t="str">
            <v>PHIẾU XỬ LÝ HỒ SƠ THANH TOÁN VƯỢT THẨM QUYỀN PD</v>
          </cell>
        </row>
      </sheetData>
      <sheetData sheetId="4970">
        <row r="1">
          <cell r="A1" t="str">
            <v>PHIẾU XỬ LÝ HỒ SƠ THANH TOÁN VƯỢT THẨM QUYỀN PD</v>
          </cell>
        </row>
      </sheetData>
      <sheetData sheetId="4971">
        <row r="1">
          <cell r="A1" t="str">
            <v>PHIẾU XỬ LÝ HỒ SƠ THANH TOÁN VƯỢT THẨM QUYỀN PD</v>
          </cell>
        </row>
      </sheetData>
      <sheetData sheetId="4972">
        <row r="1">
          <cell r="A1" t="str">
            <v>PHIẾU XỬ LÝ HỒ SƠ THANH TOÁN VƯỢT THẨM QUYỀN PD</v>
          </cell>
        </row>
      </sheetData>
      <sheetData sheetId="4973">
        <row r="1">
          <cell r="A1" t="str">
            <v>PHIẾU XỬ LÝ HỒ SƠ THANH TOÁN VƯỢT THẨM QUYỀN PD</v>
          </cell>
        </row>
      </sheetData>
      <sheetData sheetId="4974">
        <row r="1">
          <cell r="A1" t="str">
            <v>PHIẾU XỬ LÝ HỒ SƠ THANH TOÁN VƯỢT THẨM QUYỀN PD</v>
          </cell>
        </row>
      </sheetData>
      <sheetData sheetId="4975">
        <row r="1">
          <cell r="A1" t="str">
            <v>PHIẾU XỬ LÝ HỒ SƠ THANH TOÁN VƯỢT THẨM QUYỀN PD</v>
          </cell>
        </row>
      </sheetData>
      <sheetData sheetId="4976">
        <row r="1">
          <cell r="A1" t="str">
            <v>PHIẾU XỬ LÝ HỒ SƠ THANH TOÁN VƯỢT THẨM QUYỀN PD</v>
          </cell>
        </row>
      </sheetData>
      <sheetData sheetId="4977">
        <row r="1">
          <cell r="A1" t="str">
            <v>PHIẾU XỬ LÝ HỒ SƠ THANH TOÁN VƯỢT THẨM QUYỀN PD</v>
          </cell>
        </row>
      </sheetData>
      <sheetData sheetId="4978">
        <row r="1">
          <cell r="A1" t="str">
            <v>PHIẾU XỬ LÝ HỒ SƠ THANH TOÁN VƯỢT THẨM QUYỀN PD</v>
          </cell>
        </row>
      </sheetData>
      <sheetData sheetId="4979">
        <row r="1">
          <cell r="A1" t="str">
            <v>PHIẾU XỬ LÝ HỒ SƠ THANH TOÁN VƯỢT THẨM QUYỀN PD</v>
          </cell>
        </row>
      </sheetData>
      <sheetData sheetId="4980">
        <row r="1">
          <cell r="A1" t="str">
            <v>PHIẾU XỬ LÝ HỒ SƠ THANH TOÁN VƯỢT THẨM QUYỀN PD</v>
          </cell>
        </row>
      </sheetData>
      <sheetData sheetId="4981">
        <row r="1">
          <cell r="A1" t="str">
            <v>PHIẾU XỬ LÝ HỒ SƠ THANH TOÁN VƯỢT THẨM QUYỀN PD</v>
          </cell>
        </row>
      </sheetData>
      <sheetData sheetId="4982">
        <row r="1">
          <cell r="A1" t="str">
            <v>PHIẾU XỬ LÝ HỒ SƠ THANH TOÁN VƯỢT THẨM QUYỀN PD</v>
          </cell>
        </row>
      </sheetData>
      <sheetData sheetId="4983">
        <row r="1">
          <cell r="A1" t="str">
            <v>PHIẾU XỬ LÝ HỒ SƠ THANH TOÁN VƯỢT THẨM QUYỀN PD</v>
          </cell>
        </row>
      </sheetData>
      <sheetData sheetId="4984">
        <row r="1">
          <cell r="A1" t="str">
            <v>PHIẾU XỬ LÝ HỒ SƠ THANH TOÁN VƯỢT THẨM QUYỀN PD</v>
          </cell>
        </row>
      </sheetData>
      <sheetData sheetId="4985">
        <row r="1">
          <cell r="A1" t="str">
            <v>PHIẾU XỬ LÝ HỒ SƠ THANH TOÁN VƯỢT THẨM QUYỀN PD</v>
          </cell>
        </row>
      </sheetData>
      <sheetData sheetId="4986">
        <row r="1">
          <cell r="A1" t="str">
            <v>PHIẾU XỬ LÝ HỒ SƠ THANH TOÁN VƯỢT THẨM QUYỀN PD</v>
          </cell>
        </row>
      </sheetData>
      <sheetData sheetId="4987">
        <row r="1">
          <cell r="A1" t="str">
            <v>PHIẾU XỬ LÝ HỒ SƠ THANH TOÁN VƯỢT THẨM QUYỀN PD</v>
          </cell>
        </row>
      </sheetData>
      <sheetData sheetId="4988">
        <row r="1">
          <cell r="A1" t="str">
            <v>PHIẾU XỬ LÝ HỒ SƠ THANH TOÁN VƯỢT THẨM QUYỀN PD</v>
          </cell>
        </row>
      </sheetData>
      <sheetData sheetId="4989">
        <row r="1">
          <cell r="A1" t="str">
            <v>PHIẾU XỬ LÝ HỒ SƠ THANH TOÁN VƯỢT THẨM QUYỀN PD</v>
          </cell>
        </row>
      </sheetData>
      <sheetData sheetId="4990">
        <row r="1">
          <cell r="A1" t="str">
            <v>PHIẾU XỬ LÝ HỒ SƠ THANH TOÁN VƯỢT THẨM QUYỀN PD</v>
          </cell>
        </row>
      </sheetData>
      <sheetData sheetId="4991">
        <row r="1">
          <cell r="A1" t="str">
            <v>PHIẾU XỬ LÝ HỒ SƠ THANH TOÁN VƯỢT THẨM QUYỀN PD</v>
          </cell>
        </row>
      </sheetData>
      <sheetData sheetId="4992">
        <row r="1">
          <cell r="A1" t="str">
            <v>PHIẾU XỬ LÝ HỒ SƠ THANH TOÁN VƯỢT THẨM QUYỀN PD</v>
          </cell>
        </row>
      </sheetData>
      <sheetData sheetId="4993">
        <row r="1">
          <cell r="A1" t="str">
            <v>PHIẾU XỬ LÝ HỒ SƠ THANH TOÁN VƯỢT THẨM QUYỀN PD</v>
          </cell>
        </row>
      </sheetData>
      <sheetData sheetId="4994">
        <row r="1">
          <cell r="A1" t="str">
            <v>PHIẾU XỬ LÝ HỒ SƠ THANH TOÁN VƯỢT THẨM QUYỀN PD</v>
          </cell>
        </row>
      </sheetData>
      <sheetData sheetId="4995">
        <row r="1">
          <cell r="A1" t="str">
            <v>PHIẾU XỬ LÝ HỒ SƠ THANH TOÁN VƯỢT THẨM QUYỀN PD</v>
          </cell>
        </row>
      </sheetData>
      <sheetData sheetId="4996">
        <row r="1">
          <cell r="A1" t="str">
            <v>PHIẾU XỬ LÝ HỒ SƠ THANH TOÁN VƯỢT THẨM QUYỀN PD</v>
          </cell>
        </row>
      </sheetData>
      <sheetData sheetId="4997">
        <row r="1">
          <cell r="A1" t="str">
            <v>PHIẾU XỬ LÝ HỒ SƠ THANH TOÁN VƯỢT THẨM QUYỀN PD</v>
          </cell>
        </row>
      </sheetData>
      <sheetData sheetId="4998">
        <row r="1">
          <cell r="A1" t="str">
            <v>PHIẾU XỬ LÝ HỒ SƠ THANH TOÁN VƯỢT THẨM QUYỀN PD</v>
          </cell>
        </row>
      </sheetData>
      <sheetData sheetId="4999">
        <row r="1">
          <cell r="A1" t="str">
            <v>PHIẾU XỬ LÝ HỒ SƠ THANH TOÁN VƯỢT THẨM QUYỀN PD</v>
          </cell>
        </row>
      </sheetData>
      <sheetData sheetId="5000">
        <row r="1">
          <cell r="A1" t="str">
            <v>PHIẾU XỬ LÝ HỒ SƠ THANH TOÁN VƯỢT THẨM QUYỀN PD</v>
          </cell>
        </row>
      </sheetData>
      <sheetData sheetId="5001">
        <row r="1">
          <cell r="A1" t="str">
            <v>PHIẾU XỬ LÝ HỒ SƠ THANH TOÁN VƯỢT THẨM QUYỀN PD</v>
          </cell>
        </row>
      </sheetData>
      <sheetData sheetId="5002">
        <row r="1">
          <cell r="A1" t="str">
            <v>PHIẾU XỬ LÝ HỒ SƠ THANH TOÁN VƯỢT THẨM QUYỀN PD</v>
          </cell>
        </row>
      </sheetData>
      <sheetData sheetId="5003">
        <row r="1">
          <cell r="A1" t="str">
            <v>PHIẾU XỬ LÝ HỒ SƠ THANH TOÁN VƯỢT THẨM QUYỀN PD</v>
          </cell>
        </row>
      </sheetData>
      <sheetData sheetId="5004">
        <row r="1">
          <cell r="A1" t="str">
            <v>PHIẾU XỬ LÝ HỒ SƠ THANH TOÁN VƯỢT THẨM QUYỀN PD</v>
          </cell>
        </row>
      </sheetData>
      <sheetData sheetId="5005">
        <row r="1">
          <cell r="A1" t="str">
            <v>PHIẾU XỬ LÝ HỒ SƠ THANH TOÁN VƯỢT THẨM QUYỀN PD</v>
          </cell>
        </row>
      </sheetData>
      <sheetData sheetId="5006">
        <row r="1">
          <cell r="A1" t="str">
            <v>PHIẾU XỬ LÝ HỒ SƠ THANH TOÁN VƯỢT THẨM QUYỀN PD</v>
          </cell>
        </row>
      </sheetData>
      <sheetData sheetId="5007">
        <row r="1">
          <cell r="A1" t="str">
            <v>PHIẾU XỬ LÝ HỒ SƠ THANH TOÁN VƯỢT THẨM QUYỀN PD</v>
          </cell>
        </row>
      </sheetData>
      <sheetData sheetId="5008">
        <row r="1">
          <cell r="A1" t="str">
            <v>PHIẾU XỬ LÝ HỒ SƠ THANH TOÁN VƯỢT THẨM QUYỀN PD</v>
          </cell>
        </row>
      </sheetData>
      <sheetData sheetId="5009">
        <row r="1">
          <cell r="A1" t="str">
            <v>PHIẾU XỬ LÝ HỒ SƠ THANH TOÁN VƯỢT THẨM QUYỀN PD</v>
          </cell>
        </row>
      </sheetData>
      <sheetData sheetId="5010">
        <row r="1">
          <cell r="A1" t="str">
            <v>PHIẾU XỬ LÝ HỒ SƠ THANH TOÁN VƯỢT THẨM QUYỀN PD</v>
          </cell>
        </row>
      </sheetData>
      <sheetData sheetId="5011">
        <row r="1">
          <cell r="A1" t="str">
            <v>PHIẾU XỬ LÝ HỒ SƠ THANH TOÁN VƯỢT THẨM QUYỀN PD</v>
          </cell>
        </row>
      </sheetData>
      <sheetData sheetId="5012">
        <row r="1">
          <cell r="A1" t="str">
            <v>PHIẾU XỬ LÝ HỒ SƠ THANH TOÁN VƯỢT THẨM QUYỀN PD</v>
          </cell>
        </row>
      </sheetData>
      <sheetData sheetId="5013">
        <row r="1">
          <cell r="A1" t="str">
            <v>PHIẾU XỬ LÝ HỒ SƠ THANH TOÁN VƯỢT THẨM QUYỀN PD</v>
          </cell>
        </row>
      </sheetData>
      <sheetData sheetId="5014">
        <row r="1">
          <cell r="A1" t="str">
            <v>PHIẾU XỬ LÝ HỒ SƠ THANH TOÁN VƯỢT THẨM QUYỀN PD</v>
          </cell>
        </row>
      </sheetData>
      <sheetData sheetId="5015">
        <row r="1">
          <cell r="A1" t="str">
            <v>PHIẾU XỬ LÝ HỒ SƠ THANH TOÁN VƯỢT THẨM QUYỀN PD</v>
          </cell>
        </row>
      </sheetData>
      <sheetData sheetId="5016">
        <row r="1">
          <cell r="A1" t="str">
            <v>PHIẾU XỬ LÝ HỒ SƠ THANH TOÁN VƯỢT THẨM QUYỀN PD</v>
          </cell>
        </row>
      </sheetData>
      <sheetData sheetId="5017">
        <row r="1">
          <cell r="A1" t="str">
            <v>PHIẾU XỬ LÝ HỒ SƠ THANH TOÁN VƯỢT THẨM QUYỀN PD</v>
          </cell>
        </row>
      </sheetData>
      <sheetData sheetId="5018">
        <row r="1">
          <cell r="A1" t="str">
            <v>PHIẾU XỬ LÝ HỒ SƠ THANH TOÁN VƯỢT THẨM QUYỀN PD</v>
          </cell>
        </row>
      </sheetData>
      <sheetData sheetId="5019">
        <row r="1">
          <cell r="A1" t="str">
            <v>PHIẾU XỬ LÝ HỒ SƠ THANH TOÁN VƯỢT THẨM QUYỀN PD</v>
          </cell>
        </row>
      </sheetData>
      <sheetData sheetId="5020">
        <row r="1">
          <cell r="A1" t="str">
            <v>PHIẾU XỬ LÝ HỒ SƠ THANH TOÁN VƯỢT THẨM QUYỀN PD</v>
          </cell>
        </row>
      </sheetData>
      <sheetData sheetId="5021">
        <row r="1">
          <cell r="A1" t="str">
            <v>PHIẾU XỬ LÝ HỒ SƠ THANH TOÁN VƯỢT THẨM QUYỀN PD</v>
          </cell>
        </row>
      </sheetData>
      <sheetData sheetId="5022">
        <row r="1">
          <cell r="A1" t="str">
            <v>PHIẾU XỬ LÝ HỒ SƠ THANH TOÁN VƯỢT THẨM QUYỀN PD</v>
          </cell>
        </row>
      </sheetData>
      <sheetData sheetId="5023">
        <row r="1">
          <cell r="A1" t="str">
            <v>PHIẾU XỬ LÝ HỒ SƠ THANH TOÁN VƯỢT THẨM QUYỀN PD</v>
          </cell>
        </row>
      </sheetData>
      <sheetData sheetId="5024">
        <row r="1">
          <cell r="A1" t="str">
            <v>PHIẾU XỬ LÝ HỒ SƠ THANH TOÁN VƯỢT THẨM QUYỀN PD</v>
          </cell>
        </row>
      </sheetData>
      <sheetData sheetId="5025">
        <row r="1">
          <cell r="A1" t="str">
            <v>PHIẾU XỬ LÝ HỒ SƠ THANH TOÁN VƯỢT THẨM QUYỀN PD</v>
          </cell>
        </row>
      </sheetData>
      <sheetData sheetId="5026">
        <row r="1">
          <cell r="A1" t="str">
            <v>PHIẾU XỬ LÝ HỒ SƠ THANH TOÁN VƯỢT THẨM QUYỀN PD</v>
          </cell>
        </row>
      </sheetData>
      <sheetData sheetId="5027">
        <row r="1">
          <cell r="A1" t="str">
            <v>PHIẾU XỬ LÝ HỒ SƠ THANH TOÁN VƯỢT THẨM QUYỀN PD</v>
          </cell>
        </row>
      </sheetData>
      <sheetData sheetId="5028">
        <row r="1">
          <cell r="A1" t="str">
            <v>PHIẾU XỬ LÝ HỒ SƠ THANH TOÁN VƯỢT THẨM QUYỀN PD</v>
          </cell>
        </row>
      </sheetData>
      <sheetData sheetId="5029">
        <row r="1">
          <cell r="A1" t="str">
            <v>PHIẾU XỬ LÝ HỒ SƠ THANH TOÁN VƯỢT THẨM QUYỀN PD</v>
          </cell>
        </row>
      </sheetData>
      <sheetData sheetId="5030">
        <row r="1">
          <cell r="A1" t="str">
            <v>PHIẾU XỬ LÝ HỒ SƠ THANH TOÁN VƯỢT THẨM QUYỀN PD</v>
          </cell>
        </row>
      </sheetData>
      <sheetData sheetId="5031">
        <row r="1">
          <cell r="A1" t="str">
            <v>PHIẾU XỬ LÝ HỒ SƠ THANH TOÁN VƯỢT THẨM QUYỀN PD</v>
          </cell>
        </row>
      </sheetData>
      <sheetData sheetId="5032">
        <row r="1">
          <cell r="A1" t="str">
            <v>PHIẾU XỬ LÝ HỒ SƠ THANH TOÁN VƯỢT THẨM QUYỀN PD</v>
          </cell>
        </row>
      </sheetData>
      <sheetData sheetId="5033">
        <row r="1">
          <cell r="A1" t="str">
            <v>PHIẾU XỬ LÝ HỒ SƠ THANH TOÁN VƯỢT THẨM QUYỀN PD</v>
          </cell>
        </row>
      </sheetData>
      <sheetData sheetId="5034">
        <row r="1">
          <cell r="A1" t="str">
            <v>PHIẾU XỬ LÝ HỒ SƠ THANH TOÁN VƯỢT THẨM QUYỀN PD</v>
          </cell>
        </row>
      </sheetData>
      <sheetData sheetId="5035">
        <row r="1">
          <cell r="A1" t="str">
            <v>PHIẾU XỬ LÝ HỒ SƠ THANH TOÁN VƯỢT THẨM QUYỀN PD</v>
          </cell>
        </row>
      </sheetData>
      <sheetData sheetId="5036">
        <row r="1">
          <cell r="A1" t="str">
            <v>PHIẾU XỬ LÝ HỒ SƠ THANH TOÁN VƯỢT THẨM QUYỀN PD</v>
          </cell>
        </row>
      </sheetData>
      <sheetData sheetId="5037">
        <row r="1">
          <cell r="A1" t="str">
            <v>PHIẾU XỬ LÝ HỒ SƠ THANH TOÁN VƯỢT THẨM QUYỀN PD</v>
          </cell>
        </row>
      </sheetData>
      <sheetData sheetId="5038">
        <row r="1">
          <cell r="A1" t="str">
            <v>PHIẾU XỬ LÝ HỒ SƠ THANH TOÁN VƯỢT THẨM QUYỀN PD</v>
          </cell>
        </row>
      </sheetData>
      <sheetData sheetId="5039">
        <row r="1">
          <cell r="A1" t="str">
            <v>PHIẾU XỬ LÝ HỒ SƠ THANH TOÁN VƯỢT THẨM QUYỀN PD</v>
          </cell>
        </row>
      </sheetData>
      <sheetData sheetId="5040">
        <row r="1">
          <cell r="A1" t="str">
            <v>PHIẾU XỬ LÝ HỒ SƠ THANH TOÁN VƯỢT THẨM QUYỀN PD</v>
          </cell>
        </row>
      </sheetData>
      <sheetData sheetId="5041">
        <row r="1">
          <cell r="A1" t="str">
            <v>PHIẾU XỬ LÝ HỒ SƠ THANH TOÁN VƯỢT THẨM QUYỀN PD</v>
          </cell>
        </row>
      </sheetData>
      <sheetData sheetId="5042">
        <row r="1">
          <cell r="A1" t="str">
            <v>PHIẾU XỬ LÝ HỒ SƠ THANH TOÁN VƯỢT THẨM QUYỀN PD</v>
          </cell>
        </row>
      </sheetData>
      <sheetData sheetId="5043">
        <row r="1">
          <cell r="A1" t="str">
            <v>PHIẾU XỬ LÝ HỒ SƠ THANH TOÁN VƯỢT THẨM QUYỀN PD</v>
          </cell>
        </row>
      </sheetData>
      <sheetData sheetId="5044">
        <row r="1">
          <cell r="A1" t="str">
            <v>PHIẾU XỬ LÝ HỒ SƠ THANH TOÁN VƯỢT THẨM QUYỀN PD</v>
          </cell>
        </row>
      </sheetData>
      <sheetData sheetId="5045">
        <row r="1">
          <cell r="A1" t="str">
            <v>PHIẾU XỬ LÝ HỒ SƠ THANH TOÁN VƯỢT THẨM QUYỀN PD</v>
          </cell>
        </row>
      </sheetData>
      <sheetData sheetId="5046">
        <row r="1">
          <cell r="A1" t="str">
            <v>PHIẾU XỬ LÝ HỒ SƠ THANH TOÁN VƯỢT THẨM QUYỀN PD</v>
          </cell>
        </row>
      </sheetData>
      <sheetData sheetId="5047">
        <row r="1">
          <cell r="A1" t="str">
            <v>PHIẾU XỬ LÝ HỒ SƠ THANH TOÁN VƯỢT THẨM QUYỀN PD</v>
          </cell>
        </row>
      </sheetData>
      <sheetData sheetId="5048">
        <row r="1">
          <cell r="A1" t="str">
            <v>PHIẾU XỬ LÝ HỒ SƠ THANH TOÁN VƯỢT THẨM QUYỀN PD</v>
          </cell>
        </row>
      </sheetData>
      <sheetData sheetId="5049">
        <row r="1">
          <cell r="A1" t="str">
            <v>PHIẾU XỬ LÝ HỒ SƠ THANH TOÁN VƯỢT THẨM QUYỀN PD</v>
          </cell>
        </row>
      </sheetData>
      <sheetData sheetId="5050">
        <row r="1">
          <cell r="A1" t="str">
            <v>PHIẾU XỬ LÝ HỒ SƠ THANH TOÁN VƯỢT THẨM QUYỀN PD</v>
          </cell>
        </row>
      </sheetData>
      <sheetData sheetId="5051">
        <row r="1">
          <cell r="A1" t="str">
            <v>PHIẾU XỬ LÝ HỒ SƠ THANH TOÁN VƯỢT THẨM QUYỀN PD</v>
          </cell>
        </row>
      </sheetData>
      <sheetData sheetId="5052">
        <row r="1">
          <cell r="A1" t="str">
            <v>PHIẾU XỬ LÝ HỒ SƠ THANH TOÁN VƯỢT THẨM QUYỀN PD</v>
          </cell>
        </row>
      </sheetData>
      <sheetData sheetId="5053">
        <row r="1">
          <cell r="A1" t="str">
            <v>PHIẾU XỬ LÝ HỒ SƠ THANH TOÁN VƯỢT THẨM QUYỀN PD</v>
          </cell>
        </row>
      </sheetData>
      <sheetData sheetId="5054">
        <row r="1">
          <cell r="A1" t="str">
            <v>PHIẾU XỬ LÝ HỒ SƠ THANH TOÁN VƯỢT THẨM QUYỀN PD</v>
          </cell>
        </row>
      </sheetData>
      <sheetData sheetId="5055">
        <row r="1">
          <cell r="A1" t="str">
            <v>PHIẾU XỬ LÝ HỒ SƠ THANH TOÁN VƯỢT THẨM QUYỀN PD</v>
          </cell>
        </row>
      </sheetData>
      <sheetData sheetId="5056">
        <row r="1">
          <cell r="A1" t="str">
            <v>PHIẾU XỬ LÝ HỒ SƠ THANH TOÁN VƯỢT THẨM QUYỀN PD</v>
          </cell>
        </row>
      </sheetData>
      <sheetData sheetId="5057">
        <row r="1">
          <cell r="A1" t="str">
            <v>PHIẾU XỬ LÝ HỒ SƠ THANH TOÁN VƯỢT THẨM QUYỀN PD</v>
          </cell>
        </row>
      </sheetData>
      <sheetData sheetId="5058">
        <row r="1">
          <cell r="A1" t="str">
            <v>PHIẾU XỬ LÝ HỒ SƠ THANH TOÁN VƯỢT THẨM QUYỀN PD</v>
          </cell>
        </row>
      </sheetData>
      <sheetData sheetId="5059">
        <row r="1">
          <cell r="A1" t="str">
            <v>PHIẾU XỬ LÝ HỒ SƠ THANH TOÁN VƯỢT THẨM QUYỀN PD</v>
          </cell>
        </row>
      </sheetData>
      <sheetData sheetId="5060">
        <row r="1">
          <cell r="A1" t="str">
            <v>PHIẾU XỬ LÝ HỒ SƠ THANH TOÁN VƯỢT THẨM QUYỀN PD</v>
          </cell>
        </row>
      </sheetData>
      <sheetData sheetId="5061">
        <row r="1">
          <cell r="A1" t="str">
            <v>PHIẾU XỬ LÝ HỒ SƠ THANH TOÁN VƯỢT THẨM QUYỀN PD</v>
          </cell>
        </row>
      </sheetData>
      <sheetData sheetId="5062">
        <row r="1">
          <cell r="A1" t="str">
            <v>PHIẾU XỬ LÝ HỒ SƠ THANH TOÁN VƯỢT THẨM QUYỀN PD</v>
          </cell>
        </row>
      </sheetData>
      <sheetData sheetId="5063">
        <row r="1">
          <cell r="A1" t="str">
            <v>PHIẾU XỬ LÝ HỒ SƠ THANH TOÁN VƯỢT THẨM QUYỀN PD</v>
          </cell>
        </row>
      </sheetData>
      <sheetData sheetId="5064">
        <row r="1">
          <cell r="A1" t="str">
            <v>PHIẾU XỬ LÝ HỒ SƠ THANH TOÁN VƯỢT THẨM QUYỀN PD</v>
          </cell>
        </row>
      </sheetData>
      <sheetData sheetId="5065">
        <row r="1">
          <cell r="A1" t="str">
            <v>PHIẾU XỬ LÝ HỒ SƠ THANH TOÁN VƯỢT THẨM QUYỀN PD</v>
          </cell>
        </row>
      </sheetData>
      <sheetData sheetId="5066">
        <row r="1">
          <cell r="A1" t="str">
            <v>PHIẾU XỬ LÝ HỒ SƠ THANH TOÁN VƯỢT THẨM QUYỀN PD</v>
          </cell>
        </row>
      </sheetData>
      <sheetData sheetId="5067">
        <row r="1">
          <cell r="A1" t="str">
            <v>PHIẾU XỬ LÝ HỒ SƠ THANH TOÁN VƯỢT THẨM QUYỀN PD</v>
          </cell>
        </row>
      </sheetData>
      <sheetData sheetId="5068">
        <row r="1">
          <cell r="A1" t="str">
            <v>PHIẾU XỬ LÝ HỒ SƠ THANH TOÁN VƯỢT THẨM QUYỀN PD</v>
          </cell>
        </row>
      </sheetData>
      <sheetData sheetId="5069">
        <row r="1">
          <cell r="A1" t="str">
            <v>PHIẾU XỬ LÝ HỒ SƠ THANH TOÁN VƯỢT THẨM QUYỀN PD</v>
          </cell>
        </row>
      </sheetData>
      <sheetData sheetId="5070">
        <row r="1">
          <cell r="A1" t="str">
            <v>PHIẾU XỬ LÝ HỒ SƠ THANH TOÁN VƯỢT THẨM QUYỀN PD</v>
          </cell>
        </row>
      </sheetData>
      <sheetData sheetId="5071">
        <row r="1">
          <cell r="A1" t="str">
            <v>PHIẾU XỬ LÝ HỒ SƠ THANH TOÁN VƯỢT THẨM QUYỀN PD</v>
          </cell>
        </row>
      </sheetData>
      <sheetData sheetId="5072">
        <row r="1">
          <cell r="A1" t="str">
            <v>PHIẾU XỬ LÝ HỒ SƠ THANH TOÁN VƯỢT THẨM QUYỀN PD</v>
          </cell>
        </row>
      </sheetData>
      <sheetData sheetId="5073">
        <row r="1">
          <cell r="A1" t="str">
            <v>PHIẾU XỬ LÝ HỒ SƠ THANH TOÁN VƯỢT THẨM QUYỀN PD</v>
          </cell>
        </row>
      </sheetData>
      <sheetData sheetId="5074">
        <row r="1">
          <cell r="A1" t="str">
            <v>PHIẾU XỬ LÝ HỒ SƠ THANH TOÁN VƯỢT THẨM QUYỀN PD</v>
          </cell>
        </row>
      </sheetData>
      <sheetData sheetId="5075">
        <row r="1">
          <cell r="A1" t="str">
            <v>PHIẾU XỬ LÝ HỒ SƠ THANH TOÁN VƯỢT THẨM QUYỀN PD</v>
          </cell>
        </row>
      </sheetData>
      <sheetData sheetId="5076">
        <row r="1">
          <cell r="A1" t="str">
            <v>PHIẾU XỬ LÝ HỒ SƠ THANH TOÁN VƯỢT THẨM QUYỀN PD</v>
          </cell>
        </row>
      </sheetData>
      <sheetData sheetId="5077">
        <row r="1">
          <cell r="A1" t="str">
            <v>PHIẾU XỬ LÝ HỒ SƠ THANH TOÁN VƯỢT THẨM QUYỀN PD</v>
          </cell>
        </row>
      </sheetData>
      <sheetData sheetId="5078">
        <row r="1">
          <cell r="A1" t="str">
            <v>PHIẾU XỬ LÝ HỒ SƠ THANH TOÁN VƯỢT THẨM QUYỀN PD</v>
          </cell>
        </row>
      </sheetData>
      <sheetData sheetId="5079">
        <row r="1">
          <cell r="A1" t="str">
            <v>PHIẾU XỬ LÝ HỒ SƠ THANH TOÁN VƯỢT THẨM QUYỀN PD</v>
          </cell>
        </row>
      </sheetData>
      <sheetData sheetId="5080">
        <row r="1">
          <cell r="A1" t="str">
            <v>PHIẾU XỬ LÝ HỒ SƠ THANH TOÁN VƯỢT THẨM QUYỀN PD</v>
          </cell>
        </row>
      </sheetData>
      <sheetData sheetId="5081">
        <row r="1">
          <cell r="A1" t="str">
            <v>PHIẾU XỬ LÝ HỒ SƠ THANH TOÁN VƯỢT THẨM QUYỀN PD</v>
          </cell>
        </row>
      </sheetData>
      <sheetData sheetId="5082">
        <row r="1">
          <cell r="A1" t="str">
            <v>PHIẾU XỬ LÝ HỒ SƠ THANH TOÁN VƯỢT THẨM QUYỀN PD</v>
          </cell>
        </row>
      </sheetData>
      <sheetData sheetId="5083">
        <row r="1">
          <cell r="A1" t="str">
            <v>PHIẾU XỬ LÝ HỒ SƠ THANH TOÁN VƯỢT THẨM QUYỀN PD</v>
          </cell>
        </row>
      </sheetData>
      <sheetData sheetId="5084">
        <row r="1">
          <cell r="A1" t="str">
            <v>PHIẾU XỬ LÝ HỒ SƠ THANH TOÁN VƯỢT THẨM QUYỀN PD</v>
          </cell>
        </row>
      </sheetData>
      <sheetData sheetId="5085">
        <row r="1">
          <cell r="A1" t="str">
            <v>PHIẾU XỬ LÝ HỒ SƠ THANH TOÁN VƯỢT THẨM QUYỀN PD</v>
          </cell>
        </row>
      </sheetData>
      <sheetData sheetId="5086">
        <row r="1">
          <cell r="A1" t="str">
            <v>PHIẾU XỬ LÝ HỒ SƠ THANH TOÁN VƯỢT THẨM QUYỀN PD</v>
          </cell>
        </row>
      </sheetData>
      <sheetData sheetId="5087">
        <row r="1">
          <cell r="A1" t="str">
            <v>PHIẾU XỬ LÝ HỒ SƠ THANH TOÁN VƯỢT THẨM QUYỀN PD</v>
          </cell>
        </row>
      </sheetData>
      <sheetData sheetId="5088">
        <row r="1">
          <cell r="A1" t="str">
            <v>PHIẾU XỬ LÝ HỒ SƠ THANH TOÁN VƯỢT THẨM QUYỀN PD</v>
          </cell>
        </row>
      </sheetData>
      <sheetData sheetId="5089">
        <row r="1">
          <cell r="A1" t="str">
            <v>PHIẾU XỬ LÝ HỒ SƠ THANH TOÁN VƯỢT THẨM QUYỀN PD</v>
          </cell>
        </row>
      </sheetData>
      <sheetData sheetId="5090">
        <row r="1">
          <cell r="A1" t="str">
            <v>PHIẾU XỬ LÝ HỒ SƠ THANH TOÁN VƯỢT THẨM QUYỀN PD</v>
          </cell>
        </row>
      </sheetData>
      <sheetData sheetId="5091">
        <row r="1">
          <cell r="A1" t="str">
            <v>PHIẾU XỬ LÝ HỒ SƠ THANH TOÁN VƯỢT THẨM QUYỀN PD</v>
          </cell>
        </row>
      </sheetData>
      <sheetData sheetId="5092">
        <row r="1">
          <cell r="A1" t="str">
            <v>PHIẾU XỬ LÝ HỒ SƠ THANH TOÁN VƯỢT THẨM QUYỀN PD</v>
          </cell>
        </row>
      </sheetData>
      <sheetData sheetId="5093">
        <row r="1">
          <cell r="A1" t="str">
            <v>PHIẾU XỬ LÝ HỒ SƠ THANH TOÁN VƯỢT THẨM QUYỀN PD</v>
          </cell>
        </row>
      </sheetData>
      <sheetData sheetId="5094">
        <row r="1">
          <cell r="A1" t="str">
            <v>PHIẾU XỬ LÝ HỒ SƠ THANH TOÁN VƯỢT THẨM QUYỀN PD</v>
          </cell>
        </row>
      </sheetData>
      <sheetData sheetId="5095">
        <row r="1">
          <cell r="A1" t="str">
            <v>PHIẾU XỬ LÝ HỒ SƠ THANH TOÁN VƯỢT THẨM QUYỀN PD</v>
          </cell>
        </row>
      </sheetData>
      <sheetData sheetId="5096">
        <row r="1">
          <cell r="A1" t="str">
            <v>PHIẾU XỬ LÝ HỒ SƠ THANH TOÁN VƯỢT THẨM QUYỀN PD</v>
          </cell>
        </row>
      </sheetData>
      <sheetData sheetId="5097">
        <row r="1">
          <cell r="A1" t="str">
            <v>PHIẾU XỬ LÝ HỒ SƠ THANH TOÁN VƯỢT THẨM QUYỀN PD</v>
          </cell>
        </row>
      </sheetData>
      <sheetData sheetId="5098">
        <row r="1">
          <cell r="A1" t="str">
            <v>PHIẾU XỬ LÝ HỒ SƠ THANH TOÁN VƯỢT THẨM QUYỀN PD</v>
          </cell>
        </row>
      </sheetData>
      <sheetData sheetId="5099">
        <row r="1">
          <cell r="A1" t="str">
            <v>PHIẾU XỬ LÝ HỒ SƠ THANH TOÁN VƯỢT THẨM QUYỀN PD</v>
          </cell>
        </row>
      </sheetData>
      <sheetData sheetId="5100">
        <row r="1">
          <cell r="A1" t="str">
            <v>PHIẾU XỬ LÝ HỒ SƠ THANH TOÁN VƯỢT THẨM QUYỀN PD</v>
          </cell>
        </row>
      </sheetData>
      <sheetData sheetId="5101">
        <row r="1">
          <cell r="A1" t="str">
            <v>PHIẾU XỬ LÝ HỒ SƠ THANH TOÁN VƯỢT THẨM QUYỀN PD</v>
          </cell>
        </row>
      </sheetData>
      <sheetData sheetId="5102">
        <row r="1">
          <cell r="A1" t="str">
            <v>PHIẾU XỬ LÝ HỒ SƠ THANH TOÁN VƯỢT THẨM QUYỀN PD</v>
          </cell>
        </row>
      </sheetData>
      <sheetData sheetId="5103">
        <row r="1">
          <cell r="A1" t="str">
            <v>PHIẾU XỬ LÝ HỒ SƠ THANH TOÁN VƯỢT THẨM QUYỀN PD</v>
          </cell>
        </row>
      </sheetData>
      <sheetData sheetId="5104">
        <row r="1">
          <cell r="A1" t="str">
            <v>PHIẾU XỬ LÝ HỒ SƠ THANH TOÁN VƯỢT THẨM QUYỀN PD</v>
          </cell>
        </row>
      </sheetData>
      <sheetData sheetId="5105">
        <row r="1">
          <cell r="A1" t="str">
            <v>PHIẾU XỬ LÝ HỒ SƠ THANH TOÁN VƯỢT THẨM QUYỀN PD</v>
          </cell>
        </row>
      </sheetData>
      <sheetData sheetId="5106">
        <row r="1">
          <cell r="A1" t="str">
            <v>PHIẾU XỬ LÝ HỒ SƠ THANH TOÁN VƯỢT THẨM QUYỀN PD</v>
          </cell>
        </row>
      </sheetData>
      <sheetData sheetId="5107">
        <row r="1">
          <cell r="A1" t="str">
            <v>PHIẾU XỬ LÝ HỒ SƠ THANH TOÁN VƯỢT THẨM QUYỀN PD</v>
          </cell>
        </row>
      </sheetData>
      <sheetData sheetId="5108">
        <row r="1">
          <cell r="A1" t="str">
            <v>PHIẾU XỬ LÝ HỒ SƠ THANH TOÁN VƯỢT THẨM QUYỀN PD</v>
          </cell>
        </row>
      </sheetData>
      <sheetData sheetId="5109">
        <row r="1">
          <cell r="A1" t="str">
            <v>PHIẾU XỬ LÝ HỒ SƠ THANH TOÁN VƯỢT THẨM QUYỀN PD</v>
          </cell>
        </row>
      </sheetData>
      <sheetData sheetId="5110">
        <row r="1">
          <cell r="A1" t="str">
            <v>PHIẾU XỬ LÝ HỒ SƠ THANH TOÁN VƯỢT THẨM QUYỀN PD</v>
          </cell>
        </row>
      </sheetData>
      <sheetData sheetId="5111">
        <row r="1">
          <cell r="A1" t="str">
            <v>PHIẾU XỬ LÝ HỒ SƠ THANH TOÁN VƯỢT THẨM QUYỀN PD</v>
          </cell>
        </row>
      </sheetData>
      <sheetData sheetId="5112">
        <row r="1">
          <cell r="A1" t="str">
            <v>PHIẾU XỬ LÝ HỒ SƠ THANH TOÁN VƯỢT THẨM QUYỀN PD</v>
          </cell>
        </row>
      </sheetData>
      <sheetData sheetId="5113">
        <row r="1">
          <cell r="A1" t="str">
            <v>PHIẾU XỬ LÝ HỒ SƠ THANH TOÁN VƯỢT THẨM QUYỀN PD</v>
          </cell>
        </row>
      </sheetData>
      <sheetData sheetId="5114">
        <row r="1">
          <cell r="A1" t="str">
            <v>PHIẾU XỬ LÝ HỒ SƠ THANH TOÁN VƯỢT THẨM QUYỀN PD</v>
          </cell>
        </row>
      </sheetData>
      <sheetData sheetId="5115">
        <row r="1">
          <cell r="A1" t="str">
            <v>PHIẾU XỬ LÝ HỒ SƠ THANH TOÁN VƯỢT THẨM QUYỀN PD</v>
          </cell>
        </row>
      </sheetData>
      <sheetData sheetId="5116">
        <row r="1">
          <cell r="A1" t="str">
            <v>PHIẾU XỬ LÝ HỒ SƠ THANH TOÁN VƯỢT THẨM QUYỀN PD</v>
          </cell>
        </row>
      </sheetData>
      <sheetData sheetId="5117">
        <row r="1">
          <cell r="A1" t="str">
            <v>PHIẾU XỬ LÝ HỒ SƠ THANH TOÁN VƯỢT THẨM QUYỀN PD</v>
          </cell>
        </row>
      </sheetData>
      <sheetData sheetId="5118">
        <row r="1">
          <cell r="A1" t="str">
            <v>PHIẾU XỬ LÝ HỒ SƠ THANH TOÁN VƯỢT THẨM QUYỀN PD</v>
          </cell>
        </row>
      </sheetData>
      <sheetData sheetId="5119">
        <row r="1">
          <cell r="A1" t="str">
            <v>PHIẾU XỬ LÝ HỒ SƠ THANH TOÁN VƯỢT THẨM QUYỀN PD</v>
          </cell>
        </row>
      </sheetData>
      <sheetData sheetId="5120">
        <row r="1">
          <cell r="A1" t="str">
            <v>PHIẾU XỬ LÝ HỒ SƠ THANH TOÁN VƯỢT THẨM QUYỀN PD</v>
          </cell>
        </row>
      </sheetData>
      <sheetData sheetId="5121">
        <row r="1">
          <cell r="A1" t="str">
            <v>PHIẾU XỬ LÝ HỒ SƠ THANH TOÁN VƯỢT THẨM QUYỀN PD</v>
          </cell>
        </row>
      </sheetData>
      <sheetData sheetId="5122">
        <row r="1">
          <cell r="A1" t="str">
            <v>PHIẾU XỬ LÝ HỒ SƠ THANH TOÁN VƯỢT THẨM QUYỀN PD</v>
          </cell>
        </row>
      </sheetData>
      <sheetData sheetId="5123">
        <row r="1">
          <cell r="A1" t="str">
            <v>PHIẾU XỬ LÝ HỒ SƠ THANH TOÁN VƯỢT THẨM QUYỀN PD</v>
          </cell>
        </row>
      </sheetData>
      <sheetData sheetId="5124">
        <row r="1">
          <cell r="A1" t="str">
            <v>PHIẾU XỬ LÝ HỒ SƠ THANH TOÁN VƯỢT THẨM QUYỀN PD</v>
          </cell>
        </row>
      </sheetData>
      <sheetData sheetId="5125">
        <row r="1">
          <cell r="A1" t="str">
            <v>PHIẾU XỬ LÝ HỒ SƠ THANH TOÁN VƯỢT THẨM QUYỀN PD</v>
          </cell>
        </row>
      </sheetData>
      <sheetData sheetId="5126">
        <row r="1">
          <cell r="A1" t="str">
            <v>PHIẾU XỬ LÝ HỒ SƠ THANH TOÁN VƯỢT THẨM QUYỀN PD</v>
          </cell>
        </row>
      </sheetData>
      <sheetData sheetId="5127">
        <row r="1">
          <cell r="A1" t="str">
            <v>PHIẾU XỬ LÝ HỒ SƠ THANH TOÁN VƯỢT THẨM QUYỀN PD</v>
          </cell>
        </row>
      </sheetData>
      <sheetData sheetId="5128">
        <row r="1">
          <cell r="A1" t="str">
            <v>PHIẾU XỬ LÝ HỒ SƠ THANH TOÁN VƯỢT THẨM QUYỀN PD</v>
          </cell>
        </row>
      </sheetData>
      <sheetData sheetId="5129">
        <row r="1">
          <cell r="A1" t="str">
            <v>PHIẾU XỬ LÝ HỒ SƠ THANH TOÁN VƯỢT THẨM QUYỀN PD</v>
          </cell>
        </row>
      </sheetData>
      <sheetData sheetId="5130">
        <row r="1">
          <cell r="A1" t="str">
            <v>PHIẾU XỬ LÝ HỒ SƠ THANH TOÁN VƯỢT THẨM QUYỀN PD</v>
          </cell>
        </row>
      </sheetData>
      <sheetData sheetId="5131">
        <row r="1">
          <cell r="A1" t="str">
            <v>PHIẾU XỬ LÝ HỒ SƠ THANH TOÁN VƯỢT THẨM QUYỀN PD</v>
          </cell>
        </row>
      </sheetData>
      <sheetData sheetId="5132">
        <row r="1">
          <cell r="A1" t="str">
            <v>PHIẾU XỬ LÝ HỒ SƠ THANH TOÁN VƯỢT THẨM QUYỀN PD</v>
          </cell>
        </row>
      </sheetData>
      <sheetData sheetId="5133">
        <row r="1">
          <cell r="A1" t="str">
            <v>PHIẾU XỬ LÝ HỒ SƠ THANH TOÁN VƯỢT THẨM QUYỀN PD</v>
          </cell>
        </row>
      </sheetData>
      <sheetData sheetId="5134">
        <row r="1">
          <cell r="A1" t="str">
            <v>PHIẾU XỬ LÝ HỒ SƠ THANH TOÁN VƯỢT THẨM QUYỀN PD</v>
          </cell>
        </row>
      </sheetData>
      <sheetData sheetId="5135">
        <row r="1">
          <cell r="A1" t="str">
            <v>PHIẾU XỬ LÝ HỒ SƠ THANH TOÁN VƯỢT THẨM QUYỀN PD</v>
          </cell>
        </row>
      </sheetData>
      <sheetData sheetId="5136">
        <row r="1">
          <cell r="A1" t="str">
            <v>PHIẾU XỬ LÝ HỒ SƠ THANH TOÁN VƯỢT THẨM QUYỀN PD</v>
          </cell>
        </row>
      </sheetData>
      <sheetData sheetId="5137">
        <row r="1">
          <cell r="A1" t="str">
            <v>PHIẾU XỬ LÝ HỒ SƠ THANH TOÁN VƯỢT THẨM QUYỀN PD</v>
          </cell>
        </row>
      </sheetData>
      <sheetData sheetId="5138">
        <row r="1">
          <cell r="A1" t="str">
            <v>PHIẾU XỬ LÝ HỒ SƠ THANH TOÁN VƯỢT THẨM QUYỀN PD</v>
          </cell>
        </row>
      </sheetData>
      <sheetData sheetId="5139">
        <row r="1">
          <cell r="A1" t="str">
            <v>PHIẾU XỬ LÝ HỒ SƠ THANH TOÁN VƯỢT THẨM QUYỀN PD</v>
          </cell>
        </row>
      </sheetData>
      <sheetData sheetId="5140">
        <row r="1">
          <cell r="A1" t="str">
            <v>PHIẾU XỬ LÝ HỒ SƠ THANH TOÁN VƯỢT THẨM QUYỀN PD</v>
          </cell>
        </row>
      </sheetData>
      <sheetData sheetId="5141">
        <row r="1">
          <cell r="A1" t="str">
            <v>PHIẾU XỬ LÝ HỒ SƠ THANH TOÁN VƯỢT THẨM QUYỀN PD</v>
          </cell>
        </row>
      </sheetData>
      <sheetData sheetId="5142">
        <row r="1">
          <cell r="A1" t="str">
            <v>PHIẾU XỬ LÝ HỒ SƠ THANH TOÁN VƯỢT THẨM QUYỀN PD</v>
          </cell>
        </row>
      </sheetData>
      <sheetData sheetId="5143">
        <row r="1">
          <cell r="A1" t="str">
            <v>PHIẾU XỬ LÝ HỒ SƠ THANH TOÁN VƯỢT THẨM QUYỀN PD</v>
          </cell>
        </row>
      </sheetData>
      <sheetData sheetId="5144">
        <row r="1">
          <cell r="A1" t="str">
            <v>PHIẾU XỬ LÝ HỒ SƠ THANH TOÁN VƯỢT THẨM QUYỀN PD</v>
          </cell>
        </row>
      </sheetData>
      <sheetData sheetId="5145">
        <row r="1">
          <cell r="A1" t="str">
            <v>PHIẾU XỬ LÝ HỒ SƠ THANH TOÁN VƯỢT THẨM QUYỀN PD</v>
          </cell>
        </row>
      </sheetData>
      <sheetData sheetId="5146">
        <row r="1">
          <cell r="A1" t="str">
            <v>PHIẾU XỬ LÝ HỒ SƠ THANH TOÁN VƯỢT THẨM QUYỀN PD</v>
          </cell>
        </row>
      </sheetData>
      <sheetData sheetId="5147">
        <row r="1">
          <cell r="A1" t="str">
            <v>PHIẾU XỬ LÝ HỒ SƠ THANH TOÁN VƯỢT THẨM QUYỀN PD</v>
          </cell>
        </row>
      </sheetData>
      <sheetData sheetId="5148">
        <row r="1">
          <cell r="A1" t="str">
            <v>PHIẾU XỬ LÝ HỒ SƠ THANH TOÁN VƯỢT THẨM QUYỀN PD</v>
          </cell>
        </row>
      </sheetData>
      <sheetData sheetId="5149">
        <row r="1">
          <cell r="A1" t="str">
            <v>PHIẾU XỬ LÝ HỒ SƠ THANH TOÁN VƯỢT THẨM QUYỀN PD</v>
          </cell>
        </row>
      </sheetData>
      <sheetData sheetId="5150">
        <row r="1">
          <cell r="A1" t="str">
            <v>PHIẾU XỬ LÝ HỒ SƠ THANH TOÁN VƯỢT THẨM QUYỀN PD</v>
          </cell>
        </row>
      </sheetData>
      <sheetData sheetId="5151">
        <row r="1">
          <cell r="A1" t="str">
            <v>PHIẾU XỬ LÝ HỒ SƠ THANH TOÁN VƯỢT THẨM QUYỀN PD</v>
          </cell>
        </row>
      </sheetData>
      <sheetData sheetId="5152">
        <row r="1">
          <cell r="A1" t="str">
            <v>PHIẾU XỬ LÝ HỒ SƠ THANH TOÁN VƯỢT THẨM QUYỀN PD</v>
          </cell>
        </row>
      </sheetData>
      <sheetData sheetId="5153">
        <row r="1">
          <cell r="A1" t="str">
            <v>PHIẾU XỬ LÝ HỒ SƠ THANH TOÁN VƯỢT THẨM QUYỀN PD</v>
          </cell>
        </row>
      </sheetData>
      <sheetData sheetId="5154">
        <row r="1">
          <cell r="A1" t="str">
            <v>PHIẾU XỬ LÝ HỒ SƠ THANH TOÁN VƯỢT THẨM QUYỀN PD</v>
          </cell>
        </row>
      </sheetData>
      <sheetData sheetId="5155">
        <row r="1">
          <cell r="A1" t="str">
            <v>PHIẾU XỬ LÝ HỒ SƠ THANH TOÁN VƯỢT THẨM QUYỀN PD</v>
          </cell>
        </row>
      </sheetData>
      <sheetData sheetId="5156">
        <row r="1">
          <cell r="A1" t="str">
            <v>PHIẾU XỬ LÝ HỒ SƠ THANH TOÁN VƯỢT THẨM QUYỀN PD</v>
          </cell>
        </row>
      </sheetData>
      <sheetData sheetId="5157">
        <row r="1">
          <cell r="A1" t="str">
            <v>PHIẾU XỬ LÝ HỒ SƠ THANH TOÁN VƯỢT THẨM QUYỀN PD</v>
          </cell>
        </row>
      </sheetData>
      <sheetData sheetId="5158">
        <row r="1">
          <cell r="A1" t="str">
            <v>PHIẾU XỬ LÝ HỒ SƠ THANH TOÁN VƯỢT THẨM QUYỀN PD</v>
          </cell>
        </row>
      </sheetData>
      <sheetData sheetId="5159">
        <row r="1">
          <cell r="A1" t="str">
            <v>PHIẾU XỬ LÝ HỒ SƠ THANH TOÁN VƯỢT THẨM QUYỀN PD</v>
          </cell>
        </row>
      </sheetData>
      <sheetData sheetId="5160">
        <row r="1">
          <cell r="A1" t="str">
            <v>PHIẾU XỬ LÝ HỒ SƠ THANH TOÁN VƯỢT THẨM QUYỀN PD</v>
          </cell>
        </row>
      </sheetData>
      <sheetData sheetId="5161">
        <row r="1">
          <cell r="A1" t="str">
            <v>PHIẾU XỬ LÝ HỒ SƠ THANH TOÁN VƯỢT THẨM QUYỀN PD</v>
          </cell>
        </row>
      </sheetData>
      <sheetData sheetId="5162">
        <row r="1">
          <cell r="A1" t="str">
            <v>PHIẾU XỬ LÝ HỒ SƠ THANH TOÁN VƯỢT THẨM QUYỀN PD</v>
          </cell>
        </row>
      </sheetData>
      <sheetData sheetId="5163">
        <row r="1">
          <cell r="A1" t="str">
            <v>PHIẾU XỬ LÝ HỒ SƠ THANH TOÁN VƯỢT THẨM QUYỀN PD</v>
          </cell>
        </row>
      </sheetData>
      <sheetData sheetId="5164">
        <row r="1">
          <cell r="A1" t="str">
            <v>PHIẾU XỬ LÝ HỒ SƠ THANH TOÁN VƯỢT THẨM QUYỀN PD</v>
          </cell>
        </row>
      </sheetData>
      <sheetData sheetId="5165">
        <row r="1">
          <cell r="A1" t="str">
            <v>PHIẾU XỬ LÝ HỒ SƠ THANH TOÁN VƯỢT THẨM QUYỀN PD</v>
          </cell>
        </row>
      </sheetData>
      <sheetData sheetId="5166">
        <row r="1">
          <cell r="A1" t="str">
            <v>PHIẾU XỬ LÝ HỒ SƠ THANH TOÁN VƯỢT THẨM QUYỀN PD</v>
          </cell>
        </row>
      </sheetData>
      <sheetData sheetId="5167">
        <row r="1">
          <cell r="A1" t="str">
            <v>PHIẾU XỬ LÝ HỒ SƠ THANH TOÁN VƯỢT THẨM QUYỀN PD</v>
          </cell>
        </row>
      </sheetData>
      <sheetData sheetId="5168">
        <row r="1">
          <cell r="A1" t="str">
            <v>PHIẾU XỬ LÝ HỒ SƠ THANH TOÁN VƯỢT THẨM QUYỀN PD</v>
          </cell>
        </row>
      </sheetData>
      <sheetData sheetId="5169">
        <row r="1">
          <cell r="A1" t="str">
            <v>PHIẾU XỬ LÝ HỒ SƠ THANH TOÁN VƯỢT THẨM QUYỀN PD</v>
          </cell>
        </row>
      </sheetData>
      <sheetData sheetId="5170">
        <row r="1">
          <cell r="A1" t="str">
            <v>PHIẾU XỬ LÝ HỒ SƠ THANH TOÁN VƯỢT THẨM QUYỀN PD</v>
          </cell>
        </row>
      </sheetData>
      <sheetData sheetId="5171">
        <row r="1">
          <cell r="A1" t="str">
            <v>PHIẾU XỬ LÝ HỒ SƠ THANH TOÁN VƯỢT THẨM QUYỀN PD</v>
          </cell>
        </row>
      </sheetData>
      <sheetData sheetId="5172">
        <row r="1">
          <cell r="A1" t="str">
            <v>PHIẾU XỬ LÝ HỒ SƠ THANH TOÁN VƯỢT THẨM QUYỀN PD</v>
          </cell>
        </row>
      </sheetData>
      <sheetData sheetId="5173">
        <row r="1">
          <cell r="A1" t="str">
            <v>PHIẾU XỬ LÝ HỒ SƠ THANH TOÁN VƯỢT THẨM QUYỀN PD</v>
          </cell>
        </row>
      </sheetData>
      <sheetData sheetId="5174">
        <row r="1">
          <cell r="A1" t="str">
            <v>PHIẾU XỬ LÝ HỒ SƠ THANH TOÁN VƯỢT THẨM QUYỀN PD</v>
          </cell>
        </row>
      </sheetData>
      <sheetData sheetId="5175">
        <row r="1">
          <cell r="A1" t="str">
            <v>PHIẾU XỬ LÝ HỒ SƠ THANH TOÁN VƯỢT THẨM QUYỀN PD</v>
          </cell>
        </row>
      </sheetData>
      <sheetData sheetId="5176">
        <row r="1">
          <cell r="A1" t="str">
            <v>PHIẾU XỬ LÝ HỒ SƠ THANH TOÁN VƯỢT THẨM QUYỀN PD</v>
          </cell>
        </row>
      </sheetData>
      <sheetData sheetId="5177">
        <row r="1">
          <cell r="A1" t="str">
            <v>PHIẾU XỬ LÝ HỒ SƠ THANH TOÁN VƯỢT THẨM QUYỀN PD</v>
          </cell>
        </row>
      </sheetData>
      <sheetData sheetId="5178">
        <row r="1">
          <cell r="A1" t="str">
            <v>PHIẾU XỬ LÝ HỒ SƠ THANH TOÁN VƯỢT THẨM QUYỀN PD</v>
          </cell>
        </row>
      </sheetData>
      <sheetData sheetId="5179">
        <row r="1">
          <cell r="A1" t="str">
            <v>PHIẾU XỬ LÝ HỒ SƠ THANH TOÁN VƯỢT THẨM QUYỀN PD</v>
          </cell>
        </row>
      </sheetData>
      <sheetData sheetId="5180">
        <row r="1">
          <cell r="A1" t="str">
            <v>PHIẾU XỬ LÝ HỒ SƠ THANH TOÁN VƯỢT THẨM QUYỀN PD</v>
          </cell>
        </row>
      </sheetData>
      <sheetData sheetId="5181">
        <row r="1">
          <cell r="A1" t="str">
            <v>PHIẾU XỬ LÝ HỒ SƠ THANH TOÁN VƯỢT THẨM QUYỀN PD</v>
          </cell>
        </row>
      </sheetData>
      <sheetData sheetId="5182">
        <row r="1">
          <cell r="A1" t="str">
            <v>PHIẾU XỬ LÝ HỒ SƠ THANH TOÁN VƯỢT THẨM QUYỀN PD</v>
          </cell>
        </row>
      </sheetData>
      <sheetData sheetId="5183">
        <row r="1">
          <cell r="A1" t="str">
            <v>PHIẾU XỬ LÝ HỒ SƠ THANH TOÁN VƯỢT THẨM QUYỀN PD</v>
          </cell>
        </row>
      </sheetData>
      <sheetData sheetId="5184">
        <row r="1">
          <cell r="A1" t="str">
            <v>PHIẾU XỬ LÝ HỒ SƠ THANH TOÁN VƯỢT THẨM QUYỀN PD</v>
          </cell>
        </row>
      </sheetData>
      <sheetData sheetId="5185">
        <row r="1">
          <cell r="A1" t="str">
            <v>PHIẾU XỬ LÝ HỒ SƠ THANH TOÁN VƯỢT THẨM QUYỀN PD</v>
          </cell>
        </row>
      </sheetData>
      <sheetData sheetId="5186">
        <row r="1">
          <cell r="A1" t="str">
            <v>PHIẾU XỬ LÝ HỒ SƠ THANH TOÁN VƯỢT THẨM QUYỀN PD</v>
          </cell>
        </row>
      </sheetData>
      <sheetData sheetId="5187">
        <row r="1">
          <cell r="A1" t="str">
            <v>PHIẾU XỬ LÝ HỒ SƠ THANH TOÁN VƯỢT THẨM QUYỀN PD</v>
          </cell>
        </row>
      </sheetData>
      <sheetData sheetId="5188">
        <row r="1">
          <cell r="A1" t="str">
            <v>PHIẾU XỬ LÝ HỒ SƠ THANH TOÁN VƯỢT THẨM QUYỀN PD</v>
          </cell>
        </row>
      </sheetData>
      <sheetData sheetId="5189">
        <row r="1">
          <cell r="A1" t="str">
            <v>PHIẾU XỬ LÝ HỒ SƠ THANH TOÁN VƯỢT THẨM QUYỀN PD</v>
          </cell>
        </row>
      </sheetData>
      <sheetData sheetId="5190">
        <row r="1">
          <cell r="A1" t="str">
            <v>PHIẾU XỬ LÝ HỒ SƠ THANH TOÁN VƯỢT THẨM QUYỀN PD</v>
          </cell>
        </row>
      </sheetData>
      <sheetData sheetId="5191">
        <row r="1">
          <cell r="A1" t="str">
            <v>PHIẾU XỬ LÝ HỒ SƠ THANH TOÁN VƯỢT THẨM QUYỀN PD</v>
          </cell>
        </row>
      </sheetData>
      <sheetData sheetId="5192">
        <row r="1">
          <cell r="A1" t="str">
            <v>PHIẾU XỬ LÝ HỒ SƠ THANH TOÁN VƯỢT THẨM QUYỀN PD</v>
          </cell>
        </row>
      </sheetData>
      <sheetData sheetId="5193">
        <row r="1">
          <cell r="A1" t="str">
            <v>PHIẾU XỬ LÝ HỒ SƠ THANH TOÁN VƯỢT THẨM QUYỀN PD</v>
          </cell>
        </row>
      </sheetData>
      <sheetData sheetId="5194">
        <row r="1">
          <cell r="A1" t="str">
            <v>PHIẾU XỬ LÝ HỒ SƠ THANH TOÁN VƯỢT THẨM QUYỀN PD</v>
          </cell>
        </row>
      </sheetData>
      <sheetData sheetId="5195">
        <row r="1">
          <cell r="A1" t="str">
            <v>PHIẾU XỬ LÝ HỒ SƠ THANH TOÁN VƯỢT THẨM QUYỀN PD</v>
          </cell>
        </row>
      </sheetData>
      <sheetData sheetId="5196">
        <row r="1">
          <cell r="A1" t="str">
            <v>PHIẾU XỬ LÝ HỒ SƠ THANH TOÁN VƯỢT THẨM QUYỀN PD</v>
          </cell>
        </row>
      </sheetData>
      <sheetData sheetId="5197">
        <row r="1">
          <cell r="A1" t="str">
            <v>PHIẾU XỬ LÝ HỒ SƠ THANH TOÁN VƯỢT THẨM QUYỀN PD</v>
          </cell>
        </row>
      </sheetData>
      <sheetData sheetId="5198">
        <row r="1">
          <cell r="A1" t="str">
            <v>PHIẾU XỬ LÝ HỒ SƠ THANH TOÁN VƯỢT THẨM QUYỀN PD</v>
          </cell>
        </row>
      </sheetData>
      <sheetData sheetId="5199">
        <row r="1">
          <cell r="A1" t="str">
            <v>PHIẾU XỬ LÝ HỒ SƠ THANH TOÁN VƯỢT THẨM QUYỀN PD</v>
          </cell>
        </row>
      </sheetData>
      <sheetData sheetId="5200">
        <row r="1">
          <cell r="A1" t="str">
            <v>PHIẾU XỬ LÝ HỒ SƠ THANH TOÁN VƯỢT THẨM QUYỀN PD</v>
          </cell>
        </row>
      </sheetData>
      <sheetData sheetId="5201">
        <row r="1">
          <cell r="A1" t="str">
            <v>PHIẾU XỬ LÝ HỒ SƠ THANH TOÁN VƯỢT THẨM QUYỀN PD</v>
          </cell>
        </row>
      </sheetData>
      <sheetData sheetId="5202">
        <row r="1">
          <cell r="A1" t="str">
            <v>PHIẾU XỬ LÝ HỒ SƠ THANH TOÁN VƯỢT THẨM QUYỀN PD</v>
          </cell>
        </row>
      </sheetData>
      <sheetData sheetId="5203">
        <row r="1">
          <cell r="A1" t="str">
            <v>PHIẾU XỬ LÝ HỒ SƠ THANH TOÁN VƯỢT THẨM QUYỀN PD</v>
          </cell>
        </row>
      </sheetData>
      <sheetData sheetId="5204">
        <row r="1">
          <cell r="A1" t="str">
            <v>PHIẾU XỬ LÝ HỒ SƠ THANH TOÁN VƯỢT THẨM QUYỀN PD</v>
          </cell>
        </row>
      </sheetData>
      <sheetData sheetId="5205">
        <row r="1">
          <cell r="A1" t="str">
            <v>PHIẾU XỬ LÝ HỒ SƠ THANH TOÁN VƯỢT THẨM QUYỀN PD</v>
          </cell>
        </row>
      </sheetData>
      <sheetData sheetId="5206">
        <row r="1">
          <cell r="A1" t="str">
            <v>PHIẾU XỬ LÝ HỒ SƠ THANH TOÁN VƯỢT THẨM QUYỀN PD</v>
          </cell>
        </row>
      </sheetData>
      <sheetData sheetId="5207">
        <row r="1">
          <cell r="A1" t="str">
            <v>PHIẾU XỬ LÝ HỒ SƠ THANH TOÁN VƯỢT THẨM QUYỀN PD</v>
          </cell>
        </row>
      </sheetData>
      <sheetData sheetId="5208">
        <row r="1">
          <cell r="A1" t="str">
            <v>PHIẾU XỬ LÝ HỒ SƠ THANH TOÁN VƯỢT THẨM QUYỀN PD</v>
          </cell>
        </row>
      </sheetData>
      <sheetData sheetId="5209">
        <row r="1">
          <cell r="A1" t="str">
            <v>PHIẾU XỬ LÝ HỒ SƠ THANH TOÁN VƯỢT THẨM QUYỀN PD</v>
          </cell>
        </row>
      </sheetData>
      <sheetData sheetId="5210">
        <row r="1">
          <cell r="A1" t="str">
            <v>PHIẾU XỬ LÝ HỒ SƠ THANH TOÁN VƯỢT THẨM QUYỀN PD</v>
          </cell>
        </row>
      </sheetData>
      <sheetData sheetId="5211">
        <row r="1">
          <cell r="A1" t="str">
            <v>PHIẾU XỬ LÝ HỒ SƠ THANH TOÁN VƯỢT THẨM QUYỀN PD</v>
          </cell>
        </row>
      </sheetData>
      <sheetData sheetId="5212">
        <row r="1">
          <cell r="A1" t="str">
            <v>PHIẾU XỬ LÝ HỒ SƠ THANH TOÁN VƯỢT THẨM QUYỀN PD</v>
          </cell>
        </row>
      </sheetData>
      <sheetData sheetId="5213">
        <row r="1">
          <cell r="A1" t="str">
            <v>PHIẾU XỬ LÝ HỒ SƠ THANH TOÁN VƯỢT THẨM QUYỀN PD</v>
          </cell>
        </row>
      </sheetData>
      <sheetData sheetId="5214">
        <row r="1">
          <cell r="A1" t="str">
            <v>PHIẾU XỬ LÝ HỒ SƠ THANH TOÁN VƯỢT THẨM QUYỀN PD</v>
          </cell>
        </row>
      </sheetData>
      <sheetData sheetId="5215">
        <row r="1">
          <cell r="A1" t="str">
            <v>PHIẾU XỬ LÝ HỒ SƠ THANH TOÁN VƯỢT THẨM QUYỀN PD</v>
          </cell>
        </row>
      </sheetData>
      <sheetData sheetId="5216">
        <row r="1">
          <cell r="A1" t="str">
            <v>PHIẾU XỬ LÝ HỒ SƠ THANH TOÁN VƯỢT THẨM QUYỀN PD</v>
          </cell>
        </row>
      </sheetData>
      <sheetData sheetId="5217">
        <row r="1">
          <cell r="A1" t="str">
            <v>PHIẾU XỬ LÝ HỒ SƠ THANH TOÁN VƯỢT THẨM QUYỀN PD</v>
          </cell>
        </row>
      </sheetData>
      <sheetData sheetId="5218">
        <row r="1">
          <cell r="A1" t="str">
            <v>PHIẾU XỬ LÝ HỒ SƠ THANH TOÁN VƯỢT THẨM QUYỀN PD</v>
          </cell>
        </row>
      </sheetData>
      <sheetData sheetId="5219">
        <row r="1">
          <cell r="A1" t="str">
            <v>PHIẾU XỬ LÝ HỒ SƠ THANH TOÁN VƯỢT THẨM QUYỀN PD</v>
          </cell>
        </row>
      </sheetData>
      <sheetData sheetId="5220">
        <row r="1">
          <cell r="A1" t="str">
            <v>PHIẾU XỬ LÝ HỒ SƠ THANH TOÁN VƯỢT THẨM QUYỀN PD</v>
          </cell>
        </row>
      </sheetData>
      <sheetData sheetId="5221">
        <row r="1">
          <cell r="A1" t="str">
            <v>PHIẾU XỬ LÝ HỒ SƠ THANH TOÁN VƯỢT THẨM QUYỀN PD</v>
          </cell>
        </row>
      </sheetData>
      <sheetData sheetId="5222">
        <row r="1">
          <cell r="A1" t="str">
            <v>PHIẾU XỬ LÝ HỒ SƠ THANH TOÁN VƯỢT THẨM QUYỀN PD</v>
          </cell>
        </row>
      </sheetData>
      <sheetData sheetId="5223">
        <row r="1">
          <cell r="A1" t="str">
            <v>PHIẾU XỬ LÝ HỒ SƠ THANH TOÁN VƯỢT THẨM QUYỀN PD</v>
          </cell>
        </row>
      </sheetData>
      <sheetData sheetId="5224">
        <row r="1">
          <cell r="A1" t="str">
            <v>PHIẾU XỬ LÝ HỒ SƠ THANH TOÁN VƯỢT THẨM QUYỀN PD</v>
          </cell>
        </row>
      </sheetData>
      <sheetData sheetId="5225">
        <row r="1">
          <cell r="A1" t="str">
            <v>PHIẾU XỬ LÝ HỒ SƠ THANH TOÁN VƯỢT THẨM QUYỀN PD</v>
          </cell>
        </row>
      </sheetData>
      <sheetData sheetId="5226">
        <row r="1">
          <cell r="A1" t="str">
            <v>PHIẾU XỬ LÝ HỒ SƠ THANH TOÁN VƯỢT THẨM QUYỀN PD</v>
          </cell>
        </row>
      </sheetData>
      <sheetData sheetId="5227">
        <row r="1">
          <cell r="A1" t="str">
            <v>PHIẾU XỬ LÝ HỒ SƠ THANH TOÁN VƯỢT THẨM QUYỀN PD</v>
          </cell>
        </row>
      </sheetData>
      <sheetData sheetId="5228">
        <row r="1">
          <cell r="A1" t="str">
            <v>PHIẾU XỬ LÝ HỒ SƠ THANH TOÁN VƯỢT THẨM QUYỀN PD</v>
          </cell>
        </row>
      </sheetData>
      <sheetData sheetId="5229">
        <row r="1">
          <cell r="A1" t="str">
            <v>PHIẾU XỬ LÝ HỒ SƠ THANH TOÁN VƯỢT THẨM QUYỀN PD</v>
          </cell>
        </row>
      </sheetData>
      <sheetData sheetId="5230">
        <row r="1">
          <cell r="A1" t="str">
            <v>PHIẾU XỬ LÝ HỒ SƠ THANH TOÁN VƯỢT THẨM QUYỀN PD</v>
          </cell>
        </row>
      </sheetData>
      <sheetData sheetId="5231">
        <row r="1">
          <cell r="A1" t="str">
            <v>PHIẾU XỬ LÝ HỒ SƠ THANH TOÁN VƯỢT THẨM QUYỀN PD</v>
          </cell>
        </row>
      </sheetData>
      <sheetData sheetId="5232">
        <row r="1">
          <cell r="A1" t="str">
            <v>PHIẾU XỬ LÝ HỒ SƠ THANH TOÁN VƯỢT THẨM QUYỀN PD</v>
          </cell>
        </row>
      </sheetData>
      <sheetData sheetId="5233">
        <row r="1">
          <cell r="A1" t="str">
            <v>PHIẾU XỬ LÝ HỒ SƠ THANH TOÁN VƯỢT THẨM QUYỀN PD</v>
          </cell>
        </row>
      </sheetData>
      <sheetData sheetId="5234">
        <row r="1">
          <cell r="A1" t="str">
            <v>PHIẾU XỬ LÝ HỒ SƠ THANH TOÁN VƯỢT THẨM QUYỀN PD</v>
          </cell>
        </row>
      </sheetData>
      <sheetData sheetId="5235">
        <row r="1">
          <cell r="A1" t="str">
            <v>PHIẾU XỬ LÝ HỒ SƠ THANH TOÁN VƯỢT THẨM QUYỀN PD</v>
          </cell>
        </row>
      </sheetData>
      <sheetData sheetId="5236">
        <row r="1">
          <cell r="A1" t="str">
            <v>PHIẾU XỬ LÝ HỒ SƠ THANH TOÁN VƯỢT THẨM QUYỀN PD</v>
          </cell>
        </row>
      </sheetData>
      <sheetData sheetId="5237">
        <row r="1">
          <cell r="A1" t="str">
            <v>PHIẾU XỬ LÝ HỒ SƠ THANH TOÁN VƯỢT THẨM QUYỀN PD</v>
          </cell>
        </row>
      </sheetData>
      <sheetData sheetId="5238">
        <row r="1">
          <cell r="A1" t="str">
            <v>PHIẾU XỬ LÝ HỒ SƠ THANH TOÁN VƯỢT THẨM QUYỀN PD</v>
          </cell>
        </row>
      </sheetData>
      <sheetData sheetId="5239">
        <row r="1">
          <cell r="A1" t="str">
            <v>PHIẾU XỬ LÝ HỒ SƠ THANH TOÁN VƯỢT THẨM QUYỀN PD</v>
          </cell>
        </row>
      </sheetData>
      <sheetData sheetId="5240">
        <row r="1">
          <cell r="A1" t="str">
            <v>PHIẾU XỬ LÝ HỒ SƠ THANH TOÁN VƯỢT THẨM QUYỀN PD</v>
          </cell>
        </row>
      </sheetData>
      <sheetData sheetId="5241">
        <row r="1">
          <cell r="A1" t="str">
            <v>PHIẾU XỬ LÝ HỒ SƠ THANH TOÁN VƯỢT THẨM QUYỀN PD</v>
          </cell>
        </row>
      </sheetData>
      <sheetData sheetId="5242">
        <row r="1">
          <cell r="A1" t="str">
            <v>PHIẾU XỬ LÝ HỒ SƠ THANH TOÁN VƯỢT THẨM QUYỀN PD</v>
          </cell>
        </row>
      </sheetData>
      <sheetData sheetId="5243">
        <row r="1">
          <cell r="A1" t="str">
            <v>PHIẾU XỬ LÝ HỒ SƠ THANH TOÁN VƯỢT THẨM QUYỀN PD</v>
          </cell>
        </row>
      </sheetData>
      <sheetData sheetId="5244">
        <row r="1">
          <cell r="A1" t="str">
            <v>PHIẾU XỬ LÝ HỒ SƠ THANH TOÁN VƯỢT THẨM QUYỀN PD</v>
          </cell>
        </row>
      </sheetData>
      <sheetData sheetId="5245">
        <row r="1">
          <cell r="A1" t="str">
            <v>PHIẾU XỬ LÝ HỒ SƠ THANH TOÁN VƯỢT THẨM QUYỀN PD</v>
          </cell>
        </row>
      </sheetData>
      <sheetData sheetId="5246">
        <row r="1">
          <cell r="A1" t="str">
            <v>PHIẾU XỬ LÝ HỒ SƠ THANH TOÁN VƯỢT THẨM QUYỀN PD</v>
          </cell>
        </row>
      </sheetData>
      <sheetData sheetId="5247">
        <row r="1">
          <cell r="A1" t="str">
            <v>PHIẾU XỬ LÝ HỒ SƠ THANH TOÁN VƯỢT THẨM QUYỀN PD</v>
          </cell>
        </row>
      </sheetData>
      <sheetData sheetId="5248">
        <row r="1">
          <cell r="A1" t="str">
            <v>PHIẾU XỬ LÝ HỒ SƠ THANH TOÁN VƯỢT THẨM QUYỀN PD</v>
          </cell>
        </row>
      </sheetData>
      <sheetData sheetId="5249">
        <row r="1">
          <cell r="A1" t="str">
            <v>PHIẾU XỬ LÝ HỒ SƠ THANH TOÁN VƯỢT THẨM QUYỀN PD</v>
          </cell>
        </row>
      </sheetData>
      <sheetData sheetId="5250">
        <row r="1">
          <cell r="A1" t="str">
            <v>PHIẾU XỬ LÝ HỒ SƠ THANH TOÁN VƯỢT THẨM QUYỀN PD</v>
          </cell>
        </row>
      </sheetData>
      <sheetData sheetId="5251">
        <row r="1">
          <cell r="A1" t="str">
            <v>PHIẾU XỬ LÝ HỒ SƠ THANH TOÁN VƯỢT THẨM QUYỀN PD</v>
          </cell>
        </row>
      </sheetData>
      <sheetData sheetId="5252">
        <row r="1">
          <cell r="A1" t="str">
            <v>PHIẾU XỬ LÝ HỒ SƠ THANH TOÁN VƯỢT THẨM QUYỀN PD</v>
          </cell>
        </row>
      </sheetData>
      <sheetData sheetId="5253">
        <row r="1">
          <cell r="A1" t="str">
            <v>PHIẾU XỬ LÝ HỒ SƠ THANH TOÁN VƯỢT THẨM QUYỀN PD</v>
          </cell>
        </row>
      </sheetData>
      <sheetData sheetId="5254">
        <row r="1">
          <cell r="A1" t="str">
            <v>PHIẾU XỬ LÝ HỒ SƠ THANH TOÁN VƯỢT THẨM QUYỀN PD</v>
          </cell>
        </row>
      </sheetData>
      <sheetData sheetId="5255">
        <row r="1">
          <cell r="A1" t="str">
            <v>PHIẾU XỬ LÝ HỒ SƠ THANH TOÁN VƯỢT THẨM QUYỀN PD</v>
          </cell>
        </row>
      </sheetData>
      <sheetData sheetId="5256">
        <row r="1">
          <cell r="A1" t="str">
            <v>PHIẾU XỬ LÝ HỒ SƠ THANH TOÁN VƯỢT THẨM QUYỀN PD</v>
          </cell>
        </row>
      </sheetData>
      <sheetData sheetId="5257">
        <row r="1">
          <cell r="A1" t="str">
            <v>PHIẾU XỬ LÝ HỒ SƠ THANH TOÁN VƯỢT THẨM QUYỀN PD</v>
          </cell>
        </row>
      </sheetData>
      <sheetData sheetId="5258">
        <row r="1">
          <cell r="A1" t="str">
            <v>PHIẾU XỬ LÝ HỒ SƠ THANH TOÁN VƯỢT THẨM QUYỀN PD</v>
          </cell>
        </row>
      </sheetData>
      <sheetData sheetId="5259">
        <row r="1">
          <cell r="A1" t="str">
            <v>PHIẾU XỬ LÝ HỒ SƠ THANH TOÁN VƯỢT THẨM QUYỀN PD</v>
          </cell>
        </row>
      </sheetData>
      <sheetData sheetId="5260">
        <row r="1">
          <cell r="A1" t="str">
            <v>PHIẾU XỬ LÝ HỒ SƠ THANH TOÁN VƯỢT THẨM QUYỀN PD</v>
          </cell>
        </row>
      </sheetData>
      <sheetData sheetId="5261">
        <row r="1">
          <cell r="A1" t="str">
            <v>PHIẾU XỬ LÝ HỒ SƠ THANH TOÁN VƯỢT THẨM QUYỀN PD</v>
          </cell>
        </row>
      </sheetData>
      <sheetData sheetId="5262">
        <row r="1">
          <cell r="A1" t="str">
            <v>PHIẾU XỬ LÝ HỒ SƠ THANH TOÁN VƯỢT THẨM QUYỀN PD</v>
          </cell>
        </row>
      </sheetData>
      <sheetData sheetId="5263">
        <row r="1">
          <cell r="A1" t="str">
            <v>PHIẾU XỬ LÝ HỒ SƠ THANH TOÁN VƯỢT THẨM QUYỀN PD</v>
          </cell>
        </row>
      </sheetData>
      <sheetData sheetId="5264">
        <row r="1">
          <cell r="A1" t="str">
            <v>PHIẾU XỬ LÝ HỒ SƠ THANH TOÁN VƯỢT THẨM QUYỀN PD</v>
          </cell>
        </row>
      </sheetData>
      <sheetData sheetId="5265">
        <row r="1">
          <cell r="A1" t="str">
            <v>PHIẾU XỬ LÝ HỒ SƠ THANH TOÁN VƯỢT THẨM QUYỀN PD</v>
          </cell>
        </row>
      </sheetData>
      <sheetData sheetId="5266">
        <row r="1">
          <cell r="A1" t="str">
            <v>PHIẾU XỬ LÝ HỒ SƠ THANH TOÁN VƯỢT THẨM QUYỀN PD</v>
          </cell>
        </row>
      </sheetData>
      <sheetData sheetId="5267">
        <row r="1">
          <cell r="A1" t="str">
            <v>PHIẾU XỬ LÝ HỒ SƠ THANH TOÁN VƯỢT THẨM QUYỀN PD</v>
          </cell>
        </row>
      </sheetData>
      <sheetData sheetId="5268">
        <row r="1">
          <cell r="A1" t="str">
            <v>PHIẾU XỬ LÝ HỒ SƠ THANH TOÁN VƯỢT THẨM QUYỀN PD</v>
          </cell>
        </row>
      </sheetData>
      <sheetData sheetId="5269">
        <row r="1">
          <cell r="A1" t="str">
            <v>PHIẾU XỬ LÝ HỒ SƠ THANH TOÁN VƯỢT THẨM QUYỀN PD</v>
          </cell>
        </row>
      </sheetData>
      <sheetData sheetId="5270">
        <row r="1">
          <cell r="A1" t="str">
            <v>PHIẾU XỬ LÝ HỒ SƠ THANH TOÁN VƯỢT THẨM QUYỀN PD</v>
          </cell>
        </row>
      </sheetData>
      <sheetData sheetId="5271">
        <row r="1">
          <cell r="A1" t="str">
            <v>PHIẾU XỬ LÝ HỒ SƠ THANH TOÁN VƯỢT THẨM QUYỀN PD</v>
          </cell>
        </row>
      </sheetData>
      <sheetData sheetId="5272">
        <row r="1">
          <cell r="A1" t="str">
            <v>PHIẾU XỬ LÝ HỒ SƠ THANH TOÁN VƯỢT THẨM QUYỀN PD</v>
          </cell>
        </row>
      </sheetData>
      <sheetData sheetId="5273">
        <row r="1">
          <cell r="A1" t="str">
            <v>PHIẾU XỬ LÝ HỒ SƠ THANH TOÁN VƯỢT THẨM QUYỀN PD</v>
          </cell>
        </row>
      </sheetData>
      <sheetData sheetId="5274">
        <row r="1">
          <cell r="A1" t="str">
            <v>PHIẾU XỬ LÝ HỒ SƠ THANH TOÁN VƯỢT THẨM QUYỀN PD</v>
          </cell>
        </row>
      </sheetData>
      <sheetData sheetId="5275">
        <row r="1">
          <cell r="A1" t="str">
            <v>PHIẾU XỬ LÝ HỒ SƠ THANH TOÁN VƯỢT THẨM QUYỀN PD</v>
          </cell>
        </row>
      </sheetData>
      <sheetData sheetId="5276">
        <row r="1">
          <cell r="A1" t="str">
            <v>PHIẾU XỬ LÝ HỒ SƠ THANH TOÁN VƯỢT THẨM QUYỀN PD</v>
          </cell>
        </row>
      </sheetData>
      <sheetData sheetId="5277">
        <row r="1">
          <cell r="A1" t="str">
            <v>PHIẾU XỬ LÝ HỒ SƠ THANH TOÁN VƯỢT THẨM QUYỀN PD</v>
          </cell>
        </row>
      </sheetData>
      <sheetData sheetId="5278">
        <row r="1">
          <cell r="A1" t="str">
            <v>PHIẾU XỬ LÝ HỒ SƠ THANH TOÁN VƯỢT THẨM QUYỀN PD</v>
          </cell>
        </row>
      </sheetData>
      <sheetData sheetId="5279">
        <row r="1">
          <cell r="A1" t="str">
            <v>PHIẾU XỬ LÝ HỒ SƠ THANH TOÁN VƯỢT THẨM QUYỀN PD</v>
          </cell>
        </row>
      </sheetData>
      <sheetData sheetId="5280">
        <row r="1">
          <cell r="A1" t="str">
            <v>PHIẾU XỬ LÝ HỒ SƠ THANH TOÁN VƯỢT THẨM QUYỀN PD</v>
          </cell>
        </row>
      </sheetData>
      <sheetData sheetId="5281">
        <row r="1">
          <cell r="A1" t="str">
            <v>PHIẾU XỬ LÝ HỒ SƠ THANH TOÁN VƯỢT THẨM QUYỀN PD</v>
          </cell>
        </row>
      </sheetData>
      <sheetData sheetId="5282">
        <row r="1">
          <cell r="A1" t="str">
            <v>PHIẾU XỬ LÝ HỒ SƠ THANH TOÁN VƯỢT THẨM QUYỀN PD</v>
          </cell>
        </row>
      </sheetData>
      <sheetData sheetId="5283">
        <row r="1">
          <cell r="A1" t="str">
            <v>PHIẾU XỬ LÝ HỒ SƠ THANH TOÁN VƯỢT THẨM QUYỀN PD</v>
          </cell>
        </row>
      </sheetData>
      <sheetData sheetId="5284">
        <row r="1">
          <cell r="A1" t="str">
            <v>PHIẾU XỬ LÝ HỒ SƠ THANH TOÁN VƯỢT THẨM QUYỀN PD</v>
          </cell>
        </row>
      </sheetData>
      <sheetData sheetId="5285">
        <row r="1">
          <cell r="A1" t="str">
            <v>PHIẾU XỬ LÝ HỒ SƠ THANH TOÁN VƯỢT THẨM QUYỀN PD</v>
          </cell>
        </row>
      </sheetData>
      <sheetData sheetId="5286">
        <row r="1">
          <cell r="A1" t="str">
            <v>PHIẾU XỬ LÝ HỒ SƠ THANH TOÁN VƯỢT THẨM QUYỀN PD</v>
          </cell>
        </row>
      </sheetData>
      <sheetData sheetId="5287">
        <row r="1">
          <cell r="A1" t="str">
            <v>PHIẾU XỬ LÝ HỒ SƠ THANH TOÁN VƯỢT THẨM QUYỀN PD</v>
          </cell>
        </row>
      </sheetData>
      <sheetData sheetId="5288">
        <row r="1">
          <cell r="A1" t="str">
            <v>PHIẾU XỬ LÝ HỒ SƠ THANH TOÁN VƯỢT THẨM QUYỀN PD</v>
          </cell>
        </row>
      </sheetData>
      <sheetData sheetId="5289">
        <row r="1">
          <cell r="A1" t="str">
            <v>PHIẾU XỬ LÝ HỒ SƠ THANH TOÁN VƯỢT THẨM QUYỀN PD</v>
          </cell>
        </row>
      </sheetData>
      <sheetData sheetId="5290">
        <row r="1">
          <cell r="A1" t="str">
            <v>PHIẾU XỬ LÝ HỒ SƠ THANH TOÁN VƯỢT THẨM QUYỀN PD</v>
          </cell>
        </row>
      </sheetData>
      <sheetData sheetId="5291">
        <row r="1">
          <cell r="A1" t="str">
            <v>PHIẾU XỬ LÝ HỒ SƠ THANH TOÁN VƯỢT THẨM QUYỀN PD</v>
          </cell>
        </row>
      </sheetData>
      <sheetData sheetId="5292">
        <row r="1">
          <cell r="A1" t="str">
            <v>PHIẾU XỬ LÝ HỒ SƠ THANH TOÁN VƯỢT THẨM QUYỀN PD</v>
          </cell>
        </row>
      </sheetData>
      <sheetData sheetId="5293">
        <row r="1">
          <cell r="A1" t="str">
            <v>PHIẾU XỬ LÝ HỒ SƠ THANH TOÁN VƯỢT THẨM QUYỀN PD</v>
          </cell>
        </row>
      </sheetData>
      <sheetData sheetId="5294">
        <row r="1">
          <cell r="A1" t="str">
            <v>PHIẾU XỬ LÝ HỒ SƠ THANH TOÁN VƯỢT THẨM QUYỀN PD</v>
          </cell>
        </row>
      </sheetData>
      <sheetData sheetId="5295">
        <row r="1">
          <cell r="A1" t="str">
            <v>PHIẾU XỬ LÝ HỒ SƠ THANH TOÁN VƯỢT THẨM QUYỀN PD</v>
          </cell>
        </row>
      </sheetData>
      <sheetData sheetId="5296">
        <row r="1">
          <cell r="A1" t="str">
            <v>PHIẾU XỬ LÝ HỒ SƠ THANH TOÁN VƯỢT THẨM QUYỀN PD</v>
          </cell>
        </row>
      </sheetData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>
        <row r="1">
          <cell r="A1" t="str">
            <v>PHIẾU XỬ LÝ HỒ SƠ THANH TOÁN VƯỢT THẨM QUYỀN PD</v>
          </cell>
        </row>
      </sheetData>
      <sheetData sheetId="5303">
        <row r="1">
          <cell r="A1" t="str">
            <v>PHIẾU XỬ LÝ HỒ SƠ THANH TOÁN VƯỢT THẨM QUYỀN PD</v>
          </cell>
        </row>
      </sheetData>
      <sheetData sheetId="5304" refreshError="1"/>
      <sheetData sheetId="5305" refreshError="1"/>
      <sheetData sheetId="5306" refreshError="1"/>
      <sheetData sheetId="5307" refreshError="1"/>
      <sheetData sheetId="5308">
        <row r="1">
          <cell r="A1" t="str">
            <v>PHIẾU XỬ LÝ HỒ SƠ THANH TOÁN VƯỢT THẨM QUYỀN PD</v>
          </cell>
        </row>
      </sheetData>
      <sheetData sheetId="5309" refreshError="1"/>
      <sheetData sheetId="5310" refreshError="1"/>
      <sheetData sheetId="5311">
        <row r="1">
          <cell r="A1" t="str">
            <v>PHIẾU XỬ LÝ HỒ SƠ THANH TOÁN VƯỢT THẨM QUYỀN PD</v>
          </cell>
        </row>
      </sheetData>
      <sheetData sheetId="5312">
        <row r="1">
          <cell r="A1" t="str">
            <v>PHIẾU XỬ LÝ HỒ SƠ THANH TOÁN VƯỢT THẨM QUYỀN PD</v>
          </cell>
        </row>
      </sheetData>
      <sheetData sheetId="5313">
        <row r="1">
          <cell r="A1" t="str">
            <v>PHIẾU XỬ LÝ HỒ SƠ THANH TOÁN VƯỢT THẨM QUYỀN PD</v>
          </cell>
        </row>
      </sheetData>
      <sheetData sheetId="5314">
        <row r="1">
          <cell r="A1" t="str">
            <v>PHIẾU XỬ LÝ HỒ SƠ THANH TOÁN VƯỢT THẨM QUYỀN PD</v>
          </cell>
        </row>
      </sheetData>
      <sheetData sheetId="5315">
        <row r="1">
          <cell r="A1" t="str">
            <v>PHIẾU XỬ LÝ HỒ SƠ THANH TOÁN VƯỢT THẨM QUYỀN PD</v>
          </cell>
        </row>
      </sheetData>
      <sheetData sheetId="5316">
        <row r="1">
          <cell r="A1" t="str">
            <v>PHIẾU XỬ LÝ HỒ SƠ THANH TOÁN VƯỢT THẨM QUYỀN PD</v>
          </cell>
        </row>
      </sheetData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>
        <row r="1">
          <cell r="A1" t="str">
            <v>PHIẾU XỬ LÝ HỒ SƠ THANH TOÁN VƯỢT THẨM QUYỀN PD</v>
          </cell>
        </row>
      </sheetData>
      <sheetData sheetId="5325">
        <row r="1">
          <cell r="A1" t="str">
            <v>PHIẾU XỬ LÝ HỒ SƠ THANH TOÁN VƯỢT THẨM QUYỀN PD</v>
          </cell>
        </row>
      </sheetData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>
        <row r="1">
          <cell r="A1" t="str">
            <v>PHIẾU XỬ LÝ HỒ SƠ THANH TOÁN VƯỢT THẨM QUYỀN PD</v>
          </cell>
        </row>
      </sheetData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>
        <row r="1">
          <cell r="A1" t="str">
            <v>PHIẾU XỬ LÝ HỒ SƠ THANH TOÁN VƯỢT THẨM QUYỀN PD</v>
          </cell>
        </row>
      </sheetData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>
        <row r="1">
          <cell r="A1" t="str">
            <v>PHIẾU XỬ LÝ HỒ SƠ THANH TOÁN VƯỢT THẨM QUYỀN PD</v>
          </cell>
        </row>
      </sheetData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>
        <row r="1">
          <cell r="A1" t="str">
            <v>PHIẾU XỬ LÝ HỒ SƠ THANH TOÁN VƯỢT THẨM QUYỀN PD</v>
          </cell>
        </row>
      </sheetData>
      <sheetData sheetId="5442">
        <row r="1">
          <cell r="A1" t="str">
            <v>PHIẾU XỬ LÝ HỒ SƠ THANH TOÁN VƯỢT THẨM QUYỀN PD</v>
          </cell>
        </row>
      </sheetData>
      <sheetData sheetId="5443">
        <row r="1">
          <cell r="A1" t="str">
            <v>PHIẾU XỬ LÝ HỒ SƠ THANH TOÁN VƯỢT THẨM QUYỀN PD</v>
          </cell>
        </row>
      </sheetData>
      <sheetData sheetId="5444">
        <row r="1">
          <cell r="A1" t="str">
            <v>PHIẾU XỬ LÝ HỒ SƠ THANH TOÁN VƯỢT THẨM QUYỀN PD</v>
          </cell>
        </row>
      </sheetData>
      <sheetData sheetId="5445">
        <row r="1">
          <cell r="A1" t="str">
            <v>PHIẾU XỬ LÝ HỒ SƠ THANH TOÁN VƯỢT THẨM QUYỀN PD</v>
          </cell>
        </row>
      </sheetData>
      <sheetData sheetId="5446">
        <row r="1">
          <cell r="A1" t="str">
            <v>PHIẾU XỬ LÝ HỒ SƠ THANH TOÁN VƯỢT THẨM QUYỀN PD</v>
          </cell>
        </row>
      </sheetData>
      <sheetData sheetId="5447">
        <row r="1">
          <cell r="A1" t="str">
            <v>PHIẾU XỬ LÝ HỒ SƠ THANH TOÁN VƯỢT THẨM QUYỀN PD</v>
          </cell>
        </row>
      </sheetData>
      <sheetData sheetId="5448">
        <row r="1">
          <cell r="A1" t="str">
            <v>PHIẾU XỬ LÝ HỒ SƠ THANH TOÁN VƯỢT THẨM QUYỀN PD</v>
          </cell>
        </row>
      </sheetData>
      <sheetData sheetId="5449">
        <row r="1">
          <cell r="A1" t="str">
            <v>PHIẾU XỬ LÝ HỒ SƠ THANH TOÁN VƯỢT THẨM QUYỀN PD</v>
          </cell>
        </row>
      </sheetData>
      <sheetData sheetId="5450">
        <row r="1">
          <cell r="A1" t="str">
            <v>PHIẾU XỬ LÝ HỒ SƠ THANH TOÁN VƯỢT THẨM QUYỀN PD</v>
          </cell>
        </row>
      </sheetData>
      <sheetData sheetId="5451">
        <row r="1">
          <cell r="A1" t="str">
            <v>PHIẾU XỬ LÝ HỒ SƠ THANH TOÁN VƯỢT THẨM QUYỀN PD</v>
          </cell>
        </row>
      </sheetData>
      <sheetData sheetId="5452">
        <row r="1">
          <cell r="A1" t="str">
            <v>PHIẾU XỬ LÝ HỒ SƠ THANH TOÁN VƯỢT THẨM QUYỀN PD</v>
          </cell>
        </row>
      </sheetData>
      <sheetData sheetId="5453">
        <row r="1">
          <cell r="A1" t="str">
            <v>PHIẾU XỬ LÝ HỒ SƠ THANH TOÁN VƯỢT THẨM QUYỀN PD</v>
          </cell>
        </row>
      </sheetData>
      <sheetData sheetId="5454">
        <row r="1">
          <cell r="A1" t="str">
            <v>PHIẾU XỬ LÝ HỒ SƠ THANH TOÁN VƯỢT THẨM QUYỀN PD</v>
          </cell>
        </row>
      </sheetData>
      <sheetData sheetId="5455">
        <row r="1">
          <cell r="A1" t="str">
            <v>PHIẾU XỬ LÝ HỒ SƠ THANH TOÁN VƯỢT THẨM QUYỀN PD</v>
          </cell>
        </row>
      </sheetData>
      <sheetData sheetId="5456">
        <row r="1">
          <cell r="A1" t="str">
            <v>PHIẾU XỬ LÝ HỒ SƠ THANH TOÁN VƯỢT THẨM QUYỀN PD</v>
          </cell>
        </row>
      </sheetData>
      <sheetData sheetId="5457">
        <row r="1">
          <cell r="A1" t="str">
            <v>PHIẾU XỬ LÝ HỒ SƠ THANH TOÁN VƯỢT THẨM QUYỀN PD</v>
          </cell>
        </row>
      </sheetData>
      <sheetData sheetId="5458" refreshError="1"/>
      <sheetData sheetId="5459" refreshError="1"/>
      <sheetData sheetId="5460">
        <row r="1">
          <cell r="A1" t="str">
            <v>PHIẾU XỬ LÝ HỒ SƠ THANH TOÁN VƯỢT THẨM QUYỀN PD</v>
          </cell>
        </row>
      </sheetData>
      <sheetData sheetId="5461">
        <row r="1">
          <cell r="A1" t="str">
            <v>PHIẾU XỬ LÝ HỒ SƠ THANH TOÁN VƯỢT THẨM QUYỀN PD</v>
          </cell>
        </row>
      </sheetData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>
        <row r="1">
          <cell r="A1" t="str">
            <v>PHIẾU XỬ LÝ HỒ SƠ THANH TOÁN VƯỢT THẨM QUYỀN PD</v>
          </cell>
        </row>
      </sheetData>
      <sheetData sheetId="5469">
        <row r="1">
          <cell r="A1" t="str">
            <v>PHIẾU XỬ LÝ HỒ SƠ THANH TOÁN VƯỢT THẨM QUYỀN PD</v>
          </cell>
        </row>
      </sheetData>
      <sheetData sheetId="5470" refreshError="1"/>
      <sheetData sheetId="5471" refreshError="1"/>
      <sheetData sheetId="5472">
        <row r="1">
          <cell r="A1" t="str">
            <v>PHIẾU XỬ LÝ HỒ SƠ THANH TOÁN VƯỢT THẨM QUYỀN PD</v>
          </cell>
        </row>
      </sheetData>
      <sheetData sheetId="5473" refreshError="1"/>
      <sheetData sheetId="5474" refreshError="1"/>
      <sheetData sheetId="5475">
        <row r="1">
          <cell r="A1" t="str">
            <v>PHIẾU XỬ LÝ HỒ SƠ THANH TOÁN VƯỢT THẨM QUYỀN PD</v>
          </cell>
        </row>
      </sheetData>
      <sheetData sheetId="5476">
        <row r="1">
          <cell r="A1" t="str">
            <v>PHIẾU XỬ LÝ HỒ SƠ THANH TOÁN VƯỢT THẨM QUYỀN PD</v>
          </cell>
        </row>
      </sheetData>
      <sheetData sheetId="5477">
        <row r="1">
          <cell r="A1" t="str">
            <v>PHIẾU XỬ LÝ HỒ SƠ THANH TOÁN VƯỢT THẨM QUYỀN PD</v>
          </cell>
        </row>
      </sheetData>
      <sheetData sheetId="5478">
        <row r="1">
          <cell r="A1" t="str">
            <v>PHIẾU XỬ LÝ HỒ SƠ THANH TOÁN VƯỢT THẨM QUYỀN PD</v>
          </cell>
        </row>
      </sheetData>
      <sheetData sheetId="5479">
        <row r="1">
          <cell r="A1" t="str">
            <v>PHIẾU XỬ LÝ HỒ SƠ THANH TOÁN VƯỢT THẨM QUYỀN PD</v>
          </cell>
        </row>
      </sheetData>
      <sheetData sheetId="5480">
        <row r="1">
          <cell r="A1" t="str">
            <v>PHIẾU XỬ LÝ HỒ SƠ THANH TOÁN VƯỢT THẨM QUYỀN PD</v>
          </cell>
        </row>
      </sheetData>
      <sheetData sheetId="5481">
        <row r="1">
          <cell r="A1" t="str">
            <v>PHIẾU XỬ LÝ HỒ SƠ THANH TOÁN VƯỢT THẨM QUYỀN PD</v>
          </cell>
        </row>
      </sheetData>
      <sheetData sheetId="5482">
        <row r="1">
          <cell r="A1" t="str">
            <v>PHIẾU XỬ LÝ HỒ SƠ THANH TOÁN VƯỢT THẨM QUYỀN PD</v>
          </cell>
        </row>
      </sheetData>
      <sheetData sheetId="5483" refreshError="1"/>
      <sheetData sheetId="5484">
        <row r="1">
          <cell r="A1" t="str">
            <v>PHIẾU XỬ LÝ HỒ SƠ THANH TOÁN VƯỢT THẨM QUYỀN PD</v>
          </cell>
        </row>
      </sheetData>
      <sheetData sheetId="5485" refreshError="1"/>
      <sheetData sheetId="5486">
        <row r="1">
          <cell r="A1" t="str">
            <v>PHIẾU XỬ LÝ HỒ SƠ THANH TOÁN VƯỢT THẨM QUYỀN PD</v>
          </cell>
        </row>
      </sheetData>
      <sheetData sheetId="5487" refreshError="1"/>
      <sheetData sheetId="5488" refreshError="1"/>
      <sheetData sheetId="5489">
        <row r="1">
          <cell r="A1" t="str">
            <v>PHIẾU XỬ LÝ HỒ SƠ THANH TOÁN VƯỢT THẨM QUYỀN PD</v>
          </cell>
        </row>
      </sheetData>
      <sheetData sheetId="5490">
        <row r="1">
          <cell r="A1" t="str">
            <v>PHIẾU XỬ LÝ HỒ SƠ THANH TOÁN VƯỢT THẨM QUYỀN PD</v>
          </cell>
        </row>
      </sheetData>
      <sheetData sheetId="5491">
        <row r="1">
          <cell r="A1" t="str">
            <v>PHIẾU XỬ LÝ HỒ SƠ THANH TOÁN VƯỢT THẨM QUYỀN PD</v>
          </cell>
        </row>
      </sheetData>
      <sheetData sheetId="5492">
        <row r="1">
          <cell r="A1" t="str">
            <v>PHIẾU XỬ LÝ HỒ SƠ THANH TOÁN VƯỢT THẨM QUYỀN PD</v>
          </cell>
        </row>
      </sheetData>
      <sheetData sheetId="5493" refreshError="1"/>
      <sheetData sheetId="5494" refreshError="1"/>
      <sheetData sheetId="5495">
        <row r="1">
          <cell r="A1" t="str">
            <v>PHIẾU XỬ LÝ HỒ SƠ THANH TOÁN VƯỢT THẨM QUYỀN PD</v>
          </cell>
        </row>
      </sheetData>
      <sheetData sheetId="5496">
        <row r="1">
          <cell r="A1" t="str">
            <v>PHIẾU XỬ LÝ HỒ SƠ THANH TOÁN VƯỢT THẨM QUYỀN PD</v>
          </cell>
        </row>
      </sheetData>
      <sheetData sheetId="5497" refreshError="1"/>
      <sheetData sheetId="5498">
        <row r="1">
          <cell r="A1" t="str">
            <v>PHIẾU XỬ LÝ HỒ SƠ THANH TOÁN VƯỢT THẨM QUYỀN PD</v>
          </cell>
        </row>
      </sheetData>
      <sheetData sheetId="5499">
        <row r="1">
          <cell r="A1" t="str">
            <v>PHIẾU XỬ LÝ HỒ SƠ THANH TOÁN VƯỢT THẨM QUYỀN PD</v>
          </cell>
        </row>
      </sheetData>
      <sheetData sheetId="5500">
        <row r="1">
          <cell r="A1" t="str">
            <v>PHIẾU XỬ LÝ HỒ SƠ THANH TOÁN VƯỢT THẨM QUYỀN PD</v>
          </cell>
        </row>
      </sheetData>
      <sheetData sheetId="5501">
        <row r="1">
          <cell r="A1" t="str">
            <v>PHIẾU XỬ LÝ HỒ SƠ THANH TOÁN VƯỢT THẨM QUYỀN PD</v>
          </cell>
        </row>
      </sheetData>
      <sheetData sheetId="5502">
        <row r="1">
          <cell r="A1" t="str">
            <v>PHIẾU XỬ LÝ HỒ SƠ THANH TOÁN VƯỢT THẨM QUYỀN PD</v>
          </cell>
        </row>
      </sheetData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>
        <row r="1">
          <cell r="A1" t="str">
            <v>PHIẾU XỬ LÝ HỒ SƠ THANH TOÁN VƯỢT THẨM QUYỀN PD</v>
          </cell>
        </row>
      </sheetData>
      <sheetData sheetId="5509" refreshError="1"/>
      <sheetData sheetId="5510" refreshError="1"/>
      <sheetData sheetId="5511">
        <row r="1">
          <cell r="A1" t="str">
            <v>PHIẾU XỬ LÝ HỒ SƠ THANH TOÁN VƯỢT THẨM QUYỀN PD</v>
          </cell>
        </row>
      </sheetData>
      <sheetData sheetId="5512" refreshError="1"/>
      <sheetData sheetId="5513" refreshError="1"/>
      <sheetData sheetId="5514" refreshError="1"/>
      <sheetData sheetId="5515" refreshError="1"/>
      <sheetData sheetId="5516">
        <row r="1">
          <cell r="A1" t="str">
            <v>PHIẾU XỬ LÝ HỒ SƠ THANH TOÁN VƯỢT THẨM QUYỀN PD</v>
          </cell>
        </row>
      </sheetData>
      <sheetData sheetId="5517">
        <row r="1">
          <cell r="A1" t="str">
            <v>PHIẾU XỬ LÝ HỒ SƠ THANH TOÁN VƯỢT THẨM QUYỀN PD</v>
          </cell>
        </row>
      </sheetData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>
        <row r="1">
          <cell r="A1" t="str">
            <v>PHIẾU XỬ LÝ HỒ SƠ THANH TOÁN VƯỢT THẨM QUYỀN PD</v>
          </cell>
        </row>
      </sheetData>
      <sheetData sheetId="5569" refreshError="1"/>
      <sheetData sheetId="5570" refreshError="1"/>
      <sheetData sheetId="5571" refreshError="1"/>
      <sheetData sheetId="5572" refreshError="1"/>
      <sheetData sheetId="5573">
        <row r="1">
          <cell r="A1" t="str">
            <v>PHIẾU XỬ LÝ HỒ SƠ THANH TOÁN VƯỢT THẨM QUYỀN PD</v>
          </cell>
        </row>
      </sheetData>
      <sheetData sheetId="5574" refreshError="1"/>
      <sheetData sheetId="5575" refreshError="1"/>
      <sheetData sheetId="5576" refreshError="1"/>
      <sheetData sheetId="5577">
        <row r="1">
          <cell r="A1" t="str">
            <v>PHIẾU XỬ LÝ HỒ SƠ THANH TOÁN VƯỢT THẨM QUYỀN PD</v>
          </cell>
        </row>
      </sheetData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>
        <row r="1">
          <cell r="A1" t="str">
            <v>PHIẾU XỬ LÝ HỒ SƠ THANH TOÁN VƯỢT THẨM QUYỀN PD</v>
          </cell>
        </row>
      </sheetData>
      <sheetData sheetId="5631">
        <row r="1">
          <cell r="A1" t="str">
            <v>PHIẾU XỬ LÝ HỒ SƠ THANH TOÁN VƯỢT THẨM QUYỀN PD</v>
          </cell>
        </row>
      </sheetData>
      <sheetData sheetId="5632">
        <row r="1">
          <cell r="A1" t="str">
            <v>PHIẾU XỬ LÝ HỒ SƠ THANH TOÁN VƯỢT THẨM QUYỀN PD</v>
          </cell>
        </row>
      </sheetData>
      <sheetData sheetId="5633">
        <row r="1">
          <cell r="A1" t="str">
            <v>PHIẾU XỬ LÝ HỒ SƠ THANH TOÁN VƯỢT THẨM QUYỀN PD</v>
          </cell>
        </row>
      </sheetData>
      <sheetData sheetId="5634">
        <row r="1">
          <cell r="A1" t="str">
            <v>PHIẾU XỬ LÝ HỒ SƠ THANH TOÁN VƯỢT THẨM QUYỀN PD</v>
          </cell>
        </row>
      </sheetData>
      <sheetData sheetId="5635">
        <row r="1">
          <cell r="A1" t="str">
            <v>PHIẾU XỬ LÝ HỒ SƠ THANH TOÁN VƯỢT THẨM QUYỀN PD</v>
          </cell>
        </row>
      </sheetData>
      <sheetData sheetId="5636">
        <row r="1">
          <cell r="A1" t="str">
            <v>PHIẾU XỬ LÝ HỒ SƠ THANH TOÁN VƯỢT THẨM QUYỀN PD</v>
          </cell>
        </row>
      </sheetData>
      <sheetData sheetId="5637">
        <row r="1">
          <cell r="A1" t="str">
            <v>PHIẾU XỬ LÝ HỒ SƠ THANH TOÁN VƯỢT THẨM QUYỀN PD</v>
          </cell>
        </row>
      </sheetData>
      <sheetData sheetId="5638">
        <row r="1">
          <cell r="A1" t="str">
            <v>PHIẾU XỬ LÝ HỒ SƠ THANH TOÁN VƯỢT THẨM QUYỀN PD</v>
          </cell>
        </row>
      </sheetData>
      <sheetData sheetId="5639">
        <row r="1">
          <cell r="A1" t="str">
            <v>PHIẾU XỬ LÝ HỒ SƠ THANH TOÁN VƯỢT THẨM QUYỀN PD</v>
          </cell>
        </row>
      </sheetData>
      <sheetData sheetId="5640">
        <row r="1">
          <cell r="A1" t="str">
            <v>PHIẾU XỬ LÝ HỒ SƠ THANH TOÁN VƯỢT THẨM QUYỀN PD</v>
          </cell>
        </row>
      </sheetData>
      <sheetData sheetId="5641">
        <row r="1">
          <cell r="A1" t="str">
            <v>PHIẾU XỬ LÝ HỒ SƠ THANH TOÁN VƯỢT THẨM QUYỀN PD</v>
          </cell>
        </row>
      </sheetData>
      <sheetData sheetId="5642">
        <row r="1">
          <cell r="A1" t="str">
            <v>PHIẾU XỬ LÝ HỒ SƠ THANH TOÁN VƯỢT THẨM QUYỀN PD</v>
          </cell>
        </row>
      </sheetData>
      <sheetData sheetId="5643">
        <row r="1">
          <cell r="A1" t="str">
            <v>PHIẾU XỬ LÝ HỒ SƠ THANH TOÁN VƯỢT THẨM QUYỀN PD</v>
          </cell>
        </row>
      </sheetData>
      <sheetData sheetId="5644">
        <row r="1">
          <cell r="A1" t="str">
            <v>PHIẾU XỬ LÝ HỒ SƠ THANH TOÁN VƯỢT THẨM QUYỀN PD</v>
          </cell>
        </row>
      </sheetData>
      <sheetData sheetId="5645">
        <row r="1">
          <cell r="A1" t="str">
            <v>PHIẾU XỬ LÝ HỒ SƠ THANH TOÁN VƯỢT THẨM QUYỀN PD</v>
          </cell>
        </row>
      </sheetData>
      <sheetData sheetId="5646">
        <row r="1">
          <cell r="A1" t="str">
            <v>PHIẾU XỬ LÝ HỒ SƠ THANH TOÁN VƯỢT THẨM QUYỀN PD</v>
          </cell>
        </row>
      </sheetData>
      <sheetData sheetId="5647">
        <row r="1">
          <cell r="A1" t="str">
            <v>PHIẾU XỬ LÝ HỒ SƠ THANH TOÁN VƯỢT THẨM QUYỀN PD</v>
          </cell>
        </row>
      </sheetData>
      <sheetData sheetId="5648">
        <row r="1">
          <cell r="A1" t="str">
            <v>PHIẾU XỬ LÝ HỒ SƠ THANH TOÁN VƯỢT THẨM QUYỀN PD</v>
          </cell>
        </row>
      </sheetData>
      <sheetData sheetId="5649">
        <row r="1">
          <cell r="A1" t="str">
            <v>PHIẾU XỬ LÝ HỒ SƠ THANH TOÁN VƯỢT THẨM QUYỀN PD</v>
          </cell>
        </row>
      </sheetData>
      <sheetData sheetId="5650">
        <row r="1">
          <cell r="A1" t="str">
            <v>PHIẾU XỬ LÝ HỒ SƠ THANH TOÁN VƯỢT THẨM QUYỀN PD</v>
          </cell>
        </row>
      </sheetData>
      <sheetData sheetId="5651">
        <row r="1">
          <cell r="A1" t="str">
            <v>PHIẾU XỬ LÝ HỒ SƠ THANH TOÁN VƯỢT THẨM QUYỀN PD</v>
          </cell>
        </row>
      </sheetData>
      <sheetData sheetId="5652">
        <row r="1">
          <cell r="A1" t="str">
            <v>PHIẾU XỬ LÝ HỒ SƠ THANH TOÁN VƯỢT THẨM QUYỀN PD</v>
          </cell>
        </row>
      </sheetData>
      <sheetData sheetId="5653">
        <row r="1">
          <cell r="A1" t="str">
            <v>PHIẾU XỬ LÝ HỒ SƠ THANH TOÁN VƯỢT THẨM QUYỀN PD</v>
          </cell>
        </row>
      </sheetData>
      <sheetData sheetId="5654">
        <row r="1">
          <cell r="A1" t="str">
            <v>PHIẾU XỬ LÝ HỒ SƠ THANH TOÁN VƯỢT THẨM QUYỀN PD</v>
          </cell>
        </row>
      </sheetData>
      <sheetData sheetId="5655">
        <row r="1">
          <cell r="A1" t="str">
            <v>PHIẾU XỬ LÝ HỒ SƠ THANH TOÁN VƯỢT THẨM QUYỀN PD</v>
          </cell>
        </row>
      </sheetData>
      <sheetData sheetId="5656">
        <row r="1">
          <cell r="A1" t="str">
            <v>PHIẾU XỬ LÝ HỒ SƠ THANH TOÁN VƯỢT THẨM QUYỀN PD</v>
          </cell>
        </row>
      </sheetData>
      <sheetData sheetId="5657">
        <row r="1">
          <cell r="A1" t="str">
            <v>PHIẾU XỬ LÝ HỒ SƠ THANH TOÁN VƯỢT THẨM QUYỀN PD</v>
          </cell>
        </row>
      </sheetData>
      <sheetData sheetId="5658">
        <row r="1">
          <cell r="A1" t="str">
            <v>PHIẾU XỬ LÝ HỒ SƠ THANH TOÁN VƯỢT THẨM QUYỀN PD</v>
          </cell>
        </row>
      </sheetData>
      <sheetData sheetId="5659">
        <row r="1">
          <cell r="A1" t="str">
            <v>PHIẾU XỬ LÝ HỒ SƠ THANH TOÁN VƯỢT THẨM QUYỀN PD</v>
          </cell>
        </row>
      </sheetData>
      <sheetData sheetId="5660">
        <row r="1">
          <cell r="A1" t="str">
            <v>PHIẾU XỬ LÝ HỒ SƠ THANH TOÁN VƯỢT THẨM QUYỀN PD</v>
          </cell>
        </row>
      </sheetData>
      <sheetData sheetId="5661">
        <row r="1">
          <cell r="A1" t="str">
            <v>PHIẾU XỬ LÝ HỒ SƠ THANH TOÁN VƯỢT THẨM QUYỀN PD</v>
          </cell>
        </row>
      </sheetData>
      <sheetData sheetId="5662">
        <row r="1">
          <cell r="A1" t="str">
            <v>PHIẾU XỬ LÝ HỒ SƠ THANH TOÁN VƯỢT THẨM QUYỀN PD</v>
          </cell>
        </row>
      </sheetData>
      <sheetData sheetId="5663">
        <row r="1">
          <cell r="A1" t="str">
            <v>PHIẾU XỬ LÝ HỒ SƠ THANH TOÁN VƯỢT THẨM QUYỀN PD</v>
          </cell>
        </row>
      </sheetData>
      <sheetData sheetId="5664">
        <row r="1">
          <cell r="A1" t="str">
            <v>PHIẾU XỬ LÝ HỒ SƠ THANH TOÁN VƯỢT THẨM QUYỀN PD</v>
          </cell>
        </row>
      </sheetData>
      <sheetData sheetId="5665">
        <row r="1">
          <cell r="A1" t="str">
            <v>PHIẾU XỬ LÝ HỒ SƠ THANH TOÁN VƯỢT THẨM QUYỀN PD</v>
          </cell>
        </row>
      </sheetData>
      <sheetData sheetId="5666">
        <row r="1">
          <cell r="A1" t="str">
            <v>PHIẾU XỬ LÝ HỒ SƠ THANH TOÁN VƯỢT THẨM QUYỀN PD</v>
          </cell>
        </row>
      </sheetData>
      <sheetData sheetId="5667">
        <row r="1">
          <cell r="A1" t="str">
            <v>PHIẾU XỬ LÝ HỒ SƠ THANH TOÁN VƯỢT THẨM QUYỀN PD</v>
          </cell>
        </row>
      </sheetData>
      <sheetData sheetId="5668">
        <row r="1">
          <cell r="A1" t="str">
            <v>PHIẾU XỬ LÝ HỒ SƠ THANH TOÁN VƯỢT THẨM QUYỀN PD</v>
          </cell>
        </row>
      </sheetData>
      <sheetData sheetId="5669">
        <row r="1">
          <cell r="A1" t="str">
            <v>PHIẾU XỬ LÝ HỒ SƠ THANH TOÁN VƯỢT THẨM QUYỀN PD</v>
          </cell>
        </row>
      </sheetData>
      <sheetData sheetId="5670">
        <row r="1">
          <cell r="A1" t="str">
            <v>PHIẾU XỬ LÝ HỒ SƠ THANH TOÁN VƯỢT THẨM QUYỀN PD</v>
          </cell>
        </row>
      </sheetData>
      <sheetData sheetId="5671">
        <row r="1">
          <cell r="A1" t="str">
            <v>PHIẾU XỬ LÝ HỒ SƠ THANH TOÁN VƯỢT THẨM QUYỀN PD</v>
          </cell>
        </row>
      </sheetData>
      <sheetData sheetId="5672">
        <row r="1">
          <cell r="A1" t="str">
            <v>PHIẾU XỬ LÝ HỒ SƠ THANH TOÁN VƯỢT THẨM QUYỀN PD</v>
          </cell>
        </row>
      </sheetData>
      <sheetData sheetId="5673">
        <row r="1">
          <cell r="A1" t="str">
            <v>PHIẾU XỬ LÝ HỒ SƠ THANH TOÁN VƯỢT THẨM QUYỀN PD</v>
          </cell>
        </row>
      </sheetData>
      <sheetData sheetId="5674">
        <row r="1">
          <cell r="A1" t="str">
            <v>PHIẾU XỬ LÝ HỒ SƠ THANH TOÁN VƯỢT THẨM QUYỀN PD</v>
          </cell>
        </row>
      </sheetData>
      <sheetData sheetId="5675">
        <row r="1">
          <cell r="A1" t="str">
            <v>PHIẾU XỬ LÝ HỒ SƠ THANH TOÁN VƯỢT THẨM QUYỀN PD</v>
          </cell>
        </row>
      </sheetData>
      <sheetData sheetId="5676">
        <row r="1">
          <cell r="A1" t="str">
            <v>PHIẾU XỬ LÝ HỒ SƠ THANH TOÁN VƯỢT THẨM QUYỀN PD</v>
          </cell>
        </row>
      </sheetData>
      <sheetData sheetId="5677">
        <row r="1">
          <cell r="A1" t="str">
            <v>PHIẾU XỬ LÝ HỒ SƠ THANH TOÁN VƯỢT THẨM QUYỀN PD</v>
          </cell>
        </row>
      </sheetData>
      <sheetData sheetId="5678">
        <row r="1">
          <cell r="A1" t="str">
            <v>PHIẾU XỬ LÝ HỒ SƠ THANH TOÁN VƯỢT THẨM QUYỀN PD</v>
          </cell>
        </row>
      </sheetData>
      <sheetData sheetId="5679">
        <row r="1">
          <cell r="A1" t="str">
            <v>PHIẾU XỬ LÝ HỒ SƠ THANH TOÁN VƯỢT THẨM QUYỀN PD</v>
          </cell>
        </row>
      </sheetData>
      <sheetData sheetId="5680">
        <row r="1">
          <cell r="A1" t="str">
            <v>PHIẾU XỬ LÝ HỒ SƠ THANH TOÁN VƯỢT THẨM QUYỀN PD</v>
          </cell>
        </row>
      </sheetData>
      <sheetData sheetId="5681">
        <row r="1">
          <cell r="A1" t="str">
            <v>PHIẾU XỬ LÝ HỒ SƠ THANH TOÁN VƯỢT THẨM QUYỀN PD</v>
          </cell>
        </row>
      </sheetData>
      <sheetData sheetId="5682">
        <row r="1">
          <cell r="A1" t="str">
            <v>PHIẾU XỬ LÝ HỒ SƠ THANH TOÁN VƯỢT THẨM QUYỀN PD</v>
          </cell>
        </row>
      </sheetData>
      <sheetData sheetId="5683">
        <row r="1">
          <cell r="A1" t="str">
            <v>PHIẾU XỬ LÝ HỒ SƠ THANH TOÁN VƯỢT THẨM QUYỀN PD</v>
          </cell>
        </row>
      </sheetData>
      <sheetData sheetId="5684">
        <row r="1">
          <cell r="A1" t="str">
            <v>PHIẾU XỬ LÝ HỒ SƠ THANH TOÁN VƯỢT THẨM QUYỀN PD</v>
          </cell>
        </row>
      </sheetData>
      <sheetData sheetId="5685">
        <row r="1">
          <cell r="A1" t="str">
            <v>PHIẾU XỬ LÝ HỒ SƠ THANH TOÁN VƯỢT THẨM QUYỀN PD</v>
          </cell>
        </row>
      </sheetData>
      <sheetData sheetId="5686">
        <row r="1">
          <cell r="A1" t="str">
            <v>PHIẾU XỬ LÝ HỒ SƠ THANH TOÁN VƯỢT THẨM QUYỀN PD</v>
          </cell>
        </row>
      </sheetData>
      <sheetData sheetId="5687">
        <row r="1">
          <cell r="A1" t="str">
            <v>PHIẾU XỬ LÝ HỒ SƠ THANH TOÁN VƯỢT THẨM QUYỀN PD</v>
          </cell>
        </row>
      </sheetData>
      <sheetData sheetId="5688">
        <row r="1">
          <cell r="A1" t="str">
            <v>PHIẾU XỬ LÝ HỒ SƠ THANH TOÁN VƯỢT THẨM QUYỀN PD</v>
          </cell>
        </row>
      </sheetData>
      <sheetData sheetId="5689">
        <row r="1">
          <cell r="A1" t="str">
            <v>PHIẾU XỬ LÝ HỒ SƠ THANH TOÁN VƯỢT THẨM QUYỀN PD</v>
          </cell>
        </row>
      </sheetData>
      <sheetData sheetId="5690">
        <row r="1">
          <cell r="A1" t="str">
            <v>PHIẾU XỬ LÝ HỒ SƠ THANH TOÁN VƯỢT THẨM QUYỀN PD</v>
          </cell>
        </row>
      </sheetData>
      <sheetData sheetId="5691">
        <row r="1">
          <cell r="A1" t="str">
            <v>PHIẾU XỬ LÝ HỒ SƠ THANH TOÁN VƯỢT THẨM QUYỀN PD</v>
          </cell>
        </row>
      </sheetData>
      <sheetData sheetId="5692">
        <row r="1">
          <cell r="A1" t="str">
            <v>PHIẾU XỬ LÝ HỒ SƠ THANH TOÁN VƯỢT THẨM QUYỀN PD</v>
          </cell>
        </row>
      </sheetData>
      <sheetData sheetId="5693">
        <row r="1">
          <cell r="A1" t="str">
            <v>PHIẾU XỬ LÝ HỒ SƠ THANH TOÁN VƯỢT THẨM QUYỀN PD</v>
          </cell>
        </row>
      </sheetData>
      <sheetData sheetId="5694">
        <row r="1">
          <cell r="A1" t="str">
            <v>PHIẾU XỬ LÝ HỒ SƠ THANH TOÁN VƯỢT THẨM QUYỀN PD</v>
          </cell>
        </row>
      </sheetData>
      <sheetData sheetId="5695">
        <row r="1">
          <cell r="A1" t="str">
            <v>PHIẾU XỬ LÝ HỒ SƠ THANH TOÁN VƯỢT THẨM QUYỀN PD</v>
          </cell>
        </row>
      </sheetData>
      <sheetData sheetId="5696">
        <row r="1">
          <cell r="A1" t="str">
            <v>PHIẾU XỬ LÝ HỒ SƠ THANH TOÁN VƯỢT THẨM QUYỀN PD</v>
          </cell>
        </row>
      </sheetData>
      <sheetData sheetId="5697">
        <row r="1">
          <cell r="A1" t="str">
            <v>PHIẾU XỬ LÝ HỒ SƠ THANH TOÁN VƯỢT THẨM QUYỀN PD</v>
          </cell>
        </row>
      </sheetData>
      <sheetData sheetId="5698">
        <row r="1">
          <cell r="A1" t="str">
            <v>PHIẾU XỬ LÝ HỒ SƠ THANH TOÁN VƯỢT THẨM QUYỀN PD</v>
          </cell>
        </row>
      </sheetData>
      <sheetData sheetId="5699">
        <row r="1">
          <cell r="A1" t="str">
            <v>PHIẾU XỬ LÝ HỒ SƠ THANH TOÁN VƯỢT THẨM QUYỀN PD</v>
          </cell>
        </row>
      </sheetData>
      <sheetData sheetId="5700">
        <row r="1">
          <cell r="A1" t="str">
            <v>PHIẾU XỬ LÝ HỒ SƠ THANH TOÁN VƯỢT THẨM QUYỀN PD</v>
          </cell>
        </row>
      </sheetData>
      <sheetData sheetId="5701">
        <row r="1">
          <cell r="A1" t="str">
            <v>PHIẾU XỬ LÝ HỒ SƠ THANH TOÁN VƯỢT THẨM QUYỀN PD</v>
          </cell>
        </row>
      </sheetData>
      <sheetData sheetId="5702">
        <row r="1">
          <cell r="A1" t="str">
            <v>PHIẾU XỬ LÝ HỒ SƠ THANH TOÁN VƯỢT THẨM QUYỀN PD</v>
          </cell>
        </row>
      </sheetData>
      <sheetData sheetId="5703">
        <row r="1">
          <cell r="A1" t="str">
            <v>PHIẾU XỬ LÝ HỒ SƠ THANH TOÁN VƯỢT THẨM QUYỀN PD</v>
          </cell>
        </row>
      </sheetData>
      <sheetData sheetId="5704">
        <row r="1">
          <cell r="A1" t="str">
            <v>PHIẾU XỬ LÝ HỒ SƠ THANH TOÁN VƯỢT THẨM QUYỀN PD</v>
          </cell>
        </row>
      </sheetData>
      <sheetData sheetId="5705">
        <row r="1">
          <cell r="A1" t="str">
            <v>PHIẾU XỬ LÝ HỒ SƠ THANH TOÁN VƯỢT THẨM QUYỀN PD</v>
          </cell>
        </row>
      </sheetData>
      <sheetData sheetId="5706">
        <row r="1">
          <cell r="A1" t="str">
            <v>PHIẾU XỬ LÝ HỒ SƠ THANH TOÁN VƯỢT THẨM QUYỀN PD</v>
          </cell>
        </row>
      </sheetData>
      <sheetData sheetId="5707">
        <row r="1">
          <cell r="A1" t="str">
            <v>PHIẾU XỬ LÝ HỒ SƠ THANH TOÁN VƯỢT THẨM QUYỀN PD</v>
          </cell>
        </row>
      </sheetData>
      <sheetData sheetId="5708">
        <row r="1">
          <cell r="A1" t="str">
            <v>PHIẾU XỬ LÝ HỒ SƠ THANH TOÁN VƯỢT THẨM QUYỀN PD</v>
          </cell>
        </row>
      </sheetData>
      <sheetData sheetId="5709">
        <row r="1">
          <cell r="A1" t="str">
            <v>PHIẾU XỬ LÝ HỒ SƠ THANH TOÁN VƯỢT THẨM QUYỀN PD</v>
          </cell>
        </row>
      </sheetData>
      <sheetData sheetId="5710">
        <row r="1">
          <cell r="A1" t="str">
            <v>PHIẾU XỬ LÝ HỒ SƠ THANH TOÁN VƯỢT THẨM QUYỀN PD</v>
          </cell>
        </row>
      </sheetData>
      <sheetData sheetId="5711">
        <row r="1">
          <cell r="A1" t="str">
            <v>PHIẾU XỬ LÝ HỒ SƠ THANH TOÁN VƯỢT THẨM QUYỀN PD</v>
          </cell>
        </row>
      </sheetData>
      <sheetData sheetId="5712">
        <row r="1">
          <cell r="A1" t="str">
            <v>PHIẾU XỬ LÝ HỒ SƠ THANH TOÁN VƯỢT THẨM QUYỀN PD</v>
          </cell>
        </row>
      </sheetData>
      <sheetData sheetId="5713">
        <row r="1">
          <cell r="A1" t="str">
            <v>PHIẾU XỬ LÝ HỒ SƠ THANH TOÁN VƯỢT THẨM QUYỀN PD</v>
          </cell>
        </row>
      </sheetData>
      <sheetData sheetId="5714">
        <row r="1">
          <cell r="A1" t="str">
            <v>PHIẾU XỬ LÝ HỒ SƠ THANH TOÁN VƯỢT THẨM QUYỀN PD</v>
          </cell>
        </row>
      </sheetData>
      <sheetData sheetId="5715">
        <row r="1">
          <cell r="A1" t="str">
            <v>PHIẾU XỬ LÝ HỒ SƠ THANH TOÁN VƯỢT THẨM QUYỀN PD</v>
          </cell>
        </row>
      </sheetData>
      <sheetData sheetId="5716">
        <row r="1">
          <cell r="A1" t="str">
            <v>PHIẾU XỬ LÝ HỒ SƠ THANH TOÁN VƯỢT THẨM QUYỀN PD</v>
          </cell>
        </row>
      </sheetData>
      <sheetData sheetId="5717">
        <row r="1">
          <cell r="A1" t="str">
            <v>PHIẾU XỬ LÝ HỒ SƠ THANH TOÁN VƯỢT THẨM QUYỀN PD</v>
          </cell>
        </row>
      </sheetData>
      <sheetData sheetId="5718">
        <row r="1">
          <cell r="A1" t="str">
            <v>PHIẾU XỬ LÝ HỒ SƠ THANH TOÁN VƯỢT THẨM QUYỀN PD</v>
          </cell>
        </row>
      </sheetData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>
        <row r="1">
          <cell r="A1" t="str">
            <v>PHIẾU XỬ LÝ HỒ SƠ THANH TOÁN VƯỢT THẨM QUYỀN PD</v>
          </cell>
        </row>
      </sheetData>
      <sheetData sheetId="5758">
        <row r="1">
          <cell r="A1" t="str">
            <v>PHIẾU XỬ LÝ HỒ SƠ THANH TOÁN VƯỢT THẨM QUYỀN PD</v>
          </cell>
        </row>
      </sheetData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>
        <row r="1">
          <cell r="A1" t="str">
            <v>PHIẾU XỬ LÝ HỒ SƠ THANH TOÁN VƯỢT THẨM QUYỀN PD</v>
          </cell>
        </row>
      </sheetData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>
        <row r="1">
          <cell r="A1" t="str">
            <v>PHIẾU XỬ LÝ HỒ SƠ THANH TOÁN VƯỢT THẨM QUYỀN PD</v>
          </cell>
        </row>
      </sheetData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>
        <row r="1">
          <cell r="A1" t="str">
            <v>PHIẾU XỬ LÝ HỒ SƠ THANH TOÁN VƯỢT THẨM QUYỀN PD</v>
          </cell>
        </row>
      </sheetData>
      <sheetData sheetId="5808">
        <row r="1">
          <cell r="A1" t="str">
            <v>PHIẾU XỬ LÝ HỒ SƠ THANH TOÁN VƯỢT THẨM QUYỀN PD</v>
          </cell>
        </row>
      </sheetData>
      <sheetData sheetId="5809">
        <row r="1">
          <cell r="A1" t="str">
            <v>PHIẾU XỬ LÝ HỒ SƠ THANH TOÁN VƯỢT THẨM QUYỀN PD</v>
          </cell>
        </row>
      </sheetData>
      <sheetData sheetId="5810">
        <row r="1">
          <cell r="A1" t="str">
            <v>PHIẾU XỬ LÝ HỒ SƠ THANH TOÁN VƯỢT THẨM QUYỀN PD</v>
          </cell>
        </row>
      </sheetData>
      <sheetData sheetId="5811">
        <row r="1">
          <cell r="A1" t="str">
            <v>PHIẾU XỬ LÝ HỒ SƠ THANH TOÁN VƯỢT THẨM QUYỀN PD</v>
          </cell>
        </row>
      </sheetData>
      <sheetData sheetId="5812">
        <row r="1">
          <cell r="A1" t="str">
            <v>PHIẾU XỬ LÝ HỒ SƠ THANH TOÁN VƯỢT THẨM QUYỀN PD</v>
          </cell>
        </row>
      </sheetData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>
        <row r="1">
          <cell r="A1" t="str">
            <v>PHIẾU XỬ LÝ HỒ SƠ THANH TOÁN VƯỢT THẨM QUYỀN PD</v>
          </cell>
        </row>
      </sheetData>
      <sheetData sheetId="5821">
        <row r="1">
          <cell r="A1" t="str">
            <v>PHIẾU XỬ LÝ HỒ SƠ THANH TOÁN VƯỢT THẨM QUYỀN PD</v>
          </cell>
        </row>
      </sheetData>
      <sheetData sheetId="5822" refreshError="1"/>
      <sheetData sheetId="5823" refreshError="1"/>
      <sheetData sheetId="5824">
        <row r="1">
          <cell r="A1" t="str">
            <v>PHIẾU XỬ LÝ HỒ SƠ THANH TOÁN VƯỢT THẨM QUYỀN PD</v>
          </cell>
        </row>
      </sheetData>
      <sheetData sheetId="5825">
        <row r="1">
          <cell r="A1" t="str">
            <v>PHIẾU XỬ LÝ HỒ SƠ THANH TOÁN VƯỢT THẨM QUYỀN PD</v>
          </cell>
        </row>
      </sheetData>
      <sheetData sheetId="5826">
        <row r="1">
          <cell r="A1" t="str">
            <v>PHIẾU XỬ LÝ HỒ SƠ THANH TOÁN VƯỢT THẨM QUYỀN PD</v>
          </cell>
        </row>
      </sheetData>
      <sheetData sheetId="5827">
        <row r="1">
          <cell r="A1" t="str">
            <v>PHIẾU XỬ LÝ HỒ SƠ THANH TOÁN VƯỢT THẨM QUYỀN PD</v>
          </cell>
        </row>
      </sheetData>
      <sheetData sheetId="5828">
        <row r="1">
          <cell r="A1" t="str">
            <v>PHIẾU XỬ LÝ HỒ SƠ THANH TOÁN VƯỢT THẨM QUYỀN PD</v>
          </cell>
        </row>
      </sheetData>
      <sheetData sheetId="5829">
        <row r="1">
          <cell r="A1" t="str">
            <v>PHIẾU XỬ LÝ HỒ SƠ THANH TOÁN VƯỢT THẨM QUYỀN PD</v>
          </cell>
        </row>
      </sheetData>
      <sheetData sheetId="5830">
        <row r="1">
          <cell r="A1" t="str">
            <v>PHIẾU XỬ LÝ HỒ SƠ THANH TOÁN VƯỢT THẨM QUYỀN PD</v>
          </cell>
        </row>
      </sheetData>
      <sheetData sheetId="5831">
        <row r="1">
          <cell r="A1" t="str">
            <v>PHIẾU XỬ LÝ HỒ SƠ THANH TOÁN VƯỢT THẨM QUYỀN PD</v>
          </cell>
        </row>
      </sheetData>
      <sheetData sheetId="5832">
        <row r="1">
          <cell r="A1" t="str">
            <v>PHIẾU XỬ LÝ HỒ SƠ THANH TOÁN VƯỢT THẨM QUYỀN PD</v>
          </cell>
        </row>
      </sheetData>
      <sheetData sheetId="5833">
        <row r="1">
          <cell r="A1" t="str">
            <v>PHIẾU XỬ LÝ HỒ SƠ THANH TOÁN VƯỢT THẨM QUYỀN PD</v>
          </cell>
        </row>
      </sheetData>
      <sheetData sheetId="5834">
        <row r="1">
          <cell r="A1" t="str">
            <v>PHIẾU XỬ LÝ HỒ SƠ THANH TOÁN VƯỢT THẨM QUYỀN PD</v>
          </cell>
        </row>
      </sheetData>
      <sheetData sheetId="5835">
        <row r="1">
          <cell r="A1" t="str">
            <v>PHIẾU XỬ LÝ HỒ SƠ THANH TOÁN VƯỢT THẨM QUYỀN PD</v>
          </cell>
        </row>
      </sheetData>
      <sheetData sheetId="5836">
        <row r="1">
          <cell r="A1" t="str">
            <v>PHIẾU XỬ LÝ HỒ SƠ THANH TOÁN VƯỢT THẨM QUYỀN PD</v>
          </cell>
        </row>
      </sheetData>
      <sheetData sheetId="5837">
        <row r="1">
          <cell r="A1" t="str">
            <v>PHIẾU XỬ LÝ HỒ SƠ THANH TOÁN VƯỢT THẨM QUYỀN PD</v>
          </cell>
        </row>
      </sheetData>
      <sheetData sheetId="5838">
        <row r="1">
          <cell r="A1" t="str">
            <v>PHIẾU XỬ LÝ HỒ SƠ THANH TOÁN VƯỢT THẨM QUYỀN PD</v>
          </cell>
        </row>
      </sheetData>
      <sheetData sheetId="5839">
        <row r="1">
          <cell r="A1" t="str">
            <v>PHIẾU XỬ LÝ HỒ SƠ THANH TOÁN VƯỢT THẨM QUYỀN PD</v>
          </cell>
        </row>
      </sheetData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>
        <row r="1">
          <cell r="A1" t="str">
            <v>PHIẾU XỬ LÝ HỒ SƠ THANH TOÁN VƯỢT THẨM QUYỀN PD</v>
          </cell>
        </row>
      </sheetData>
      <sheetData sheetId="5861">
        <row r="1">
          <cell r="A1" t="str">
            <v>PHIẾU XỬ LÝ HỒ SƠ THANH TOÁN VƯỢT THẨM QUYỀN PD</v>
          </cell>
        </row>
      </sheetData>
      <sheetData sheetId="5862" refreshError="1"/>
      <sheetData sheetId="5863" refreshError="1"/>
      <sheetData sheetId="5864">
        <row r="1">
          <cell r="A1" t="str">
            <v>PHIẾU XỬ LÝ HỒ SƠ THANH TOÁN VƯỢT THẨM QUYỀN PD</v>
          </cell>
        </row>
      </sheetData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>
        <row r="1">
          <cell r="A1" t="str">
            <v>PHIẾU XỬ LÝ HỒ SƠ THANH TOÁN VƯỢT THẨM QUYỀN PD</v>
          </cell>
        </row>
      </sheetData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>
        <row r="1">
          <cell r="A1" t="str">
            <v>PHIẾU XỬ LÝ HỒ SƠ THANH TOÁN VƯỢT THẨM QUYỀN PD</v>
          </cell>
        </row>
      </sheetData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>
        <row r="1">
          <cell r="A1" t="str">
            <v>PHIẾU XỬ LÝ HỒ SƠ THANH TOÁN VƯỢT THẨM QUYỀN PD</v>
          </cell>
        </row>
      </sheetData>
      <sheetData sheetId="5894">
        <row r="1">
          <cell r="A1" t="str">
            <v>PHIẾU XỬ LÝ HỒ SƠ THANH TOÁN VƯỢT THẨM QUYỀN PD</v>
          </cell>
        </row>
      </sheetData>
      <sheetData sheetId="5895">
        <row r="1">
          <cell r="A1" t="str">
            <v>PHIẾU XỬ LÝ HỒ SƠ THANH TOÁN VƯỢT THẨM QUYỀN PD</v>
          </cell>
        </row>
      </sheetData>
      <sheetData sheetId="5896">
        <row r="1">
          <cell r="A1" t="str">
            <v>PHIẾU XỬ LÝ HỒ SƠ THANH TOÁN VƯỢT THẨM QUYỀN PD</v>
          </cell>
        </row>
      </sheetData>
      <sheetData sheetId="5897">
        <row r="1">
          <cell r="A1" t="str">
            <v>PHIẾU XỬ LÝ HỒ SƠ THANH TOÁN VƯỢT THẨM QUYỀN PD</v>
          </cell>
        </row>
      </sheetData>
      <sheetData sheetId="5898">
        <row r="1">
          <cell r="A1" t="str">
            <v>PHIẾU XỬ LÝ HỒ SƠ THANH TOÁN VƯỢT THẨM QUYỀN PD</v>
          </cell>
        </row>
      </sheetData>
      <sheetData sheetId="5899">
        <row r="1">
          <cell r="A1" t="str">
            <v>PHIẾU XỬ LÝ HỒ SƠ THANH TOÁN VƯỢT THẨM QUYỀN PD</v>
          </cell>
        </row>
      </sheetData>
      <sheetData sheetId="5900">
        <row r="1">
          <cell r="A1" t="str">
            <v>PHIẾU XỬ LÝ HỒ SƠ THANH TOÁN VƯỢT THẨM QUYỀN PD</v>
          </cell>
        </row>
      </sheetData>
      <sheetData sheetId="5901">
        <row r="1">
          <cell r="A1" t="str">
            <v>PHIẾU XỬ LÝ HỒ SƠ THANH TOÁN VƯỢT THẨM QUYỀN PD</v>
          </cell>
        </row>
      </sheetData>
      <sheetData sheetId="5902">
        <row r="1">
          <cell r="A1" t="str">
            <v>PHIẾU XỬ LÝ HỒ SƠ THANH TOÁN VƯỢT THẨM QUYỀN PD</v>
          </cell>
        </row>
      </sheetData>
      <sheetData sheetId="5903">
        <row r="1">
          <cell r="A1" t="str">
            <v>PHIẾU XỬ LÝ HỒ SƠ THANH TOÁN VƯỢT THẨM QUYỀN PD</v>
          </cell>
        </row>
      </sheetData>
      <sheetData sheetId="5904">
        <row r="1">
          <cell r="A1" t="str">
            <v>PHIẾU XỬ LÝ HỒ SƠ THANH TOÁN VƯỢT THẨM QUYỀN PD</v>
          </cell>
        </row>
      </sheetData>
      <sheetData sheetId="5905">
        <row r="1">
          <cell r="A1" t="str">
            <v>PHIẾU XỬ LÝ HỒ SƠ THANH TOÁN VƯỢT THẨM QUYỀN PD</v>
          </cell>
        </row>
      </sheetData>
      <sheetData sheetId="5906">
        <row r="1">
          <cell r="A1" t="str">
            <v>PHIẾU XỬ LÝ HỒ SƠ THANH TOÁN VƯỢT THẨM QUYỀN PD</v>
          </cell>
        </row>
      </sheetData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>
        <row r="1">
          <cell r="A1" t="str">
            <v>PHIẾU XỬ LÝ HỒ SƠ THANH TOÁN VƯỢT THẨM QUYỀN PD</v>
          </cell>
        </row>
      </sheetData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>
        <row r="1">
          <cell r="A1" t="str">
            <v>PHIẾU XỬ LÝ HỒ SƠ THANH TOÁN VƯỢT THẨM QUYỀN PD</v>
          </cell>
        </row>
      </sheetData>
      <sheetData sheetId="5991">
        <row r="1">
          <cell r="A1" t="str">
            <v>PHIẾU XỬ LÝ HỒ SƠ THANH TOÁN VƯỢT THẨM QUYỀN PD</v>
          </cell>
        </row>
      </sheetData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>
        <row r="1">
          <cell r="A1" t="str">
            <v>PHIẾU XỬ LÝ HỒ SƠ THANH TOÁN VƯỢT THẨM QUYỀN PD</v>
          </cell>
        </row>
      </sheetData>
      <sheetData sheetId="6061"/>
      <sheetData sheetId="6062">
        <row r="1">
          <cell r="A1" t="str">
            <v>PHIẾU XỬ LÝ HỒ SƠ THANH TOÁN VƯỢT THẨM QUYỀN PD</v>
          </cell>
        </row>
      </sheetData>
      <sheetData sheetId="6063"/>
      <sheetData sheetId="6064"/>
      <sheetData sheetId="6065">
        <row r="1">
          <cell r="A1" t="str">
            <v>PHIẾU XỬ LÝ HỒ SƠ THANH TOÁN VƯỢT THẨM QUYỀN PD</v>
          </cell>
        </row>
      </sheetData>
      <sheetData sheetId="6066">
        <row r="1">
          <cell r="A1" t="str">
            <v>PHIẾU XỬ LÝ HỒ SƠ THANH TOÁN VƯỢT THẨM QUYỀN PD</v>
          </cell>
        </row>
      </sheetData>
      <sheetData sheetId="6067">
        <row r="1">
          <cell r="A1" t="str">
            <v>PHIẾU XỬ LÝ HỒ SƠ THANH TOÁN VƯỢT THẨM QUYỀN PD</v>
          </cell>
        </row>
      </sheetData>
      <sheetData sheetId="6068">
        <row r="1">
          <cell r="A1" t="str">
            <v>PHIẾU XỬ LÝ HỒ SƠ THANH TOÁN VƯỢT THẨM QUYỀN PD</v>
          </cell>
        </row>
      </sheetData>
      <sheetData sheetId="6069">
        <row r="1">
          <cell r="A1" t="str">
            <v>PHIẾU XỬ LÝ HỒ SƠ THANH TOÁN VƯỢT THẨM QUYỀN PD</v>
          </cell>
        </row>
      </sheetData>
      <sheetData sheetId="6070">
        <row r="1">
          <cell r="A1" t="str">
            <v>PHIẾU XỬ LÝ HỒ SƠ THANH TOÁN VƯỢT THẨM QUYỀN PD</v>
          </cell>
        </row>
      </sheetData>
      <sheetData sheetId="6071">
        <row r="1">
          <cell r="A1" t="str">
            <v>PHIẾU XỬ LÝ HỒ SƠ THANH TOÁN VƯỢT THẨM QUYỀN PD</v>
          </cell>
        </row>
      </sheetData>
      <sheetData sheetId="6072">
        <row r="1">
          <cell r="A1" t="str">
            <v>PHIẾU XỬ LÝ HỒ SƠ THANH TOÁN VƯỢT THẨM QUYỀN PD</v>
          </cell>
        </row>
      </sheetData>
      <sheetData sheetId="6073">
        <row r="1">
          <cell r="A1" t="str">
            <v>PHIẾU XỬ LÝ HỒ SƠ THANH TOÁN VƯỢT THẨM QUYỀN PD</v>
          </cell>
        </row>
      </sheetData>
      <sheetData sheetId="6074">
        <row r="1">
          <cell r="A1" t="str">
            <v>PHIẾU XỬ LÝ HỒ SƠ THANH TOÁN VƯỢT THẨM QUYỀN PD</v>
          </cell>
        </row>
      </sheetData>
      <sheetData sheetId="6075">
        <row r="1">
          <cell r="A1" t="str">
            <v>PHIẾU XỬ LÝ HỒ SƠ THANH TOÁN VƯỢT THẨM QUYỀN PD</v>
          </cell>
        </row>
      </sheetData>
      <sheetData sheetId="6076">
        <row r="1">
          <cell r="A1" t="str">
            <v>PHIẾU XỬ LÝ HỒ SƠ THANH TOÁN VƯỢT THẨM QUYỀN PD</v>
          </cell>
        </row>
      </sheetData>
      <sheetData sheetId="6077">
        <row r="1">
          <cell r="A1" t="str">
            <v>PHIẾU XỬ LÝ HỒ SƠ THANH TOÁN VƯỢT THẨM QUYỀN PD</v>
          </cell>
        </row>
      </sheetData>
      <sheetData sheetId="6078">
        <row r="1">
          <cell r="A1" t="str">
            <v>PHIẾU XỬ LÝ HỒ SƠ THANH TOÁN VƯỢT THẨM QUYỀN PD</v>
          </cell>
        </row>
      </sheetData>
      <sheetData sheetId="6079">
        <row r="1">
          <cell r="A1" t="str">
            <v>PHIẾU XỬ LÝ HỒ SƠ THANH TOÁN VƯỢT THẨM QUYỀN PD</v>
          </cell>
        </row>
      </sheetData>
      <sheetData sheetId="6080">
        <row r="1">
          <cell r="A1" t="str">
            <v>PHIẾU XỬ LÝ HỒ SƠ THANH TOÁN VƯỢT THẨM QUYỀN PD</v>
          </cell>
        </row>
      </sheetData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>
        <row r="1">
          <cell r="A1" t="str">
            <v>PHIẾU XỬ LÝ HỒ SƠ THANH TOÁN VƯỢT THẨM QUYỀN PD</v>
          </cell>
        </row>
      </sheetData>
      <sheetData sheetId="6098">
        <row r="1">
          <cell r="A1" t="str">
            <v>PHIẾU XỬ LÝ HỒ SƠ THANH TOÁN VƯỢT THẨM QUYỀN PD</v>
          </cell>
        </row>
      </sheetData>
      <sheetData sheetId="6099">
        <row r="1">
          <cell r="A1" t="str">
            <v>PHIẾU XỬ LÝ HỒ SƠ THANH TOÁN VƯỢT THẨM QUYỀN PD</v>
          </cell>
        </row>
      </sheetData>
      <sheetData sheetId="6100">
        <row r="1">
          <cell r="A1" t="str">
            <v>PHIẾU XỬ LÝ HỒ SƠ THANH TOÁN VƯỢT THẨM QUYỀN PD</v>
          </cell>
        </row>
      </sheetData>
      <sheetData sheetId="6101">
        <row r="1">
          <cell r="A1" t="str">
            <v>PHIẾU XỬ LÝ HỒ SƠ THANH TOÁN VƯỢT THẨM QUYỀN PD</v>
          </cell>
        </row>
      </sheetData>
      <sheetData sheetId="6102">
        <row r="1">
          <cell r="A1" t="str">
            <v>PHIẾU XỬ LÝ HỒ SƠ THANH TOÁN VƯỢT THẨM QUYỀN PD</v>
          </cell>
        </row>
      </sheetData>
      <sheetData sheetId="6103">
        <row r="1">
          <cell r="A1" t="str">
            <v>PHIẾU XỬ LÝ HỒ SƠ THANH TOÁN VƯỢT THẨM QUYỀN PD</v>
          </cell>
        </row>
      </sheetData>
      <sheetData sheetId="6104">
        <row r="1">
          <cell r="A1" t="str">
            <v>PHIẾU XỬ LÝ HỒ SƠ THANH TOÁN VƯỢT THẨM QUYỀN PD</v>
          </cell>
        </row>
      </sheetData>
      <sheetData sheetId="6105">
        <row r="1">
          <cell r="A1" t="str">
            <v>PHIẾU XỬ LÝ HỒ SƠ THANH TOÁN VƯỢT THẨM QUYỀN PD</v>
          </cell>
        </row>
      </sheetData>
      <sheetData sheetId="6106">
        <row r="1">
          <cell r="A1" t="str">
            <v>PHIẾU XỬ LÝ HỒ SƠ THANH TOÁN VƯỢT THẨM QUYỀN PD</v>
          </cell>
        </row>
      </sheetData>
      <sheetData sheetId="6107">
        <row r="1">
          <cell r="A1" t="str">
            <v>PHIẾU XỬ LÝ HỒ SƠ THANH TOÁN VƯỢT THẨM QUYỀN PD</v>
          </cell>
        </row>
      </sheetData>
      <sheetData sheetId="6108">
        <row r="1">
          <cell r="A1" t="str">
            <v>PHIẾU XỬ LÝ HỒ SƠ THANH TOÁN VƯỢT THẨM QUYỀN PD</v>
          </cell>
        </row>
      </sheetData>
      <sheetData sheetId="6109">
        <row r="1">
          <cell r="A1" t="str">
            <v>PHIẾU XỬ LÝ HỒ SƠ THANH TOÁN VƯỢT THẨM QUYỀN PD</v>
          </cell>
        </row>
      </sheetData>
      <sheetData sheetId="6110">
        <row r="1">
          <cell r="A1" t="str">
            <v>PHIẾU XỬ LÝ HỒ SƠ THANH TOÁN VƯỢT THẨM QUYỀN PD</v>
          </cell>
        </row>
      </sheetData>
      <sheetData sheetId="6111"/>
      <sheetData sheetId="6112">
        <row r="1">
          <cell r="A1" t="str">
            <v>PHIẾU XỬ LÝ HỒ SƠ THANH TOÁN VƯỢT THẨM QUYỀN PD</v>
          </cell>
        </row>
      </sheetData>
      <sheetData sheetId="6113"/>
      <sheetData sheetId="6114"/>
      <sheetData sheetId="6115"/>
      <sheetData sheetId="6116"/>
      <sheetData sheetId="6117"/>
      <sheetData sheetId="6118"/>
      <sheetData sheetId="6119"/>
      <sheetData sheetId="6120">
        <row r="1">
          <cell r="A1" t="str">
            <v>PHIẾU XỬ LÝ HỒ SƠ THANH TOÁN VƯỢT THẨM QUYỀN PD</v>
          </cell>
        </row>
      </sheetData>
      <sheetData sheetId="6121">
        <row r="1">
          <cell r="A1" t="str">
            <v>PHIẾU XỬ LÝ HỒ SƠ THANH TOÁN VƯỢT THẨM QUYỀN PD</v>
          </cell>
        </row>
      </sheetData>
      <sheetData sheetId="6122">
        <row r="1">
          <cell r="A1" t="str">
            <v>PHIẾU XỬ LÝ HỒ SƠ THANH TOÁN VƯỢT THẨM QUYỀN PD</v>
          </cell>
        </row>
      </sheetData>
      <sheetData sheetId="6123">
        <row r="1">
          <cell r="A1" t="str">
            <v>PHIẾU XỬ LÝ HỒ SƠ THANH TOÁN VƯỢT THẨM QUYỀN PD</v>
          </cell>
        </row>
      </sheetData>
      <sheetData sheetId="6124">
        <row r="1">
          <cell r="A1" t="str">
            <v>PHIẾU XỬ LÝ HỒ SƠ THANH TOÁN VƯỢT THẨM QUYỀN PD</v>
          </cell>
        </row>
      </sheetData>
      <sheetData sheetId="6125">
        <row r="1">
          <cell r="A1" t="str">
            <v>PHIẾU XỬ LÝ HỒ SƠ THANH TOÁN VƯỢT THẨM QUYỀN PD</v>
          </cell>
        </row>
      </sheetData>
      <sheetData sheetId="6126">
        <row r="1">
          <cell r="A1" t="str">
            <v>PHIẾU XỬ LÝ HỒ SƠ THANH TOÁN VƯỢT THẨM QUYỀN PD</v>
          </cell>
        </row>
      </sheetData>
      <sheetData sheetId="6127">
        <row r="1">
          <cell r="A1" t="str">
            <v>PHIẾU XỬ LÝ HỒ SƠ THANH TOÁN VƯỢT THẨM QUYỀN PD</v>
          </cell>
        </row>
      </sheetData>
      <sheetData sheetId="6128">
        <row r="1">
          <cell r="A1" t="str">
            <v>PHIẾU XỬ LÝ HỒ SƠ THANH TOÁN VƯỢT THẨM QUYỀN PD</v>
          </cell>
        </row>
      </sheetData>
      <sheetData sheetId="6129">
        <row r="1">
          <cell r="A1" t="str">
            <v>PHIẾU XỬ LÝ HỒ SƠ THANH TOÁN VƯỢT THẨM QUYỀN PD</v>
          </cell>
        </row>
      </sheetData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>
        <row r="1">
          <cell r="A1" t="str">
            <v>PHIẾU XỬ LÝ HỒ SƠ THANH TOÁN VƯỢT THẨM QUYỀN PD</v>
          </cell>
        </row>
      </sheetData>
      <sheetData sheetId="6140"/>
      <sheetData sheetId="6141"/>
      <sheetData sheetId="6142"/>
      <sheetData sheetId="6143"/>
      <sheetData sheetId="6144">
        <row r="1">
          <cell r="A1" t="str">
            <v>PHIẾU XỬ LÝ HỒ SƠ THANH TOÁN VƯỢT THẨM QUYỀN PD</v>
          </cell>
        </row>
      </sheetData>
      <sheetData sheetId="6145">
        <row r="1">
          <cell r="A1" t="str">
            <v>PHIẾU XỬ LÝ HỒ SƠ THANH TOÁN VƯỢT THẨM QUYỀN PD</v>
          </cell>
        </row>
      </sheetData>
      <sheetData sheetId="6146">
        <row r="1">
          <cell r="A1" t="str">
            <v>PHIẾU XỬ LÝ HỒ SƠ THANH TOÁN VƯỢT THẨM QUYỀN PD</v>
          </cell>
        </row>
      </sheetData>
      <sheetData sheetId="6147">
        <row r="1">
          <cell r="A1" t="str">
            <v>PHIẾU XỬ LÝ HỒ SƠ THANH TOÁN VƯỢT THẨM QUYỀN PD</v>
          </cell>
        </row>
      </sheetData>
      <sheetData sheetId="6148"/>
      <sheetData sheetId="6149">
        <row r="1">
          <cell r="A1" t="str">
            <v>PHIẾU XỬ LÝ HỒ SƠ THANH TOÁN VƯỢT THẨM QUYỀN PD</v>
          </cell>
        </row>
      </sheetData>
      <sheetData sheetId="6150">
        <row r="1">
          <cell r="A1" t="str">
            <v>PHIẾU XỬ LÝ HỒ SƠ THANH TOÁN VƯỢT THẨM QUYỀN PD</v>
          </cell>
        </row>
      </sheetData>
      <sheetData sheetId="6151">
        <row r="1">
          <cell r="A1" t="str">
            <v>PHIẾU XỬ LÝ HỒ SƠ THANH TOÁN VƯỢT THẨM QUYỀN PD</v>
          </cell>
        </row>
      </sheetData>
      <sheetData sheetId="6152">
        <row r="1">
          <cell r="A1" t="str">
            <v>PHIẾU XỬ LÝ HỒ SƠ THANH TOÁN VƯỢT THẨM QUYỀN PD</v>
          </cell>
        </row>
      </sheetData>
      <sheetData sheetId="6153">
        <row r="1">
          <cell r="A1" t="str">
            <v>PHIẾU XỬ LÝ HỒ SƠ THANH TOÁN VƯỢT THẨM QUYỀN PD</v>
          </cell>
        </row>
      </sheetData>
      <sheetData sheetId="6154">
        <row r="1">
          <cell r="A1" t="str">
            <v>PHIẾU XỬ LÝ HỒ SƠ THANH TOÁN VƯỢT THẨM QUYỀN PD</v>
          </cell>
        </row>
      </sheetData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>
        <row r="1">
          <cell r="A1" t="str">
            <v>PHIẾU XỬ LÝ HỒ SƠ THANH TOÁN VƯỢT THẨM QUYỀN PD</v>
          </cell>
        </row>
      </sheetData>
      <sheetData sheetId="6199" refreshError="1"/>
      <sheetData sheetId="6200" refreshError="1"/>
      <sheetData sheetId="6201">
        <row r="1">
          <cell r="A1" t="str">
            <v>PHIẾU XỬ LÝ HỒ SƠ THANH TOÁN VƯỢT THẨM QUYỀN PD</v>
          </cell>
        </row>
      </sheetData>
      <sheetData sheetId="6202">
        <row r="1">
          <cell r="A1" t="str">
            <v>PHIẾU XỬ LÝ HỒ SƠ THANH TOÁN VƯỢT THẨM QUYỀN PD</v>
          </cell>
        </row>
      </sheetData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>
        <row r="1">
          <cell r="A1" t="str">
            <v>PHIẾU XỬ LÝ HỒ SƠ THANH TOÁN VƯỢT THẨM QUYỀN PD</v>
          </cell>
        </row>
      </sheetData>
      <sheetData sheetId="6213">
        <row r="1">
          <cell r="A1" t="str">
            <v>PHIẾU XỬ LÝ HỒ SƠ THANH TOÁN VƯỢT THẨM QUYỀN PD</v>
          </cell>
        </row>
      </sheetData>
      <sheetData sheetId="6214">
        <row r="1">
          <cell r="A1" t="str">
            <v>PHIẾU XỬ LÝ HỒ SƠ THANH TOÁN VƯỢT THẨM QUYỀN PD</v>
          </cell>
        </row>
      </sheetData>
      <sheetData sheetId="6215">
        <row r="1">
          <cell r="A1" t="str">
            <v>PHIẾU XỬ LÝ HỒ SƠ THANH TOÁN VƯỢT THẨM QUYỀN PD</v>
          </cell>
        </row>
      </sheetData>
      <sheetData sheetId="6216">
        <row r="1">
          <cell r="A1" t="str">
            <v>PHIẾU XỬ LÝ HỒ SƠ THANH TOÁN VƯỢT THẨM QUYỀN PD</v>
          </cell>
        </row>
      </sheetData>
      <sheetData sheetId="6217">
        <row r="1">
          <cell r="A1" t="str">
            <v>PHIẾU XỬ LÝ HỒ SƠ THANH TOÁN VƯỢT THẨM QUYỀN PD</v>
          </cell>
        </row>
      </sheetData>
      <sheetData sheetId="6218">
        <row r="1">
          <cell r="A1" t="str">
            <v>PHIẾU XỬ LÝ HỒ SƠ THANH TOÁN VƯỢT THẨM QUYỀN PD</v>
          </cell>
        </row>
      </sheetData>
      <sheetData sheetId="6219">
        <row r="1">
          <cell r="A1" t="str">
            <v>PHIẾU XỬ LÝ HỒ SƠ THANH TOÁN VƯỢT THẨM QUYỀN PD</v>
          </cell>
        </row>
      </sheetData>
      <sheetData sheetId="6220">
        <row r="1">
          <cell r="A1" t="str">
            <v>PHIẾU XỬ LÝ HỒ SƠ THANH TOÁN VƯỢT THẨM QUYỀN PD</v>
          </cell>
        </row>
      </sheetData>
      <sheetData sheetId="6221">
        <row r="1">
          <cell r="A1" t="str">
            <v>PHIẾU XỬ LÝ HỒ SƠ THANH TOÁN VƯỢT THẨM QUYỀN PD</v>
          </cell>
        </row>
      </sheetData>
      <sheetData sheetId="6222">
        <row r="1">
          <cell r="A1" t="str">
            <v>PHIẾU XỬ LÝ HỒ SƠ THANH TOÁN VƯỢT THẨM QUYỀN PD</v>
          </cell>
        </row>
      </sheetData>
      <sheetData sheetId="6223">
        <row r="1">
          <cell r="A1" t="str">
            <v>PHIẾU XỬ LÝ HỒ SƠ THANH TOÁN VƯỢT THẨM QUYỀN PD</v>
          </cell>
        </row>
      </sheetData>
      <sheetData sheetId="6224">
        <row r="1">
          <cell r="A1" t="str">
            <v>PHIẾU XỬ LÝ HỒ SƠ THANH TOÁN VƯỢT THẨM QUYỀN PD</v>
          </cell>
        </row>
      </sheetData>
      <sheetData sheetId="6225">
        <row r="1">
          <cell r="A1" t="str">
            <v>PHIẾU XỬ LÝ HỒ SƠ THANH TOÁN VƯỢT THẨM QUYỀN PD</v>
          </cell>
        </row>
      </sheetData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>
        <row r="1">
          <cell r="A1" t="str">
            <v>PHIẾU XỬ LÝ HỒ SƠ THANH TOÁN VƯỢT THẨM QUYỀN PD</v>
          </cell>
        </row>
      </sheetData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>
        <row r="1">
          <cell r="A1" t="str">
            <v>PHIẾU XỬ LÝ HỒ SƠ THANH TOÁN VƯỢT THẨM QUYỀN PD</v>
          </cell>
        </row>
      </sheetData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>
        <row r="1">
          <cell r="A1" t="str">
            <v>PHIẾU XỬ LÝ HỒ SƠ THANH TOÁN VƯỢT THẨM QUYỀN PD</v>
          </cell>
        </row>
      </sheetData>
      <sheetData sheetId="6355">
        <row r="1">
          <cell r="A1" t="str">
            <v>PHIẾU XỬ LÝ HỒ SƠ THANH TOÁN VƯỢT THẨM QUYỀN PD</v>
          </cell>
        </row>
      </sheetData>
      <sheetData sheetId="6356">
        <row r="1">
          <cell r="A1" t="str">
            <v>PHIẾU XỬ LÝ HỒ SƠ THANH TOÁN VƯỢT THẨM QUYỀN PD</v>
          </cell>
        </row>
      </sheetData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>
        <row r="1">
          <cell r="A1" t="str">
            <v>PHIẾU XỬ LÝ HỒ SƠ THANH TOÁN VƯỢT THẨM QUYỀN PD</v>
          </cell>
        </row>
      </sheetData>
      <sheetData sheetId="6372">
        <row r="1">
          <cell r="A1" t="str">
            <v>PHIẾU XỬ LÝ HỒ SƠ THANH TOÁN VƯỢT THẨM QUYỀN PD</v>
          </cell>
        </row>
      </sheetData>
      <sheetData sheetId="6373">
        <row r="1">
          <cell r="A1" t="str">
            <v>PHIẾU XỬ LÝ HỒ SƠ THANH TOÁN VƯỢT THẨM QUYỀN PD</v>
          </cell>
        </row>
      </sheetData>
      <sheetData sheetId="6374">
        <row r="1">
          <cell r="A1" t="str">
            <v>PHIẾU XỬ LÝ HỒ SƠ THANH TOÁN VƯỢT THẨM QUYỀN PD</v>
          </cell>
        </row>
      </sheetData>
      <sheetData sheetId="6375">
        <row r="1">
          <cell r="A1" t="str">
            <v>PHIẾU XỬ LÝ HỒ SƠ THANH TOÁN VƯỢT THẨM QUYỀN PD</v>
          </cell>
        </row>
      </sheetData>
      <sheetData sheetId="6376">
        <row r="1">
          <cell r="A1" t="str">
            <v>PHIẾU XỬ LÝ HỒ SƠ THANH TOÁN VƯỢT THẨM QUYỀN PD</v>
          </cell>
        </row>
      </sheetData>
      <sheetData sheetId="6377">
        <row r="1">
          <cell r="A1" t="str">
            <v>PHIẾU XỬ LÝ HỒ SƠ THANH TOÁN VƯỢT THẨM QUYỀN PD</v>
          </cell>
        </row>
      </sheetData>
      <sheetData sheetId="6378">
        <row r="1">
          <cell r="A1" t="str">
            <v>PHIẾU XỬ LÝ HỒ SƠ THANH TOÁN VƯỢT THẨM QUYỀN PD</v>
          </cell>
        </row>
      </sheetData>
      <sheetData sheetId="6379">
        <row r="1">
          <cell r="A1" t="str">
            <v>PHIẾU XỬ LÝ HỒ SƠ THANH TOÁN VƯỢT THẨM QUYỀN PD</v>
          </cell>
        </row>
      </sheetData>
      <sheetData sheetId="6380">
        <row r="1">
          <cell r="A1" t="str">
            <v>PHIẾU XỬ LÝ HỒ SƠ THANH TOÁN VƯỢT THẨM QUYỀN PD</v>
          </cell>
        </row>
      </sheetData>
      <sheetData sheetId="6381">
        <row r="1">
          <cell r="A1" t="str">
            <v>PHIẾU XỬ LÝ HỒ SƠ THANH TOÁN VƯỢT THẨM QUYỀN PD</v>
          </cell>
        </row>
      </sheetData>
      <sheetData sheetId="6382">
        <row r="1">
          <cell r="A1" t="str">
            <v>PHIẾU XỬ LÝ HỒ SƠ THANH TOÁN VƯỢT THẨM QUYỀN PD</v>
          </cell>
        </row>
      </sheetData>
      <sheetData sheetId="6383">
        <row r="1">
          <cell r="A1" t="str">
            <v>PHIẾU XỬ LÝ HỒ SƠ THANH TOÁN VƯỢT THẨM QUYỀN PD</v>
          </cell>
        </row>
      </sheetData>
      <sheetData sheetId="6384">
        <row r="1">
          <cell r="A1" t="str">
            <v>PHIẾU XỬ LÝ HỒ SƠ THANH TOÁN VƯỢT THẨM QUYỀN PD</v>
          </cell>
        </row>
      </sheetData>
      <sheetData sheetId="6385">
        <row r="1">
          <cell r="A1" t="str">
            <v>PHIẾU XỬ LÝ HỒ SƠ THANH TOÁN VƯỢT THẨM QUYỀN PD</v>
          </cell>
        </row>
      </sheetData>
      <sheetData sheetId="6386">
        <row r="1">
          <cell r="A1" t="str">
            <v>PHIẾU XỬ LÝ HỒ SƠ THANH TOÁN VƯỢT THẨM QUYỀN PD</v>
          </cell>
        </row>
      </sheetData>
      <sheetData sheetId="6387">
        <row r="1">
          <cell r="A1" t="str">
            <v>PHIẾU XỬ LÝ HỒ SƠ THANH TOÁN VƯỢT THẨM QUYỀN PD</v>
          </cell>
        </row>
      </sheetData>
      <sheetData sheetId="6388">
        <row r="1">
          <cell r="A1" t="str">
            <v>PHIẾU XỬ LÝ HỒ SƠ THANH TOÁN VƯỢT THẨM QUYỀN PD</v>
          </cell>
        </row>
      </sheetData>
      <sheetData sheetId="6389">
        <row r="1">
          <cell r="A1" t="str">
            <v>PHIẾU XỬ LÝ HỒ SƠ THANH TOÁN VƯỢT THẨM QUYỀN PD</v>
          </cell>
        </row>
      </sheetData>
      <sheetData sheetId="6390">
        <row r="1">
          <cell r="A1" t="str">
            <v>PHIẾU XỬ LÝ HỒ SƠ THANH TOÁN VƯỢT THẨM QUYỀN PD</v>
          </cell>
        </row>
      </sheetData>
      <sheetData sheetId="6391">
        <row r="1">
          <cell r="A1" t="str">
            <v>PHIẾU XỬ LÝ HỒ SƠ THANH TOÁN VƯỢT THẨM QUYỀN PD</v>
          </cell>
        </row>
      </sheetData>
      <sheetData sheetId="6392">
        <row r="1">
          <cell r="A1" t="str">
            <v>PHIẾU XỬ LÝ HỒ SƠ THANH TOÁN VƯỢT THẨM QUYỀN PD</v>
          </cell>
        </row>
      </sheetData>
      <sheetData sheetId="6393">
        <row r="1">
          <cell r="A1" t="str">
            <v>PHIẾU XỬ LÝ HỒ SƠ THANH TOÁN VƯỢT THẨM QUYỀN PD</v>
          </cell>
        </row>
      </sheetData>
      <sheetData sheetId="6394">
        <row r="1">
          <cell r="A1" t="str">
            <v>PHIẾU XỬ LÝ HỒ SƠ THANH TOÁN VƯỢT THẨM QUYỀN PD</v>
          </cell>
        </row>
      </sheetData>
      <sheetData sheetId="6395">
        <row r="1">
          <cell r="A1" t="str">
            <v>PHIẾU XỬ LÝ HỒ SƠ THANH TOÁN VƯỢT THẨM QUYỀN PD</v>
          </cell>
        </row>
      </sheetData>
      <sheetData sheetId="6396">
        <row r="1">
          <cell r="A1" t="str">
            <v>PHIẾU XỬ LÝ HỒ SƠ THANH TOÁN VƯỢT THẨM QUYỀN PD</v>
          </cell>
        </row>
      </sheetData>
      <sheetData sheetId="6397">
        <row r="1">
          <cell r="A1" t="str">
            <v>PHIẾU XỬ LÝ HỒ SƠ THANH TOÁN VƯỢT THẨM QUYỀN PD</v>
          </cell>
        </row>
      </sheetData>
      <sheetData sheetId="6398">
        <row r="1">
          <cell r="A1" t="str">
            <v>PHIẾU XỬ LÝ HỒ SƠ THANH TOÁN VƯỢT THẨM QUYỀN PD</v>
          </cell>
        </row>
      </sheetData>
      <sheetData sheetId="6399">
        <row r="1">
          <cell r="A1" t="str">
            <v>PHIẾU XỬ LÝ HỒ SƠ THANH TOÁN VƯỢT THẨM QUYỀN PD</v>
          </cell>
        </row>
      </sheetData>
      <sheetData sheetId="6400">
        <row r="1">
          <cell r="A1" t="str">
            <v>PHIẾU XỬ LÝ HỒ SƠ THANH TOÁN VƯỢT THẨM QUYỀN PD</v>
          </cell>
        </row>
      </sheetData>
      <sheetData sheetId="6401">
        <row r="1">
          <cell r="A1" t="str">
            <v>PHIẾU XỬ LÝ HỒ SƠ THANH TOÁN VƯỢT THẨM QUYỀN PD</v>
          </cell>
        </row>
      </sheetData>
      <sheetData sheetId="6402">
        <row r="1">
          <cell r="A1" t="str">
            <v>PHIẾU XỬ LÝ HỒ SƠ THANH TOÁN VƯỢT THẨM QUYỀN PD</v>
          </cell>
        </row>
      </sheetData>
      <sheetData sheetId="6403">
        <row r="1">
          <cell r="A1" t="str">
            <v>PHIẾU XỬ LÝ HỒ SƠ THANH TOÁN VƯỢT THẨM QUYỀN PD</v>
          </cell>
        </row>
      </sheetData>
      <sheetData sheetId="6404">
        <row r="1">
          <cell r="A1" t="str">
            <v>PHIẾU XỬ LÝ HỒ SƠ THANH TOÁN VƯỢT THẨM QUYỀN PD</v>
          </cell>
        </row>
      </sheetData>
      <sheetData sheetId="6405">
        <row r="1">
          <cell r="A1" t="str">
            <v>PHIẾU XỬ LÝ HỒ SƠ THANH TOÁN VƯỢT THẨM QUYỀN PD</v>
          </cell>
        </row>
      </sheetData>
      <sheetData sheetId="6406">
        <row r="1">
          <cell r="A1" t="str">
            <v>PHIẾU XỬ LÝ HỒ SƠ THANH TOÁN VƯỢT THẨM QUYỀN PD</v>
          </cell>
        </row>
      </sheetData>
      <sheetData sheetId="6407">
        <row r="1">
          <cell r="A1" t="str">
            <v>PHIẾU XỬ LÝ HỒ SƠ THANH TOÁN VƯỢT THẨM QUYỀN PD</v>
          </cell>
        </row>
      </sheetData>
      <sheetData sheetId="6408">
        <row r="1">
          <cell r="A1" t="str">
            <v>PHIẾU XỬ LÝ HỒ SƠ THANH TOÁN VƯỢT THẨM QUYỀN PD</v>
          </cell>
        </row>
      </sheetData>
      <sheetData sheetId="6409">
        <row r="1">
          <cell r="A1" t="str">
            <v>PHIẾU XỬ LÝ HỒ SƠ THANH TOÁN VƯỢT THẨM QUYỀN PD</v>
          </cell>
        </row>
      </sheetData>
      <sheetData sheetId="6410">
        <row r="1">
          <cell r="A1" t="str">
            <v>PHIẾU XỬ LÝ HỒ SƠ THANH TOÁN VƯỢT THẨM QUYỀN PD</v>
          </cell>
        </row>
      </sheetData>
      <sheetData sheetId="6411">
        <row r="1">
          <cell r="A1" t="str">
            <v>PHIẾU XỬ LÝ HỒ SƠ THANH TOÁN VƯỢT THẨM QUYỀN PD</v>
          </cell>
        </row>
      </sheetData>
      <sheetData sheetId="6412">
        <row r="1">
          <cell r="A1" t="str">
            <v>PHIẾU XỬ LÝ HỒ SƠ THANH TOÁN VƯỢT THẨM QUYỀN PD</v>
          </cell>
        </row>
      </sheetData>
      <sheetData sheetId="6413">
        <row r="1">
          <cell r="A1" t="str">
            <v>PHIẾU XỬ LÝ HỒ SƠ THANH TOÁN VƯỢT THẨM QUYỀN PD</v>
          </cell>
        </row>
      </sheetData>
      <sheetData sheetId="6414">
        <row r="1">
          <cell r="A1" t="str">
            <v>PHIẾU XỬ LÝ HỒ SƠ THANH TOÁN VƯỢT THẨM QUYỀN PD</v>
          </cell>
        </row>
      </sheetData>
      <sheetData sheetId="6415">
        <row r="1">
          <cell r="A1" t="str">
            <v>PHIẾU XỬ LÝ HỒ SƠ THANH TOÁN VƯỢT THẨM QUYỀN PD</v>
          </cell>
        </row>
      </sheetData>
      <sheetData sheetId="6416">
        <row r="1">
          <cell r="A1" t="str">
            <v>PHIẾU XỬ LÝ HỒ SƠ THANH TOÁN VƯỢT THẨM QUYỀN PD</v>
          </cell>
        </row>
      </sheetData>
      <sheetData sheetId="6417">
        <row r="1">
          <cell r="A1" t="str">
            <v>PHIẾU XỬ LÝ HỒ SƠ THANH TOÁN VƯỢT THẨM QUYỀN PD</v>
          </cell>
        </row>
      </sheetData>
      <sheetData sheetId="6418">
        <row r="1">
          <cell r="A1" t="str">
            <v>PHIẾU XỬ LÝ HỒ SƠ THANH TOÁN VƯỢT THẨM QUYỀN PD</v>
          </cell>
        </row>
      </sheetData>
      <sheetData sheetId="6419">
        <row r="1">
          <cell r="A1" t="str">
            <v>PHIẾU XỬ LÝ HỒ SƠ THANH TOÁN VƯỢT THẨM QUYỀN PD</v>
          </cell>
        </row>
      </sheetData>
      <sheetData sheetId="6420">
        <row r="1">
          <cell r="A1" t="str">
            <v>PHIẾU XỬ LÝ HỒ SƠ THANH TOÁN VƯỢT THẨM QUYỀN PD</v>
          </cell>
        </row>
      </sheetData>
      <sheetData sheetId="6421">
        <row r="1">
          <cell r="A1" t="str">
            <v>PHIẾU XỬ LÝ HỒ SƠ THANH TOÁN VƯỢT THẨM QUYỀN PD</v>
          </cell>
        </row>
      </sheetData>
      <sheetData sheetId="6422">
        <row r="1">
          <cell r="A1" t="str">
            <v>PHIẾU XỬ LÝ HỒ SƠ THANH TOÁN VƯỢT THẨM QUYỀN PD</v>
          </cell>
        </row>
      </sheetData>
      <sheetData sheetId="6423">
        <row r="1">
          <cell r="A1" t="str">
            <v>PHIẾU XỬ LÝ HỒ SƠ THANH TOÁN VƯỢT THẨM QUYỀN PD</v>
          </cell>
        </row>
      </sheetData>
      <sheetData sheetId="6424">
        <row r="1">
          <cell r="A1" t="str">
            <v>PHIẾU XỬ LÝ HỒ SƠ THANH TOÁN VƯỢT THẨM QUYỀN PD</v>
          </cell>
        </row>
      </sheetData>
      <sheetData sheetId="6425">
        <row r="1">
          <cell r="A1" t="str">
            <v>PHIẾU XỬ LÝ HỒ SƠ THANH TOÁN VƯỢT THẨM QUYỀN PD</v>
          </cell>
        </row>
      </sheetData>
      <sheetData sheetId="6426">
        <row r="1">
          <cell r="A1" t="str">
            <v>PHIẾU XỬ LÝ HỒ SƠ THANH TOÁN VƯỢT THẨM QUYỀN PD</v>
          </cell>
        </row>
      </sheetData>
      <sheetData sheetId="6427">
        <row r="1">
          <cell r="A1" t="str">
            <v>PHIẾU XỬ LÝ HỒ SƠ THANH TOÁN VƯỢT THẨM QUYỀN PD</v>
          </cell>
        </row>
      </sheetData>
      <sheetData sheetId="6428">
        <row r="1">
          <cell r="A1" t="str">
            <v>PHIẾU XỬ LÝ HỒ SƠ THANH TOÁN VƯỢT THẨM QUYỀN PD</v>
          </cell>
        </row>
      </sheetData>
      <sheetData sheetId="6429">
        <row r="1">
          <cell r="A1" t="str">
            <v>PHIẾU XỬ LÝ HỒ SƠ THANH TOÁN VƯỢT THẨM QUYỀN PD</v>
          </cell>
        </row>
      </sheetData>
      <sheetData sheetId="6430">
        <row r="1">
          <cell r="A1" t="str">
            <v>PHIẾU XỬ LÝ HỒ SƠ THANH TOÁN VƯỢT THẨM QUYỀN PD</v>
          </cell>
        </row>
      </sheetData>
      <sheetData sheetId="6431">
        <row r="1">
          <cell r="A1" t="str">
            <v>PHIẾU XỬ LÝ HỒ SƠ THANH TOÁN VƯỢT THẨM QUYỀN PD</v>
          </cell>
        </row>
      </sheetData>
      <sheetData sheetId="6432">
        <row r="1">
          <cell r="A1" t="str">
            <v>PHIẾU XỬ LÝ HỒ SƠ THANH TOÁN VƯỢT THẨM QUYỀN PD</v>
          </cell>
        </row>
      </sheetData>
      <sheetData sheetId="6433">
        <row r="1">
          <cell r="A1" t="str">
            <v>PHIẾU XỬ LÝ HỒ SƠ THANH TOÁN VƯỢT THẨM QUYỀN PD</v>
          </cell>
        </row>
      </sheetData>
      <sheetData sheetId="6434">
        <row r="1">
          <cell r="A1" t="str">
            <v>PHIẾU XỬ LÝ HỒ SƠ THANH TOÁN VƯỢT THẨM QUYỀN PD</v>
          </cell>
        </row>
      </sheetData>
      <sheetData sheetId="6435">
        <row r="1">
          <cell r="A1" t="str">
            <v>PHIẾU XỬ LÝ HỒ SƠ THANH TOÁN VƯỢT THẨM QUYỀN PD</v>
          </cell>
        </row>
      </sheetData>
      <sheetData sheetId="6436">
        <row r="1">
          <cell r="A1" t="str">
            <v>PHIẾU XỬ LÝ HỒ SƠ THANH TOÁN VƯỢT THẨM QUYỀN PD</v>
          </cell>
        </row>
      </sheetData>
      <sheetData sheetId="6437">
        <row r="1">
          <cell r="A1" t="str">
            <v>PHIẾU XỬ LÝ HỒ SƠ THANH TOÁN VƯỢT THẨM QUYỀN PD</v>
          </cell>
        </row>
      </sheetData>
      <sheetData sheetId="6438">
        <row r="1">
          <cell r="A1" t="str">
            <v>PHIẾU XỬ LÝ HỒ SƠ THANH TOÁN VƯỢT THẨM QUYỀN PD</v>
          </cell>
        </row>
      </sheetData>
      <sheetData sheetId="6439">
        <row r="1">
          <cell r="A1" t="str">
            <v>PHIẾU XỬ LÝ HỒ SƠ THANH TOÁN VƯỢT THẨM QUYỀN PD</v>
          </cell>
        </row>
      </sheetData>
      <sheetData sheetId="6440">
        <row r="1">
          <cell r="A1" t="str">
            <v>PHIẾU XỬ LÝ HỒ SƠ THANH TOÁN VƯỢT THẨM QUYỀN PD</v>
          </cell>
        </row>
      </sheetData>
      <sheetData sheetId="6441">
        <row r="1">
          <cell r="A1" t="str">
            <v>PHIẾU XỬ LÝ HỒ SƠ THANH TOÁN VƯỢT THẨM QUYỀN PD</v>
          </cell>
        </row>
      </sheetData>
      <sheetData sheetId="6442">
        <row r="1">
          <cell r="A1" t="str">
            <v>PHIẾU XỬ LÝ HỒ SƠ THANH TOÁN VƯỢT THẨM QUYỀN PD</v>
          </cell>
        </row>
      </sheetData>
      <sheetData sheetId="6443">
        <row r="1">
          <cell r="A1" t="str">
            <v>PHIẾU XỬ LÝ HỒ SƠ THANH TOÁN VƯỢT THẨM QUYỀN PD</v>
          </cell>
        </row>
      </sheetData>
      <sheetData sheetId="6444">
        <row r="1">
          <cell r="A1" t="str">
            <v>PHIẾU XỬ LÝ HỒ SƠ THANH TOÁN VƯỢT THẨM QUYỀN PD</v>
          </cell>
        </row>
      </sheetData>
      <sheetData sheetId="6445">
        <row r="1">
          <cell r="A1" t="str">
            <v>PHIẾU XỬ LÝ HỒ SƠ THANH TOÁN VƯỢT THẨM QUYỀN PD</v>
          </cell>
        </row>
      </sheetData>
      <sheetData sheetId="6446">
        <row r="1">
          <cell r="A1" t="str">
            <v>PHIẾU XỬ LÝ HỒ SƠ THANH TOÁN VƯỢT THẨM QUYỀN PD</v>
          </cell>
        </row>
      </sheetData>
      <sheetData sheetId="6447">
        <row r="1">
          <cell r="A1" t="str">
            <v>PHIẾU XỬ LÝ HỒ SƠ THANH TOÁN VƯỢT THẨM QUYỀN PD</v>
          </cell>
        </row>
      </sheetData>
      <sheetData sheetId="6448">
        <row r="1">
          <cell r="A1" t="str">
            <v>PHIẾU XỬ LÝ HỒ SƠ THANH TOÁN VƯỢT THẨM QUYỀN PD</v>
          </cell>
        </row>
      </sheetData>
      <sheetData sheetId="6449">
        <row r="1">
          <cell r="A1" t="str">
            <v>PHIẾU XỬ LÝ HỒ SƠ THANH TOÁN VƯỢT THẨM QUYỀN PD</v>
          </cell>
        </row>
      </sheetData>
      <sheetData sheetId="6450">
        <row r="1">
          <cell r="A1" t="str">
            <v>PHIẾU XỬ LÝ HỒ SƠ THANH TOÁN VƯỢT THẨM QUYỀN PD</v>
          </cell>
        </row>
      </sheetData>
      <sheetData sheetId="6451">
        <row r="1">
          <cell r="A1" t="str">
            <v>PHIẾU XỬ LÝ HỒ SƠ THANH TOÁN VƯỢT THẨM QUYỀN PD</v>
          </cell>
        </row>
      </sheetData>
      <sheetData sheetId="6452">
        <row r="1">
          <cell r="A1" t="str">
            <v>PHIẾU XỬ LÝ HỒ SƠ THANH TOÁN VƯỢT THẨM QUYỀN PD</v>
          </cell>
        </row>
      </sheetData>
      <sheetData sheetId="6453">
        <row r="1">
          <cell r="A1" t="str">
            <v>PHIẾU XỬ LÝ HỒ SƠ THANH TOÁN VƯỢT THẨM QUYỀN PD</v>
          </cell>
        </row>
      </sheetData>
      <sheetData sheetId="6454">
        <row r="1">
          <cell r="A1" t="str">
            <v>PHIẾU XỬ LÝ HỒ SƠ THANH TOÁN VƯỢT THẨM QUYỀN PD</v>
          </cell>
        </row>
      </sheetData>
      <sheetData sheetId="6455">
        <row r="1">
          <cell r="A1" t="str">
            <v>PHIẾU XỬ LÝ HỒ SƠ THANH TOÁN VƯỢT THẨM QUYỀN PD</v>
          </cell>
        </row>
      </sheetData>
      <sheetData sheetId="6456">
        <row r="1">
          <cell r="A1" t="str">
            <v>PHIẾU XỬ LÝ HỒ SƠ THANH TOÁN VƯỢT THẨM QUYỀN PD</v>
          </cell>
        </row>
      </sheetData>
      <sheetData sheetId="6457">
        <row r="1">
          <cell r="A1" t="str">
            <v>PHIẾU XỬ LÝ HỒ SƠ THANH TOÁN VƯỢT THẨM QUYỀN PD</v>
          </cell>
        </row>
      </sheetData>
      <sheetData sheetId="6458">
        <row r="1">
          <cell r="A1" t="str">
            <v>PHIẾU XỬ LÝ HỒ SƠ THANH TOÁN VƯỢT THẨM QUYỀN PD</v>
          </cell>
        </row>
      </sheetData>
      <sheetData sheetId="6459">
        <row r="1">
          <cell r="A1" t="str">
            <v>PHIẾU XỬ LÝ HỒ SƠ THANH TOÁN VƯỢT THẨM QUYỀN PD</v>
          </cell>
        </row>
      </sheetData>
      <sheetData sheetId="6460">
        <row r="1">
          <cell r="A1" t="str">
            <v>PHIẾU XỬ LÝ HỒ SƠ THANH TOÁN VƯỢT THẨM QUYỀN PD</v>
          </cell>
        </row>
      </sheetData>
      <sheetData sheetId="6461">
        <row r="1">
          <cell r="A1" t="str">
            <v>PHIẾU XỬ LÝ HỒ SƠ THANH TOÁN VƯỢT THẨM QUYỀN PD</v>
          </cell>
        </row>
      </sheetData>
      <sheetData sheetId="6462">
        <row r="1">
          <cell r="A1" t="str">
            <v>PHIẾU XỬ LÝ HỒ SƠ THANH TOÁN VƯỢT THẨM QUYỀN PD</v>
          </cell>
        </row>
      </sheetData>
      <sheetData sheetId="6463">
        <row r="1">
          <cell r="A1" t="str">
            <v>PHIẾU XỬ LÝ HỒ SƠ THANH TOÁN VƯỢT THẨM QUYỀN PD</v>
          </cell>
        </row>
      </sheetData>
      <sheetData sheetId="6464">
        <row r="1">
          <cell r="A1" t="str">
            <v>PHIẾU XỬ LÝ HỒ SƠ THANH TOÁN VƯỢT THẨM QUYỀN PD</v>
          </cell>
        </row>
      </sheetData>
      <sheetData sheetId="6465">
        <row r="1">
          <cell r="A1" t="str">
            <v>PHIẾU XỬ LÝ HỒ SƠ THANH TOÁN VƯỢT THẨM QUYỀN PD</v>
          </cell>
        </row>
      </sheetData>
      <sheetData sheetId="6466">
        <row r="1">
          <cell r="A1" t="str">
            <v>PHIẾU XỬ LÝ HỒ SƠ THANH TOÁN VƯỢT THẨM QUYỀN PD</v>
          </cell>
        </row>
      </sheetData>
      <sheetData sheetId="6467">
        <row r="1">
          <cell r="A1" t="str">
            <v>PHIẾU XỬ LÝ HỒ SƠ THANH TOÁN VƯỢT THẨM QUYỀN PD</v>
          </cell>
        </row>
      </sheetData>
      <sheetData sheetId="6468">
        <row r="1">
          <cell r="A1" t="str">
            <v>PHIẾU XỬ LÝ HỒ SƠ THANH TOÁN VƯỢT THẨM QUYỀN PD</v>
          </cell>
        </row>
      </sheetData>
      <sheetData sheetId="6469">
        <row r="1">
          <cell r="A1" t="str">
            <v>PHIẾU XỬ LÝ HỒ SƠ THANH TOÁN VƯỢT THẨM QUYỀN PD</v>
          </cell>
        </row>
      </sheetData>
      <sheetData sheetId="6470">
        <row r="1">
          <cell r="A1" t="str">
            <v>PHIẾU XỬ LÝ HỒ SƠ THANH TOÁN VƯỢT THẨM QUYỀN PD</v>
          </cell>
        </row>
      </sheetData>
      <sheetData sheetId="6471">
        <row r="1">
          <cell r="A1" t="str">
            <v>PHIẾU XỬ LÝ HỒ SƠ THANH TOÁN VƯỢT THẨM QUYỀN PD</v>
          </cell>
        </row>
      </sheetData>
      <sheetData sheetId="6472">
        <row r="1">
          <cell r="A1" t="str">
            <v>PHIẾU XỬ LÝ HỒ SƠ THANH TOÁN VƯỢT THẨM QUYỀN PD</v>
          </cell>
        </row>
      </sheetData>
      <sheetData sheetId="6473">
        <row r="1">
          <cell r="A1" t="str">
            <v>PHIẾU XỬ LÝ HỒ SƠ THANH TOÁN VƯỢT THẨM QUYỀN PD</v>
          </cell>
        </row>
      </sheetData>
      <sheetData sheetId="6474">
        <row r="1">
          <cell r="A1" t="str">
            <v>PHIẾU XỬ LÝ HỒ SƠ THANH TOÁN VƯỢT THẨM QUYỀN PD</v>
          </cell>
        </row>
      </sheetData>
      <sheetData sheetId="6475">
        <row r="1">
          <cell r="A1" t="str">
            <v>PHIẾU XỬ LÝ HỒ SƠ THANH TOÁN VƯỢT THẨM QUYỀN PD</v>
          </cell>
        </row>
      </sheetData>
      <sheetData sheetId="6476">
        <row r="1">
          <cell r="A1" t="str">
            <v>PHIẾU XỬ LÝ HỒ SƠ THANH TOÁN VƯỢT THẨM QUYỀN PD</v>
          </cell>
        </row>
      </sheetData>
      <sheetData sheetId="6477">
        <row r="1">
          <cell r="A1" t="str">
            <v>PHIẾU XỬ LÝ HỒ SƠ THANH TOÁN VƯỢT THẨM QUYỀN PD</v>
          </cell>
        </row>
      </sheetData>
      <sheetData sheetId="6478">
        <row r="1">
          <cell r="A1" t="str">
            <v>PHIẾU XỬ LÝ HỒ SƠ THANH TOÁN VƯỢT THẨM QUYỀN PD</v>
          </cell>
        </row>
      </sheetData>
      <sheetData sheetId="6479">
        <row r="1">
          <cell r="A1" t="str">
            <v>PHIẾU XỬ LÝ HỒ SƠ THANH TOÁN VƯỢT THẨM QUYỀN PD</v>
          </cell>
        </row>
      </sheetData>
      <sheetData sheetId="6480">
        <row r="1">
          <cell r="A1" t="str">
            <v>PHIẾU XỬ LÝ HỒ SƠ THANH TOÁN VƯỢT THẨM QUYỀN PD</v>
          </cell>
        </row>
      </sheetData>
      <sheetData sheetId="6481">
        <row r="1">
          <cell r="A1" t="str">
            <v>PHIẾU XỬ LÝ HỒ SƠ THANH TOÁN VƯỢT THẨM QUYỀN PD</v>
          </cell>
        </row>
      </sheetData>
      <sheetData sheetId="6482">
        <row r="1">
          <cell r="A1" t="str">
            <v>PHIẾU XỬ LÝ HỒ SƠ THANH TOÁN VƯỢT THẨM QUYỀN PD</v>
          </cell>
        </row>
      </sheetData>
      <sheetData sheetId="6483">
        <row r="1">
          <cell r="A1" t="str">
            <v>PHIẾU XỬ LÝ HỒ SƠ THANH TOÁN VƯỢT THẨM QUYỀN PD</v>
          </cell>
        </row>
      </sheetData>
      <sheetData sheetId="6484">
        <row r="1">
          <cell r="A1" t="str">
            <v>PHIẾU XỬ LÝ HỒ SƠ THANH TOÁN VƯỢT THẨM QUYỀN PD</v>
          </cell>
        </row>
      </sheetData>
      <sheetData sheetId="6485">
        <row r="1">
          <cell r="A1" t="str">
            <v>PHIẾU XỬ LÝ HỒ SƠ THANH TOÁN VƯỢT THẨM QUYỀN PD</v>
          </cell>
        </row>
      </sheetData>
      <sheetData sheetId="6486">
        <row r="1">
          <cell r="A1" t="str">
            <v>PHIẾU XỬ LÝ HỒ SƠ THANH TOÁN VƯỢT THẨM QUYỀN PD</v>
          </cell>
        </row>
      </sheetData>
      <sheetData sheetId="6487">
        <row r="1">
          <cell r="A1" t="str">
            <v>PHIẾU XỬ LÝ HỒ SƠ THANH TOÁN VƯỢT THẨM QUYỀN PD</v>
          </cell>
        </row>
      </sheetData>
      <sheetData sheetId="6488">
        <row r="1">
          <cell r="A1" t="str">
            <v>PHIẾU XỬ LÝ HỒ SƠ THANH TOÁN VƯỢT THẨM QUYỀN PD</v>
          </cell>
        </row>
      </sheetData>
      <sheetData sheetId="6489">
        <row r="1">
          <cell r="A1" t="str">
            <v>PHIẾU XỬ LÝ HỒ SƠ THANH TOÁN VƯỢT THẨM QUYỀN PD</v>
          </cell>
        </row>
      </sheetData>
      <sheetData sheetId="6490">
        <row r="1">
          <cell r="A1" t="str">
            <v>PHIẾU XỬ LÝ HỒ SƠ THANH TOÁN VƯỢT THẨM QUYỀN PD</v>
          </cell>
        </row>
      </sheetData>
      <sheetData sheetId="6491">
        <row r="1">
          <cell r="A1" t="str">
            <v>PHIẾU XỬ LÝ HỒ SƠ THANH TOÁN VƯỢT THẨM QUYỀN PD</v>
          </cell>
        </row>
      </sheetData>
      <sheetData sheetId="6492">
        <row r="1">
          <cell r="A1" t="str">
            <v>PHIẾU XỬ LÝ HỒ SƠ THANH TOÁN VƯỢT THẨM QUYỀN PD</v>
          </cell>
        </row>
      </sheetData>
      <sheetData sheetId="6493">
        <row r="1">
          <cell r="A1" t="str">
            <v>PHIẾU XỬ LÝ HỒ SƠ THANH TOÁN VƯỢT THẨM QUYỀN PD</v>
          </cell>
        </row>
      </sheetData>
      <sheetData sheetId="6494">
        <row r="1">
          <cell r="A1" t="str">
            <v>PHIẾU XỬ LÝ HỒ SƠ THANH TOÁN VƯỢT THẨM QUYỀN PD</v>
          </cell>
        </row>
      </sheetData>
      <sheetData sheetId="6495">
        <row r="1">
          <cell r="A1" t="str">
            <v>PHIẾU XỬ LÝ HỒ SƠ THANH TOÁN VƯỢT THẨM QUYỀN PD</v>
          </cell>
        </row>
      </sheetData>
      <sheetData sheetId="6496">
        <row r="1">
          <cell r="A1" t="str">
            <v>PHIẾU XỬ LÝ HỒ SƠ THANH TOÁN VƯỢT THẨM QUYỀN PD</v>
          </cell>
        </row>
      </sheetData>
      <sheetData sheetId="6497">
        <row r="1">
          <cell r="A1" t="str">
            <v>PHIẾU XỬ LÝ HỒ SƠ THANH TOÁN VƯỢT THẨM QUYỀN PD</v>
          </cell>
        </row>
      </sheetData>
      <sheetData sheetId="6498">
        <row r="1">
          <cell r="A1" t="str">
            <v>PHIẾU XỬ LÝ HỒ SƠ THANH TOÁN VƯỢT THẨM QUYỀN PD</v>
          </cell>
        </row>
      </sheetData>
      <sheetData sheetId="6499">
        <row r="1">
          <cell r="A1" t="str">
            <v>PHIẾU XỬ LÝ HỒ SƠ THANH TOÁN VƯỢT THẨM QUYỀN PD</v>
          </cell>
        </row>
      </sheetData>
      <sheetData sheetId="6500">
        <row r="1">
          <cell r="A1" t="str">
            <v>PHIẾU XỬ LÝ HỒ SƠ THANH TOÁN VƯỢT THẨM QUYỀN PD</v>
          </cell>
        </row>
      </sheetData>
      <sheetData sheetId="6501">
        <row r="1">
          <cell r="A1" t="str">
            <v>PHIẾU XỬ LÝ HỒ SƠ THANH TOÁN VƯỢT THẨM QUYỀN PD</v>
          </cell>
        </row>
      </sheetData>
      <sheetData sheetId="6502">
        <row r="1">
          <cell r="A1" t="str">
            <v>PHIẾU XỬ LÝ HỒ SƠ THANH TOÁN VƯỢT THẨM QUYỀN PD</v>
          </cell>
        </row>
      </sheetData>
      <sheetData sheetId="6503">
        <row r="1">
          <cell r="A1" t="str">
            <v>PHIẾU XỬ LÝ HỒ SƠ THANH TOÁN VƯỢT THẨM QUYỀN PD</v>
          </cell>
        </row>
      </sheetData>
      <sheetData sheetId="6504">
        <row r="1">
          <cell r="A1" t="str">
            <v>PHIẾU XỬ LÝ HỒ SƠ THANH TOÁN VƯỢT THẨM QUYỀN PD</v>
          </cell>
        </row>
      </sheetData>
      <sheetData sheetId="6505">
        <row r="1">
          <cell r="A1" t="str">
            <v>PHIẾU XỬ LÝ HỒ SƠ THANH TOÁN VƯỢT THẨM QUYỀN PD</v>
          </cell>
        </row>
      </sheetData>
      <sheetData sheetId="6506">
        <row r="1">
          <cell r="A1" t="str">
            <v>PHIẾU XỬ LÝ HỒ SƠ THANH TOÁN VƯỢT THẨM QUYỀN PD</v>
          </cell>
        </row>
      </sheetData>
      <sheetData sheetId="6507">
        <row r="1">
          <cell r="A1" t="str">
            <v>PHIẾU XỬ LÝ HỒ SƠ THANH TOÁN VƯỢT THẨM QUYỀN PD</v>
          </cell>
        </row>
      </sheetData>
      <sheetData sheetId="6508">
        <row r="1">
          <cell r="A1" t="str">
            <v>PHIẾU XỬ LÝ HỒ SƠ THANH TOÁN VƯỢT THẨM QUYỀN PD</v>
          </cell>
        </row>
      </sheetData>
      <sheetData sheetId="6509">
        <row r="1">
          <cell r="A1" t="str">
            <v>PHIẾU XỬ LÝ HỒ SƠ THANH TOÁN VƯỢT THẨM QUYỀN PD</v>
          </cell>
        </row>
      </sheetData>
      <sheetData sheetId="6510">
        <row r="1">
          <cell r="A1" t="str">
            <v>PHIẾU XỬ LÝ HỒ SƠ THANH TOÁN VƯỢT THẨM QUYỀN PD</v>
          </cell>
        </row>
      </sheetData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/>
      <sheetData sheetId="6517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>
        <row r="1">
          <cell r="A1" t="str">
            <v>PHIẾU XỬ LÝ HỒ SƠ THANH TOÁN VƯỢT THẨM QUYỀN PD</v>
          </cell>
        </row>
      </sheetData>
      <sheetData sheetId="6775">
        <row r="1">
          <cell r="A1" t="str">
            <v>PHIẾU XỬ LÝ HỒ SƠ THANH TOÁN VƯỢT THẨM QUYỀN PD</v>
          </cell>
        </row>
      </sheetData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>
        <row r="1">
          <cell r="A1" t="str">
            <v>PHIẾU XỬ LÝ HỒ SƠ THANH TOÁN VƯỢT THẨM QUYỀN PD</v>
          </cell>
        </row>
      </sheetData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>
        <row r="1">
          <cell r="A1" t="str">
            <v>PHIẾU XỬ LÝ HỒ SƠ THANH TOÁN VƯỢT THẨM QUYỀN PD</v>
          </cell>
        </row>
      </sheetData>
      <sheetData sheetId="6814">
        <row r="1">
          <cell r="A1" t="str">
            <v>PHIẾU XỬ LÝ HỒ SƠ THANH TOÁN VƯỢT THẨM QUYỀN PD</v>
          </cell>
        </row>
      </sheetData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>
        <row r="1">
          <cell r="A1" t="str">
            <v>PHIẾU XỬ LÝ HỒ SƠ THANH TOÁN VƯỢT THẨM QUYỀN PD</v>
          </cell>
        </row>
      </sheetData>
      <sheetData sheetId="6832">
        <row r="1">
          <cell r="A1" t="str">
            <v>PHIẾU XỬ LÝ HỒ SƠ THANH TOÁN VƯỢT THẨM QUYỀN PD</v>
          </cell>
        </row>
      </sheetData>
      <sheetData sheetId="6833">
        <row r="1">
          <cell r="A1" t="str">
            <v>PHIẾU XỬ LÝ HỒ SƠ THANH TOÁN VƯỢT THẨM QUYỀN PD</v>
          </cell>
        </row>
      </sheetData>
      <sheetData sheetId="6834" refreshError="1"/>
      <sheetData sheetId="6835" refreshError="1"/>
      <sheetData sheetId="6836">
        <row r="1">
          <cell r="A1" t="str">
            <v>PHIẾU XỬ LÝ HỒ SƠ THANH TOÁN VƯỢT THẨM QUYỀN PD</v>
          </cell>
        </row>
      </sheetData>
      <sheetData sheetId="6837">
        <row r="1">
          <cell r="A1" t="str">
            <v>PHIẾU XỬ LÝ HỒ SƠ THANH TOÁN VƯỢT THẨM QUYỀN PD</v>
          </cell>
        </row>
      </sheetData>
      <sheetData sheetId="6838" refreshError="1"/>
      <sheetData sheetId="6839">
        <row r="1">
          <cell r="A1" t="str">
            <v>PHIẾU XỬ LÝ HỒ SƠ THANH TOÁN VƯỢT THẨM QUYỀN PD</v>
          </cell>
        </row>
      </sheetData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>
        <row r="1">
          <cell r="A1" t="str">
            <v>PHIẾU XỬ LÝ HỒ SƠ THANH TOÁN VƯỢT THẨM QUYỀN PD</v>
          </cell>
        </row>
      </sheetData>
      <sheetData sheetId="6846">
        <row r="1">
          <cell r="A1" t="str">
            <v>PHIẾU XỬ LÝ HỒ SƠ THANH TOÁN VƯỢT THẨM QUYỀN PD</v>
          </cell>
        </row>
      </sheetData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>
        <row r="1">
          <cell r="A1" t="str">
            <v>PHIẾU XỬ LÝ HỒ SƠ THANH TOÁN VƯỢT THẨM QUYỀN PD</v>
          </cell>
        </row>
      </sheetData>
      <sheetData sheetId="6856">
        <row r="1">
          <cell r="A1" t="str">
            <v>PHIẾU XỬ LÝ HỒ SƠ THANH TOÁN VƯỢT THẨM QUYỀN PD</v>
          </cell>
        </row>
      </sheetData>
      <sheetData sheetId="6857">
        <row r="1">
          <cell r="A1" t="str">
            <v>PHIẾU XỬ LÝ HỒ SƠ THANH TOÁN VƯỢT THẨM QUYỀN PD</v>
          </cell>
        </row>
      </sheetData>
      <sheetData sheetId="6858">
        <row r="1">
          <cell r="A1" t="str">
            <v>PHIẾU XỬ LÝ HỒ SƠ THANH TOÁN VƯỢT THẨM QUYỀN PD</v>
          </cell>
        </row>
      </sheetData>
      <sheetData sheetId="6859">
        <row r="1">
          <cell r="A1" t="str">
            <v>PHIẾU XỬ LÝ HỒ SƠ THANH TOÁN VƯỢT THẨM QUYỀN PD</v>
          </cell>
        </row>
      </sheetData>
      <sheetData sheetId="6860">
        <row r="1">
          <cell r="A1" t="str">
            <v>PHIẾU XỬ LÝ HỒ SƠ THANH TOÁN VƯỢT THẨM QUYỀN PD</v>
          </cell>
        </row>
      </sheetData>
      <sheetData sheetId="6861" refreshError="1"/>
      <sheetData sheetId="6862" refreshError="1"/>
      <sheetData sheetId="6863">
        <row r="1">
          <cell r="A1" t="str">
            <v>PHIẾU XỬ LÝ HỒ SƠ THANH TOÁN VƯỢT THẨM QUYỀN PD</v>
          </cell>
        </row>
      </sheetData>
      <sheetData sheetId="6864">
        <row r="1">
          <cell r="A1" t="str">
            <v>PHIẾU XỬ LÝ HỒ SƠ THANH TOÁN VƯỢT THẨM QUYỀN PD</v>
          </cell>
        </row>
      </sheetData>
      <sheetData sheetId="6865">
        <row r="1">
          <cell r="A1" t="str">
            <v>PHIẾU XỬ LÝ HỒ SƠ THANH TOÁN VƯỢT THẨM QUYỀN PD</v>
          </cell>
        </row>
      </sheetData>
      <sheetData sheetId="6866">
        <row r="1">
          <cell r="A1" t="str">
            <v>PHIẾU XỬ LÝ HỒ SƠ THANH TOÁN VƯỢT THẨM QUYỀN PD</v>
          </cell>
        </row>
      </sheetData>
      <sheetData sheetId="6867">
        <row r="1">
          <cell r="A1" t="str">
            <v>PHIẾU XỬ LÝ HỒ SƠ THANH TOÁN VƯỢT THẨM QUYỀN PD</v>
          </cell>
        </row>
      </sheetData>
      <sheetData sheetId="6868">
        <row r="1">
          <cell r="A1" t="str">
            <v>PHIẾU XỬ LÝ HỒ SƠ THANH TOÁN VƯỢT THẨM QUYỀN PD</v>
          </cell>
        </row>
      </sheetData>
      <sheetData sheetId="6869">
        <row r="1">
          <cell r="A1" t="str">
            <v>PHIẾU XỬ LÝ HỒ SƠ THANH TOÁN VƯỢT THẨM QUYỀN PD</v>
          </cell>
        </row>
      </sheetData>
      <sheetData sheetId="6870">
        <row r="1">
          <cell r="A1" t="str">
            <v>PHIẾU XỬ LÝ HỒ SƠ THANH TOÁN VƯỢT THẨM QUYỀN PD</v>
          </cell>
        </row>
      </sheetData>
      <sheetData sheetId="6871">
        <row r="1">
          <cell r="A1" t="str">
            <v>PHIẾU XỬ LÝ HỒ SƠ THANH TOÁN VƯỢT THẨM QUYỀN PD</v>
          </cell>
        </row>
      </sheetData>
      <sheetData sheetId="6872">
        <row r="1">
          <cell r="A1" t="str">
            <v>PHIẾU XỬ LÝ HỒ SƠ THANH TOÁN VƯỢT THẨM QUYỀN PD</v>
          </cell>
        </row>
      </sheetData>
      <sheetData sheetId="6873" refreshError="1"/>
      <sheetData sheetId="6874" refreshError="1"/>
      <sheetData sheetId="6875" refreshError="1"/>
      <sheetData sheetId="6876">
        <row r="1">
          <cell r="A1" t="str">
            <v>PHIẾU XỬ LÝ HỒ SƠ THANH TOÁN VƯỢT THẨM QUYỀN PD</v>
          </cell>
        </row>
      </sheetData>
      <sheetData sheetId="6877">
        <row r="1">
          <cell r="A1" t="str">
            <v>PHIẾU XỬ LÝ HỒ SƠ THANH TOÁN VƯỢT THẨM QUYỀN PD</v>
          </cell>
        </row>
      </sheetData>
      <sheetData sheetId="6878">
        <row r="1">
          <cell r="A1" t="str">
            <v>PHIẾU XỬ LÝ HỒ SƠ THANH TOÁN VƯỢT THẨM QUYỀN PD</v>
          </cell>
        </row>
      </sheetData>
      <sheetData sheetId="6879">
        <row r="1">
          <cell r="A1" t="str">
            <v>PHIẾU XỬ LÝ HỒ SƠ THANH TOÁN VƯỢT THẨM QUYỀN PD</v>
          </cell>
        </row>
      </sheetData>
      <sheetData sheetId="6880">
        <row r="1">
          <cell r="A1" t="str">
            <v>PHIẾU XỬ LÝ HỒ SƠ THANH TOÁN VƯỢT THẨM QUYỀN PD</v>
          </cell>
        </row>
      </sheetData>
      <sheetData sheetId="6881">
        <row r="1">
          <cell r="A1" t="str">
            <v>PHIẾU XỬ LÝ HỒ SƠ THANH TOÁN VƯỢT THẨM QUYỀN PD</v>
          </cell>
        </row>
      </sheetData>
      <sheetData sheetId="6882">
        <row r="1">
          <cell r="A1" t="str">
            <v>PHIẾU XỬ LÝ HỒ SƠ THANH TOÁN VƯỢT THẨM QUYỀN PD</v>
          </cell>
        </row>
      </sheetData>
      <sheetData sheetId="6883">
        <row r="1">
          <cell r="A1" t="str">
            <v>PHIẾU XỬ LÝ HỒ SƠ THANH TOÁN VƯỢT THẨM QUYỀN PD</v>
          </cell>
        </row>
      </sheetData>
      <sheetData sheetId="6884">
        <row r="1">
          <cell r="A1" t="str">
            <v>PHIẾU XỬ LÝ HỒ SƠ THANH TOÁN VƯỢT THẨM QUYỀN PD</v>
          </cell>
        </row>
      </sheetData>
      <sheetData sheetId="6885">
        <row r="1">
          <cell r="A1" t="str">
            <v>PHIẾU XỬ LÝ HỒ SƠ THANH TOÁN VƯỢT THẨM QUYỀN PD</v>
          </cell>
        </row>
      </sheetData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>
        <row r="1">
          <cell r="A1" t="str">
            <v>PHIẾU XỬ LÝ HỒ SƠ THANH TOÁN VƯỢT THẨM QUYỀN PD</v>
          </cell>
        </row>
      </sheetData>
      <sheetData sheetId="6903">
        <row r="1">
          <cell r="A1" t="str">
            <v>PHIẾU XỬ LÝ HỒ SƠ THANH TOÁN VƯỢT THẨM QUYỀN PD</v>
          </cell>
        </row>
      </sheetData>
      <sheetData sheetId="6904" refreshError="1"/>
      <sheetData sheetId="6905">
        <row r="1">
          <cell r="A1" t="str">
            <v>PHIẾU XỬ LÝ HỒ SƠ THANH TOÁN VƯỢT THẨM QUYỀN PD</v>
          </cell>
        </row>
      </sheetData>
      <sheetData sheetId="6906">
        <row r="1">
          <cell r="A1" t="str">
            <v>PHIẾU XỬ LÝ HỒ SƠ THANH TOÁN VƯỢT THẨM QUYỀN PD</v>
          </cell>
        </row>
      </sheetData>
      <sheetData sheetId="6907">
        <row r="1">
          <cell r="A1" t="str">
            <v>PHIẾU XỬ LÝ HỒ SƠ THANH TOÁN VƯỢT THẨM QUYỀN PD</v>
          </cell>
        </row>
      </sheetData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>
        <row r="1">
          <cell r="A1" t="str">
            <v>PHIẾU XỬ LÝ HỒ SƠ THANH TOÁN VƯỢT THẨM QUYỀN PD</v>
          </cell>
        </row>
      </sheetData>
      <sheetData sheetId="6914" refreshError="1"/>
      <sheetData sheetId="6915">
        <row r="1">
          <cell r="A1" t="str">
            <v>PHIẾU XỬ LÝ HỒ SƠ THANH TOÁN VƯỢT THẨM QUYỀN PD</v>
          </cell>
        </row>
      </sheetData>
      <sheetData sheetId="6916">
        <row r="1">
          <cell r="A1" t="str">
            <v>PHIẾU XỬ LÝ HỒ SƠ THANH TOÁN VƯỢT THẨM QUYỀN PD</v>
          </cell>
        </row>
      </sheetData>
      <sheetData sheetId="6917" refreshError="1"/>
      <sheetData sheetId="6918" refreshError="1"/>
      <sheetData sheetId="6919">
        <row r="1">
          <cell r="A1" t="str">
            <v>PHIẾU XỬ LÝ HỒ SƠ THANH TOÁN VƯỢT THẨM QUYỀN PD</v>
          </cell>
        </row>
      </sheetData>
      <sheetData sheetId="6920" refreshError="1"/>
      <sheetData sheetId="6921">
        <row r="1">
          <cell r="A1" t="str">
            <v>PHIẾU XỬ LÝ HỒ SƠ THANH TOÁN VƯỢT THẨM QUYỀN PD</v>
          </cell>
        </row>
      </sheetData>
      <sheetData sheetId="6922">
        <row r="1">
          <cell r="A1" t="str">
            <v>PHIẾU XỬ LÝ HỒ SƠ THANH TOÁN VƯỢT THẨM QUYỀN PD</v>
          </cell>
        </row>
      </sheetData>
      <sheetData sheetId="6923">
        <row r="1">
          <cell r="A1" t="str">
            <v>PHIẾU XỬ LÝ HỒ SƠ THANH TOÁN VƯỢT THẨM QUYỀN PD</v>
          </cell>
        </row>
      </sheetData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/>
      <sheetData sheetId="7156" refreshError="1"/>
      <sheetData sheetId="7157">
        <row r="1">
          <cell r="A1" t="str">
            <v>PHIẾU XỬ LÝ HỒ SƠ THANH TOÁN VƯỢT THẨM QUYỀN PD</v>
          </cell>
        </row>
      </sheetData>
      <sheetData sheetId="7158">
        <row r="1">
          <cell r="A1" t="str">
            <v>PHIẾU XỬ LÝ HỒ SƠ THANH TOÁN VƯỢT THẨM QUYỀN PD</v>
          </cell>
        </row>
      </sheetData>
      <sheetData sheetId="7159">
        <row r="1">
          <cell r="A1" t="str">
            <v>PHIẾU XỬ LÝ HỒ SƠ THANH TOÁN VƯỢT THẨM QUYỀN PD</v>
          </cell>
        </row>
      </sheetData>
      <sheetData sheetId="7160">
        <row r="1">
          <cell r="A1" t="str">
            <v>PHIẾU XỬ LÝ HỒ SƠ THANH TOÁN VƯỢT THẨM QUYỀN PD</v>
          </cell>
        </row>
      </sheetData>
      <sheetData sheetId="7161">
        <row r="1">
          <cell r="A1" t="str">
            <v>PHIẾU XỬ LÝ HỒ SƠ THANH TOÁN VƯỢT THẨM QUYỀN PD</v>
          </cell>
        </row>
      </sheetData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>
        <row r="1">
          <cell r="A1" t="str">
            <v>PHIẾU XỬ LÝ HỒ SƠ THANH TOÁN VƯỢT THẨM QUYỀN PD</v>
          </cell>
        </row>
      </sheetData>
      <sheetData sheetId="7169">
        <row r="1">
          <cell r="A1" t="str">
            <v>PHIẾU XỬ LÝ HỒ SƠ THANH TOÁN VƯỢT THẨM QUYỀN PD</v>
          </cell>
        </row>
      </sheetData>
      <sheetData sheetId="7170">
        <row r="1">
          <cell r="A1" t="str">
            <v>PHIẾU XỬ LÝ HỒ SƠ THANH TOÁN VƯỢT THẨM QUYỀN PD</v>
          </cell>
        </row>
      </sheetData>
      <sheetData sheetId="7171">
        <row r="1">
          <cell r="A1" t="str">
            <v>PHIẾU XỬ LÝ HỒ SƠ THANH TOÁN VƯỢT THẨM QUYỀN PD</v>
          </cell>
        </row>
      </sheetData>
      <sheetData sheetId="7172">
        <row r="1">
          <cell r="A1" t="str">
            <v>PHIẾU XỬ LÝ HỒ SƠ THANH TOÁN VƯỢT THẨM QUYỀN PD</v>
          </cell>
        </row>
      </sheetData>
      <sheetData sheetId="7173">
        <row r="1">
          <cell r="A1" t="str">
            <v>PHIẾU XỬ LÝ HỒ SƠ THANH TOÁN VƯỢT THẨM QUYỀN PD</v>
          </cell>
        </row>
      </sheetData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>
        <row r="1">
          <cell r="A1" t="str">
            <v>PHIẾU XỬ LÝ HỒ SƠ THANH TOÁN VƯỢT THẨM QUYỀN PD</v>
          </cell>
        </row>
      </sheetData>
      <sheetData sheetId="7182">
        <row r="1">
          <cell r="A1" t="str">
            <v>PHIẾU XỬ LÝ HỒ SƠ THANH TOÁN VƯỢT THẨM QUYỀN PD</v>
          </cell>
        </row>
      </sheetData>
      <sheetData sheetId="7183">
        <row r="1">
          <cell r="A1" t="str">
            <v>PHIẾU XỬ LÝ HỒ SƠ THANH TOÁN VƯỢT THẨM QUYỀN PD</v>
          </cell>
        </row>
      </sheetData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/>
      <sheetData sheetId="7210">
        <row r="1">
          <cell r="A1" t="str">
            <v>PHIẾU XỬ LÝ HỒ SƠ THANH TOÁN VƯỢT THẨM QUYỀN PD</v>
          </cell>
        </row>
      </sheetData>
      <sheetData sheetId="7211">
        <row r="1">
          <cell r="A1" t="str">
            <v>PHIẾU XỬ LÝ HỒ SƠ THANH TOÁN VƯỢT THẨM QUYỀN PD</v>
          </cell>
        </row>
      </sheetData>
      <sheetData sheetId="7212">
        <row r="1">
          <cell r="A1" t="str">
            <v>PHIẾU XỬ LÝ HỒ SƠ THANH TOÁN VƯỢT THẨM QUYỀN PD</v>
          </cell>
        </row>
      </sheetData>
      <sheetData sheetId="7213">
        <row r="1">
          <cell r="A1" t="str">
            <v>PHIẾU XỬ LÝ HỒ SƠ THANH TOÁN VƯỢT THẨM QUYỀN PD</v>
          </cell>
        </row>
      </sheetData>
      <sheetData sheetId="7214">
        <row r="1">
          <cell r="A1" t="str">
            <v>PHIẾU XỬ LÝ HỒ SƠ THANH TOÁN VƯỢT THẨM QUYỀN PD</v>
          </cell>
        </row>
      </sheetData>
      <sheetData sheetId="7215">
        <row r="1">
          <cell r="A1" t="str">
            <v>PHIẾU XỬ LÝ HỒ SƠ THANH TOÁN VƯỢT THẨM QUYỀN PD</v>
          </cell>
        </row>
      </sheetData>
      <sheetData sheetId="7216">
        <row r="1">
          <cell r="A1" t="str">
            <v>PHIẾU XỬ LÝ HỒ SƠ THANH TOÁN VƯỢT THẨM QUYỀN PD</v>
          </cell>
        </row>
      </sheetData>
      <sheetData sheetId="7217">
        <row r="1">
          <cell r="A1" t="str">
            <v>PHIẾU XỬ LÝ HỒ SƠ THANH TOÁN VƯỢT THẨM QUYỀN PD</v>
          </cell>
        </row>
      </sheetData>
      <sheetData sheetId="7218">
        <row r="1">
          <cell r="A1" t="str">
            <v>PHIẾU XỬ LÝ HỒ SƠ THANH TOÁN VƯỢT THẨM QUYỀN PD</v>
          </cell>
        </row>
      </sheetData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/>
      <sheetData sheetId="7226"/>
      <sheetData sheetId="7227"/>
      <sheetData sheetId="7228"/>
      <sheetData sheetId="7229"/>
      <sheetData sheetId="7230">
        <row r="1">
          <cell r="A1" t="str">
            <v>PHIẾU XỬ LÝ HỒ SƠ THANH TOÁN VƯỢT THẨM QUYỀN PD</v>
          </cell>
        </row>
      </sheetData>
      <sheetData sheetId="7231">
        <row r="1">
          <cell r="A1" t="str">
            <v>PHIẾU XỬ LÝ HỒ SƠ THANH TOÁN VƯỢT THẨM QUYỀN PD</v>
          </cell>
        </row>
      </sheetData>
      <sheetData sheetId="7232">
        <row r="1">
          <cell r="A1" t="str">
            <v>PHIẾU XỬ LÝ HỒ SƠ THANH TOÁN VƯỢT THẨM QUYỀN PD</v>
          </cell>
        </row>
      </sheetData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>
        <row r="1">
          <cell r="A1" t="str">
            <v>PHIẾU XỬ LÝ HỒ SƠ THANH TOÁN VƯỢT THẨM QUYỀN PD</v>
          </cell>
        </row>
      </sheetData>
      <sheetData sheetId="7242" refreshError="1"/>
      <sheetData sheetId="7243" refreshError="1"/>
      <sheetData sheetId="7244">
        <row r="1">
          <cell r="A1" t="str">
            <v>PHIẾU XỬ LÝ HỒ SƠ THANH TOÁN VƯỢT THẨM QUYỀN PD</v>
          </cell>
        </row>
      </sheetData>
      <sheetData sheetId="7245">
        <row r="1">
          <cell r="A1" t="str">
            <v>PHIẾU XỬ LÝ HỒ SƠ THANH TOÁN VƯỢT THẨM QUYỀN PD</v>
          </cell>
        </row>
      </sheetData>
      <sheetData sheetId="7246">
        <row r="1">
          <cell r="A1" t="str">
            <v>PHIẾU XỬ LÝ HỒ SƠ THANH TOÁN VƯỢT THẨM QUYỀN PD</v>
          </cell>
        </row>
      </sheetData>
      <sheetData sheetId="7247">
        <row r="1">
          <cell r="A1" t="str">
            <v>PHIẾU XỬ LÝ HỒ SƠ THANH TOÁN VƯỢT THẨM QUYỀN PD</v>
          </cell>
        </row>
      </sheetData>
      <sheetData sheetId="7248">
        <row r="1">
          <cell r="A1" t="str">
            <v>PHIẾU XỬ LÝ HỒ SƠ THANH TOÁN VƯỢT THẨM QUYỀN PD</v>
          </cell>
        </row>
      </sheetData>
      <sheetData sheetId="7249">
        <row r="1">
          <cell r="A1" t="str">
            <v>PHIẾU XỬ LÝ HỒ SƠ THANH TOÁN VƯỢT THẨM QUYỀN PD</v>
          </cell>
        </row>
      </sheetData>
      <sheetData sheetId="7250">
        <row r="1">
          <cell r="A1" t="str">
            <v>PHIẾU XỬ LÝ HỒ SƠ THANH TOÁN VƯỢT THẨM QUYỀN PD</v>
          </cell>
        </row>
      </sheetData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>
        <row r="1">
          <cell r="A1" t="str">
            <v>PHIẾU XỬ LÝ HỒ SƠ THANH TOÁN VƯỢT THẨM QUYỀN PD</v>
          </cell>
        </row>
      </sheetData>
      <sheetData sheetId="7305">
        <row r="1">
          <cell r="A1" t="str">
            <v>PHIẾU XỬ LÝ HỒ SƠ THANH TOÁN VƯỢT THẨM QUYỀN PD</v>
          </cell>
        </row>
      </sheetData>
      <sheetData sheetId="7306">
        <row r="1">
          <cell r="A1" t="str">
            <v>PHIẾU XỬ LÝ HỒ SƠ THANH TOÁN VƯỢT THẨM QUYỀN PD</v>
          </cell>
        </row>
      </sheetData>
      <sheetData sheetId="7307">
        <row r="1">
          <cell r="A1" t="str">
            <v>PHIẾU XỬ LÝ HỒ SƠ THANH TOÁN VƯỢT THẨM QUYỀN PD</v>
          </cell>
        </row>
      </sheetData>
      <sheetData sheetId="7308">
        <row r="1">
          <cell r="A1" t="str">
            <v>PHIẾU XỬ LÝ HỒ SƠ THANH TOÁN VƯỢT THẨM QUYỀN PD</v>
          </cell>
        </row>
      </sheetData>
      <sheetData sheetId="7309">
        <row r="1">
          <cell r="A1" t="str">
            <v>PHIẾU XỬ LÝ HỒ SƠ THANH TOÁN VƯỢT THẨM QUYỀN PD</v>
          </cell>
        </row>
      </sheetData>
      <sheetData sheetId="7310">
        <row r="1">
          <cell r="A1" t="str">
            <v>PHIẾU XỬ LÝ HỒ SƠ THANH TOÁN VƯỢT THẨM QUYỀN PD</v>
          </cell>
        </row>
      </sheetData>
      <sheetData sheetId="7311">
        <row r="1">
          <cell r="A1" t="str">
            <v>PHIẾU XỬ LÝ HỒ SƠ THANH TOÁN VƯỢT THẨM QUYỀN PD</v>
          </cell>
        </row>
      </sheetData>
      <sheetData sheetId="7312">
        <row r="1">
          <cell r="A1" t="str">
            <v>PHIẾU XỬ LÝ HỒ SƠ THANH TOÁN VƯỢT THẨM QUYỀN PD</v>
          </cell>
        </row>
      </sheetData>
      <sheetData sheetId="7313">
        <row r="1">
          <cell r="A1" t="str">
            <v>PHIẾU XỬ LÝ HỒ SƠ THANH TOÁN VƯỢT THẨM QUYỀN PD</v>
          </cell>
        </row>
      </sheetData>
      <sheetData sheetId="7314">
        <row r="1">
          <cell r="A1" t="str">
            <v>PHIẾU XỬ LÝ HỒ SƠ THANH TOÁN VƯỢT THẨM QUYỀN PD</v>
          </cell>
        </row>
      </sheetData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>
        <row r="1">
          <cell r="A1" t="str">
            <v>PHIẾU XỬ LÝ HỒ SƠ THANH TOÁN VƯỢT THẨM QUYỀN PD</v>
          </cell>
        </row>
      </sheetData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>
        <row r="1">
          <cell r="A1" t="str">
            <v>PHIẾU XỬ LÝ HỒ SƠ THANH TOÁN VƯỢT THẨM QUYỀN PD</v>
          </cell>
        </row>
      </sheetData>
      <sheetData sheetId="7336">
        <row r="1">
          <cell r="A1" t="str">
            <v>PHIẾU XỬ LÝ HỒ SƠ THANH TOÁN VƯỢT THẨM QUYỀN PD</v>
          </cell>
        </row>
      </sheetData>
      <sheetData sheetId="7337">
        <row r="1">
          <cell r="A1" t="str">
            <v>PHIẾU XỬ LÝ HỒ SƠ THANH TOÁN VƯỢT THẨM QUYỀN PD</v>
          </cell>
        </row>
      </sheetData>
      <sheetData sheetId="7338">
        <row r="1">
          <cell r="A1" t="str">
            <v>PHIẾU XỬ LÝ HỒ SƠ THANH TOÁN VƯỢT THẨM QUYỀN PD</v>
          </cell>
        </row>
      </sheetData>
      <sheetData sheetId="7339">
        <row r="1">
          <cell r="A1" t="str">
            <v>PHIẾU XỬ LÝ HỒ SƠ THANH TOÁN VƯỢT THẨM QUYỀN PD</v>
          </cell>
        </row>
      </sheetData>
      <sheetData sheetId="7340">
        <row r="1">
          <cell r="A1" t="str">
            <v>PHIẾU XỬ LÝ HỒ SƠ THANH TOÁN VƯỢT THẨM QUYỀN PD</v>
          </cell>
        </row>
      </sheetData>
      <sheetData sheetId="7341">
        <row r="1">
          <cell r="A1" t="str">
            <v>PHIẾU XỬ LÝ HỒ SƠ THANH TOÁN VƯỢT THẨM QUYỀN PD</v>
          </cell>
        </row>
      </sheetData>
      <sheetData sheetId="7342">
        <row r="1">
          <cell r="A1" t="str">
            <v>PHIẾU XỬ LÝ HỒ SƠ THANH TOÁN VƯỢT THẨM QUYỀN PD</v>
          </cell>
        </row>
      </sheetData>
      <sheetData sheetId="7343">
        <row r="1">
          <cell r="A1" t="str">
            <v>PHIẾU XỬ LÝ HỒ SƠ THANH TOÁN VƯỢT THẨM QUYỀN PD</v>
          </cell>
        </row>
      </sheetData>
      <sheetData sheetId="7344">
        <row r="1">
          <cell r="A1" t="str">
            <v>PHIẾU XỬ LÝ HỒ SƠ THANH TOÁN VƯỢT THẨM QUYỀN PD</v>
          </cell>
        </row>
      </sheetData>
      <sheetData sheetId="7345">
        <row r="1">
          <cell r="A1" t="str">
            <v>PHIẾU XỬ LÝ HỒ SƠ THANH TOÁN VƯỢT THẨM QUYỀN PD</v>
          </cell>
        </row>
      </sheetData>
      <sheetData sheetId="7346">
        <row r="1">
          <cell r="A1" t="str">
            <v>PHIẾU XỬ LÝ HỒ SƠ THANH TOÁN VƯỢT THẨM QUYỀN PD</v>
          </cell>
        </row>
      </sheetData>
      <sheetData sheetId="7347">
        <row r="1">
          <cell r="A1" t="str">
            <v>PHIẾU XỬ LÝ HỒ SƠ THANH TOÁN VƯỢT THẨM QUYỀN PD</v>
          </cell>
        </row>
      </sheetData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>
        <row r="1">
          <cell r="A1" t="str">
            <v>PHIẾU XỬ LÝ HỒ SƠ THANH TOÁN VƯỢT THẨM QUYỀN PD</v>
          </cell>
        </row>
      </sheetData>
      <sheetData sheetId="7354">
        <row r="1">
          <cell r="A1" t="str">
            <v>PHIẾU XỬ LÝ HỒ SƠ THANH TOÁN VƯỢT THẨM QUYỀN PD</v>
          </cell>
        </row>
      </sheetData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>
        <row r="1">
          <cell r="A1" t="str">
            <v>PHIẾU XỬ LÝ HỒ SƠ THANH TOÁN VƯỢT THẨM QUYỀN PD</v>
          </cell>
        </row>
      </sheetData>
      <sheetData sheetId="7365">
        <row r="1">
          <cell r="A1" t="str">
            <v>PHIẾU XỬ LÝ HỒ SƠ THANH TOÁN VƯỢT THẨM QUYỀN PD</v>
          </cell>
        </row>
      </sheetData>
      <sheetData sheetId="7366">
        <row r="1">
          <cell r="A1" t="str">
            <v>PHIẾU XỬ LÝ HỒ SƠ THANH TOÁN VƯỢT THẨM QUYỀN PD</v>
          </cell>
        </row>
      </sheetData>
      <sheetData sheetId="7367">
        <row r="1">
          <cell r="A1" t="str">
            <v>PHIẾU XỬ LÝ HỒ SƠ THANH TOÁN VƯỢT THẨM QUYỀN PD</v>
          </cell>
        </row>
      </sheetData>
      <sheetData sheetId="7368">
        <row r="1">
          <cell r="A1" t="str">
            <v>PHIẾU XỬ LÝ HỒ SƠ THANH TOÁN VƯỢT THẨM QUYỀN PD</v>
          </cell>
        </row>
      </sheetData>
      <sheetData sheetId="7369">
        <row r="1">
          <cell r="A1" t="str">
            <v>PHIẾU XỬ LÝ HỒ SƠ THANH TOÁN VƯỢT THẨM QUYỀN PD</v>
          </cell>
        </row>
      </sheetData>
      <sheetData sheetId="7370">
        <row r="1">
          <cell r="A1" t="str">
            <v>PHIẾU XỬ LÝ HỒ SƠ THANH TOÁN VƯỢT THẨM QUYỀN PD</v>
          </cell>
        </row>
      </sheetData>
      <sheetData sheetId="7371">
        <row r="1">
          <cell r="A1" t="str">
            <v>PHIẾU XỬ LÝ HỒ SƠ THANH TOÁN VƯỢT THẨM QUYỀN PD</v>
          </cell>
        </row>
      </sheetData>
      <sheetData sheetId="7372">
        <row r="1">
          <cell r="A1" t="str">
            <v>PHIẾU XỬ LÝ HỒ SƠ THANH TOÁN VƯỢT THẨM QUYỀN PD</v>
          </cell>
        </row>
      </sheetData>
      <sheetData sheetId="7373">
        <row r="1">
          <cell r="A1" t="str">
            <v>PHIẾU XỬ LÝ HỒ SƠ THANH TOÁN VƯỢT THẨM QUYỀN PD</v>
          </cell>
        </row>
      </sheetData>
      <sheetData sheetId="7374">
        <row r="1">
          <cell r="A1" t="str">
            <v>PHIẾU XỬ LÝ HỒ SƠ THANH TOÁN VƯỢT THẨM QUYỀN PD</v>
          </cell>
        </row>
      </sheetData>
      <sheetData sheetId="7375">
        <row r="1">
          <cell r="A1" t="str">
            <v>PHIẾU XỬ LÝ HỒ SƠ THANH TOÁN VƯỢT THẨM QUYỀN PD</v>
          </cell>
        </row>
      </sheetData>
      <sheetData sheetId="7376">
        <row r="1">
          <cell r="A1" t="str">
            <v>PHIẾU XỬ LÝ HỒ SƠ THANH TOÁN VƯỢT THẨM QUYỀN PD</v>
          </cell>
        </row>
      </sheetData>
      <sheetData sheetId="7377">
        <row r="1">
          <cell r="A1" t="str">
            <v>PHIẾU XỬ LÝ HỒ SƠ THANH TOÁN VƯỢT THẨM QUYỀN PD</v>
          </cell>
        </row>
      </sheetData>
      <sheetData sheetId="7378">
        <row r="1">
          <cell r="A1" t="str">
            <v>PHIẾU XỬ LÝ HỒ SƠ THANH TOÁN VƯỢT THẨM QUYỀN PD</v>
          </cell>
        </row>
      </sheetData>
      <sheetData sheetId="7379">
        <row r="1">
          <cell r="A1" t="str">
            <v>PHIẾU XỬ LÝ HỒ SƠ THANH TOÁN VƯỢT THẨM QUYỀN PD</v>
          </cell>
        </row>
      </sheetData>
      <sheetData sheetId="7380">
        <row r="1">
          <cell r="A1" t="str">
            <v>PHIẾU XỬ LÝ HỒ SƠ THANH TOÁN VƯỢT THẨM QUYỀN PD</v>
          </cell>
        </row>
      </sheetData>
      <sheetData sheetId="7381">
        <row r="1">
          <cell r="A1" t="str">
            <v>PHIẾU XỬ LÝ HỒ SƠ THANH TOÁN VƯỢT THẨM QUYỀN PD</v>
          </cell>
        </row>
      </sheetData>
      <sheetData sheetId="7382">
        <row r="1">
          <cell r="A1" t="str">
            <v>PHIẾU XỬ LÝ HỒ SƠ THANH TOÁN VƯỢT THẨM QUYỀN PD</v>
          </cell>
        </row>
      </sheetData>
      <sheetData sheetId="7383">
        <row r="1">
          <cell r="A1" t="str">
            <v>PHIẾU XỬ LÝ HỒ SƠ THANH TOÁN VƯỢT THẨM QUYỀN PD</v>
          </cell>
        </row>
      </sheetData>
      <sheetData sheetId="7384">
        <row r="1">
          <cell r="A1" t="str">
            <v>PHIẾU XỬ LÝ HỒ SƠ THANH TOÁN VƯỢT THẨM QUYỀN PD</v>
          </cell>
        </row>
      </sheetData>
      <sheetData sheetId="7385">
        <row r="1">
          <cell r="A1" t="str">
            <v>PHIẾU XỬ LÝ HỒ SƠ THANH TOÁN VƯỢT THẨM QUYỀN PD</v>
          </cell>
        </row>
      </sheetData>
      <sheetData sheetId="7386">
        <row r="1">
          <cell r="A1" t="str">
            <v>PHIẾU XỬ LÝ HỒ SƠ THANH TOÁN VƯỢT THẨM QUYỀN PD</v>
          </cell>
        </row>
      </sheetData>
      <sheetData sheetId="7387">
        <row r="1">
          <cell r="A1" t="str">
            <v>PHIẾU XỬ LÝ HỒ SƠ THANH TOÁN VƯỢT THẨM QUYỀN PD</v>
          </cell>
        </row>
      </sheetData>
      <sheetData sheetId="7388">
        <row r="1">
          <cell r="A1" t="str">
            <v>PHIẾU XỬ LÝ HỒ SƠ THANH TOÁN VƯỢT THẨM QUYỀN PD</v>
          </cell>
        </row>
      </sheetData>
      <sheetData sheetId="7389">
        <row r="1">
          <cell r="A1" t="str">
            <v>PHIẾU XỬ LÝ HỒ SƠ THANH TOÁN VƯỢT THẨM QUYỀN PD</v>
          </cell>
        </row>
      </sheetData>
      <sheetData sheetId="7390">
        <row r="1">
          <cell r="A1" t="str">
            <v>PHIẾU XỬ LÝ HỒ SƠ THANH TOÁN VƯỢT THẨM QUYỀN PD</v>
          </cell>
        </row>
      </sheetData>
      <sheetData sheetId="7391">
        <row r="1">
          <cell r="A1" t="str">
            <v>PHIẾU XỬ LÝ HỒ SƠ THANH TOÁN VƯỢT THẨM QUYỀN PD</v>
          </cell>
        </row>
      </sheetData>
      <sheetData sheetId="7392">
        <row r="1">
          <cell r="A1" t="str">
            <v>PHIẾU XỬ LÝ HỒ SƠ THANH TOÁN VƯỢT THẨM QUYỀN PD</v>
          </cell>
        </row>
      </sheetData>
      <sheetData sheetId="7393">
        <row r="1">
          <cell r="A1" t="str">
            <v>PHIẾU XỬ LÝ HỒ SƠ THANH TOÁN VƯỢT THẨM QUYỀN PD</v>
          </cell>
        </row>
      </sheetData>
      <sheetData sheetId="7394">
        <row r="1">
          <cell r="A1" t="str">
            <v>PHIẾU XỬ LÝ HỒ SƠ THANH TOÁN VƯỢT THẨM QUYỀN PD</v>
          </cell>
        </row>
      </sheetData>
      <sheetData sheetId="7395">
        <row r="1">
          <cell r="A1" t="str">
            <v>PHIẾU XỬ LÝ HỒ SƠ THANH TOÁN VƯỢT THẨM QUYỀN PD</v>
          </cell>
        </row>
      </sheetData>
      <sheetData sheetId="7396">
        <row r="1">
          <cell r="A1" t="str">
            <v>PHIẾU XỬ LÝ HỒ SƠ THANH TOÁN VƯỢT THẨM QUYỀN PD</v>
          </cell>
        </row>
      </sheetData>
      <sheetData sheetId="7397">
        <row r="1">
          <cell r="A1" t="str">
            <v>PHIẾU XỬ LÝ HỒ SƠ THANH TOÁN VƯỢT THẨM QUYỀN PD</v>
          </cell>
        </row>
      </sheetData>
      <sheetData sheetId="7398">
        <row r="1">
          <cell r="A1" t="str">
            <v>PHIẾU XỬ LÝ HỒ SƠ THANH TOÁN VƯỢT THẨM QUYỀN PD</v>
          </cell>
        </row>
      </sheetData>
      <sheetData sheetId="7399">
        <row r="1">
          <cell r="A1" t="str">
            <v>PHIẾU XỬ LÝ HỒ SƠ THANH TOÁN VƯỢT THẨM QUYỀN PD</v>
          </cell>
        </row>
      </sheetData>
      <sheetData sheetId="7400">
        <row r="1">
          <cell r="A1" t="str">
            <v>PHIẾU XỬ LÝ HỒ SƠ THANH TOÁN VƯỢT THẨM QUYỀN PD</v>
          </cell>
        </row>
      </sheetData>
      <sheetData sheetId="7401">
        <row r="1">
          <cell r="A1" t="str">
            <v>PHIẾU XỬ LÝ HỒ SƠ THANH TOÁN VƯỢT THẨM QUYỀN PD</v>
          </cell>
        </row>
      </sheetData>
      <sheetData sheetId="7402">
        <row r="1">
          <cell r="A1" t="str">
            <v>PHIẾU XỬ LÝ HỒ SƠ THANH TOÁN VƯỢT THẨM QUYỀN PD</v>
          </cell>
        </row>
      </sheetData>
      <sheetData sheetId="7403">
        <row r="1">
          <cell r="A1" t="str">
            <v>PHIẾU XỬ LÝ HỒ SƠ THANH TOÁN VƯỢT THẨM QUYỀN PD</v>
          </cell>
        </row>
      </sheetData>
      <sheetData sheetId="7404">
        <row r="1">
          <cell r="A1" t="str">
            <v>PHIẾU XỬ LÝ HỒ SƠ THANH TOÁN VƯỢT THẨM QUYỀN PD</v>
          </cell>
        </row>
      </sheetData>
      <sheetData sheetId="7405">
        <row r="1">
          <cell r="A1" t="str">
            <v>PHIẾU XỬ LÝ HỒ SƠ THANH TOÁN VƯỢT THẨM QUYỀN PD</v>
          </cell>
        </row>
      </sheetData>
      <sheetData sheetId="7406">
        <row r="1">
          <cell r="A1" t="str">
            <v>PHIẾU XỬ LÝ HỒ SƠ THANH TOÁN VƯỢT THẨM QUYỀN PD</v>
          </cell>
        </row>
      </sheetData>
      <sheetData sheetId="7407">
        <row r="1">
          <cell r="A1" t="str">
            <v>PHIẾU XỬ LÝ HỒ SƠ THANH TOÁN VƯỢT THẨM QUYỀN PD</v>
          </cell>
        </row>
      </sheetData>
      <sheetData sheetId="7408" refreshError="1"/>
      <sheetData sheetId="7409" refreshError="1"/>
      <sheetData sheetId="7410">
        <row r="1">
          <cell r="A1" t="str">
            <v>PHIẾU XỬ LÝ HỒ SƠ THANH TOÁN VƯỢT THẨM QUYỀN PD</v>
          </cell>
        </row>
      </sheetData>
      <sheetData sheetId="7411">
        <row r="1">
          <cell r="A1" t="str">
            <v>PHIẾU XỬ LÝ HỒ SƠ THANH TOÁN VƯỢT THẨM QUYỀN PD</v>
          </cell>
        </row>
      </sheetData>
      <sheetData sheetId="7412">
        <row r="1">
          <cell r="A1" t="str">
            <v>PHIẾU XỬ LÝ HỒ SƠ THANH TOÁN VƯỢT THẨM QUYỀN PD</v>
          </cell>
        </row>
      </sheetData>
      <sheetData sheetId="7413">
        <row r="1">
          <cell r="A1" t="str">
            <v>PHIẾU XỬ LÝ HỒ SƠ THANH TOÁN VƯỢT THẨM QUYỀN PD</v>
          </cell>
        </row>
      </sheetData>
      <sheetData sheetId="7414">
        <row r="1">
          <cell r="A1" t="str">
            <v>PHIẾU XỬ LÝ HỒ SƠ THANH TOÁN VƯỢT THẨM QUYỀN PD</v>
          </cell>
        </row>
      </sheetData>
      <sheetData sheetId="7415">
        <row r="1">
          <cell r="A1" t="str">
            <v>PHIẾU XỬ LÝ HỒ SƠ THANH TOÁN VƯỢT THẨM QUYỀN PD</v>
          </cell>
        </row>
      </sheetData>
      <sheetData sheetId="7416">
        <row r="1">
          <cell r="A1" t="str">
            <v>PHIẾU XỬ LÝ HỒ SƠ THANH TOÁN VƯỢT THẨM QUYỀN PD</v>
          </cell>
        </row>
      </sheetData>
      <sheetData sheetId="7417">
        <row r="1">
          <cell r="A1" t="str">
            <v>PHIẾU XỬ LÝ HỒ SƠ THANH TOÁN VƯỢT THẨM QUYỀN PD</v>
          </cell>
        </row>
      </sheetData>
      <sheetData sheetId="7418">
        <row r="1">
          <cell r="A1" t="str">
            <v>PHIẾU XỬ LÝ HỒ SƠ THANH TOÁN VƯỢT THẨM QUYỀN PD</v>
          </cell>
        </row>
      </sheetData>
      <sheetData sheetId="7419">
        <row r="1">
          <cell r="A1" t="str">
            <v>PHIẾU XỬ LÝ HỒ SƠ THANH TOÁN VƯỢT THẨM QUYỀN PD</v>
          </cell>
        </row>
      </sheetData>
      <sheetData sheetId="7420">
        <row r="1">
          <cell r="A1" t="str">
            <v>PHIẾU XỬ LÝ HỒ SƠ THANH TOÁN VƯỢT THẨM QUYỀN PD</v>
          </cell>
        </row>
      </sheetData>
      <sheetData sheetId="7421">
        <row r="1">
          <cell r="A1" t="str">
            <v>PHIẾU XỬ LÝ HỒ SƠ THANH TOÁN VƯỢT THẨM QUYỀN PD</v>
          </cell>
        </row>
      </sheetData>
      <sheetData sheetId="7422">
        <row r="1">
          <cell r="A1" t="str">
            <v>PHIẾU XỬ LÝ HỒ SƠ THANH TOÁN VƯỢT THẨM QUYỀN PD</v>
          </cell>
        </row>
      </sheetData>
      <sheetData sheetId="7423">
        <row r="1">
          <cell r="A1" t="str">
            <v>PHIẾU XỬ LÝ HỒ SƠ THANH TOÁN VƯỢT THẨM QUYỀN PD</v>
          </cell>
        </row>
      </sheetData>
      <sheetData sheetId="7424">
        <row r="1">
          <cell r="A1" t="str">
            <v>PHIẾU XỬ LÝ HỒ SƠ THANH TOÁN VƯỢT THẨM QUYỀN PD</v>
          </cell>
        </row>
      </sheetData>
      <sheetData sheetId="7425">
        <row r="1">
          <cell r="A1" t="str">
            <v>PHIẾU XỬ LÝ HỒ SƠ THANH TOÁN VƯỢT THẨM QUYỀN PD</v>
          </cell>
        </row>
      </sheetData>
      <sheetData sheetId="7426">
        <row r="1">
          <cell r="A1" t="str">
            <v>PHIẾU XỬ LÝ HỒ SƠ THANH TOÁN VƯỢT THẨM QUYỀN PD</v>
          </cell>
        </row>
      </sheetData>
      <sheetData sheetId="7427">
        <row r="1">
          <cell r="A1" t="str">
            <v>PHIẾU XỬ LÝ HỒ SƠ THANH TOÁN VƯỢT THẨM QUYỀN PD</v>
          </cell>
        </row>
      </sheetData>
      <sheetData sheetId="7428">
        <row r="1">
          <cell r="A1" t="str">
            <v>PHIẾU XỬ LÝ HỒ SƠ THANH TOÁN VƯỢT THẨM QUYỀN PD</v>
          </cell>
        </row>
      </sheetData>
      <sheetData sheetId="7429">
        <row r="1">
          <cell r="A1" t="str">
            <v>PHIẾU XỬ LÝ HỒ SƠ THANH TOÁN VƯỢT THẨM QUYỀN PD</v>
          </cell>
        </row>
      </sheetData>
      <sheetData sheetId="7430">
        <row r="1">
          <cell r="A1" t="str">
            <v>PHIẾU XỬ LÝ HỒ SƠ THANH TOÁN VƯỢT THẨM QUYỀN PD</v>
          </cell>
        </row>
      </sheetData>
      <sheetData sheetId="7431">
        <row r="1">
          <cell r="A1" t="str">
            <v>PHIẾU XỬ LÝ HỒ SƠ THANH TOÁN VƯỢT THẨM QUYỀN PD</v>
          </cell>
        </row>
      </sheetData>
      <sheetData sheetId="7432">
        <row r="1">
          <cell r="A1" t="str">
            <v>PHIẾU XỬ LÝ HỒ SƠ THANH TOÁN VƯỢT THẨM QUYỀN PD</v>
          </cell>
        </row>
      </sheetData>
      <sheetData sheetId="7433">
        <row r="1">
          <cell r="A1" t="str">
            <v>PHIẾU XỬ LÝ HỒ SƠ THANH TOÁN VƯỢT THẨM QUYỀN PD</v>
          </cell>
        </row>
      </sheetData>
      <sheetData sheetId="7434">
        <row r="1">
          <cell r="A1" t="str">
            <v>PHIẾU XỬ LÝ HỒ SƠ THANH TOÁN VƯỢT THẨM QUYỀN PD</v>
          </cell>
        </row>
      </sheetData>
      <sheetData sheetId="7435">
        <row r="1">
          <cell r="A1" t="str">
            <v>PHIẾU XỬ LÝ HỒ SƠ THANH TOÁN VƯỢT THẨM QUYỀN PD</v>
          </cell>
        </row>
      </sheetData>
      <sheetData sheetId="7436">
        <row r="1">
          <cell r="A1" t="str">
            <v>PHIẾU XỬ LÝ HỒ SƠ THANH TOÁN VƯỢT THẨM QUYỀN PD</v>
          </cell>
        </row>
      </sheetData>
      <sheetData sheetId="7437">
        <row r="1">
          <cell r="A1" t="str">
            <v>PHIẾU XỬ LÝ HỒ SƠ THANH TOÁN VƯỢT THẨM QUYỀN PD</v>
          </cell>
        </row>
      </sheetData>
      <sheetData sheetId="7438">
        <row r="1">
          <cell r="A1" t="str">
            <v>PHIẾU XỬ LÝ HỒ SƠ THANH TOÁN VƯỢT THẨM QUYỀN PD</v>
          </cell>
        </row>
      </sheetData>
      <sheetData sheetId="7439">
        <row r="1">
          <cell r="A1" t="str">
            <v>PHIẾU XỬ LÝ HỒ SƠ THANH TOÁN VƯỢT THẨM QUYỀN PD</v>
          </cell>
        </row>
      </sheetData>
      <sheetData sheetId="7440">
        <row r="1">
          <cell r="A1" t="str">
            <v>PHIẾU XỬ LÝ HỒ SƠ THANH TOÁN VƯỢT THẨM QUYỀN PD</v>
          </cell>
        </row>
      </sheetData>
      <sheetData sheetId="7441">
        <row r="1">
          <cell r="A1" t="str">
            <v>PHIẾU XỬ LÝ HỒ SƠ THANH TOÁN VƯỢT THẨM QUYỀN PD</v>
          </cell>
        </row>
      </sheetData>
      <sheetData sheetId="7442">
        <row r="1">
          <cell r="A1" t="str">
            <v>PHIẾU XỬ LÝ HỒ SƠ THANH TOÁN VƯỢT THẨM QUYỀN PD</v>
          </cell>
        </row>
      </sheetData>
      <sheetData sheetId="7443">
        <row r="1">
          <cell r="A1" t="str">
            <v>PHIẾU XỬ LÝ HỒ SƠ THANH TOÁN VƯỢT THẨM QUYỀN PD</v>
          </cell>
        </row>
      </sheetData>
      <sheetData sheetId="7444">
        <row r="1">
          <cell r="A1" t="str">
            <v>PHIẾU XỬ LÝ HỒ SƠ THANH TOÁN VƯỢT THẨM QUYỀN PD</v>
          </cell>
        </row>
      </sheetData>
      <sheetData sheetId="7445">
        <row r="1">
          <cell r="A1" t="str">
            <v>PHIẾU XỬ LÝ HỒ SƠ THANH TOÁN VƯỢT THẨM QUYỀN PD</v>
          </cell>
        </row>
      </sheetData>
      <sheetData sheetId="7446">
        <row r="1">
          <cell r="A1" t="str">
            <v>PHIẾU XỬ LÝ HỒ SƠ THANH TOÁN VƯỢT THẨM QUYỀN PD</v>
          </cell>
        </row>
      </sheetData>
      <sheetData sheetId="7447">
        <row r="1">
          <cell r="A1" t="str">
            <v>PHIẾU XỬ LÝ HỒ SƠ THANH TOÁN VƯỢT THẨM QUYỀN PD</v>
          </cell>
        </row>
      </sheetData>
      <sheetData sheetId="7448">
        <row r="1">
          <cell r="A1" t="str">
            <v>PHIẾU XỬ LÝ HỒ SƠ THANH TOÁN VƯỢT THẨM QUYỀN PD</v>
          </cell>
        </row>
      </sheetData>
      <sheetData sheetId="7449">
        <row r="1">
          <cell r="A1" t="str">
            <v>PHIẾU XỬ LÝ HỒ SƠ THANH TOÁN VƯỢT THẨM QUYỀN PD</v>
          </cell>
        </row>
      </sheetData>
      <sheetData sheetId="7450">
        <row r="1">
          <cell r="A1" t="str">
            <v>PHIẾU XỬ LÝ HỒ SƠ THANH TOÁN VƯỢT THẨM QUYỀN PD</v>
          </cell>
        </row>
      </sheetData>
      <sheetData sheetId="7451">
        <row r="1">
          <cell r="A1" t="str">
            <v>PHIẾU XỬ LÝ HỒ SƠ THANH TOÁN VƯỢT THẨM QUYỀN PD</v>
          </cell>
        </row>
      </sheetData>
      <sheetData sheetId="7452">
        <row r="1">
          <cell r="A1" t="str">
            <v>PHIẾU XỬ LÝ HỒ SƠ THANH TOÁN VƯỢT THẨM QUYỀN PD</v>
          </cell>
        </row>
      </sheetData>
      <sheetData sheetId="7453">
        <row r="1">
          <cell r="A1" t="str">
            <v>PHIẾU XỬ LÝ HỒ SƠ THANH TOÁN VƯỢT THẨM QUYỀN PD</v>
          </cell>
        </row>
      </sheetData>
      <sheetData sheetId="7454">
        <row r="1">
          <cell r="A1" t="str">
            <v>PHIẾU XỬ LÝ HỒ SƠ THANH TOÁN VƯỢT THẨM QUYỀN PD</v>
          </cell>
        </row>
      </sheetData>
      <sheetData sheetId="7455">
        <row r="1">
          <cell r="A1" t="str">
            <v>PHIẾU XỬ LÝ HỒ SƠ THANH TOÁN VƯỢT THẨM QUYỀN PD</v>
          </cell>
        </row>
      </sheetData>
      <sheetData sheetId="7456">
        <row r="1">
          <cell r="A1" t="str">
            <v>PHIẾU XỬ LÝ HỒ SƠ THANH TOÁN VƯỢT THẨM QUYỀN PD</v>
          </cell>
        </row>
      </sheetData>
      <sheetData sheetId="7457">
        <row r="1">
          <cell r="A1" t="str">
            <v>PHIẾU XỬ LÝ HỒ SƠ THANH TOÁN VƯỢT THẨM QUYỀN PD</v>
          </cell>
        </row>
      </sheetData>
      <sheetData sheetId="7458">
        <row r="1">
          <cell r="A1" t="str">
            <v>PHIẾU XỬ LÝ HỒ SƠ THANH TOÁN VƯỢT THẨM QUYỀN PD</v>
          </cell>
        </row>
      </sheetData>
      <sheetData sheetId="7459">
        <row r="1">
          <cell r="A1" t="str">
            <v>PHIẾU XỬ LÝ HỒ SƠ THANH TOÁN VƯỢT THẨM QUYỀN PD</v>
          </cell>
        </row>
      </sheetData>
      <sheetData sheetId="7460">
        <row r="1">
          <cell r="A1" t="str">
            <v>PHIẾU XỬ LÝ HỒ SƠ THANH TOÁN VƯỢT THẨM QUYỀN PD</v>
          </cell>
        </row>
      </sheetData>
      <sheetData sheetId="7461">
        <row r="1">
          <cell r="A1" t="str">
            <v>PHIẾU XỬ LÝ HỒ SƠ THANH TOÁN VƯỢT THẨM QUYỀN PD</v>
          </cell>
        </row>
      </sheetData>
      <sheetData sheetId="7462">
        <row r="1">
          <cell r="A1" t="str">
            <v>PHIẾU XỬ LÝ HỒ SƠ THANH TOÁN VƯỢT THẨM QUYỀN PD</v>
          </cell>
        </row>
      </sheetData>
      <sheetData sheetId="7463">
        <row r="1">
          <cell r="A1" t="str">
            <v>PHIẾU XỬ LÝ HỒ SƠ THANH TOÁN VƯỢT THẨM QUYỀN PD</v>
          </cell>
        </row>
      </sheetData>
      <sheetData sheetId="7464">
        <row r="1">
          <cell r="A1" t="str">
            <v>PHIẾU XỬ LÝ HỒ SƠ THANH TOÁN VƯỢT THẨM QUYỀN PD</v>
          </cell>
        </row>
      </sheetData>
      <sheetData sheetId="7465">
        <row r="1">
          <cell r="A1" t="str">
            <v>PHIẾU XỬ LÝ HỒ SƠ THANH TOÁN VƯỢT THẨM QUYỀN PD</v>
          </cell>
        </row>
      </sheetData>
      <sheetData sheetId="7466">
        <row r="1">
          <cell r="A1" t="str">
            <v>PHIẾU XỬ LÝ HỒ SƠ THANH TOÁN VƯỢT THẨM QUYỀN PD</v>
          </cell>
        </row>
      </sheetData>
      <sheetData sheetId="7467">
        <row r="1">
          <cell r="A1" t="str">
            <v>PHIẾU XỬ LÝ HỒ SƠ THANH TOÁN VƯỢT THẨM QUYỀN PD</v>
          </cell>
        </row>
      </sheetData>
      <sheetData sheetId="7468">
        <row r="1">
          <cell r="A1" t="str">
            <v>PHIẾU XỬ LÝ HỒ SƠ THANH TOÁN VƯỢT THẨM QUYỀN PD</v>
          </cell>
        </row>
      </sheetData>
      <sheetData sheetId="7469">
        <row r="1">
          <cell r="A1" t="str">
            <v>PHIẾU XỬ LÝ HỒ SƠ THANH TOÁN VƯỢT THẨM QUYỀN PD</v>
          </cell>
        </row>
      </sheetData>
      <sheetData sheetId="7470">
        <row r="1">
          <cell r="A1" t="str">
            <v>PHIẾU XỬ LÝ HỒ SƠ THANH TOÁN VƯỢT THẨM QUYỀN PD</v>
          </cell>
        </row>
      </sheetData>
      <sheetData sheetId="7471">
        <row r="1">
          <cell r="A1" t="str">
            <v>PHIẾU XỬ LÝ HỒ SƠ THANH TOÁN VƯỢT THẨM QUYỀN PD</v>
          </cell>
        </row>
      </sheetData>
      <sheetData sheetId="7472">
        <row r="1">
          <cell r="A1" t="str">
            <v>PHIẾU XỬ LÝ HỒ SƠ THANH TOÁN VƯỢT THẨM QUYỀN PD</v>
          </cell>
        </row>
      </sheetData>
      <sheetData sheetId="7473">
        <row r="1">
          <cell r="A1" t="str">
            <v>PHIẾU XỬ LÝ HỒ SƠ THANH TOÁN VƯỢT THẨM QUYỀN PD</v>
          </cell>
        </row>
      </sheetData>
      <sheetData sheetId="7474">
        <row r="1">
          <cell r="A1" t="str">
            <v>PHIẾU XỬ LÝ HỒ SƠ THANH TOÁN VƯỢT THẨM QUYỀN PD</v>
          </cell>
        </row>
      </sheetData>
      <sheetData sheetId="7475">
        <row r="1">
          <cell r="A1" t="str">
            <v>PHIẾU XỬ LÝ HỒ SƠ THANH TOÁN VƯỢT THẨM QUYỀN PD</v>
          </cell>
        </row>
      </sheetData>
      <sheetData sheetId="7476">
        <row r="1">
          <cell r="A1" t="str">
            <v>PHIẾU XỬ LÝ HỒ SƠ THANH TOÁN VƯỢT THẨM QUYỀN PD</v>
          </cell>
        </row>
      </sheetData>
      <sheetData sheetId="7477">
        <row r="1">
          <cell r="A1" t="str">
            <v>PHIẾU XỬ LÝ HỒ SƠ THANH TOÁN VƯỢT THẨM QUYỀN PD</v>
          </cell>
        </row>
      </sheetData>
      <sheetData sheetId="7478">
        <row r="1">
          <cell r="A1" t="str">
            <v>PHIẾU XỬ LÝ HỒ SƠ THANH TOÁN VƯỢT THẨM QUYỀN PD</v>
          </cell>
        </row>
      </sheetData>
      <sheetData sheetId="7479">
        <row r="1">
          <cell r="A1" t="str">
            <v>PHIẾU XỬ LÝ HỒ SƠ THANH TOÁN VƯỢT THẨM QUYỀN PD</v>
          </cell>
        </row>
      </sheetData>
      <sheetData sheetId="7480">
        <row r="1">
          <cell r="A1" t="str">
            <v>PHIẾU XỬ LÝ HỒ SƠ THANH TOÁN VƯỢT THẨM QUYỀN PD</v>
          </cell>
        </row>
      </sheetData>
      <sheetData sheetId="7481">
        <row r="1">
          <cell r="A1" t="str">
            <v>PHIẾU XỬ LÝ HỒ SƠ THANH TOÁN VƯỢT THẨM QUYỀN PD</v>
          </cell>
        </row>
      </sheetData>
      <sheetData sheetId="7482">
        <row r="1">
          <cell r="A1" t="str">
            <v>PHIẾU XỬ LÝ HỒ SƠ THANH TOÁN VƯỢT THẨM QUYỀN PD</v>
          </cell>
        </row>
      </sheetData>
      <sheetData sheetId="7483">
        <row r="1">
          <cell r="A1" t="str">
            <v>PHIẾU XỬ LÝ HỒ SƠ THANH TOÁN VƯỢT THẨM QUYỀN PD</v>
          </cell>
        </row>
      </sheetData>
      <sheetData sheetId="7484">
        <row r="1">
          <cell r="A1" t="str">
            <v>PHIẾU XỬ LÝ HỒ SƠ THANH TOÁN VƯỢT THẨM QUYỀN PD</v>
          </cell>
        </row>
      </sheetData>
      <sheetData sheetId="7485">
        <row r="1">
          <cell r="A1" t="str">
            <v>PHIẾU XỬ LÝ HỒ SƠ THANH TOÁN VƯỢT THẨM QUYỀN PD</v>
          </cell>
        </row>
      </sheetData>
      <sheetData sheetId="7486">
        <row r="1">
          <cell r="A1" t="str">
            <v>PHIẾU XỬ LÝ HỒ SƠ THANH TOÁN VƯỢT THẨM QUYỀN PD</v>
          </cell>
        </row>
      </sheetData>
      <sheetData sheetId="7487">
        <row r="1">
          <cell r="A1" t="str">
            <v>PHIẾU XỬ LÝ HỒ SƠ THANH TOÁN VƯỢT THẨM QUYỀN PD</v>
          </cell>
        </row>
      </sheetData>
      <sheetData sheetId="7488">
        <row r="1">
          <cell r="A1" t="str">
            <v>PHIẾU XỬ LÝ HỒ SƠ THANH TOÁN VƯỢT THẨM QUYỀN PD</v>
          </cell>
        </row>
      </sheetData>
      <sheetData sheetId="7489">
        <row r="1">
          <cell r="A1" t="str">
            <v>PHIẾU XỬ LÝ HỒ SƠ THANH TOÁN VƯỢT THẨM QUYỀN PD</v>
          </cell>
        </row>
      </sheetData>
      <sheetData sheetId="7490">
        <row r="1">
          <cell r="A1" t="str">
            <v>PHIẾU XỬ LÝ HỒ SƠ THANH TOÁN VƯỢT THẨM QUYỀN PD</v>
          </cell>
        </row>
      </sheetData>
      <sheetData sheetId="7491">
        <row r="1">
          <cell r="A1" t="str">
            <v>PHIẾU XỬ LÝ HỒ SƠ THANH TOÁN VƯỢT THẨM QUYỀN PD</v>
          </cell>
        </row>
      </sheetData>
      <sheetData sheetId="7492">
        <row r="1">
          <cell r="A1" t="str">
            <v>PHIẾU XỬ LÝ HỒ SƠ THANH TOÁN VƯỢT THẨM QUYỀN PD</v>
          </cell>
        </row>
      </sheetData>
      <sheetData sheetId="7493">
        <row r="1">
          <cell r="A1" t="str">
            <v>PHIẾU XỬ LÝ HỒ SƠ THANH TOÁN VƯỢT THẨM QUYỀN PD</v>
          </cell>
        </row>
      </sheetData>
      <sheetData sheetId="7494">
        <row r="1">
          <cell r="A1" t="str">
            <v>PHIẾU XỬ LÝ HỒ SƠ THANH TOÁN VƯỢT THẨM QUYỀN PD</v>
          </cell>
        </row>
      </sheetData>
      <sheetData sheetId="7495">
        <row r="1">
          <cell r="A1" t="str">
            <v>PHIẾU XỬ LÝ HỒ SƠ THANH TOÁN VƯỢT THẨM QUYỀN PD</v>
          </cell>
        </row>
      </sheetData>
      <sheetData sheetId="7496">
        <row r="1">
          <cell r="A1" t="str">
            <v>PHIẾU XỬ LÝ HỒ SƠ THANH TOÁN VƯỢT THẨM QUYỀN PD</v>
          </cell>
        </row>
      </sheetData>
      <sheetData sheetId="7497">
        <row r="1">
          <cell r="A1" t="str">
            <v>PHIẾU XỬ LÝ HỒ SƠ THANH TOÁN VƯỢT THẨM QUYỀN PD</v>
          </cell>
        </row>
      </sheetData>
      <sheetData sheetId="7498">
        <row r="1">
          <cell r="A1" t="str">
            <v>PHIẾU XỬ LÝ HỒ SƠ THANH TOÁN VƯỢT THẨM QUYỀN PD</v>
          </cell>
        </row>
      </sheetData>
      <sheetData sheetId="7499">
        <row r="1">
          <cell r="A1" t="str">
            <v>PHIẾU XỬ LÝ HỒ SƠ THANH TOÁN VƯỢT THẨM QUYỀN PD</v>
          </cell>
        </row>
      </sheetData>
      <sheetData sheetId="7500">
        <row r="1">
          <cell r="A1" t="str">
            <v>PHIẾU XỬ LÝ HỒ SƠ THANH TOÁN VƯỢT THẨM QUYỀN PD</v>
          </cell>
        </row>
      </sheetData>
      <sheetData sheetId="7501">
        <row r="1">
          <cell r="A1" t="str">
            <v>PHIẾU XỬ LÝ HỒ SƠ THANH TOÁN VƯỢT THẨM QUYỀN PD</v>
          </cell>
        </row>
      </sheetData>
      <sheetData sheetId="7502">
        <row r="1">
          <cell r="A1" t="str">
            <v>PHIẾU XỬ LÝ HỒ SƠ THANH TOÁN VƯỢT THẨM QUYỀN PD</v>
          </cell>
        </row>
      </sheetData>
      <sheetData sheetId="7503">
        <row r="1">
          <cell r="A1" t="str">
            <v>PHIẾU XỬ LÝ HỒ SƠ THANH TOÁN VƯỢT THẨM QUYỀN PD</v>
          </cell>
        </row>
      </sheetData>
      <sheetData sheetId="7504">
        <row r="1">
          <cell r="A1" t="str">
            <v>PHIẾU XỬ LÝ HỒ SƠ THANH TOÁN VƯỢT THẨM QUYỀN PD</v>
          </cell>
        </row>
      </sheetData>
      <sheetData sheetId="7505">
        <row r="1">
          <cell r="A1" t="str">
            <v>PHIẾU XỬ LÝ HỒ SƠ THANH TOÁN VƯỢT THẨM QUYỀN PD</v>
          </cell>
        </row>
      </sheetData>
      <sheetData sheetId="7506">
        <row r="1">
          <cell r="A1" t="str">
            <v>PHIẾU XỬ LÝ HỒ SƠ THANH TOÁN VƯỢT THẨM QUYỀN PD</v>
          </cell>
        </row>
      </sheetData>
      <sheetData sheetId="7507">
        <row r="1">
          <cell r="A1" t="str">
            <v>PHIẾU XỬ LÝ HỒ SƠ THANH TOÁN VƯỢT THẨM QUYỀN PD</v>
          </cell>
        </row>
      </sheetData>
      <sheetData sheetId="7508">
        <row r="1">
          <cell r="A1" t="str">
            <v>PHIẾU XỬ LÝ HỒ SƠ THANH TOÁN VƯỢT THẨM QUYỀN PD</v>
          </cell>
        </row>
      </sheetData>
      <sheetData sheetId="7509">
        <row r="1">
          <cell r="A1" t="str">
            <v>PHIẾU XỬ LÝ HỒ SƠ THANH TOÁN VƯỢT THẨM QUYỀN PD</v>
          </cell>
        </row>
      </sheetData>
      <sheetData sheetId="7510">
        <row r="1">
          <cell r="A1" t="str">
            <v>PHIẾU XỬ LÝ HỒ SƠ THANH TOÁN VƯỢT THẨM QUYỀN PD</v>
          </cell>
        </row>
      </sheetData>
      <sheetData sheetId="7511">
        <row r="1">
          <cell r="A1" t="str">
            <v>PHIẾU XỬ LÝ HỒ SƠ THANH TOÁN VƯỢT THẨM QUYỀN PD</v>
          </cell>
        </row>
      </sheetData>
      <sheetData sheetId="7512">
        <row r="1">
          <cell r="A1" t="str">
            <v>PHIẾU XỬ LÝ HỒ SƠ THANH TOÁN VƯỢT THẨM QUYỀN PD</v>
          </cell>
        </row>
      </sheetData>
      <sheetData sheetId="7513">
        <row r="1">
          <cell r="A1" t="str">
            <v>PHIẾU XỬ LÝ HỒ SƠ THANH TOÁN VƯỢT THẨM QUYỀN PD</v>
          </cell>
        </row>
      </sheetData>
      <sheetData sheetId="7514">
        <row r="1">
          <cell r="A1" t="str">
            <v>PHIẾU XỬ LÝ HỒ SƠ THANH TOÁN VƯỢT THẨM QUYỀN PD</v>
          </cell>
        </row>
      </sheetData>
      <sheetData sheetId="7515">
        <row r="1">
          <cell r="A1" t="str">
            <v>PHIẾU XỬ LÝ HỒ SƠ THANH TOÁN VƯỢT THẨM QUYỀN PD</v>
          </cell>
        </row>
      </sheetData>
      <sheetData sheetId="7516">
        <row r="1">
          <cell r="A1" t="str">
            <v>PHIẾU XỬ LÝ HỒ SƠ THANH TOÁN VƯỢT THẨM QUYỀN PD</v>
          </cell>
        </row>
      </sheetData>
      <sheetData sheetId="7517">
        <row r="1">
          <cell r="A1" t="str">
            <v>PHIẾU XỬ LÝ HỒ SƠ THANH TOÁN VƯỢT THẨM QUYỀN PD</v>
          </cell>
        </row>
      </sheetData>
      <sheetData sheetId="7518">
        <row r="1">
          <cell r="A1" t="str">
            <v>PHIẾU XỬ LÝ HỒ SƠ THANH TOÁN VƯỢT THẨM QUYỀN PD</v>
          </cell>
        </row>
      </sheetData>
      <sheetData sheetId="7519">
        <row r="1">
          <cell r="A1" t="str">
            <v>PHIẾU XỬ LÝ HỒ SƠ THANH TOÁN VƯỢT THẨM QUYỀN PD</v>
          </cell>
        </row>
      </sheetData>
      <sheetData sheetId="7520">
        <row r="1">
          <cell r="A1" t="str">
            <v>PHIẾU XỬ LÝ HỒ SƠ THANH TOÁN VƯỢT THẨM QUYỀN PD</v>
          </cell>
        </row>
      </sheetData>
      <sheetData sheetId="7521">
        <row r="1">
          <cell r="A1" t="str">
            <v>PHIẾU XỬ LÝ HỒ SƠ THANH TOÁN VƯỢT THẨM QUYỀN PD</v>
          </cell>
        </row>
      </sheetData>
      <sheetData sheetId="7522">
        <row r="1">
          <cell r="A1" t="str">
            <v>PHIẾU XỬ LÝ HỒ SƠ THANH TOÁN VƯỢT THẨM QUYỀN PD</v>
          </cell>
        </row>
      </sheetData>
      <sheetData sheetId="7523">
        <row r="1">
          <cell r="A1" t="str">
            <v>PHIẾU XỬ LÝ HỒ SƠ THANH TOÁN VƯỢT THẨM QUYỀN PD</v>
          </cell>
        </row>
      </sheetData>
      <sheetData sheetId="7524">
        <row r="1">
          <cell r="A1" t="str">
            <v>PHIẾU XỬ LÝ HỒ SƠ THANH TOÁN VƯỢT THẨM QUYỀN PD</v>
          </cell>
        </row>
      </sheetData>
      <sheetData sheetId="7525">
        <row r="1">
          <cell r="A1" t="str">
            <v>PHIẾU XỬ LÝ HỒ SƠ THANH TOÁN VƯỢT THẨM QUYỀN PD</v>
          </cell>
        </row>
      </sheetData>
      <sheetData sheetId="7526">
        <row r="1">
          <cell r="A1" t="str">
            <v>PHIẾU XỬ LÝ HỒ SƠ THANH TOÁN VƯỢT THẨM QUYỀN PD</v>
          </cell>
        </row>
      </sheetData>
      <sheetData sheetId="7527">
        <row r="1">
          <cell r="A1" t="str">
            <v>PHIẾU XỬ LÝ HỒ SƠ THANH TOÁN VƯỢT THẨM QUYỀN PD</v>
          </cell>
        </row>
      </sheetData>
      <sheetData sheetId="7528">
        <row r="1">
          <cell r="A1" t="str">
            <v>PHIẾU XỬ LÝ HỒ SƠ THANH TOÁN VƯỢT THẨM QUYỀN PD</v>
          </cell>
        </row>
      </sheetData>
      <sheetData sheetId="7529">
        <row r="1">
          <cell r="A1" t="str">
            <v>PHIẾU XỬ LÝ HỒ SƠ THANH TOÁN VƯỢT THẨM QUYỀN PD</v>
          </cell>
        </row>
      </sheetData>
      <sheetData sheetId="7530">
        <row r="1">
          <cell r="A1" t="str">
            <v>PHIẾU XỬ LÝ HỒ SƠ THANH TOÁN VƯỢT THẨM QUYỀN PD</v>
          </cell>
        </row>
      </sheetData>
      <sheetData sheetId="7531">
        <row r="1">
          <cell r="A1" t="str">
            <v>PHIẾU XỬ LÝ HỒ SƠ THANH TOÁN VƯỢT THẨM QUYỀN PD</v>
          </cell>
        </row>
      </sheetData>
      <sheetData sheetId="7532">
        <row r="1">
          <cell r="A1" t="str">
            <v>PHIẾU XỬ LÝ HỒ SƠ THANH TOÁN VƯỢT THẨM QUYỀN PD</v>
          </cell>
        </row>
      </sheetData>
      <sheetData sheetId="7533">
        <row r="1">
          <cell r="A1" t="str">
            <v>PHIẾU XỬ LÝ HỒ SƠ THANH TOÁN VƯỢT THẨM QUYỀN PD</v>
          </cell>
        </row>
      </sheetData>
      <sheetData sheetId="7534">
        <row r="1">
          <cell r="A1" t="str">
            <v>PHIẾU XỬ LÝ HỒ SƠ THANH TOÁN VƯỢT THẨM QUYỀN PD</v>
          </cell>
        </row>
      </sheetData>
      <sheetData sheetId="7535">
        <row r="1">
          <cell r="A1" t="str">
            <v>PHIẾU XỬ LÝ HỒ SƠ THANH TOÁN VƯỢT THẨM QUYỀN PD</v>
          </cell>
        </row>
      </sheetData>
      <sheetData sheetId="7536">
        <row r="1">
          <cell r="A1" t="str">
            <v>PHIẾU XỬ LÝ HỒ SƠ THANH TOÁN VƯỢT THẨM QUYỀN PD</v>
          </cell>
        </row>
      </sheetData>
      <sheetData sheetId="7537">
        <row r="1">
          <cell r="A1" t="str">
            <v>PHIẾU XỬ LÝ HỒ SƠ THANH TOÁN VƯỢT THẨM QUYỀN PD</v>
          </cell>
        </row>
      </sheetData>
      <sheetData sheetId="7538">
        <row r="1">
          <cell r="A1" t="str">
            <v>PHIẾU XỬ LÝ HỒ SƠ THANH TOÁN VƯỢT THẨM QUYỀN PD</v>
          </cell>
        </row>
      </sheetData>
      <sheetData sheetId="7539">
        <row r="1">
          <cell r="A1" t="str">
            <v>PHIẾU XỬ LÝ HỒ SƠ THANH TOÁN VƯỢT THẨM QUYỀN PD</v>
          </cell>
        </row>
      </sheetData>
      <sheetData sheetId="7540">
        <row r="1">
          <cell r="A1" t="str">
            <v>PHIẾU XỬ LÝ HỒ SƠ THANH TOÁN VƯỢT THẨM QUYỀN PD</v>
          </cell>
        </row>
      </sheetData>
      <sheetData sheetId="7541">
        <row r="1">
          <cell r="A1" t="str">
            <v>PHIẾU XỬ LÝ HỒ SƠ THANH TOÁN VƯỢT THẨM QUYỀN PD</v>
          </cell>
        </row>
      </sheetData>
      <sheetData sheetId="7542">
        <row r="1">
          <cell r="A1" t="str">
            <v>PHIẾU XỬ LÝ HỒ SƠ THANH TOÁN VƯỢT THẨM QUYỀN PD</v>
          </cell>
        </row>
      </sheetData>
      <sheetData sheetId="7543">
        <row r="1">
          <cell r="A1" t="str">
            <v>PHIẾU XỬ LÝ HỒ SƠ THANH TOÁN VƯỢT THẨM QUYỀN PD</v>
          </cell>
        </row>
      </sheetData>
      <sheetData sheetId="7544">
        <row r="1">
          <cell r="A1" t="str">
            <v>PHIẾU XỬ LÝ HỒ SƠ THANH TOÁN VƯỢT THẨM QUYỀN PD</v>
          </cell>
        </row>
      </sheetData>
      <sheetData sheetId="7545">
        <row r="1">
          <cell r="A1" t="str">
            <v>PHIẾU XỬ LÝ HỒ SƠ THANH TOÁN VƯỢT THẨM QUYỀN PD</v>
          </cell>
        </row>
      </sheetData>
      <sheetData sheetId="7546">
        <row r="1">
          <cell r="A1" t="str">
            <v>PHIẾU XỬ LÝ HỒ SƠ THANH TOÁN VƯỢT THẨM QUYỀN PD</v>
          </cell>
        </row>
      </sheetData>
      <sheetData sheetId="7547">
        <row r="1">
          <cell r="A1" t="str">
            <v>PHIẾU XỬ LÝ HỒ SƠ THANH TOÁN VƯỢT THẨM QUYỀN PD</v>
          </cell>
        </row>
      </sheetData>
      <sheetData sheetId="7548">
        <row r="1">
          <cell r="A1" t="str">
            <v>PHIẾU XỬ LÝ HỒ SƠ THANH TOÁN VƯỢT THẨM QUYỀN PD</v>
          </cell>
        </row>
      </sheetData>
      <sheetData sheetId="7549">
        <row r="1">
          <cell r="A1" t="str">
            <v>PHIẾU XỬ LÝ HỒ SƠ THANH TOÁN VƯỢT THẨM QUYỀN PD</v>
          </cell>
        </row>
      </sheetData>
      <sheetData sheetId="7550">
        <row r="1">
          <cell r="A1" t="str">
            <v>PHIẾU XỬ LÝ HỒ SƠ THANH TOÁN VƯỢT THẨM QUYỀN PD</v>
          </cell>
        </row>
      </sheetData>
      <sheetData sheetId="7551">
        <row r="1">
          <cell r="A1" t="str">
            <v>PHIẾU XỬ LÝ HỒ SƠ THANH TOÁN VƯỢT THẨM QUYỀN PD</v>
          </cell>
        </row>
      </sheetData>
      <sheetData sheetId="7552">
        <row r="1">
          <cell r="A1" t="str">
            <v>PHIẾU XỬ LÝ HỒ SƠ THANH TOÁN VƯỢT THẨM QUYỀN PD</v>
          </cell>
        </row>
      </sheetData>
      <sheetData sheetId="7553">
        <row r="1">
          <cell r="A1" t="str">
            <v>PHIẾU XỬ LÝ HỒ SƠ THANH TOÁN VƯỢT THẨM QUYỀN PD</v>
          </cell>
        </row>
      </sheetData>
      <sheetData sheetId="7554">
        <row r="1">
          <cell r="A1" t="str">
            <v>PHIẾU XỬ LÝ HỒ SƠ THANH TOÁN VƯỢT THẨM QUYỀN PD</v>
          </cell>
        </row>
      </sheetData>
      <sheetData sheetId="7555">
        <row r="1">
          <cell r="A1" t="str">
            <v>PHIẾU XỬ LÝ HỒ SƠ THANH TOÁN VƯỢT THẨM QUYỀN PD</v>
          </cell>
        </row>
      </sheetData>
      <sheetData sheetId="7556">
        <row r="1">
          <cell r="A1" t="str">
            <v>PHIẾU XỬ LÝ HỒ SƠ THANH TOÁN VƯỢT THẨM QUYỀN PD</v>
          </cell>
        </row>
      </sheetData>
      <sheetData sheetId="7557">
        <row r="1">
          <cell r="A1" t="str">
            <v>PHIẾU XỬ LÝ HỒ SƠ THANH TOÁN VƯỢT THẨM QUYỀN PD</v>
          </cell>
        </row>
      </sheetData>
      <sheetData sheetId="7558">
        <row r="1">
          <cell r="A1" t="str">
            <v>PHIẾU XỬ LÝ HỒ SƠ THANH TOÁN VƯỢT THẨM QUYỀN PD</v>
          </cell>
        </row>
      </sheetData>
      <sheetData sheetId="7559">
        <row r="1">
          <cell r="A1" t="str">
            <v>PHIẾU XỬ LÝ HỒ SƠ THANH TOÁN VƯỢT THẨM QUYỀN PD</v>
          </cell>
        </row>
      </sheetData>
      <sheetData sheetId="7560">
        <row r="1">
          <cell r="A1" t="str">
            <v>PHIẾU XỬ LÝ HỒ SƠ THANH TOÁN VƯỢT THẨM QUYỀN PD</v>
          </cell>
        </row>
      </sheetData>
      <sheetData sheetId="7561">
        <row r="1">
          <cell r="A1" t="str">
            <v>PHIẾU XỬ LÝ HỒ SƠ THANH TOÁN VƯỢT THẨM QUYỀN PD</v>
          </cell>
        </row>
      </sheetData>
      <sheetData sheetId="7562">
        <row r="1">
          <cell r="A1" t="str">
            <v>PHIẾU XỬ LÝ HỒ SƠ THANH TOÁN VƯỢT THẨM QUYỀN PD</v>
          </cell>
        </row>
      </sheetData>
      <sheetData sheetId="7563">
        <row r="1">
          <cell r="A1" t="str">
            <v>PHIẾU XỬ LÝ HỒ SƠ THANH TOÁN VƯỢT THẨM QUYỀN PD</v>
          </cell>
        </row>
      </sheetData>
      <sheetData sheetId="7564">
        <row r="1">
          <cell r="A1" t="str">
            <v>PHIẾU XỬ LÝ HỒ SƠ THANH TOÁN VƯỢT THẨM QUYỀN PD</v>
          </cell>
        </row>
      </sheetData>
      <sheetData sheetId="7565">
        <row r="1">
          <cell r="A1" t="str">
            <v>PHIẾU XỬ LÝ HỒ SƠ THANH TOÁN VƯỢT THẨM QUYỀN PD</v>
          </cell>
        </row>
      </sheetData>
      <sheetData sheetId="7566">
        <row r="1">
          <cell r="A1" t="str">
            <v>PHIẾU XỬ LÝ HỒ SƠ THANH TOÁN VƯỢT THẨM QUYỀN PD</v>
          </cell>
        </row>
      </sheetData>
      <sheetData sheetId="7567">
        <row r="1">
          <cell r="A1" t="str">
            <v>PHIẾU XỬ LÝ HỒ SƠ THANH TOÁN VƯỢT THẨM QUYỀN PD</v>
          </cell>
        </row>
      </sheetData>
      <sheetData sheetId="7568">
        <row r="1">
          <cell r="A1" t="str">
            <v>PHIẾU XỬ LÝ HỒ SƠ THANH TOÁN VƯỢT THẨM QUYỀN PD</v>
          </cell>
        </row>
      </sheetData>
      <sheetData sheetId="7569">
        <row r="1">
          <cell r="A1" t="str">
            <v>PHIẾU XỬ LÝ HỒ SƠ THANH TOÁN VƯỢT THẨM QUYỀN PD</v>
          </cell>
        </row>
      </sheetData>
      <sheetData sheetId="7570">
        <row r="1">
          <cell r="A1" t="str">
            <v>PHIẾU XỬ LÝ HỒ SƠ THANH TOÁN VƯỢT THẨM QUYỀN PD</v>
          </cell>
        </row>
      </sheetData>
      <sheetData sheetId="7571">
        <row r="1">
          <cell r="A1" t="str">
            <v>PHIẾU XỬ LÝ HỒ SƠ THANH TOÁN VƯỢT THẨM QUYỀN PD</v>
          </cell>
        </row>
      </sheetData>
      <sheetData sheetId="7572">
        <row r="1">
          <cell r="A1" t="str">
            <v>PHIẾU XỬ LÝ HỒ SƠ THANH TOÁN VƯỢT THẨM QUYỀN PD</v>
          </cell>
        </row>
      </sheetData>
      <sheetData sheetId="7573">
        <row r="1">
          <cell r="A1" t="str">
            <v>PHIẾU XỬ LÝ HỒ SƠ THANH TOÁN VƯỢT THẨM QUYỀN PD</v>
          </cell>
        </row>
      </sheetData>
      <sheetData sheetId="7574">
        <row r="1">
          <cell r="A1" t="str">
            <v>PHIẾU XỬ LÝ HỒ SƠ THANH TOÁN VƯỢT THẨM QUYỀN PD</v>
          </cell>
        </row>
      </sheetData>
      <sheetData sheetId="7575">
        <row r="1">
          <cell r="A1" t="str">
            <v>PHIẾU XỬ LÝ HỒ SƠ THANH TOÁN VƯỢT THẨM QUYỀN PD</v>
          </cell>
        </row>
      </sheetData>
      <sheetData sheetId="7576">
        <row r="1">
          <cell r="A1" t="str">
            <v>PHIẾU XỬ LÝ HỒ SƠ THANH TOÁN VƯỢT THẨM QUYỀN PD</v>
          </cell>
        </row>
      </sheetData>
      <sheetData sheetId="7577">
        <row r="1">
          <cell r="A1" t="str">
            <v>PHIẾU XỬ LÝ HỒ SƠ THANH TOÁN VƯỢT THẨM QUYỀN PD</v>
          </cell>
        </row>
      </sheetData>
      <sheetData sheetId="7578">
        <row r="1">
          <cell r="A1" t="str">
            <v>PHIẾU XỬ LÝ HỒ SƠ THANH TOÁN VƯỢT THẨM QUYỀN PD</v>
          </cell>
        </row>
      </sheetData>
      <sheetData sheetId="7579">
        <row r="1">
          <cell r="A1" t="str">
            <v>PHIẾU XỬ LÝ HỒ SƠ THANH TOÁN VƯỢT THẨM QUYỀN PD</v>
          </cell>
        </row>
      </sheetData>
      <sheetData sheetId="7580">
        <row r="1">
          <cell r="A1" t="str">
            <v>PHIẾU XỬ LÝ HỒ SƠ THANH TOÁN VƯỢT THẨM QUYỀN PD</v>
          </cell>
        </row>
      </sheetData>
      <sheetData sheetId="7581">
        <row r="1">
          <cell r="A1" t="str">
            <v>PHIẾU XỬ LÝ HỒ SƠ THANH TOÁN VƯỢT THẨM QUYỀN PD</v>
          </cell>
        </row>
      </sheetData>
      <sheetData sheetId="7582">
        <row r="1">
          <cell r="A1" t="str">
            <v>PHIẾU XỬ LÝ HỒ SƠ THANH TOÁN VƯỢT THẨM QUYỀN PD</v>
          </cell>
        </row>
      </sheetData>
      <sheetData sheetId="7583">
        <row r="1">
          <cell r="A1" t="str">
            <v>PHIẾU XỬ LÝ HỒ SƠ THANH TOÁN VƯỢT THẨM QUYỀN PD</v>
          </cell>
        </row>
      </sheetData>
      <sheetData sheetId="7584">
        <row r="1">
          <cell r="A1" t="str">
            <v>PHIẾU XỬ LÝ HỒ SƠ THANH TOÁN VƯỢT THẨM QUYỀN PD</v>
          </cell>
        </row>
      </sheetData>
      <sheetData sheetId="7585">
        <row r="1">
          <cell r="A1" t="str">
            <v>PHIẾU XỬ LÝ HỒ SƠ THANH TOÁN VƯỢT THẨM QUYỀN PD</v>
          </cell>
        </row>
      </sheetData>
      <sheetData sheetId="7586">
        <row r="1">
          <cell r="A1" t="str">
            <v>PHIẾU XỬ LÝ HỒ SƠ THANH TOÁN VƯỢT THẨM QUYỀN PD</v>
          </cell>
        </row>
      </sheetData>
      <sheetData sheetId="7587">
        <row r="1">
          <cell r="A1" t="str">
            <v>PHIẾU XỬ LÝ HỒ SƠ THANH TOÁN VƯỢT THẨM QUYỀN PD</v>
          </cell>
        </row>
      </sheetData>
      <sheetData sheetId="7588">
        <row r="1">
          <cell r="A1" t="str">
            <v>PHIẾU XỬ LÝ HỒ SƠ THANH TOÁN VƯỢT THẨM QUYỀN PD</v>
          </cell>
        </row>
      </sheetData>
      <sheetData sheetId="7589">
        <row r="1">
          <cell r="A1" t="str">
            <v>PHIẾU XỬ LÝ HỒ SƠ THANH TOÁN VƯỢT THẨM QUYỀN PD</v>
          </cell>
        </row>
      </sheetData>
      <sheetData sheetId="7590">
        <row r="1">
          <cell r="A1" t="str">
            <v>PHIẾU XỬ LÝ HỒ SƠ THANH TOÁN VƯỢT THẨM QUYỀN PD</v>
          </cell>
        </row>
      </sheetData>
      <sheetData sheetId="7591">
        <row r="1">
          <cell r="A1" t="str">
            <v>PHIẾU XỬ LÝ HỒ SƠ THANH TOÁN VƯỢT THẨM QUYỀN PD</v>
          </cell>
        </row>
      </sheetData>
      <sheetData sheetId="7592">
        <row r="1">
          <cell r="A1" t="str">
            <v>PHIẾU XỬ LÝ HỒ SƠ THANH TOÁN VƯỢT THẨM QUYỀN PD</v>
          </cell>
        </row>
      </sheetData>
      <sheetData sheetId="7593">
        <row r="1">
          <cell r="A1" t="str">
            <v>PHIẾU XỬ LÝ HỒ SƠ THANH TOÁN VƯỢT THẨM QUYỀN PD</v>
          </cell>
        </row>
      </sheetData>
      <sheetData sheetId="7594">
        <row r="1">
          <cell r="A1" t="str">
            <v>PHIẾU XỬ LÝ HỒ SƠ THANH TOÁN VƯỢT THẨM QUYỀN PD</v>
          </cell>
        </row>
      </sheetData>
      <sheetData sheetId="7595">
        <row r="1">
          <cell r="A1" t="str">
            <v>PHIẾU XỬ LÝ HỒ SƠ THANH TOÁN VƯỢT THẨM QUYỀN PD</v>
          </cell>
        </row>
      </sheetData>
      <sheetData sheetId="7596">
        <row r="1">
          <cell r="A1" t="str">
            <v>PHIẾU XỬ LÝ HỒ SƠ THANH TOÁN VƯỢT THẨM QUYỀN PD</v>
          </cell>
        </row>
      </sheetData>
      <sheetData sheetId="7597">
        <row r="1">
          <cell r="A1" t="str">
            <v>PHIẾU XỬ LÝ HỒ SƠ THANH TOÁN VƯỢT THẨM QUYỀN PD</v>
          </cell>
        </row>
      </sheetData>
      <sheetData sheetId="7598">
        <row r="1">
          <cell r="A1" t="str">
            <v>PHIẾU XỬ LÝ HỒ SƠ THANH TOÁN VƯỢT THẨM QUYỀN PD</v>
          </cell>
        </row>
      </sheetData>
      <sheetData sheetId="7599">
        <row r="1">
          <cell r="A1" t="str">
            <v>PHIẾU XỬ LÝ HỒ SƠ THANH TOÁN VƯỢT THẨM QUYỀN PD</v>
          </cell>
        </row>
      </sheetData>
      <sheetData sheetId="7600">
        <row r="1">
          <cell r="A1" t="str">
            <v>PHIẾU XỬ LÝ HỒ SƠ THANH TOÁN VƯỢT THẨM QUYỀN PD</v>
          </cell>
        </row>
      </sheetData>
      <sheetData sheetId="7601">
        <row r="1">
          <cell r="A1" t="str">
            <v>PHIẾU XỬ LÝ HỒ SƠ THANH TOÁN VƯỢT THẨM QUYỀN PD</v>
          </cell>
        </row>
      </sheetData>
      <sheetData sheetId="7602">
        <row r="1">
          <cell r="A1" t="str">
            <v>PHIẾU XỬ LÝ HỒ SƠ THANH TOÁN VƯỢT THẨM QUYỀN PD</v>
          </cell>
        </row>
      </sheetData>
      <sheetData sheetId="7603">
        <row r="1">
          <cell r="A1" t="str">
            <v>PHIẾU XỬ LÝ HỒ SƠ THANH TOÁN VƯỢT THẨM QUYỀN PD</v>
          </cell>
        </row>
      </sheetData>
      <sheetData sheetId="7604">
        <row r="1">
          <cell r="A1" t="str">
            <v>PHIẾU XỬ LÝ HỒ SƠ THANH TOÁN VƯỢT THẨM QUYỀN PD</v>
          </cell>
        </row>
      </sheetData>
      <sheetData sheetId="7605">
        <row r="1">
          <cell r="A1" t="str">
            <v>PHIẾU XỬ LÝ HỒ SƠ THANH TOÁN VƯỢT THẨM QUYỀN PD</v>
          </cell>
        </row>
      </sheetData>
      <sheetData sheetId="7606">
        <row r="1">
          <cell r="A1" t="str">
            <v>PHIẾU XỬ LÝ HỒ SƠ THANH TOÁN VƯỢT THẨM QUYỀN PD</v>
          </cell>
        </row>
      </sheetData>
      <sheetData sheetId="7607">
        <row r="1">
          <cell r="A1" t="str">
            <v>PHIẾU XỬ LÝ HỒ SƠ THANH TOÁN VƯỢT THẨM QUYỀN PD</v>
          </cell>
        </row>
      </sheetData>
      <sheetData sheetId="7608">
        <row r="1">
          <cell r="A1" t="str">
            <v>PHIẾU XỬ LÝ HỒ SƠ THANH TOÁN VƯỢT THẨM QUYỀN PD</v>
          </cell>
        </row>
      </sheetData>
      <sheetData sheetId="7609">
        <row r="1">
          <cell r="A1" t="str">
            <v>PHIẾU XỬ LÝ HỒ SƠ THANH TOÁN VƯỢT THẨM QUYỀN PD</v>
          </cell>
        </row>
      </sheetData>
      <sheetData sheetId="7610">
        <row r="1">
          <cell r="A1" t="str">
            <v>PHIẾU XỬ LÝ HỒ SƠ THANH TOÁN VƯỢT THẨM QUYỀN PD</v>
          </cell>
        </row>
      </sheetData>
      <sheetData sheetId="7611">
        <row r="1">
          <cell r="A1" t="str">
            <v>PHIẾU XỬ LÝ HỒ SƠ THANH TOÁN VƯỢT THẨM QUYỀN PD</v>
          </cell>
        </row>
      </sheetData>
      <sheetData sheetId="7612">
        <row r="1">
          <cell r="A1" t="str">
            <v>PHIẾU XỬ LÝ HỒ SƠ THANH TOÁN VƯỢT THẨM QUYỀN PD</v>
          </cell>
        </row>
      </sheetData>
      <sheetData sheetId="7613">
        <row r="1">
          <cell r="A1" t="str">
            <v>PHIẾU XỬ LÝ HỒ SƠ THANH TOÁN VƯỢT THẨM QUYỀN PD</v>
          </cell>
        </row>
      </sheetData>
      <sheetData sheetId="7614">
        <row r="1">
          <cell r="A1" t="str">
            <v>PHIẾU XỬ LÝ HỒ SƠ THANH TOÁN VƯỢT THẨM QUYỀN PD</v>
          </cell>
        </row>
      </sheetData>
      <sheetData sheetId="7615">
        <row r="1">
          <cell r="A1" t="str">
            <v>PHIẾU XỬ LÝ HỒ SƠ THANH TOÁN VƯỢT THẨM QUYỀN PD</v>
          </cell>
        </row>
      </sheetData>
      <sheetData sheetId="7616">
        <row r="1">
          <cell r="A1" t="str">
            <v>PHIẾU XỬ LÝ HỒ SƠ THANH TOÁN VƯỢT THẨM QUYỀN PD</v>
          </cell>
        </row>
      </sheetData>
      <sheetData sheetId="7617">
        <row r="1">
          <cell r="A1" t="str">
            <v>PHIẾU XỬ LÝ HỒ SƠ THANH TOÁN VƯỢT THẨM QUYỀN PD</v>
          </cell>
        </row>
      </sheetData>
      <sheetData sheetId="7618">
        <row r="1">
          <cell r="A1" t="str">
            <v>PHIẾU XỬ LÝ HỒ SƠ THANH TOÁN VƯỢT THẨM QUYỀN PD</v>
          </cell>
        </row>
      </sheetData>
      <sheetData sheetId="7619">
        <row r="1">
          <cell r="A1" t="str">
            <v>PHIẾU XỬ LÝ HỒ SƠ THANH TOÁN VƯỢT THẨM QUYỀN PD</v>
          </cell>
        </row>
      </sheetData>
      <sheetData sheetId="7620">
        <row r="1">
          <cell r="A1" t="str">
            <v>PHIẾU XỬ LÝ HỒ SƠ THANH TOÁN VƯỢT THẨM QUYỀN PD</v>
          </cell>
        </row>
      </sheetData>
      <sheetData sheetId="7621">
        <row r="1">
          <cell r="A1" t="str">
            <v>PHIẾU XỬ LÝ HỒ SƠ THANH TOÁN VƯỢT THẨM QUYỀN PD</v>
          </cell>
        </row>
      </sheetData>
      <sheetData sheetId="7622">
        <row r="1">
          <cell r="A1" t="str">
            <v>PHIẾU XỬ LÝ HỒ SƠ THANH TOÁN VƯỢT THẨM QUYỀN PD</v>
          </cell>
        </row>
      </sheetData>
      <sheetData sheetId="7623">
        <row r="1">
          <cell r="A1" t="str">
            <v>PHIẾU XỬ LÝ HỒ SƠ THANH TOÁN VƯỢT THẨM QUYỀN PD</v>
          </cell>
        </row>
      </sheetData>
      <sheetData sheetId="7624">
        <row r="1">
          <cell r="A1" t="str">
            <v>PHIẾU XỬ LÝ HỒ SƠ THANH TOÁN VƯỢT THẨM QUYỀN PD</v>
          </cell>
        </row>
      </sheetData>
      <sheetData sheetId="7625">
        <row r="1">
          <cell r="A1" t="str">
            <v>PHIẾU XỬ LÝ HỒ SƠ THANH TOÁN VƯỢT THẨM QUYỀN PD</v>
          </cell>
        </row>
      </sheetData>
      <sheetData sheetId="7626">
        <row r="1">
          <cell r="A1" t="str">
            <v>PHIẾU XỬ LÝ HỒ SƠ THANH TOÁN VƯỢT THẨM QUYỀN PD</v>
          </cell>
        </row>
      </sheetData>
      <sheetData sheetId="7627">
        <row r="1">
          <cell r="A1" t="str">
            <v>PHIẾU XỬ LÝ HỒ SƠ THANH TOÁN VƯỢT THẨM QUYỀN PD</v>
          </cell>
        </row>
      </sheetData>
      <sheetData sheetId="7628">
        <row r="1">
          <cell r="A1" t="str">
            <v>PHIẾU XỬ LÝ HỒ SƠ THANH TOÁN VƯỢT THẨM QUYỀN PD</v>
          </cell>
        </row>
      </sheetData>
      <sheetData sheetId="7629">
        <row r="1">
          <cell r="A1" t="str">
            <v>PHIẾU XỬ LÝ HỒ SƠ THANH TOÁN VƯỢT THẨM QUYỀN PD</v>
          </cell>
        </row>
      </sheetData>
      <sheetData sheetId="7630">
        <row r="1">
          <cell r="A1" t="str">
            <v>PHIẾU XỬ LÝ HỒ SƠ THANH TOÁN VƯỢT THẨM QUYỀN PD</v>
          </cell>
        </row>
      </sheetData>
      <sheetData sheetId="7631">
        <row r="1">
          <cell r="A1" t="str">
            <v>PHIẾU XỬ LÝ HỒ SƠ THANH TOÁN VƯỢT THẨM QUYỀN PD</v>
          </cell>
        </row>
      </sheetData>
      <sheetData sheetId="7632">
        <row r="1">
          <cell r="A1" t="str">
            <v>PHIẾU XỬ LÝ HỒ SƠ THANH TOÁN VƯỢT THẨM QUYỀN PD</v>
          </cell>
        </row>
      </sheetData>
      <sheetData sheetId="7633">
        <row r="1">
          <cell r="A1" t="str">
            <v>PHIẾU XỬ LÝ HỒ SƠ THANH TOÁN VƯỢT THẨM QUYỀN PD</v>
          </cell>
        </row>
      </sheetData>
      <sheetData sheetId="7634">
        <row r="1">
          <cell r="A1" t="str">
            <v>PHIẾU XỬ LÝ HỒ SƠ THANH TOÁN VƯỢT THẨM QUYỀN PD</v>
          </cell>
        </row>
      </sheetData>
      <sheetData sheetId="7635">
        <row r="1">
          <cell r="A1" t="str">
            <v>PHIẾU XỬ LÝ HỒ SƠ THANH TOÁN VƯỢT THẨM QUYỀN PD</v>
          </cell>
        </row>
      </sheetData>
      <sheetData sheetId="7636">
        <row r="1">
          <cell r="A1" t="str">
            <v>PHIẾU XỬ LÝ HỒ SƠ THANH TOÁN VƯỢT THẨM QUYỀN PD</v>
          </cell>
        </row>
      </sheetData>
      <sheetData sheetId="7637">
        <row r="1">
          <cell r="A1" t="str">
            <v>PHIẾU XỬ LÝ HỒ SƠ THANH TOÁN VƯỢT THẨM QUYỀN PD</v>
          </cell>
        </row>
      </sheetData>
      <sheetData sheetId="7638">
        <row r="1">
          <cell r="A1" t="str">
            <v>PHIẾU XỬ LÝ HỒ SƠ THANH TOÁN VƯỢT THẨM QUYỀN PD</v>
          </cell>
        </row>
      </sheetData>
      <sheetData sheetId="7639">
        <row r="1">
          <cell r="A1" t="str">
            <v>PHIẾU XỬ LÝ HỒ SƠ THANH TOÁN VƯỢT THẨM QUYỀN PD</v>
          </cell>
        </row>
      </sheetData>
      <sheetData sheetId="7640">
        <row r="1">
          <cell r="A1" t="str">
            <v>PHIẾU XỬ LÝ HỒ SƠ THANH TOÁN VƯỢT THẨM QUYỀN PD</v>
          </cell>
        </row>
      </sheetData>
      <sheetData sheetId="7641">
        <row r="1">
          <cell r="A1" t="str">
            <v>PHIẾU XỬ LÝ HỒ SƠ THANH TOÁN VƯỢT THẨM QUYỀN PD</v>
          </cell>
        </row>
      </sheetData>
      <sheetData sheetId="7642">
        <row r="1">
          <cell r="A1" t="str">
            <v>PHIẾU XỬ LÝ HỒ SƠ THANH TOÁN VƯỢT THẨM QUYỀN PD</v>
          </cell>
        </row>
      </sheetData>
      <sheetData sheetId="7643">
        <row r="1">
          <cell r="A1" t="str">
            <v>PHIẾU XỬ LÝ HỒ SƠ THANH TOÁN VƯỢT THẨM QUYỀN PD</v>
          </cell>
        </row>
      </sheetData>
      <sheetData sheetId="7644">
        <row r="1">
          <cell r="A1" t="str">
            <v>PHIẾU XỬ LÝ HỒ SƠ THANH TOÁN VƯỢT THẨM QUYỀN PD</v>
          </cell>
        </row>
      </sheetData>
      <sheetData sheetId="7645">
        <row r="1">
          <cell r="A1" t="str">
            <v>PHIẾU XỬ LÝ HỒ SƠ THANH TOÁN VƯỢT THẨM QUYỀN PD</v>
          </cell>
        </row>
      </sheetData>
      <sheetData sheetId="7646">
        <row r="1">
          <cell r="A1" t="str">
            <v>PHIẾU XỬ LÝ HỒ SƠ THANH TOÁN VƯỢT THẨM QUYỀN PD</v>
          </cell>
        </row>
      </sheetData>
      <sheetData sheetId="7647">
        <row r="1">
          <cell r="A1" t="str">
            <v>PHIẾU XỬ LÝ HỒ SƠ THANH TOÁN VƯỢT THẨM QUYỀN PD</v>
          </cell>
        </row>
      </sheetData>
      <sheetData sheetId="7648">
        <row r="1">
          <cell r="A1" t="str">
            <v>PHIẾU XỬ LÝ HỒ SƠ THANH TOÁN VƯỢT THẨM QUYỀN PD</v>
          </cell>
        </row>
      </sheetData>
      <sheetData sheetId="7649">
        <row r="1">
          <cell r="A1" t="str">
            <v>PHIẾU XỬ LÝ HỒ SƠ THANH TOÁN VƯỢT THẨM QUYỀN PD</v>
          </cell>
        </row>
      </sheetData>
      <sheetData sheetId="7650">
        <row r="1">
          <cell r="A1" t="str">
            <v>PHIẾU XỬ LÝ HỒ SƠ THANH TOÁN VƯỢT THẨM QUYỀN PD</v>
          </cell>
        </row>
      </sheetData>
      <sheetData sheetId="7651">
        <row r="1">
          <cell r="A1" t="str">
            <v>PHIẾU XỬ LÝ HỒ SƠ THANH TOÁN VƯỢT THẨM QUYỀN PD</v>
          </cell>
        </row>
      </sheetData>
      <sheetData sheetId="7652">
        <row r="1">
          <cell r="A1" t="str">
            <v>PHIẾU XỬ LÝ HỒ SƠ THANH TOÁN VƯỢT THẨM QUYỀN PD</v>
          </cell>
        </row>
      </sheetData>
      <sheetData sheetId="7653">
        <row r="1">
          <cell r="A1" t="str">
            <v>PHIẾU XỬ LÝ HỒ SƠ THANH TOÁN VƯỢT THẨM QUYỀN PD</v>
          </cell>
        </row>
      </sheetData>
      <sheetData sheetId="7654">
        <row r="1">
          <cell r="A1" t="str">
            <v>PHIẾU XỬ LÝ HỒ SƠ THANH TOÁN VƯỢT THẨM QUYỀN PD</v>
          </cell>
        </row>
      </sheetData>
      <sheetData sheetId="7655">
        <row r="1">
          <cell r="A1" t="str">
            <v>PHIẾU XỬ LÝ HỒ SƠ THANH TOÁN VƯỢT THẨM QUYỀN PD</v>
          </cell>
        </row>
      </sheetData>
      <sheetData sheetId="7656">
        <row r="1">
          <cell r="A1" t="str">
            <v>PHIẾU XỬ LÝ HỒ SƠ THANH TOÁN VƯỢT THẨM QUYỀN PD</v>
          </cell>
        </row>
      </sheetData>
      <sheetData sheetId="7657">
        <row r="1">
          <cell r="A1" t="str">
            <v>PHIẾU XỬ LÝ HỒ SƠ THANH TOÁN VƯỢT THẨM QUYỀN PD</v>
          </cell>
        </row>
      </sheetData>
      <sheetData sheetId="7658">
        <row r="1">
          <cell r="A1" t="str">
            <v>PHIẾU XỬ LÝ HỒ SƠ THANH TOÁN VƯỢT THẨM QUYỀN PD</v>
          </cell>
        </row>
      </sheetData>
      <sheetData sheetId="7659">
        <row r="1">
          <cell r="A1" t="str">
            <v>PHIẾU XỬ LÝ HỒ SƠ THANH TOÁN VƯỢT THẨM QUYỀN PD</v>
          </cell>
        </row>
      </sheetData>
      <sheetData sheetId="7660">
        <row r="1">
          <cell r="A1" t="str">
            <v>PHIẾU XỬ LÝ HỒ SƠ THANH TOÁN VƯỢT THẨM QUYỀN PD</v>
          </cell>
        </row>
      </sheetData>
      <sheetData sheetId="7661">
        <row r="1">
          <cell r="A1" t="str">
            <v>PHIẾU XỬ LÝ HỒ SƠ THANH TOÁN VƯỢT THẨM QUYỀN PD</v>
          </cell>
        </row>
      </sheetData>
      <sheetData sheetId="7662">
        <row r="1">
          <cell r="A1" t="str">
            <v>PHIẾU XỬ LÝ HỒ SƠ THANH TOÁN VƯỢT THẨM QUYỀN PD</v>
          </cell>
        </row>
      </sheetData>
      <sheetData sheetId="7663">
        <row r="1">
          <cell r="A1" t="str">
            <v>PHIẾU XỬ LÝ HỒ SƠ THANH TOÁN VƯỢT THẨM QUYỀN PD</v>
          </cell>
        </row>
      </sheetData>
      <sheetData sheetId="7664">
        <row r="1">
          <cell r="A1" t="str">
            <v>PHIẾU XỬ LÝ HỒ SƠ THANH TOÁN VƯỢT THẨM QUYỀN PD</v>
          </cell>
        </row>
      </sheetData>
      <sheetData sheetId="7665">
        <row r="1">
          <cell r="A1" t="str">
            <v>PHIẾU XỬ LÝ HỒ SƠ THANH TOÁN VƯỢT THẨM QUYỀN PD</v>
          </cell>
        </row>
      </sheetData>
      <sheetData sheetId="7666">
        <row r="1">
          <cell r="A1" t="str">
            <v>PHIẾU XỬ LÝ HỒ SƠ THANH TOÁN VƯỢT THẨM QUYỀN PD</v>
          </cell>
        </row>
      </sheetData>
      <sheetData sheetId="7667">
        <row r="1">
          <cell r="A1" t="str">
            <v>PHIẾU XỬ LÝ HỒ SƠ THANH TOÁN VƯỢT THẨM QUYỀN PD</v>
          </cell>
        </row>
      </sheetData>
      <sheetData sheetId="7668">
        <row r="1">
          <cell r="A1" t="str">
            <v>PHIẾU XỬ LÝ HỒ SƠ THANH TOÁN VƯỢT THẨM QUYỀN PD</v>
          </cell>
        </row>
      </sheetData>
      <sheetData sheetId="7669">
        <row r="1">
          <cell r="A1" t="str">
            <v>PHIẾU XỬ LÝ HỒ SƠ THANH TOÁN VƯỢT THẨM QUYỀN PD</v>
          </cell>
        </row>
      </sheetData>
      <sheetData sheetId="7670">
        <row r="1">
          <cell r="A1" t="str">
            <v>PHIẾU XỬ LÝ HỒ SƠ THANH TOÁN VƯỢT THẨM QUYỀN PD</v>
          </cell>
        </row>
      </sheetData>
      <sheetData sheetId="7671">
        <row r="1">
          <cell r="A1" t="str">
            <v>PHIẾU XỬ LÝ HỒ SƠ THANH TOÁN VƯỢT THẨM QUYỀN PD</v>
          </cell>
        </row>
      </sheetData>
      <sheetData sheetId="7672">
        <row r="1">
          <cell r="A1" t="str">
            <v>PHIẾU XỬ LÝ HỒ SƠ THANH TOÁN VƯỢT THẨM QUYỀN PD</v>
          </cell>
        </row>
      </sheetData>
      <sheetData sheetId="7673">
        <row r="1">
          <cell r="A1" t="str">
            <v>PHIẾU XỬ LÝ HỒ SƠ THANH TOÁN VƯỢT THẨM QUYỀN PD</v>
          </cell>
        </row>
      </sheetData>
      <sheetData sheetId="7674">
        <row r="1">
          <cell r="A1" t="str">
            <v>PHIẾU XỬ LÝ HỒ SƠ THANH TOÁN VƯỢT THẨM QUYỀN PD</v>
          </cell>
        </row>
      </sheetData>
      <sheetData sheetId="7675">
        <row r="1">
          <cell r="A1" t="str">
            <v>PHIẾU XỬ LÝ HỒ SƠ THANH TOÁN VƯỢT THẨM QUYỀN PD</v>
          </cell>
        </row>
      </sheetData>
      <sheetData sheetId="7676">
        <row r="1">
          <cell r="A1" t="str">
            <v>PHIẾU XỬ LÝ HỒ SƠ THANH TOÁN VƯỢT THẨM QUYỀN PD</v>
          </cell>
        </row>
      </sheetData>
      <sheetData sheetId="7677">
        <row r="1">
          <cell r="A1" t="str">
            <v>PHIẾU XỬ LÝ HỒ SƠ THANH TOÁN VƯỢT THẨM QUYỀN PD</v>
          </cell>
        </row>
      </sheetData>
      <sheetData sheetId="7678">
        <row r="1">
          <cell r="A1" t="str">
            <v>PHIẾU XỬ LÝ HỒ SƠ THANH TOÁN VƯỢT THẨM QUYỀN PD</v>
          </cell>
        </row>
      </sheetData>
      <sheetData sheetId="7679">
        <row r="1">
          <cell r="A1" t="str">
            <v>PHIẾU XỬ LÝ HỒ SƠ THANH TOÁN VƯỢT THẨM QUYỀN PD</v>
          </cell>
        </row>
      </sheetData>
      <sheetData sheetId="7680">
        <row r="1">
          <cell r="A1" t="str">
            <v>PHIẾU XỬ LÝ HỒ SƠ THANH TOÁN VƯỢT THẨM QUYỀN PD</v>
          </cell>
        </row>
      </sheetData>
      <sheetData sheetId="7681">
        <row r="1">
          <cell r="A1" t="str">
            <v>PHIẾU XỬ LÝ HỒ SƠ THANH TOÁN VƯỢT THẨM QUYỀN PD</v>
          </cell>
        </row>
      </sheetData>
      <sheetData sheetId="7682">
        <row r="1">
          <cell r="A1" t="str">
            <v>PHIẾU XỬ LÝ HỒ SƠ THANH TOÁN VƯỢT THẨM QUYỀN PD</v>
          </cell>
        </row>
      </sheetData>
      <sheetData sheetId="7683">
        <row r="1">
          <cell r="A1" t="str">
            <v>PHIẾU XỬ LÝ HỒ SƠ THANH TOÁN VƯỢT THẨM QUYỀN PD</v>
          </cell>
        </row>
      </sheetData>
      <sheetData sheetId="7684">
        <row r="1">
          <cell r="A1" t="str">
            <v>PHIẾU XỬ LÝ HỒ SƠ THANH TOÁN VƯỢT THẨM QUYỀN PD</v>
          </cell>
        </row>
      </sheetData>
      <sheetData sheetId="7685">
        <row r="1">
          <cell r="A1" t="str">
            <v>PHIẾU XỬ LÝ HỒ SƠ THANH TOÁN VƯỢT THẨM QUYỀN PD</v>
          </cell>
        </row>
      </sheetData>
      <sheetData sheetId="7686">
        <row r="1">
          <cell r="A1" t="str">
            <v>PHIẾU XỬ LÝ HỒ SƠ THANH TOÁN VƯỢT THẨM QUYỀN PD</v>
          </cell>
        </row>
      </sheetData>
      <sheetData sheetId="7687">
        <row r="1">
          <cell r="A1" t="str">
            <v>PHIẾU XỬ LÝ HỒ SƠ THANH TOÁN VƯỢT THẨM QUYỀN PD</v>
          </cell>
        </row>
      </sheetData>
      <sheetData sheetId="7688">
        <row r="1">
          <cell r="A1" t="str">
            <v>PHIẾU XỬ LÝ HỒ SƠ THANH TOÁN VƯỢT THẨM QUYỀN PD</v>
          </cell>
        </row>
      </sheetData>
      <sheetData sheetId="7689">
        <row r="1">
          <cell r="A1" t="str">
            <v>PHIẾU XỬ LÝ HỒ SƠ THANH TOÁN VƯỢT THẨM QUYỀN PD</v>
          </cell>
        </row>
      </sheetData>
      <sheetData sheetId="7690">
        <row r="1">
          <cell r="A1" t="str">
            <v>PHIẾU XỬ LÝ HỒ SƠ THANH TOÁN VƯỢT THẨM QUYỀN PD</v>
          </cell>
        </row>
      </sheetData>
      <sheetData sheetId="7691">
        <row r="1">
          <cell r="A1" t="str">
            <v>PHIẾU XỬ LÝ HỒ SƠ THANH TOÁN VƯỢT THẨM QUYỀN PD</v>
          </cell>
        </row>
      </sheetData>
      <sheetData sheetId="7692">
        <row r="1">
          <cell r="A1" t="str">
            <v>PHIẾU XỬ LÝ HỒ SƠ THANH TOÁN VƯỢT THẨM QUYỀN PD</v>
          </cell>
        </row>
      </sheetData>
      <sheetData sheetId="7693">
        <row r="1">
          <cell r="A1" t="str">
            <v>PHIẾU XỬ LÝ HỒ SƠ THANH TOÁN VƯỢT THẨM QUYỀN PD</v>
          </cell>
        </row>
      </sheetData>
      <sheetData sheetId="7694">
        <row r="1">
          <cell r="A1" t="str">
            <v>PHIẾU XỬ LÝ HỒ SƠ THANH TOÁN VƯỢT THẨM QUYỀN PD</v>
          </cell>
        </row>
      </sheetData>
      <sheetData sheetId="7695">
        <row r="1">
          <cell r="A1" t="str">
            <v>PHIẾU XỬ LÝ HỒ SƠ THANH TOÁN VƯỢT THẨM QUYỀN PD</v>
          </cell>
        </row>
      </sheetData>
      <sheetData sheetId="7696">
        <row r="1">
          <cell r="A1" t="str">
            <v>PHIẾU XỬ LÝ HỒ SƠ THANH TOÁN VƯỢT THẨM QUYỀN PD</v>
          </cell>
        </row>
      </sheetData>
      <sheetData sheetId="7697">
        <row r="1">
          <cell r="A1" t="str">
            <v>PHIẾU XỬ LÝ HỒ SƠ THANH TOÁN VƯỢT THẨM QUYỀN PD</v>
          </cell>
        </row>
      </sheetData>
      <sheetData sheetId="7698">
        <row r="1">
          <cell r="A1" t="str">
            <v>PHIẾU XỬ LÝ HỒ SƠ THANH TOÁN VƯỢT THẨM QUYỀN PD</v>
          </cell>
        </row>
      </sheetData>
      <sheetData sheetId="7699">
        <row r="1">
          <cell r="A1" t="str">
            <v>PHIẾU XỬ LÝ HỒ SƠ THANH TOÁN VƯỢT THẨM QUYỀN PD</v>
          </cell>
        </row>
      </sheetData>
      <sheetData sheetId="7700">
        <row r="1">
          <cell r="A1" t="str">
            <v>PHIẾU XỬ LÝ HỒ SƠ THANH TOÁN VƯỢT THẨM QUYỀN PD</v>
          </cell>
        </row>
      </sheetData>
      <sheetData sheetId="7701">
        <row r="1">
          <cell r="A1" t="str">
            <v>PHIẾU XỬ LÝ HỒ SƠ THANH TOÁN VƯỢT THẨM QUYỀN PD</v>
          </cell>
        </row>
      </sheetData>
      <sheetData sheetId="7702">
        <row r="1">
          <cell r="A1" t="str">
            <v>PHIẾU XỬ LÝ HỒ SƠ THANH TOÁN VƯỢT THẨM QUYỀN PD</v>
          </cell>
        </row>
      </sheetData>
      <sheetData sheetId="7703">
        <row r="1">
          <cell r="A1" t="str">
            <v>PHIẾU XỬ LÝ HỒ SƠ THANH TOÁN VƯỢT THẨM QUYỀN PD</v>
          </cell>
        </row>
      </sheetData>
      <sheetData sheetId="7704">
        <row r="1">
          <cell r="A1" t="str">
            <v>PHIẾU XỬ LÝ HỒ SƠ THANH TOÁN VƯỢT THẨM QUYỀN PD</v>
          </cell>
        </row>
      </sheetData>
      <sheetData sheetId="7705">
        <row r="1">
          <cell r="A1" t="str">
            <v>PHIẾU XỬ LÝ HỒ SƠ THANH TOÁN VƯỢT THẨM QUYỀN PD</v>
          </cell>
        </row>
      </sheetData>
      <sheetData sheetId="7706">
        <row r="1">
          <cell r="A1" t="str">
            <v>PHIẾU XỬ LÝ HỒ SƠ THANH TOÁN VƯỢT THẨM QUYỀN PD</v>
          </cell>
        </row>
      </sheetData>
      <sheetData sheetId="7707">
        <row r="1">
          <cell r="A1" t="str">
            <v>PHIẾU XỬ LÝ HỒ SƠ THANH TOÁN VƯỢT THẨM QUYỀN PD</v>
          </cell>
        </row>
      </sheetData>
      <sheetData sheetId="7708">
        <row r="1">
          <cell r="A1" t="str">
            <v>PHIẾU XỬ LÝ HỒ SƠ THANH TOÁN VƯỢT THẨM QUYỀN PD</v>
          </cell>
        </row>
      </sheetData>
      <sheetData sheetId="7709">
        <row r="1">
          <cell r="A1" t="str">
            <v>PHIẾU XỬ LÝ HỒ SƠ THANH TOÁN VƯỢT THẨM QUYỀN PD</v>
          </cell>
        </row>
      </sheetData>
      <sheetData sheetId="7710">
        <row r="1">
          <cell r="A1" t="str">
            <v>PHIẾU XỬ LÝ HỒ SƠ THANH TOÁN VƯỢT THẨM QUYỀN PD</v>
          </cell>
        </row>
      </sheetData>
      <sheetData sheetId="7711">
        <row r="1">
          <cell r="A1" t="str">
            <v>PHIẾU XỬ LÝ HỒ SƠ THANH TOÁN VƯỢT THẨM QUYỀN PD</v>
          </cell>
        </row>
      </sheetData>
      <sheetData sheetId="7712">
        <row r="1">
          <cell r="A1" t="str">
            <v>PHIẾU XỬ LÝ HỒ SƠ THANH TOÁN VƯỢT THẨM QUYỀN PD</v>
          </cell>
        </row>
      </sheetData>
      <sheetData sheetId="7713">
        <row r="1">
          <cell r="A1" t="str">
            <v>PHIẾU XỬ LÝ HỒ SƠ THANH TOÁN VƯỢT THẨM QUYỀN PD</v>
          </cell>
        </row>
      </sheetData>
      <sheetData sheetId="7714">
        <row r="1">
          <cell r="A1" t="str">
            <v>PHIẾU XỬ LÝ HỒ SƠ THANH TOÁN VƯỢT THẨM QUYỀN PD</v>
          </cell>
        </row>
      </sheetData>
      <sheetData sheetId="7715">
        <row r="1">
          <cell r="A1" t="str">
            <v>PHIẾU XỬ LÝ HỒ SƠ THANH TOÁN VƯỢT THẨM QUYỀN PD</v>
          </cell>
        </row>
      </sheetData>
      <sheetData sheetId="7716">
        <row r="1">
          <cell r="A1" t="str">
            <v>PHIẾU XỬ LÝ HỒ SƠ THANH TOÁN VƯỢT THẨM QUYỀN PD</v>
          </cell>
        </row>
      </sheetData>
      <sheetData sheetId="7717">
        <row r="1">
          <cell r="A1" t="str">
            <v>PHIẾU XỬ LÝ HỒ SƠ THANH TOÁN VƯỢT THẨM QUYỀN PD</v>
          </cell>
        </row>
      </sheetData>
      <sheetData sheetId="7718">
        <row r="1">
          <cell r="A1" t="str">
            <v>PHIẾU XỬ LÝ HỒ SƠ THANH TOÁN VƯỢT THẨM QUYỀN PD</v>
          </cell>
        </row>
      </sheetData>
      <sheetData sheetId="7719">
        <row r="1">
          <cell r="A1" t="str">
            <v>PHIẾU XỬ LÝ HỒ SƠ THANH TOÁN VƯỢT THẨM QUYỀN PD</v>
          </cell>
        </row>
      </sheetData>
      <sheetData sheetId="7720">
        <row r="1">
          <cell r="A1" t="str">
            <v>PHIẾU XỬ LÝ HỒ SƠ THANH TOÁN VƯỢT THẨM QUYỀN PD</v>
          </cell>
        </row>
      </sheetData>
      <sheetData sheetId="7721">
        <row r="1">
          <cell r="A1" t="str">
            <v>PHIẾU XỬ LÝ HỒ SƠ THANH TOÁN VƯỢT THẨM QUYỀN PD</v>
          </cell>
        </row>
      </sheetData>
      <sheetData sheetId="7722">
        <row r="1">
          <cell r="A1" t="str">
            <v>PHIẾU XỬ LÝ HỒ SƠ THANH TOÁN VƯỢT THẨM QUYỀN PD</v>
          </cell>
        </row>
      </sheetData>
      <sheetData sheetId="7723">
        <row r="1">
          <cell r="A1" t="str">
            <v>PHIẾU XỬ LÝ HỒ SƠ THANH TOÁN VƯỢT THẨM QUYỀN PD</v>
          </cell>
        </row>
      </sheetData>
      <sheetData sheetId="7724">
        <row r="1">
          <cell r="A1" t="str">
            <v>PHIẾU XỬ LÝ HỒ SƠ THANH TOÁN VƯỢT THẨM QUYỀN PD</v>
          </cell>
        </row>
      </sheetData>
      <sheetData sheetId="7725">
        <row r="1">
          <cell r="A1" t="str">
            <v>PHIẾU XỬ LÝ HỒ SƠ THANH TOÁN VƯỢT THẨM QUYỀN PD</v>
          </cell>
        </row>
      </sheetData>
      <sheetData sheetId="7726">
        <row r="1">
          <cell r="A1" t="str">
            <v>PHIẾU XỬ LÝ HỒ SƠ THANH TOÁN VƯỢT THẨM QUYỀN PD</v>
          </cell>
        </row>
      </sheetData>
      <sheetData sheetId="7727">
        <row r="1">
          <cell r="A1" t="str">
            <v>PHIẾU XỬ LÝ HỒ SƠ THANH TOÁN VƯỢT THẨM QUYỀN PD</v>
          </cell>
        </row>
      </sheetData>
      <sheetData sheetId="7728">
        <row r="1">
          <cell r="A1" t="str">
            <v>PHIẾU XỬ LÝ HỒ SƠ THANH TOÁN VƯỢT THẨM QUYỀN PD</v>
          </cell>
        </row>
      </sheetData>
      <sheetData sheetId="7729">
        <row r="1">
          <cell r="A1" t="str">
            <v>PHIẾU XỬ LÝ HỒ SƠ THANH TOÁN VƯỢT THẨM QUYỀN PD</v>
          </cell>
        </row>
      </sheetData>
      <sheetData sheetId="7730">
        <row r="1">
          <cell r="A1" t="str">
            <v>PHIẾU XỬ LÝ HỒ SƠ THANH TOÁN VƯỢT THẨM QUYỀN PD</v>
          </cell>
        </row>
      </sheetData>
      <sheetData sheetId="7731">
        <row r="1">
          <cell r="A1" t="str">
            <v>PHIẾU XỬ LÝ HỒ SƠ THANH TOÁN VƯỢT THẨM QUYỀN PD</v>
          </cell>
        </row>
      </sheetData>
      <sheetData sheetId="7732">
        <row r="1">
          <cell r="A1" t="str">
            <v>PHIẾU XỬ LÝ HỒ SƠ THANH TOÁN VƯỢT THẨM QUYỀN PD</v>
          </cell>
        </row>
      </sheetData>
      <sheetData sheetId="7733">
        <row r="1">
          <cell r="A1" t="str">
            <v>PHIẾU XỬ LÝ HỒ SƠ THANH TOÁN VƯỢT THẨM QUYỀN PD</v>
          </cell>
        </row>
      </sheetData>
      <sheetData sheetId="7734">
        <row r="1">
          <cell r="A1" t="str">
            <v>PHIẾU XỬ LÝ HỒ SƠ THANH TOÁN VƯỢT THẨM QUYỀN PD</v>
          </cell>
        </row>
      </sheetData>
      <sheetData sheetId="7735">
        <row r="1">
          <cell r="A1" t="str">
            <v>PHIẾU XỬ LÝ HỒ SƠ THANH TOÁN VƯỢT THẨM QUYỀN PD</v>
          </cell>
        </row>
      </sheetData>
      <sheetData sheetId="7736">
        <row r="1">
          <cell r="A1" t="str">
            <v>PHIẾU XỬ LÝ HỒ SƠ THANH TOÁN VƯỢT THẨM QUYỀN PD</v>
          </cell>
        </row>
      </sheetData>
      <sheetData sheetId="7737">
        <row r="1">
          <cell r="A1" t="str">
            <v>PHIẾU XỬ LÝ HỒ SƠ THANH TOÁN VƯỢT THẨM QUYỀN PD</v>
          </cell>
        </row>
      </sheetData>
      <sheetData sheetId="7738">
        <row r="1">
          <cell r="A1" t="str">
            <v>PHIẾU XỬ LÝ HỒ SƠ THANH TOÁN VƯỢT THẨM QUYỀN PD</v>
          </cell>
        </row>
      </sheetData>
      <sheetData sheetId="7739">
        <row r="1">
          <cell r="A1" t="str">
            <v>PHIẾU XỬ LÝ HỒ SƠ THANH TOÁN VƯỢT THẨM QUYỀN PD</v>
          </cell>
        </row>
      </sheetData>
      <sheetData sheetId="7740">
        <row r="1">
          <cell r="A1" t="str">
            <v>PHIẾU XỬ LÝ HỒ SƠ THANH TOÁN VƯỢT THẨM QUYỀN PD</v>
          </cell>
        </row>
      </sheetData>
      <sheetData sheetId="7741">
        <row r="1">
          <cell r="A1" t="str">
            <v>PHIẾU XỬ LÝ HỒ SƠ THANH TOÁN VƯỢT THẨM QUYỀN PD</v>
          </cell>
        </row>
      </sheetData>
      <sheetData sheetId="7742">
        <row r="1">
          <cell r="A1" t="str">
            <v>PHIẾU XỬ LÝ HỒ SƠ THANH TOÁN VƯỢT THẨM QUYỀN PD</v>
          </cell>
        </row>
      </sheetData>
      <sheetData sheetId="7743">
        <row r="1">
          <cell r="A1" t="str">
            <v>PHIẾU XỬ LÝ HỒ SƠ THANH TOÁN VƯỢT THẨM QUYỀN PD</v>
          </cell>
        </row>
      </sheetData>
      <sheetData sheetId="7744">
        <row r="1">
          <cell r="A1" t="str">
            <v>PHIẾU XỬ LÝ HỒ SƠ THANH TOÁN VƯỢT THẨM QUYỀN PD</v>
          </cell>
        </row>
      </sheetData>
      <sheetData sheetId="7745">
        <row r="1">
          <cell r="A1" t="str">
            <v>PHIẾU XỬ LÝ HỒ SƠ THANH TOÁN VƯỢT THẨM QUYỀN PD</v>
          </cell>
        </row>
      </sheetData>
      <sheetData sheetId="7746">
        <row r="1">
          <cell r="A1" t="str">
            <v>PHIẾU XỬ LÝ HỒ SƠ THANH TOÁN VƯỢT THẨM QUYỀN PD</v>
          </cell>
        </row>
      </sheetData>
      <sheetData sheetId="7747">
        <row r="1">
          <cell r="A1" t="str">
            <v>PHIẾU XỬ LÝ HỒ SƠ THANH TOÁN VƯỢT THẨM QUYỀN PD</v>
          </cell>
        </row>
      </sheetData>
      <sheetData sheetId="7748">
        <row r="1">
          <cell r="A1" t="str">
            <v>PHIẾU XỬ LÝ HỒ SƠ THANH TOÁN VƯỢT THẨM QUYỀN PD</v>
          </cell>
        </row>
      </sheetData>
      <sheetData sheetId="7749">
        <row r="1">
          <cell r="A1" t="str">
            <v>PHIẾU XỬ LÝ HỒ SƠ THANH TOÁN VƯỢT THẨM QUYỀN PD</v>
          </cell>
        </row>
      </sheetData>
      <sheetData sheetId="7750">
        <row r="1">
          <cell r="A1" t="str">
            <v>PHIẾU XỬ LÝ HỒ SƠ THANH TOÁN VƯỢT THẨM QUYỀN PD</v>
          </cell>
        </row>
      </sheetData>
      <sheetData sheetId="7751">
        <row r="1">
          <cell r="A1" t="str">
            <v>PHIẾU XỬ LÝ HỒ SƠ THANH TOÁN VƯỢT THẨM QUYỀN PD</v>
          </cell>
        </row>
      </sheetData>
      <sheetData sheetId="7752">
        <row r="1">
          <cell r="A1" t="str">
            <v>PHIẾU XỬ LÝ HỒ SƠ THANH TOÁN VƯỢT THẨM QUYỀN PD</v>
          </cell>
        </row>
      </sheetData>
      <sheetData sheetId="7753">
        <row r="1">
          <cell r="A1" t="str">
            <v>PHIẾU XỬ LÝ HỒ SƠ THANH TOÁN VƯỢT THẨM QUYỀN PD</v>
          </cell>
        </row>
      </sheetData>
      <sheetData sheetId="7754">
        <row r="1">
          <cell r="A1" t="str">
            <v>PHIẾU XỬ LÝ HỒ SƠ THANH TOÁN VƯỢT THẨM QUYỀN PD</v>
          </cell>
        </row>
      </sheetData>
      <sheetData sheetId="7755">
        <row r="1">
          <cell r="A1" t="str">
            <v>PHIẾU XỬ LÝ HỒ SƠ THANH TOÁN VƯỢT THẨM QUYỀN PD</v>
          </cell>
        </row>
      </sheetData>
      <sheetData sheetId="7756">
        <row r="1">
          <cell r="A1" t="str">
            <v>PHIẾU XỬ LÝ HỒ SƠ THANH TOÁN VƯỢT THẨM QUYỀN PD</v>
          </cell>
        </row>
      </sheetData>
      <sheetData sheetId="7757">
        <row r="1">
          <cell r="A1" t="str">
            <v>PHIẾU XỬ LÝ HỒ SƠ THANH TOÁN VƯỢT THẨM QUYỀN PD</v>
          </cell>
        </row>
      </sheetData>
      <sheetData sheetId="7758">
        <row r="1">
          <cell r="A1" t="str">
            <v>PHIẾU XỬ LÝ HỒ SƠ THANH TOÁN VƯỢT THẨM QUYỀN PD</v>
          </cell>
        </row>
      </sheetData>
      <sheetData sheetId="7759">
        <row r="1">
          <cell r="A1" t="str">
            <v>PHIẾU XỬ LÝ HỒ SƠ THANH TOÁN VƯỢT THẨM QUYỀN PD</v>
          </cell>
        </row>
      </sheetData>
      <sheetData sheetId="7760">
        <row r="1">
          <cell r="A1" t="str">
            <v>PHIẾU XỬ LÝ HỒ SƠ THANH TOÁN VƯỢT THẨM QUYỀN PD</v>
          </cell>
        </row>
      </sheetData>
      <sheetData sheetId="7761">
        <row r="1">
          <cell r="A1" t="str">
            <v>PHIẾU XỬ LÝ HỒ SƠ THANH TOÁN VƯỢT THẨM QUYỀN PD</v>
          </cell>
        </row>
      </sheetData>
      <sheetData sheetId="7762">
        <row r="1">
          <cell r="A1" t="str">
            <v>PHIẾU XỬ LÝ HỒ SƠ THANH TOÁN VƯỢT THẨM QUYỀN PD</v>
          </cell>
        </row>
      </sheetData>
      <sheetData sheetId="7763">
        <row r="1">
          <cell r="A1" t="str">
            <v>PHIẾU XỬ LÝ HỒ SƠ THANH TOÁN VƯỢT THẨM QUYỀN PD</v>
          </cell>
        </row>
      </sheetData>
      <sheetData sheetId="7764">
        <row r="1">
          <cell r="A1" t="str">
            <v>PHIẾU XỬ LÝ HỒ SƠ THANH TOÁN VƯỢT THẨM QUYỀN PD</v>
          </cell>
        </row>
      </sheetData>
      <sheetData sheetId="7765">
        <row r="1">
          <cell r="A1" t="str">
            <v>PHIẾU XỬ LÝ HỒ SƠ THANH TOÁN VƯỢT THẨM QUYỀN PD</v>
          </cell>
        </row>
      </sheetData>
      <sheetData sheetId="7766">
        <row r="1">
          <cell r="A1" t="str">
            <v>PHIẾU XỬ LÝ HỒ SƠ THANH TOÁN VƯỢT THẨM QUYỀN PD</v>
          </cell>
        </row>
      </sheetData>
      <sheetData sheetId="7767">
        <row r="1">
          <cell r="A1" t="str">
            <v>PHIẾU XỬ LÝ HỒ SƠ THANH TOÁN VƯỢT THẨM QUYỀN PD</v>
          </cell>
        </row>
      </sheetData>
      <sheetData sheetId="7768">
        <row r="1">
          <cell r="A1" t="str">
            <v>PHIẾU XỬ LÝ HỒ SƠ THANH TOÁN VƯỢT THẨM QUYỀN PD</v>
          </cell>
        </row>
      </sheetData>
      <sheetData sheetId="7769">
        <row r="1">
          <cell r="A1" t="str">
            <v>PHIẾU XỬ LÝ HỒ SƠ THANH TOÁN VƯỢT THẨM QUYỀN PD</v>
          </cell>
        </row>
      </sheetData>
      <sheetData sheetId="7770">
        <row r="1">
          <cell r="A1" t="str">
            <v>PHIẾU XỬ LÝ HỒ SƠ THANH TOÁN VƯỢT THẨM QUYỀN PD</v>
          </cell>
        </row>
      </sheetData>
      <sheetData sheetId="7771">
        <row r="1">
          <cell r="A1" t="str">
            <v>PHIẾU XỬ LÝ HỒ SƠ THANH TOÁN VƯỢT THẨM QUYỀN PD</v>
          </cell>
        </row>
      </sheetData>
      <sheetData sheetId="7772">
        <row r="1">
          <cell r="A1" t="str">
            <v>PHIẾU XỬ LÝ HỒ SƠ THANH TOÁN VƯỢT THẨM QUYỀN PD</v>
          </cell>
        </row>
      </sheetData>
      <sheetData sheetId="7773">
        <row r="1">
          <cell r="A1" t="str">
            <v>PHIẾU XỬ LÝ HỒ SƠ THANH TOÁN VƯỢT THẨM QUYỀN PD</v>
          </cell>
        </row>
      </sheetData>
      <sheetData sheetId="7774">
        <row r="1">
          <cell r="A1" t="str">
            <v>PHIẾU XỬ LÝ HỒ SƠ THANH TOÁN VƯỢT THẨM QUYỀN PD</v>
          </cell>
        </row>
      </sheetData>
      <sheetData sheetId="7775">
        <row r="1">
          <cell r="A1" t="str">
            <v>PHIẾU XỬ LÝ HỒ SƠ THANH TOÁN VƯỢT THẨM QUYỀN PD</v>
          </cell>
        </row>
      </sheetData>
      <sheetData sheetId="7776">
        <row r="1">
          <cell r="A1" t="str">
            <v>PHIẾU XỬ LÝ HỒ SƠ THANH TOÁN VƯỢT THẨM QUYỀN PD</v>
          </cell>
        </row>
      </sheetData>
      <sheetData sheetId="7777">
        <row r="1">
          <cell r="A1" t="str">
            <v>PHIẾU XỬ LÝ HỒ SƠ THANH TOÁN VƯỢT THẨM QUYỀN PD</v>
          </cell>
        </row>
      </sheetData>
      <sheetData sheetId="7778">
        <row r="1">
          <cell r="A1" t="str">
            <v>PHIẾU XỬ LÝ HỒ SƠ THANH TOÁN VƯỢT THẨM QUYỀN PD</v>
          </cell>
        </row>
      </sheetData>
      <sheetData sheetId="7779">
        <row r="1">
          <cell r="A1" t="str">
            <v>PHIẾU XỬ LÝ HỒ SƠ THANH TOÁN VƯỢT THẨM QUYỀN PD</v>
          </cell>
        </row>
      </sheetData>
      <sheetData sheetId="7780">
        <row r="1">
          <cell r="A1" t="str">
            <v>PHIẾU XỬ LÝ HỒ SƠ THANH TOÁN VƯỢT THẨM QUYỀN PD</v>
          </cell>
        </row>
      </sheetData>
      <sheetData sheetId="7781">
        <row r="1">
          <cell r="A1" t="str">
            <v>PHIẾU XỬ LÝ HỒ SƠ THANH TOÁN VƯỢT THẨM QUYỀN PD</v>
          </cell>
        </row>
      </sheetData>
      <sheetData sheetId="7782">
        <row r="1">
          <cell r="A1" t="str">
            <v>PHIẾU XỬ LÝ HỒ SƠ THANH TOÁN VƯỢT THẨM QUYỀN PD</v>
          </cell>
        </row>
      </sheetData>
      <sheetData sheetId="7783">
        <row r="1">
          <cell r="A1" t="str">
            <v>PHIẾU XỬ LÝ HỒ SƠ THANH TOÁN VƯỢT THẨM QUYỀN PD</v>
          </cell>
        </row>
      </sheetData>
      <sheetData sheetId="7784">
        <row r="1">
          <cell r="A1" t="str">
            <v>PHIẾU XỬ LÝ HỒ SƠ THANH TOÁN VƯỢT THẨM QUYỀN PD</v>
          </cell>
        </row>
      </sheetData>
      <sheetData sheetId="7785">
        <row r="1">
          <cell r="A1" t="str">
            <v>PHIẾU XỬ LÝ HỒ SƠ THANH TOÁN VƯỢT THẨM QUYỀN PD</v>
          </cell>
        </row>
      </sheetData>
      <sheetData sheetId="7786">
        <row r="1">
          <cell r="A1" t="str">
            <v>PHIẾU XỬ LÝ HỒ SƠ THANH TOÁN VƯỢT THẨM QUYỀN PD</v>
          </cell>
        </row>
      </sheetData>
      <sheetData sheetId="7787">
        <row r="1">
          <cell r="A1" t="str">
            <v>PHIẾU XỬ LÝ HỒ SƠ THANH TOÁN VƯỢT THẨM QUYỀN PD</v>
          </cell>
        </row>
      </sheetData>
      <sheetData sheetId="7788">
        <row r="1">
          <cell r="A1" t="str">
            <v>PHIẾU XỬ LÝ HỒ SƠ THANH TOÁN VƯỢT THẨM QUYỀN PD</v>
          </cell>
        </row>
      </sheetData>
      <sheetData sheetId="7789">
        <row r="1">
          <cell r="A1" t="str">
            <v>PHIẾU XỬ LÝ HỒ SƠ THANH TOÁN VƯỢT THẨM QUYỀN PD</v>
          </cell>
        </row>
      </sheetData>
      <sheetData sheetId="7790">
        <row r="1">
          <cell r="A1" t="str">
            <v>PHIẾU XỬ LÝ HỒ SƠ THANH TOÁN VƯỢT THẨM QUYỀN PD</v>
          </cell>
        </row>
      </sheetData>
      <sheetData sheetId="7791">
        <row r="1">
          <cell r="A1" t="str">
            <v>PHIẾU XỬ LÝ HỒ SƠ THANH TOÁN VƯỢT THẨM QUYỀN PD</v>
          </cell>
        </row>
      </sheetData>
      <sheetData sheetId="7792">
        <row r="1">
          <cell r="A1" t="str">
            <v>PHIẾU XỬ LÝ HỒ SƠ THANH TOÁN VƯỢT THẨM QUYỀN PD</v>
          </cell>
        </row>
      </sheetData>
      <sheetData sheetId="7793">
        <row r="1">
          <cell r="A1" t="str">
            <v>PHIẾU XỬ LÝ HỒ SƠ THANH TOÁN VƯỢT THẨM QUYỀN PD</v>
          </cell>
        </row>
      </sheetData>
      <sheetData sheetId="7794">
        <row r="1">
          <cell r="A1" t="str">
            <v>PHIẾU XỬ LÝ HỒ SƠ THANH TOÁN VƯỢT THẨM QUYỀN PD</v>
          </cell>
        </row>
      </sheetData>
      <sheetData sheetId="7795">
        <row r="1">
          <cell r="A1" t="str">
            <v>PHIẾU XỬ LÝ HỒ SƠ THANH TOÁN VƯỢT THẨM QUYỀN PD</v>
          </cell>
        </row>
      </sheetData>
      <sheetData sheetId="7796">
        <row r="1">
          <cell r="A1" t="str">
            <v>PHIẾU XỬ LÝ HỒ SƠ THANH TOÁN VƯỢT THẨM QUYỀN PD</v>
          </cell>
        </row>
      </sheetData>
      <sheetData sheetId="7797">
        <row r="1">
          <cell r="A1" t="str">
            <v>PHIẾU XỬ LÝ HỒ SƠ THANH TOÁN VƯỢT THẨM QUYỀN PD</v>
          </cell>
        </row>
      </sheetData>
      <sheetData sheetId="7798">
        <row r="1">
          <cell r="A1" t="str">
            <v>PHIẾU XỬ LÝ HỒ SƠ THANH TOÁN VƯỢT THẨM QUYỀN PD</v>
          </cell>
        </row>
      </sheetData>
      <sheetData sheetId="7799">
        <row r="1">
          <cell r="A1" t="str">
            <v>PHIẾU XỬ LÝ HỒ SƠ THANH TOÁN VƯỢT THẨM QUYỀN PD</v>
          </cell>
        </row>
      </sheetData>
      <sheetData sheetId="7800">
        <row r="1">
          <cell r="A1" t="str">
            <v>PHIẾU XỬ LÝ HỒ SƠ THANH TOÁN VƯỢT THẨM QUYỀN PD</v>
          </cell>
        </row>
      </sheetData>
      <sheetData sheetId="7801">
        <row r="1">
          <cell r="A1" t="str">
            <v>PHIẾU XỬ LÝ HỒ SƠ THANH TOÁN VƯỢT THẨM QUYỀN PD</v>
          </cell>
        </row>
      </sheetData>
      <sheetData sheetId="7802">
        <row r="1">
          <cell r="A1" t="str">
            <v>PHIẾU XỬ LÝ HỒ SƠ THANH TOÁN VƯỢT THẨM QUYỀN PD</v>
          </cell>
        </row>
      </sheetData>
      <sheetData sheetId="7803">
        <row r="1">
          <cell r="A1" t="str">
            <v>PHIẾU XỬ LÝ HỒ SƠ THANH TOÁN VƯỢT THẨM QUYỀN PD</v>
          </cell>
        </row>
      </sheetData>
      <sheetData sheetId="7804">
        <row r="1">
          <cell r="A1" t="str">
            <v>PHIẾU XỬ LÝ HỒ SƠ THANH TOÁN VƯỢT THẨM QUYỀN PD</v>
          </cell>
        </row>
      </sheetData>
      <sheetData sheetId="7805">
        <row r="1">
          <cell r="A1" t="str">
            <v>PHIẾU XỬ LÝ HỒ SƠ THANH TOÁN VƯỢT THẨM QUYỀN PD</v>
          </cell>
        </row>
      </sheetData>
      <sheetData sheetId="7806">
        <row r="1">
          <cell r="A1" t="str">
            <v>PHIẾU XỬ LÝ HỒ SƠ THANH TOÁN VƯỢT THẨM QUYỀN PD</v>
          </cell>
        </row>
      </sheetData>
      <sheetData sheetId="7807">
        <row r="1">
          <cell r="A1" t="str">
            <v>PHIẾU XỬ LÝ HỒ SƠ THANH TOÁN VƯỢT THẨM QUYỀN PD</v>
          </cell>
        </row>
      </sheetData>
      <sheetData sheetId="7808">
        <row r="1">
          <cell r="A1" t="str">
            <v>PHIẾU XỬ LÝ HỒ SƠ THANH TOÁN VƯỢT THẨM QUYỀN PD</v>
          </cell>
        </row>
      </sheetData>
      <sheetData sheetId="7809">
        <row r="1">
          <cell r="A1" t="str">
            <v>PHIẾU XỬ LÝ HỒ SƠ THANH TOÁN VƯỢT THẨM QUYỀN PD</v>
          </cell>
        </row>
      </sheetData>
      <sheetData sheetId="7810">
        <row r="1">
          <cell r="A1" t="str">
            <v>PHIẾU XỬ LÝ HỒ SƠ THANH TOÁN VƯỢT THẨM QUYỀN PD</v>
          </cell>
        </row>
      </sheetData>
      <sheetData sheetId="7811">
        <row r="1">
          <cell r="A1" t="str">
            <v>PHIẾU XỬ LÝ HỒ SƠ THANH TOÁN VƯỢT THẨM QUYỀN PD</v>
          </cell>
        </row>
      </sheetData>
      <sheetData sheetId="7812">
        <row r="1">
          <cell r="A1" t="str">
            <v>PHIẾU XỬ LÝ HỒ SƠ THANH TOÁN VƯỢT THẨM QUYỀN PD</v>
          </cell>
        </row>
      </sheetData>
      <sheetData sheetId="7813">
        <row r="1">
          <cell r="A1" t="str">
            <v>PHIẾU XỬ LÝ HỒ SƠ THANH TOÁN VƯỢT THẨM QUYỀN PD</v>
          </cell>
        </row>
      </sheetData>
      <sheetData sheetId="7814">
        <row r="1">
          <cell r="A1" t="str">
            <v>PHIẾU XỬ LÝ HỒ SƠ THANH TOÁN VƯỢT THẨM QUYỀN PD</v>
          </cell>
        </row>
      </sheetData>
      <sheetData sheetId="7815">
        <row r="1">
          <cell r="A1" t="str">
            <v>PHIẾU XỬ LÝ HỒ SƠ THANH TOÁN VƯỢT THẨM QUYỀN PD</v>
          </cell>
        </row>
      </sheetData>
      <sheetData sheetId="7816">
        <row r="1">
          <cell r="A1" t="str">
            <v>PHIẾU XỬ LÝ HỒ SƠ THANH TOÁN VƯỢT THẨM QUYỀN PD</v>
          </cell>
        </row>
      </sheetData>
      <sheetData sheetId="7817">
        <row r="1">
          <cell r="A1" t="str">
            <v>PHIẾU XỬ LÝ HỒ SƠ THANH TOÁN VƯỢT THẨM QUYỀN PD</v>
          </cell>
        </row>
      </sheetData>
      <sheetData sheetId="7818">
        <row r="1">
          <cell r="A1" t="str">
            <v>PHIẾU XỬ LÝ HỒ SƠ THANH TOÁN VƯỢT THẨM QUYỀN PD</v>
          </cell>
        </row>
      </sheetData>
      <sheetData sheetId="7819">
        <row r="1">
          <cell r="A1" t="str">
            <v>PHIẾU XỬ LÝ HỒ SƠ THANH TOÁN VƯỢT THẨM QUYỀN PD</v>
          </cell>
        </row>
      </sheetData>
      <sheetData sheetId="7820">
        <row r="1">
          <cell r="A1" t="str">
            <v>PHIẾU XỬ LÝ HỒ SƠ THANH TOÁN VƯỢT THẨM QUYỀN PD</v>
          </cell>
        </row>
      </sheetData>
      <sheetData sheetId="7821">
        <row r="1">
          <cell r="A1" t="str">
            <v>PHIẾU XỬ LÝ HỒ SƠ THANH TOÁN VƯỢT THẨM QUYỀN PD</v>
          </cell>
        </row>
      </sheetData>
      <sheetData sheetId="7822">
        <row r="1">
          <cell r="A1" t="str">
            <v>PHIẾU XỬ LÝ HỒ SƠ THANH TOÁN VƯỢT THẨM QUYỀN PD</v>
          </cell>
        </row>
      </sheetData>
      <sheetData sheetId="7823">
        <row r="1">
          <cell r="A1" t="str">
            <v>PHIẾU XỬ LÝ HỒ SƠ THANH TOÁN VƯỢT THẨM QUYỀN PD</v>
          </cell>
        </row>
      </sheetData>
      <sheetData sheetId="7824">
        <row r="1">
          <cell r="A1" t="str">
            <v>PHIẾU XỬ LÝ HỒ SƠ THANH TOÁN VƯỢT THẨM QUYỀN PD</v>
          </cell>
        </row>
      </sheetData>
      <sheetData sheetId="7825">
        <row r="1">
          <cell r="A1" t="str">
            <v>PHIẾU XỬ LÝ HỒ SƠ THANH TOÁN VƯỢT THẨM QUYỀN PD</v>
          </cell>
        </row>
      </sheetData>
      <sheetData sheetId="7826">
        <row r="1">
          <cell r="A1" t="str">
            <v>PHIẾU XỬ LÝ HỒ SƠ THANH TOÁN VƯỢT THẨM QUYỀN PD</v>
          </cell>
        </row>
      </sheetData>
      <sheetData sheetId="7827">
        <row r="1">
          <cell r="A1" t="str">
            <v>PHIẾU XỬ LÝ HỒ SƠ THANH TOÁN VƯỢT THẨM QUYỀN PD</v>
          </cell>
        </row>
      </sheetData>
      <sheetData sheetId="7828">
        <row r="1">
          <cell r="A1" t="str">
            <v>PHIẾU XỬ LÝ HỒ SƠ THANH TOÁN VƯỢT THẨM QUYỀN PD</v>
          </cell>
        </row>
      </sheetData>
      <sheetData sheetId="7829">
        <row r="1">
          <cell r="A1" t="str">
            <v>PHIẾU XỬ LÝ HỒ SƠ THANH TOÁN VƯỢT THẨM QUYỀN PD</v>
          </cell>
        </row>
      </sheetData>
      <sheetData sheetId="7830">
        <row r="1">
          <cell r="A1" t="str">
            <v>PHIẾU XỬ LÝ HỒ SƠ THANH TOÁN VƯỢT THẨM QUYỀN PD</v>
          </cell>
        </row>
      </sheetData>
      <sheetData sheetId="7831">
        <row r="1">
          <cell r="A1" t="str">
            <v>PHIẾU XỬ LÝ HỒ SƠ THANH TOÁN VƯỢT THẨM QUYỀN PD</v>
          </cell>
        </row>
      </sheetData>
      <sheetData sheetId="7832">
        <row r="1">
          <cell r="A1" t="str">
            <v>PHIẾU XỬ LÝ HỒ SƠ THANH TOÁN VƯỢT THẨM QUYỀN PD</v>
          </cell>
        </row>
      </sheetData>
      <sheetData sheetId="7833">
        <row r="1">
          <cell r="A1" t="str">
            <v>PHIẾU XỬ LÝ HỒ SƠ THANH TOÁN VƯỢT THẨM QUYỀN PD</v>
          </cell>
        </row>
      </sheetData>
      <sheetData sheetId="7834">
        <row r="1">
          <cell r="A1" t="str">
            <v>PHIẾU XỬ LÝ HỒ SƠ THANH TOÁN VƯỢT THẨM QUYỀN PD</v>
          </cell>
        </row>
      </sheetData>
      <sheetData sheetId="7835">
        <row r="1">
          <cell r="A1" t="str">
            <v>PHIẾU XỬ LÝ HỒ SƠ THANH TOÁN VƯỢT THẨM QUYỀN PD</v>
          </cell>
        </row>
      </sheetData>
      <sheetData sheetId="7836">
        <row r="1">
          <cell r="A1" t="str">
            <v>PHIẾU XỬ LÝ HỒ SƠ THANH TOÁN VƯỢT THẨM QUYỀN PD</v>
          </cell>
        </row>
      </sheetData>
      <sheetData sheetId="7837">
        <row r="1">
          <cell r="A1" t="str">
            <v>PHIẾU XỬ LÝ HỒ SƠ THANH TOÁN VƯỢT THẨM QUYỀN PD</v>
          </cell>
        </row>
      </sheetData>
      <sheetData sheetId="7838">
        <row r="1">
          <cell r="A1" t="str">
            <v>PHIẾU XỬ LÝ HỒ SƠ THANH TOÁN VƯỢT THẨM QUYỀN PD</v>
          </cell>
        </row>
      </sheetData>
      <sheetData sheetId="7839">
        <row r="1">
          <cell r="A1" t="str">
            <v>PHIẾU XỬ LÝ HỒ SƠ THANH TOÁN VƯỢT THẨM QUYỀN PD</v>
          </cell>
        </row>
      </sheetData>
      <sheetData sheetId="7840">
        <row r="1">
          <cell r="A1" t="str">
            <v>PHIẾU XỬ LÝ HỒ SƠ THANH TOÁN VƯỢT THẨM QUYỀN PD</v>
          </cell>
        </row>
      </sheetData>
      <sheetData sheetId="7841">
        <row r="1">
          <cell r="A1" t="str">
            <v>PHIẾU XỬ LÝ HỒ SƠ THANH TOÁN VƯỢT THẨM QUYỀN PD</v>
          </cell>
        </row>
      </sheetData>
      <sheetData sheetId="7842">
        <row r="1">
          <cell r="A1" t="str">
            <v>PHIẾU XỬ LÝ HỒ SƠ THANH TOÁN VƯỢT THẨM QUYỀN PD</v>
          </cell>
        </row>
      </sheetData>
      <sheetData sheetId="7843">
        <row r="1">
          <cell r="A1" t="str">
            <v>PHIẾU XỬ LÝ HỒ SƠ THANH TOÁN VƯỢT THẨM QUYỀN PD</v>
          </cell>
        </row>
      </sheetData>
      <sheetData sheetId="7844">
        <row r="1">
          <cell r="A1" t="str">
            <v>PHIẾU XỬ LÝ HỒ SƠ THANH TOÁN VƯỢT THẨM QUYỀN PD</v>
          </cell>
        </row>
      </sheetData>
      <sheetData sheetId="7845">
        <row r="1">
          <cell r="A1" t="str">
            <v>PHIẾU XỬ LÝ HỒ SƠ THANH TOÁN VƯỢT THẨM QUYỀN PD</v>
          </cell>
        </row>
      </sheetData>
      <sheetData sheetId="7846">
        <row r="1">
          <cell r="A1" t="str">
            <v>PHIẾU XỬ LÝ HỒ SƠ THANH TOÁN VƯỢT THẨM QUYỀN PD</v>
          </cell>
        </row>
      </sheetData>
      <sheetData sheetId="7847">
        <row r="1">
          <cell r="A1" t="str">
            <v>PHIẾU XỬ LÝ HỒ SƠ THANH TOÁN VƯỢT THẨM QUYỀN PD</v>
          </cell>
        </row>
      </sheetData>
      <sheetData sheetId="7848">
        <row r="1">
          <cell r="A1" t="str">
            <v>PHIẾU XỬ LÝ HỒ SƠ THANH TOÁN VƯỢT THẨM QUYỀN PD</v>
          </cell>
        </row>
      </sheetData>
      <sheetData sheetId="7849">
        <row r="1">
          <cell r="A1" t="str">
            <v>PHIẾU XỬ LÝ HỒ SƠ THANH TOÁN VƯỢT THẨM QUYỀN PD</v>
          </cell>
        </row>
      </sheetData>
      <sheetData sheetId="7850">
        <row r="1">
          <cell r="A1" t="str">
            <v>PHIẾU XỬ LÝ HỒ SƠ THANH TOÁN VƯỢT THẨM QUYỀN PD</v>
          </cell>
        </row>
      </sheetData>
      <sheetData sheetId="7851">
        <row r="1">
          <cell r="A1" t="str">
            <v>PHIẾU XỬ LÝ HỒ SƠ THANH TOÁN VƯỢT THẨM QUYỀN PD</v>
          </cell>
        </row>
      </sheetData>
      <sheetData sheetId="7852">
        <row r="1">
          <cell r="A1" t="str">
            <v>PHIẾU XỬ LÝ HỒ SƠ THANH TOÁN VƯỢT THẨM QUYỀN PD</v>
          </cell>
        </row>
      </sheetData>
      <sheetData sheetId="7853">
        <row r="1">
          <cell r="A1" t="str">
            <v>PHIẾU XỬ LÝ HỒ SƠ THANH TOÁN VƯỢT THẨM QUYỀN PD</v>
          </cell>
        </row>
      </sheetData>
      <sheetData sheetId="7854">
        <row r="1">
          <cell r="A1" t="str">
            <v>PHIẾU XỬ LÝ HỒ SƠ THANH TOÁN VƯỢT THẨM QUYỀN PD</v>
          </cell>
        </row>
      </sheetData>
      <sheetData sheetId="7855">
        <row r="1">
          <cell r="A1" t="str">
            <v>PHIẾU XỬ LÝ HỒ SƠ THANH TOÁN VƯỢT THẨM QUYỀN PD</v>
          </cell>
        </row>
      </sheetData>
      <sheetData sheetId="7856">
        <row r="1">
          <cell r="A1" t="str">
            <v>PHIẾU XỬ LÝ HỒ SƠ THANH TOÁN VƯỢT THẨM QUYỀN PD</v>
          </cell>
        </row>
      </sheetData>
      <sheetData sheetId="7857">
        <row r="1">
          <cell r="A1" t="str">
            <v>PHIẾU XỬ LÝ HỒ SƠ THANH TOÁN VƯỢT THẨM QUYỀN PD</v>
          </cell>
        </row>
      </sheetData>
      <sheetData sheetId="7858">
        <row r="1">
          <cell r="A1" t="str">
            <v>PHIẾU XỬ LÝ HỒ SƠ THANH TOÁN VƯỢT THẨM QUYỀN PD</v>
          </cell>
        </row>
      </sheetData>
      <sheetData sheetId="7859">
        <row r="1">
          <cell r="A1" t="str">
            <v>PHIẾU XỬ LÝ HỒ SƠ THANH TOÁN VƯỢT THẨM QUYỀN PD</v>
          </cell>
        </row>
      </sheetData>
      <sheetData sheetId="7860">
        <row r="1">
          <cell r="A1" t="str">
            <v>PHIẾU XỬ LÝ HỒ SƠ THANH TOÁN VƯỢT THẨM QUYỀN PD</v>
          </cell>
        </row>
      </sheetData>
      <sheetData sheetId="7861">
        <row r="1">
          <cell r="A1" t="str">
            <v>PHIẾU XỬ LÝ HỒ SƠ THANH TOÁN VƯỢT THẨM QUYỀN PD</v>
          </cell>
        </row>
      </sheetData>
      <sheetData sheetId="7862">
        <row r="1">
          <cell r="A1" t="str">
            <v>PHIẾU XỬ LÝ HỒ SƠ THANH TOÁN VƯỢT THẨM QUYỀN PD</v>
          </cell>
        </row>
      </sheetData>
      <sheetData sheetId="7863">
        <row r="1">
          <cell r="A1" t="str">
            <v>PHIẾU XỬ LÝ HỒ SƠ THANH TOÁN VƯỢT THẨM QUYỀN PD</v>
          </cell>
        </row>
      </sheetData>
      <sheetData sheetId="7864">
        <row r="1">
          <cell r="A1" t="str">
            <v>PHIẾU XỬ LÝ HỒ SƠ THANH TOÁN VƯỢT THẨM QUYỀN PD</v>
          </cell>
        </row>
      </sheetData>
      <sheetData sheetId="7865">
        <row r="1">
          <cell r="A1" t="str">
            <v>PHIẾU XỬ LÝ HỒ SƠ THANH TOÁN VƯỢT THẨM QUYỀN PD</v>
          </cell>
        </row>
      </sheetData>
      <sheetData sheetId="7866">
        <row r="1">
          <cell r="A1" t="str">
            <v>PHIẾU XỬ LÝ HỒ SƠ THANH TOÁN VƯỢT THẨM QUYỀN PD</v>
          </cell>
        </row>
      </sheetData>
      <sheetData sheetId="7867">
        <row r="1">
          <cell r="A1" t="str">
            <v>PHIẾU XỬ LÝ HỒ SƠ THANH TOÁN VƯỢT THẨM QUYỀN PD</v>
          </cell>
        </row>
      </sheetData>
      <sheetData sheetId="7868">
        <row r="1">
          <cell r="A1" t="str">
            <v>PHIẾU XỬ LÝ HỒ SƠ THANH TOÁN VƯỢT THẨM QUYỀN PD</v>
          </cell>
        </row>
      </sheetData>
      <sheetData sheetId="7869">
        <row r="1">
          <cell r="A1" t="str">
            <v>PHIẾU XỬ LÝ HỒ SƠ THANH TOÁN VƯỢT THẨM QUYỀN PD</v>
          </cell>
        </row>
      </sheetData>
      <sheetData sheetId="7870">
        <row r="1">
          <cell r="A1" t="str">
            <v>PHIẾU XỬ LÝ HỒ SƠ THANH TOÁN VƯỢT THẨM QUYỀN PD</v>
          </cell>
        </row>
      </sheetData>
      <sheetData sheetId="7871">
        <row r="1">
          <cell r="A1" t="str">
            <v>PHIẾU XỬ LÝ HỒ SƠ THANH TOÁN VƯỢT THẨM QUYỀN PD</v>
          </cell>
        </row>
      </sheetData>
      <sheetData sheetId="7872">
        <row r="1">
          <cell r="A1" t="str">
            <v>PHIẾU XỬ LÝ HỒ SƠ THANH TOÁN VƯỢT THẨM QUYỀN PD</v>
          </cell>
        </row>
      </sheetData>
      <sheetData sheetId="7873">
        <row r="1">
          <cell r="A1" t="str">
            <v>PHIẾU XỬ LÝ HỒ SƠ THANH TOÁN VƯỢT THẨM QUYỀN PD</v>
          </cell>
        </row>
      </sheetData>
      <sheetData sheetId="7874">
        <row r="1">
          <cell r="A1" t="str">
            <v>PHIẾU XỬ LÝ HỒ SƠ THANH TOÁN VƯỢT THẨM QUYỀN PD</v>
          </cell>
        </row>
      </sheetData>
      <sheetData sheetId="7875">
        <row r="1">
          <cell r="A1" t="str">
            <v>PHIẾU XỬ LÝ HỒ SƠ THANH TOÁN VƯỢT THẨM QUYỀN PD</v>
          </cell>
        </row>
      </sheetData>
      <sheetData sheetId="7876">
        <row r="1">
          <cell r="A1" t="str">
            <v>PHIẾU XỬ LÝ HỒ SƠ THANH TOÁN VƯỢT THẨM QUYỀN PD</v>
          </cell>
        </row>
      </sheetData>
      <sheetData sheetId="7877">
        <row r="1">
          <cell r="A1" t="str">
            <v>PHIẾU XỬ LÝ HỒ SƠ THANH TOÁN VƯỢT THẨM QUYỀN PD</v>
          </cell>
        </row>
      </sheetData>
      <sheetData sheetId="7878">
        <row r="1">
          <cell r="A1" t="str">
            <v>PHIẾU XỬ LÝ HỒ SƠ THANH TOÁN VƯỢT THẨM QUYỀN PD</v>
          </cell>
        </row>
      </sheetData>
      <sheetData sheetId="7879">
        <row r="1">
          <cell r="A1" t="str">
            <v>PHIẾU XỬ LÝ HỒ SƠ THANH TOÁN VƯỢT THẨM QUYỀN PD</v>
          </cell>
        </row>
      </sheetData>
      <sheetData sheetId="7880">
        <row r="1">
          <cell r="A1" t="str">
            <v>PHIẾU XỬ LÝ HỒ SƠ THANH TOÁN VƯỢT THẨM QUYỀN PD</v>
          </cell>
        </row>
      </sheetData>
      <sheetData sheetId="7881">
        <row r="1">
          <cell r="A1" t="str">
            <v>PHIẾU XỬ LÝ HỒ SƠ THANH TOÁN VƯỢT THẨM QUYỀN PD</v>
          </cell>
        </row>
      </sheetData>
      <sheetData sheetId="7882">
        <row r="1">
          <cell r="A1" t="str">
            <v>PHIẾU XỬ LÝ HỒ SƠ THANH TOÁN VƯỢT THẨM QUYỀN PD</v>
          </cell>
        </row>
      </sheetData>
      <sheetData sheetId="7883">
        <row r="1">
          <cell r="A1" t="str">
            <v>PHIẾU XỬ LÝ HỒ SƠ THANH TOÁN VƯỢT THẨM QUYỀN PD</v>
          </cell>
        </row>
      </sheetData>
      <sheetData sheetId="7884">
        <row r="1">
          <cell r="A1" t="str">
            <v>PHIẾU XỬ LÝ HỒ SƠ THANH TOÁN VƯỢT THẨM QUYỀN PD</v>
          </cell>
        </row>
      </sheetData>
      <sheetData sheetId="7885">
        <row r="1">
          <cell r="A1" t="str">
            <v>PHIẾU XỬ LÝ HỒ SƠ THANH TOÁN VƯỢT THẨM QUYỀN PD</v>
          </cell>
        </row>
      </sheetData>
      <sheetData sheetId="7886">
        <row r="1">
          <cell r="A1" t="str">
            <v>PHIẾU XỬ LÝ HỒ SƠ THANH TOÁN VƯỢT THẨM QUYỀN PD</v>
          </cell>
        </row>
      </sheetData>
      <sheetData sheetId="7887">
        <row r="1">
          <cell r="A1" t="str">
            <v>PHIẾU XỬ LÝ HỒ SƠ THANH TOÁN VƯỢT THẨM QUYỀN PD</v>
          </cell>
        </row>
      </sheetData>
      <sheetData sheetId="7888">
        <row r="1">
          <cell r="A1" t="str">
            <v>PHIẾU XỬ LÝ HỒ SƠ THANH TOÁN VƯỢT THẨM QUYỀN PD</v>
          </cell>
        </row>
      </sheetData>
      <sheetData sheetId="7889">
        <row r="1">
          <cell r="A1" t="str">
            <v>PHIẾU XỬ LÝ HỒ SƠ THANH TOÁN VƯỢT THẨM QUYỀN PD</v>
          </cell>
        </row>
      </sheetData>
      <sheetData sheetId="7890">
        <row r="1">
          <cell r="A1" t="str">
            <v>PHIẾU XỬ LÝ HỒ SƠ THANH TOÁN VƯỢT THẨM QUYỀN PD</v>
          </cell>
        </row>
      </sheetData>
      <sheetData sheetId="7891">
        <row r="1">
          <cell r="A1" t="str">
            <v>PHIẾU XỬ LÝ HỒ SƠ THANH TOÁN VƯỢT THẨM QUYỀN PD</v>
          </cell>
        </row>
      </sheetData>
      <sheetData sheetId="7892">
        <row r="1">
          <cell r="A1" t="str">
            <v>PHIẾU XỬ LÝ HỒ SƠ THANH TOÁN VƯỢT THẨM QUYỀN PD</v>
          </cell>
        </row>
      </sheetData>
      <sheetData sheetId="7893">
        <row r="1">
          <cell r="A1" t="str">
            <v>PHIẾU XỬ LÝ HỒ SƠ THANH TOÁN VƯỢT THẨM QUYỀN PD</v>
          </cell>
        </row>
      </sheetData>
      <sheetData sheetId="7894">
        <row r="1">
          <cell r="A1" t="str">
            <v>PHIẾU XỬ LÝ HỒ SƠ THANH TOÁN VƯỢT THẨM QUYỀN PD</v>
          </cell>
        </row>
      </sheetData>
      <sheetData sheetId="7895">
        <row r="1">
          <cell r="A1" t="str">
            <v>PHIẾU XỬ LÝ HỒ SƠ THANH TOÁN VƯỢT THẨM QUYỀN PD</v>
          </cell>
        </row>
      </sheetData>
      <sheetData sheetId="7896">
        <row r="1">
          <cell r="A1" t="str">
            <v>PHIẾU XỬ LÝ HỒ SƠ THANH TOÁN VƯỢT THẨM QUYỀN PD</v>
          </cell>
        </row>
      </sheetData>
      <sheetData sheetId="7897">
        <row r="1">
          <cell r="A1" t="str">
            <v>PHIẾU XỬ LÝ HỒ SƠ THANH TOÁN VƯỢT THẨM QUYỀN PD</v>
          </cell>
        </row>
      </sheetData>
      <sheetData sheetId="7898">
        <row r="1">
          <cell r="A1" t="str">
            <v>PHIẾU XỬ LÝ HỒ SƠ THANH TOÁN VƯỢT THẨM QUYỀN PD</v>
          </cell>
        </row>
      </sheetData>
      <sheetData sheetId="7899">
        <row r="1">
          <cell r="A1" t="str">
            <v>PHIẾU XỬ LÝ HỒ SƠ THANH TOÁN VƯỢT THẨM QUYỀN PD</v>
          </cell>
        </row>
      </sheetData>
      <sheetData sheetId="7900">
        <row r="1">
          <cell r="A1" t="str">
            <v>PHIẾU XỬ LÝ HỒ SƠ THANH TOÁN VƯỢT THẨM QUYỀN PD</v>
          </cell>
        </row>
      </sheetData>
      <sheetData sheetId="7901">
        <row r="1">
          <cell r="A1" t="str">
            <v>PHIẾU XỬ LÝ HỒ SƠ THANH TOÁN VƯỢT THẨM QUYỀN PD</v>
          </cell>
        </row>
      </sheetData>
      <sheetData sheetId="7902">
        <row r="1">
          <cell r="A1" t="str">
            <v>PHIẾU XỬ LÝ HỒ SƠ THANH TOÁN VƯỢT THẨM QUYỀN PD</v>
          </cell>
        </row>
      </sheetData>
      <sheetData sheetId="7903">
        <row r="1">
          <cell r="A1" t="str">
            <v>PHIẾU XỬ LÝ HỒ SƠ THANH TOÁN VƯỢT THẨM QUYỀN PD</v>
          </cell>
        </row>
      </sheetData>
      <sheetData sheetId="7904">
        <row r="1">
          <cell r="A1" t="str">
            <v>PHIẾU XỬ LÝ HỒ SƠ THANH TOÁN VƯỢT THẨM QUYỀN PD</v>
          </cell>
        </row>
      </sheetData>
      <sheetData sheetId="7905">
        <row r="1">
          <cell r="A1" t="str">
            <v>PHIẾU XỬ LÝ HỒ SƠ THANH TOÁN VƯỢT THẨM QUYỀN PD</v>
          </cell>
        </row>
      </sheetData>
      <sheetData sheetId="7906">
        <row r="1">
          <cell r="A1" t="str">
            <v>PHIẾU XỬ LÝ HỒ SƠ THANH TOÁN VƯỢT THẨM QUYỀN PD</v>
          </cell>
        </row>
      </sheetData>
      <sheetData sheetId="7907">
        <row r="1">
          <cell r="A1" t="str">
            <v>PHIẾU XỬ LÝ HỒ SƠ THANH TOÁN VƯỢT THẨM QUYỀN PD</v>
          </cell>
        </row>
      </sheetData>
      <sheetData sheetId="7908">
        <row r="1">
          <cell r="A1" t="str">
            <v>PHIẾU XỬ LÝ HỒ SƠ THANH TOÁN VƯỢT THẨM QUYỀN PD</v>
          </cell>
        </row>
      </sheetData>
      <sheetData sheetId="7909">
        <row r="1">
          <cell r="A1" t="str">
            <v>PHIẾU XỬ LÝ HỒ SƠ THANH TOÁN VƯỢT THẨM QUYỀN PD</v>
          </cell>
        </row>
      </sheetData>
      <sheetData sheetId="7910">
        <row r="1">
          <cell r="A1" t="str">
            <v>PHIẾU XỬ LÝ HỒ SƠ THANH TOÁN VƯỢT THẨM QUYỀN PD</v>
          </cell>
        </row>
      </sheetData>
      <sheetData sheetId="7911">
        <row r="1">
          <cell r="A1" t="str">
            <v>PHIẾU XỬ LÝ HỒ SƠ THANH TOÁN VƯỢT THẨM QUYỀN PD</v>
          </cell>
        </row>
      </sheetData>
      <sheetData sheetId="7912">
        <row r="1">
          <cell r="A1" t="str">
            <v>PHIẾU XỬ LÝ HỒ SƠ THANH TOÁN VƯỢT THẨM QUYỀN PD</v>
          </cell>
        </row>
      </sheetData>
      <sheetData sheetId="7913">
        <row r="1">
          <cell r="A1" t="str">
            <v>PHIẾU XỬ LÝ HỒ SƠ THANH TOÁN VƯỢT THẨM QUYỀN PD</v>
          </cell>
        </row>
      </sheetData>
      <sheetData sheetId="7914">
        <row r="1">
          <cell r="A1" t="str">
            <v>PHIẾU XỬ LÝ HỒ SƠ THANH TOÁN VƯỢT THẨM QUYỀN PD</v>
          </cell>
        </row>
      </sheetData>
      <sheetData sheetId="7915">
        <row r="1">
          <cell r="A1" t="str">
            <v>PHIẾU XỬ LÝ HỒ SƠ THANH TOÁN VƯỢT THẨM QUYỀN PD</v>
          </cell>
        </row>
      </sheetData>
      <sheetData sheetId="7916">
        <row r="1">
          <cell r="A1" t="str">
            <v>PHIẾU XỬ LÝ HỒ SƠ THANH TOÁN VƯỢT THẨM QUYỀN PD</v>
          </cell>
        </row>
      </sheetData>
      <sheetData sheetId="7917">
        <row r="1">
          <cell r="A1" t="str">
            <v>PHIẾU XỬ LÝ HỒ SƠ THANH TOÁN VƯỢT THẨM QUYỀN PD</v>
          </cell>
        </row>
      </sheetData>
      <sheetData sheetId="7918">
        <row r="1">
          <cell r="A1" t="str">
            <v>PHIẾU XỬ LÝ HỒ SƠ THANH TOÁN VƯỢT THẨM QUYỀN PD</v>
          </cell>
        </row>
      </sheetData>
      <sheetData sheetId="7919">
        <row r="1">
          <cell r="A1" t="str">
            <v>PHIẾU XỬ LÝ HỒ SƠ THANH TOÁN VƯỢT THẨM QUYỀN PD</v>
          </cell>
        </row>
      </sheetData>
      <sheetData sheetId="7920">
        <row r="1">
          <cell r="A1" t="str">
            <v>PHIẾU XỬ LÝ HỒ SƠ THANH TOÁN VƯỢT THẨM QUYỀN PD</v>
          </cell>
        </row>
      </sheetData>
      <sheetData sheetId="7921">
        <row r="1">
          <cell r="A1" t="str">
            <v>PHIẾU XỬ LÝ HỒ SƠ THANH TOÁN VƯỢT THẨM QUYỀN PD</v>
          </cell>
        </row>
      </sheetData>
      <sheetData sheetId="7922">
        <row r="1">
          <cell r="A1" t="str">
            <v>PHIẾU XỬ LÝ HỒ SƠ THANH TOÁN VƯỢT THẨM QUYỀN PD</v>
          </cell>
        </row>
      </sheetData>
      <sheetData sheetId="7923">
        <row r="1">
          <cell r="A1" t="str">
            <v>PHIẾU XỬ LÝ HỒ SƠ THANH TOÁN VƯỢT THẨM QUYỀN PD</v>
          </cell>
        </row>
      </sheetData>
      <sheetData sheetId="7924">
        <row r="1">
          <cell r="A1" t="str">
            <v>PHIẾU XỬ LÝ HỒ SƠ THANH TOÁN VƯỢT THẨM QUYỀN PD</v>
          </cell>
        </row>
      </sheetData>
      <sheetData sheetId="7925">
        <row r="1">
          <cell r="A1" t="str">
            <v>PHIẾU XỬ LÝ HỒ SƠ THANH TOÁN VƯỢT THẨM QUYỀN PD</v>
          </cell>
        </row>
      </sheetData>
      <sheetData sheetId="7926">
        <row r="1">
          <cell r="A1" t="str">
            <v>PHIẾU XỬ LÝ HỒ SƠ THANH TOÁN VƯỢT THẨM QUYỀN PD</v>
          </cell>
        </row>
      </sheetData>
      <sheetData sheetId="7927">
        <row r="1">
          <cell r="A1" t="str">
            <v>PHIẾU XỬ LÝ HỒ SƠ THANH TOÁN VƯỢT THẨM QUYỀN PD</v>
          </cell>
        </row>
      </sheetData>
      <sheetData sheetId="7928">
        <row r="1">
          <cell r="A1" t="str">
            <v>PHIẾU XỬ LÝ HỒ SƠ THANH TOÁN VƯỢT THẨM QUYỀN PD</v>
          </cell>
        </row>
      </sheetData>
      <sheetData sheetId="7929">
        <row r="1">
          <cell r="A1" t="str">
            <v>PHIẾU XỬ LÝ HỒ SƠ THANH TOÁN VƯỢT THẨM QUYỀN PD</v>
          </cell>
        </row>
      </sheetData>
      <sheetData sheetId="7930">
        <row r="1">
          <cell r="A1" t="str">
            <v>PHIẾU XỬ LÝ HỒ SƠ THANH TOÁN VƯỢT THẨM QUYỀN PD</v>
          </cell>
        </row>
      </sheetData>
      <sheetData sheetId="7931">
        <row r="1">
          <cell r="A1" t="str">
            <v>PHIẾU XỬ LÝ HỒ SƠ THANH TOÁN VƯỢT THẨM QUYỀN PD</v>
          </cell>
        </row>
      </sheetData>
      <sheetData sheetId="7932">
        <row r="1">
          <cell r="A1" t="str">
            <v>PHIẾU XỬ LÝ HỒ SƠ THANH TOÁN VƯỢT THẨM QUYỀN PD</v>
          </cell>
        </row>
      </sheetData>
      <sheetData sheetId="7933">
        <row r="1">
          <cell r="A1" t="str">
            <v>PHIẾU XỬ LÝ HỒ SƠ THANH TOÁN VƯỢT THẨM QUYỀN PD</v>
          </cell>
        </row>
      </sheetData>
      <sheetData sheetId="7934">
        <row r="1">
          <cell r="A1" t="str">
            <v>PHIẾU XỬ LÝ HỒ SƠ THANH TOÁN VƯỢT THẨM QUYỀN PD</v>
          </cell>
        </row>
      </sheetData>
      <sheetData sheetId="7935">
        <row r="1">
          <cell r="A1" t="str">
            <v>PHIẾU XỬ LÝ HỒ SƠ THANH TOÁN VƯỢT THẨM QUYỀN PD</v>
          </cell>
        </row>
      </sheetData>
      <sheetData sheetId="7936">
        <row r="1">
          <cell r="A1" t="str">
            <v>PHIẾU XỬ LÝ HỒ SƠ THANH TOÁN VƯỢT THẨM QUYỀN PD</v>
          </cell>
        </row>
      </sheetData>
      <sheetData sheetId="7937">
        <row r="1">
          <cell r="A1" t="str">
            <v>PHIẾU XỬ LÝ HỒ SƠ THANH TOÁN VƯỢT THẨM QUYỀN PD</v>
          </cell>
        </row>
      </sheetData>
      <sheetData sheetId="7938">
        <row r="1">
          <cell r="A1" t="str">
            <v>PHIẾU XỬ LÝ HỒ SƠ THANH TOÁN VƯỢT THẨM QUYỀN PD</v>
          </cell>
        </row>
      </sheetData>
      <sheetData sheetId="7939">
        <row r="1">
          <cell r="A1" t="str">
            <v>PHIẾU XỬ LÝ HỒ SƠ THANH TOÁN VƯỢT THẨM QUYỀN PD</v>
          </cell>
        </row>
      </sheetData>
      <sheetData sheetId="7940">
        <row r="1">
          <cell r="A1" t="str">
            <v>PHIẾU XỬ LÝ HỒ SƠ THANH TOÁN VƯỢT THẨM QUYỀN PD</v>
          </cell>
        </row>
      </sheetData>
      <sheetData sheetId="7941">
        <row r="1">
          <cell r="A1" t="str">
            <v>PHIẾU XỬ LÝ HỒ SƠ THANH TOÁN VƯỢT THẨM QUYỀN PD</v>
          </cell>
        </row>
      </sheetData>
      <sheetData sheetId="7942">
        <row r="1">
          <cell r="A1" t="str">
            <v>PHIẾU XỬ LÝ HỒ SƠ THANH TOÁN VƯỢT THẨM QUYỀN PD</v>
          </cell>
        </row>
      </sheetData>
      <sheetData sheetId="7943">
        <row r="1">
          <cell r="A1" t="str">
            <v>PHIẾU XỬ LÝ HỒ SƠ THANH TOÁN VƯỢT THẨM QUYỀN PD</v>
          </cell>
        </row>
      </sheetData>
      <sheetData sheetId="7944">
        <row r="1">
          <cell r="A1" t="str">
            <v>PHIẾU XỬ LÝ HỒ SƠ THANH TOÁN VƯỢT THẨM QUYỀN PD</v>
          </cell>
        </row>
      </sheetData>
      <sheetData sheetId="7945">
        <row r="1">
          <cell r="A1" t="str">
            <v>PHIẾU XỬ LÝ HỒ SƠ THANH TOÁN VƯỢT THẨM QUYỀN PD</v>
          </cell>
        </row>
      </sheetData>
      <sheetData sheetId="7946">
        <row r="1">
          <cell r="A1" t="str">
            <v>PHIẾU XỬ LÝ HỒ SƠ THANH TOÁN VƯỢT THẨM QUYỀN PD</v>
          </cell>
        </row>
      </sheetData>
      <sheetData sheetId="7947">
        <row r="1">
          <cell r="A1" t="str">
            <v>PHIẾU XỬ LÝ HỒ SƠ THANH TOÁN VƯỢT THẨM QUYỀN PD</v>
          </cell>
        </row>
      </sheetData>
      <sheetData sheetId="7948">
        <row r="1">
          <cell r="A1" t="str">
            <v>PHIẾU XỬ LÝ HỒ SƠ THANH TOÁN VƯỢT THẨM QUYỀN PD</v>
          </cell>
        </row>
      </sheetData>
      <sheetData sheetId="7949">
        <row r="1">
          <cell r="A1" t="str">
            <v>PHIẾU XỬ LÝ HỒ SƠ THANH TOÁN VƯỢT THẨM QUYỀN PD</v>
          </cell>
        </row>
      </sheetData>
      <sheetData sheetId="7950">
        <row r="1">
          <cell r="A1" t="str">
            <v>PHIẾU XỬ LÝ HỒ SƠ THANH TOÁN VƯỢT THẨM QUYỀN PD</v>
          </cell>
        </row>
      </sheetData>
      <sheetData sheetId="7951">
        <row r="1">
          <cell r="A1" t="str">
            <v>PHIẾU XỬ LÝ HỒ SƠ THANH TOÁN VƯỢT THẨM QUYỀN PD</v>
          </cell>
        </row>
      </sheetData>
      <sheetData sheetId="7952">
        <row r="1">
          <cell r="A1" t="str">
            <v>PHIẾU XỬ LÝ HỒ SƠ THANH TOÁN VƯỢT THẨM QUYỀN PD</v>
          </cell>
        </row>
      </sheetData>
      <sheetData sheetId="7953">
        <row r="1">
          <cell r="A1" t="str">
            <v>PHIẾU XỬ LÝ HỒ SƠ THANH TOÁN VƯỢT THẨM QUYỀN PD</v>
          </cell>
        </row>
      </sheetData>
      <sheetData sheetId="7954">
        <row r="1">
          <cell r="A1" t="str">
            <v>PHIẾU XỬ LÝ HỒ SƠ THANH TOÁN VƯỢT THẨM QUYỀN PD</v>
          </cell>
        </row>
      </sheetData>
      <sheetData sheetId="7955">
        <row r="1">
          <cell r="A1" t="str">
            <v>PHIẾU XỬ LÝ HỒ SƠ THANH TOÁN VƯỢT THẨM QUYỀN PD</v>
          </cell>
        </row>
      </sheetData>
      <sheetData sheetId="7956">
        <row r="1">
          <cell r="A1" t="str">
            <v>PHIẾU XỬ LÝ HỒ SƠ THANH TOÁN VƯỢT THẨM QUYỀN PD</v>
          </cell>
        </row>
      </sheetData>
      <sheetData sheetId="7957">
        <row r="1">
          <cell r="A1" t="str">
            <v>PHIẾU XỬ LÝ HỒ SƠ THANH TOÁN VƯỢT THẨM QUYỀN PD</v>
          </cell>
        </row>
      </sheetData>
      <sheetData sheetId="7958">
        <row r="1">
          <cell r="A1" t="str">
            <v>PHIẾU XỬ LÝ HỒ SƠ THANH TOÁN VƯỢT THẨM QUYỀN PD</v>
          </cell>
        </row>
      </sheetData>
      <sheetData sheetId="7959">
        <row r="1">
          <cell r="A1" t="str">
            <v>PHIẾU XỬ LÝ HỒ SƠ THANH TOÁN VƯỢT THẨM QUYỀN PD</v>
          </cell>
        </row>
      </sheetData>
      <sheetData sheetId="7960">
        <row r="1">
          <cell r="A1" t="str">
            <v>PHIẾU XỬ LÝ HỒ SƠ THANH TOÁN VƯỢT THẨM QUYỀN PD</v>
          </cell>
        </row>
      </sheetData>
      <sheetData sheetId="7961">
        <row r="1">
          <cell r="A1" t="str">
            <v>PHIẾU XỬ LÝ HỒ SƠ THANH TOÁN VƯỢT THẨM QUYỀN PD</v>
          </cell>
        </row>
      </sheetData>
      <sheetData sheetId="7962">
        <row r="1">
          <cell r="A1" t="str">
            <v>PHIẾU XỬ LÝ HỒ SƠ THANH TOÁN VƯỢT THẨM QUYỀN PD</v>
          </cell>
        </row>
      </sheetData>
      <sheetData sheetId="7963">
        <row r="1">
          <cell r="A1" t="str">
            <v>PHIẾU XỬ LÝ HỒ SƠ THANH TOÁN VƯỢT THẨM QUYỀN PD</v>
          </cell>
        </row>
      </sheetData>
      <sheetData sheetId="7964">
        <row r="1">
          <cell r="A1" t="str">
            <v>PHIẾU XỬ LÝ HỒ SƠ THANH TOÁN VƯỢT THẨM QUYỀN PD</v>
          </cell>
        </row>
      </sheetData>
      <sheetData sheetId="7965">
        <row r="1">
          <cell r="A1" t="str">
            <v>PHIẾU XỬ LÝ HỒ SƠ THANH TOÁN VƯỢT THẨM QUYỀN PD</v>
          </cell>
        </row>
      </sheetData>
      <sheetData sheetId="7966">
        <row r="1">
          <cell r="A1" t="str">
            <v>PHIẾU XỬ LÝ HỒ SƠ THANH TOÁN VƯỢT THẨM QUYỀN PD</v>
          </cell>
        </row>
      </sheetData>
      <sheetData sheetId="7967">
        <row r="1">
          <cell r="A1" t="str">
            <v>PHIẾU XỬ LÝ HỒ SƠ THANH TOÁN VƯỢT THẨM QUYỀN PD</v>
          </cell>
        </row>
      </sheetData>
      <sheetData sheetId="7968">
        <row r="1">
          <cell r="A1" t="str">
            <v>PHIẾU XỬ LÝ HỒ SƠ THANH TOÁN VƯỢT THẨM QUYỀN PD</v>
          </cell>
        </row>
      </sheetData>
      <sheetData sheetId="7969">
        <row r="1">
          <cell r="A1" t="str">
            <v>PHIẾU XỬ LÝ HỒ SƠ THANH TOÁN VƯỢT THẨM QUYỀN PD</v>
          </cell>
        </row>
      </sheetData>
      <sheetData sheetId="7970">
        <row r="1">
          <cell r="A1" t="str">
            <v>PHIẾU XỬ LÝ HỒ SƠ THANH TOÁN VƯỢT THẨM QUYỀN PD</v>
          </cell>
        </row>
      </sheetData>
      <sheetData sheetId="7971">
        <row r="1">
          <cell r="A1" t="str">
            <v>PHIẾU XỬ LÝ HỒ SƠ THANH TOÁN VƯỢT THẨM QUYỀN PD</v>
          </cell>
        </row>
      </sheetData>
      <sheetData sheetId="7972">
        <row r="1">
          <cell r="A1" t="str">
            <v>PHIẾU XỬ LÝ HỒ SƠ THANH TOÁN VƯỢT THẨM QUYỀN PD</v>
          </cell>
        </row>
      </sheetData>
      <sheetData sheetId="7973">
        <row r="1">
          <cell r="A1" t="str">
            <v>PHIẾU XỬ LÝ HỒ SƠ THANH TOÁN VƯỢT THẨM QUYỀN PD</v>
          </cell>
        </row>
      </sheetData>
      <sheetData sheetId="7974">
        <row r="1">
          <cell r="A1" t="str">
            <v>PHIẾU XỬ LÝ HỒ SƠ THANH TOÁN VƯỢT THẨM QUYỀN PD</v>
          </cell>
        </row>
      </sheetData>
      <sheetData sheetId="7975">
        <row r="1">
          <cell r="A1" t="str">
            <v>PHIẾU XỬ LÝ HỒ SƠ THANH TOÁN VƯỢT THẨM QUYỀN PD</v>
          </cell>
        </row>
      </sheetData>
      <sheetData sheetId="7976">
        <row r="1">
          <cell r="A1" t="str">
            <v>PHIẾU XỬ LÝ HỒ SƠ THANH TOÁN VƯỢT THẨM QUYỀN PD</v>
          </cell>
        </row>
      </sheetData>
      <sheetData sheetId="7977">
        <row r="1">
          <cell r="A1" t="str">
            <v>PHIẾU XỬ LÝ HỒ SƠ THANH TOÁN VƯỢT THẨM QUYỀN PD</v>
          </cell>
        </row>
      </sheetData>
      <sheetData sheetId="7978">
        <row r="1">
          <cell r="A1" t="str">
            <v>PHIẾU XỬ LÝ HỒ SƠ THANH TOÁN VƯỢT THẨM QUYỀN PD</v>
          </cell>
        </row>
      </sheetData>
      <sheetData sheetId="7979">
        <row r="1">
          <cell r="A1" t="str">
            <v>PHIẾU XỬ LÝ HỒ SƠ THANH TOÁN VƯỢT THẨM QUYỀN PD</v>
          </cell>
        </row>
      </sheetData>
      <sheetData sheetId="7980">
        <row r="1">
          <cell r="A1" t="str">
            <v>PHIẾU XỬ LÝ HỒ SƠ THANH TOÁN VƯỢT THẨM QUYỀN PD</v>
          </cell>
        </row>
      </sheetData>
      <sheetData sheetId="7981">
        <row r="1">
          <cell r="A1" t="str">
            <v>PHIẾU XỬ LÝ HỒ SƠ THANH TOÁN VƯỢT THẨM QUYỀN PD</v>
          </cell>
        </row>
      </sheetData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>
        <row r="1">
          <cell r="A1" t="str">
            <v>PHIẾU XỬ LÝ HỒ SƠ THANH TOÁN VƯỢT THẨM QUYỀN PD</v>
          </cell>
        </row>
      </sheetData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>
        <row r="1">
          <cell r="A1" t="str">
            <v>PHIẾU XỬ LÝ HỒ SƠ THANH TOÁN VƯỢT THẨM QUYỀN PD</v>
          </cell>
        </row>
      </sheetData>
      <sheetData sheetId="7999">
        <row r="1">
          <cell r="A1" t="str">
            <v>PHIẾU XỬ LÝ HỒ SƠ THANH TOÁN VƯỢT THẨM QUYỀN PD</v>
          </cell>
        </row>
      </sheetData>
      <sheetData sheetId="8000">
        <row r="1">
          <cell r="A1" t="str">
            <v>PHIẾU XỬ LÝ HỒ SƠ THANH TOÁN VƯỢT THẨM QUYỀN PD</v>
          </cell>
        </row>
      </sheetData>
      <sheetData sheetId="8001">
        <row r="1">
          <cell r="A1" t="str">
            <v>PHIẾU XỬ LÝ HỒ SƠ THANH TOÁN VƯỢT THẨM QUYỀN PD</v>
          </cell>
        </row>
      </sheetData>
      <sheetData sheetId="8002">
        <row r="1">
          <cell r="A1" t="str">
            <v>PHIẾU XỬ LÝ HỒ SƠ THANH TOÁN VƯỢT THẨM QUYỀN PD</v>
          </cell>
        </row>
      </sheetData>
      <sheetData sheetId="8003">
        <row r="1">
          <cell r="A1" t="str">
            <v>PHIẾU XỬ LÝ HỒ SƠ THANH TOÁN VƯỢT THẨM QUYỀN PD</v>
          </cell>
        </row>
      </sheetData>
      <sheetData sheetId="8004">
        <row r="1">
          <cell r="A1" t="str">
            <v>PHIẾU XỬ LÝ HỒ SƠ THANH TOÁN VƯỢT THẨM QUYỀN PD</v>
          </cell>
        </row>
      </sheetData>
      <sheetData sheetId="8005">
        <row r="1">
          <cell r="A1" t="str">
            <v>PHIẾU XỬ LÝ HỒ SƠ THANH TOÁN VƯỢT THẨM QUYỀN PD</v>
          </cell>
        </row>
      </sheetData>
      <sheetData sheetId="8006">
        <row r="1">
          <cell r="A1" t="str">
            <v>PHIẾU XỬ LÝ HỒ SƠ THANH TOÁN VƯỢT THẨM QUYỀN PD</v>
          </cell>
        </row>
      </sheetData>
      <sheetData sheetId="8007">
        <row r="1">
          <cell r="A1" t="str">
            <v>PHIẾU XỬ LÝ HỒ SƠ THANH TOÁN VƯỢT THẨM QUYỀN PD</v>
          </cell>
        </row>
      </sheetData>
      <sheetData sheetId="8008">
        <row r="1">
          <cell r="A1" t="str">
            <v>PHIẾU XỬ LÝ HỒ SƠ THANH TOÁN VƯỢT THẨM QUYỀN PD</v>
          </cell>
        </row>
      </sheetData>
      <sheetData sheetId="8009">
        <row r="1">
          <cell r="A1" t="str">
            <v>PHIẾU XỬ LÝ HỒ SƠ THANH TOÁN VƯỢT THẨM QUYỀN PD</v>
          </cell>
        </row>
      </sheetData>
      <sheetData sheetId="8010">
        <row r="1">
          <cell r="A1" t="str">
            <v>PHIẾU XỬ LÝ HỒ SƠ THANH TOÁN VƯỢT THẨM QUYỀN PD</v>
          </cell>
        </row>
      </sheetData>
      <sheetData sheetId="8011">
        <row r="1">
          <cell r="A1" t="str">
            <v>PHIẾU XỬ LÝ HỒ SƠ THANH TOÁN VƯỢT THẨM QUYỀN PD</v>
          </cell>
        </row>
      </sheetData>
      <sheetData sheetId="8012">
        <row r="1">
          <cell r="A1" t="str">
            <v>PHIẾU XỬ LÝ HỒ SƠ THANH TOÁN VƯỢT THẨM QUYỀN PD</v>
          </cell>
        </row>
      </sheetData>
      <sheetData sheetId="8013">
        <row r="1">
          <cell r="A1" t="str">
            <v>PHIẾU XỬ LÝ HỒ SƠ THANH TOÁN VƯỢT THẨM QUYỀN PD</v>
          </cell>
        </row>
      </sheetData>
      <sheetData sheetId="8014">
        <row r="1">
          <cell r="A1" t="str">
            <v>PHIẾU XỬ LÝ HỒ SƠ THANH TOÁN VƯỢT THẨM QUYỀN PD</v>
          </cell>
        </row>
      </sheetData>
      <sheetData sheetId="8015">
        <row r="1">
          <cell r="A1" t="str">
            <v>PHIẾU XỬ LÝ HỒ SƠ THANH TOÁN VƯỢT THẨM QUYỀN PD</v>
          </cell>
        </row>
      </sheetData>
      <sheetData sheetId="8016">
        <row r="1">
          <cell r="A1" t="str">
            <v>PHIẾU XỬ LÝ HỒ SƠ THANH TOÁN VƯỢT THẨM QUYỀN PD</v>
          </cell>
        </row>
      </sheetData>
      <sheetData sheetId="8017">
        <row r="1">
          <cell r="A1" t="str">
            <v>PHIẾU XỬ LÝ HỒ SƠ THANH TOÁN VƯỢT THẨM QUYỀN PD</v>
          </cell>
        </row>
      </sheetData>
      <sheetData sheetId="8018">
        <row r="1">
          <cell r="A1" t="str">
            <v>PHIẾU XỬ LÝ HỒ SƠ THANH TOÁN VƯỢT THẨM QUYỀN PD</v>
          </cell>
        </row>
      </sheetData>
      <sheetData sheetId="8019">
        <row r="1">
          <cell r="A1" t="str">
            <v>PHIẾU XỬ LÝ HỒ SƠ THANH TOÁN VƯỢT THẨM QUYỀN PD</v>
          </cell>
        </row>
      </sheetData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>
        <row r="1">
          <cell r="A1" t="str">
            <v>PHIẾU XỬ LÝ HỒ SƠ THANH TOÁN VƯỢT THẨM QUYỀN PD</v>
          </cell>
        </row>
      </sheetData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>
        <row r="1">
          <cell r="A1" t="str">
            <v>PHIẾU XỬ LÝ HỒ SƠ THANH TOÁN VƯỢT THẨM QUYỀN PD</v>
          </cell>
        </row>
      </sheetData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>
        <row r="1">
          <cell r="A1" t="str">
            <v>PHIẾU XỬ LÝ HỒ SƠ THANH TOÁN VƯỢT THẨM QUYỀN PD</v>
          </cell>
        </row>
      </sheetData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/>
      <sheetData sheetId="8217">
        <row r="1">
          <cell r="A1" t="str">
            <v>PHIẾU XỬ LÝ HỒ SƠ THANH TOÁN VƯỢT THẨM QUYỀN PD</v>
          </cell>
        </row>
      </sheetData>
      <sheetData sheetId="8218">
        <row r="1">
          <cell r="A1" t="str">
            <v>PHIẾU XỬ LÝ HỒ SƠ THANH TOÁN VƯỢT THẨM QUYỀN PD</v>
          </cell>
        </row>
      </sheetData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>
        <row r="1">
          <cell r="A1" t="str">
            <v>PHIẾU XỬ LÝ HỒ SƠ THANH TOÁN VƯỢT THẨM QUYỀN PD</v>
          </cell>
        </row>
      </sheetData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>
        <row r="1">
          <cell r="A1" t="str">
            <v>PHIẾU XỬ LÝ HỒ SƠ THANH TOÁN VƯỢT THẨM QUYỀN PD</v>
          </cell>
        </row>
      </sheetData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>
        <row r="1">
          <cell r="A1" t="str">
            <v>PHIẾU XỬ LÝ HỒ SƠ THANH TOÁN VƯỢT THẨM QUYỀN PD</v>
          </cell>
        </row>
      </sheetData>
      <sheetData sheetId="8931">
        <row r="1">
          <cell r="A1" t="str">
            <v>PHIẾU XỬ LÝ HỒ SƠ THANH TOÁN VƯỢT THẨM QUYỀN PD</v>
          </cell>
        </row>
      </sheetData>
      <sheetData sheetId="8932">
        <row r="1">
          <cell r="A1" t="str">
            <v>PHIẾU XỬ LÝ HỒ SƠ THANH TOÁN VƯỢT THẨM QUYỀN PD</v>
          </cell>
        </row>
      </sheetData>
      <sheetData sheetId="8933">
        <row r="1">
          <cell r="A1" t="str">
            <v>PHIẾU XỬ LÝ HỒ SƠ THANH TOÁN VƯỢT THẨM QUYỀN PD</v>
          </cell>
        </row>
      </sheetData>
      <sheetData sheetId="8934">
        <row r="1">
          <cell r="A1" t="str">
            <v>PHIẾU XỬ LÝ HỒ SƠ THANH TOÁN VƯỢT THẨM QUYỀN PD</v>
          </cell>
        </row>
      </sheetData>
      <sheetData sheetId="8935">
        <row r="1">
          <cell r="A1" t="str">
            <v>PHIẾU XỬ LÝ HỒ SƠ THANH TOÁN VƯỢT THẨM QUYỀN PD</v>
          </cell>
        </row>
      </sheetData>
      <sheetData sheetId="8936"/>
      <sheetData sheetId="8937"/>
      <sheetData sheetId="8938"/>
      <sheetData sheetId="8939"/>
      <sheetData sheetId="8940"/>
      <sheetData sheetId="8941"/>
      <sheetData sheetId="8942"/>
      <sheetData sheetId="8943">
        <row r="1">
          <cell r="A1" t="str">
            <v>PHIẾU XỬ LÝ HỒ SƠ THANH TOÁN VƯỢT THẨM QUYỀN PD</v>
          </cell>
        </row>
      </sheetData>
      <sheetData sheetId="8944">
        <row r="1">
          <cell r="A1" t="str">
            <v>PHIẾU XỬ LÝ HỒ SƠ THANH TOÁN VƯỢT THẨM QUYỀN PD</v>
          </cell>
        </row>
      </sheetData>
      <sheetData sheetId="8945">
        <row r="1">
          <cell r="A1" t="str">
            <v>PHIẾU XỬ LÝ HỒ SƠ THANH TOÁN VƯỢT THẨM QUYỀN PD</v>
          </cell>
        </row>
      </sheetData>
      <sheetData sheetId="8946">
        <row r="1">
          <cell r="A1" t="str">
            <v>PHIẾU XỬ LÝ HỒ SƠ THANH TOÁN VƯỢT THẨM QUYỀN PD</v>
          </cell>
        </row>
      </sheetData>
      <sheetData sheetId="8947">
        <row r="1">
          <cell r="A1" t="str">
            <v>PHIẾU XỬ LÝ HỒ SƠ THANH TOÁN VƯỢT THẨM QUYỀN PD</v>
          </cell>
        </row>
      </sheetData>
      <sheetData sheetId="8948">
        <row r="1">
          <cell r="A1" t="str">
            <v>PHIẾU XỬ LÝ HỒ SƠ THANH TOÁN VƯỢT THẨM QUYỀN PD</v>
          </cell>
        </row>
      </sheetData>
      <sheetData sheetId="8949">
        <row r="1">
          <cell r="A1" t="str">
            <v>PHIẾU XỬ LÝ HỒ SƠ THANH TOÁN VƯỢT THẨM QUYỀN PD</v>
          </cell>
        </row>
      </sheetData>
      <sheetData sheetId="8950"/>
      <sheetData sheetId="8951"/>
      <sheetData sheetId="8952"/>
      <sheetData sheetId="8953"/>
      <sheetData sheetId="8954"/>
      <sheetData sheetId="8955">
        <row r="1">
          <cell r="A1" t="str">
            <v>PHIẾU XỬ LÝ HỒ SƠ THANH TOÁN VƯỢT THẨM QUYỀN PD</v>
          </cell>
        </row>
      </sheetData>
      <sheetData sheetId="8956"/>
      <sheetData sheetId="8957">
        <row r="1">
          <cell r="A1" t="str">
            <v>PHIẾU XỬ LÝ HỒ SƠ THANH TOÁN VƯỢT THẨM QUYỀN PD</v>
          </cell>
        </row>
      </sheetData>
      <sheetData sheetId="8958"/>
      <sheetData sheetId="8959"/>
      <sheetData sheetId="8960"/>
      <sheetData sheetId="8961"/>
      <sheetData sheetId="8962"/>
      <sheetData sheetId="8963">
        <row r="1">
          <cell r="A1" t="str">
            <v>PHIẾU XỬ LÝ HỒ SƠ THANH TOÁN VƯỢT THẨM QUYỀN PD</v>
          </cell>
        </row>
      </sheetData>
      <sheetData sheetId="8964">
        <row r="1">
          <cell r="A1" t="str">
            <v>PHIẾU XỬ LÝ HỒ SƠ THANH TOÁN VƯỢT THẨM QUYỀN PD</v>
          </cell>
        </row>
      </sheetData>
      <sheetData sheetId="8965">
        <row r="1">
          <cell r="A1" t="str">
            <v>PHIẾU XỬ LÝ HỒ SƠ THANH TOÁN VƯỢT THẨM QUYỀN PD</v>
          </cell>
        </row>
      </sheetData>
      <sheetData sheetId="8966">
        <row r="1">
          <cell r="A1" t="str">
            <v>PHIẾU XỬ LÝ HỒ SƠ THANH TOÁN VƯỢT THẨM QUYỀN PD</v>
          </cell>
        </row>
      </sheetData>
      <sheetData sheetId="8967">
        <row r="1">
          <cell r="A1" t="str">
            <v>PHIẾU XỬ LÝ HỒ SƠ THANH TOÁN VƯỢT THẨM QUYỀN PD</v>
          </cell>
        </row>
      </sheetData>
      <sheetData sheetId="8968">
        <row r="1">
          <cell r="A1" t="str">
            <v>PHIẾU XỬ LÝ HỒ SƠ THANH TOÁN VƯỢT THẨM QUYỀN PD</v>
          </cell>
        </row>
      </sheetData>
      <sheetData sheetId="8969">
        <row r="1">
          <cell r="A1" t="str">
            <v>PHIẾU XỬ LÝ HỒ SƠ THANH TOÁN VƯỢT THẨM QUYỀN PD</v>
          </cell>
        </row>
      </sheetData>
      <sheetData sheetId="8970">
        <row r="1">
          <cell r="A1" t="str">
            <v>PHIẾU XỬ LÝ HỒ SƠ THANH TOÁN VƯỢT THẨM QUYỀN PD</v>
          </cell>
        </row>
      </sheetData>
      <sheetData sheetId="8971">
        <row r="1">
          <cell r="A1" t="str">
            <v>PHIẾU XỬ LÝ HỒ SƠ THANH TOÁN VƯỢT THẨM QUYỀN PD</v>
          </cell>
        </row>
      </sheetData>
      <sheetData sheetId="8972">
        <row r="1">
          <cell r="A1" t="str">
            <v>PHIẾU XỬ LÝ HỒ SƠ THANH TOÁN VƯỢT THẨM QUYỀN PD</v>
          </cell>
        </row>
      </sheetData>
      <sheetData sheetId="8973"/>
      <sheetData sheetId="8974">
        <row r="1">
          <cell r="A1" t="str">
            <v>PHIẾU XỬ LÝ HỒ SƠ THANH TOÁN VƯỢT THẨM QUYỀN PD</v>
          </cell>
        </row>
      </sheetData>
      <sheetData sheetId="8975">
        <row r="1">
          <cell r="A1" t="str">
            <v>PHIẾU XỬ LÝ HỒ SƠ THANH TOÁN VƯỢT THẨM QUYỀN PD</v>
          </cell>
        </row>
      </sheetData>
      <sheetData sheetId="8976">
        <row r="1">
          <cell r="A1" t="str">
            <v>PHIẾU XỬ LÝ HỒ SƠ THANH TOÁN VƯỢT THẨM QUYỀN PD</v>
          </cell>
        </row>
      </sheetData>
      <sheetData sheetId="8977">
        <row r="1">
          <cell r="A1" t="str">
            <v>PHIẾU XỬ LÝ HỒ SƠ THANH TOÁN VƯỢT THẨM QUYỀN PD</v>
          </cell>
        </row>
      </sheetData>
      <sheetData sheetId="8978">
        <row r="1">
          <cell r="A1" t="str">
            <v>PHIẾU XỬ LÝ HỒ SƠ THANH TOÁN VƯỢT THẨM QUYỀN PD</v>
          </cell>
        </row>
      </sheetData>
      <sheetData sheetId="8979">
        <row r="1">
          <cell r="A1" t="str">
            <v>PHIẾU XỬ LÝ HỒ SƠ THANH TOÁN VƯỢT THẨM QUYỀN PD</v>
          </cell>
        </row>
      </sheetData>
      <sheetData sheetId="8980">
        <row r="1">
          <cell r="A1" t="str">
            <v>PHIẾU XỬ LÝ HỒ SƠ THANH TOÁN VƯỢT THẨM QUYỀN PD</v>
          </cell>
        </row>
      </sheetData>
      <sheetData sheetId="8981">
        <row r="1">
          <cell r="A1" t="str">
            <v>PHIẾU XỬ LÝ HỒ SƠ THANH TOÁN VƯỢT THẨM QUYỀN PD</v>
          </cell>
        </row>
      </sheetData>
      <sheetData sheetId="8982">
        <row r="1">
          <cell r="A1" t="str">
            <v>PHIẾU XỬ LÝ HỒ SƠ THANH TOÁN VƯỢT THẨM QUYỀN PD</v>
          </cell>
        </row>
      </sheetData>
      <sheetData sheetId="8983">
        <row r="1">
          <cell r="A1" t="str">
            <v>PHIẾU XỬ LÝ HỒ SƠ THANH TOÁN VƯỢT THẨM QUYỀN PD</v>
          </cell>
        </row>
      </sheetData>
      <sheetData sheetId="8984">
        <row r="1">
          <cell r="A1" t="str">
            <v>PHIẾU XỬ LÝ HỒ SƠ THANH TOÁN VƯỢT THẨM QUYỀN PD</v>
          </cell>
        </row>
      </sheetData>
      <sheetData sheetId="8985"/>
      <sheetData sheetId="8986">
        <row r="1">
          <cell r="A1" t="str">
            <v>PHIẾU XỬ LÝ HỒ SƠ THANH TOÁN VƯỢT THẨM QUYỀN PD</v>
          </cell>
        </row>
      </sheetData>
      <sheetData sheetId="8987">
        <row r="1">
          <cell r="A1" t="str">
            <v>PHIẾU XỬ LÝ HỒ SƠ THANH TOÁN VƯỢT THẨM QUYỀN PD</v>
          </cell>
        </row>
      </sheetData>
      <sheetData sheetId="8988">
        <row r="1">
          <cell r="A1" t="str">
            <v>PHIẾU XỬ LÝ HỒ SƠ THANH TOÁN VƯỢT THẨM QUYỀN PD</v>
          </cell>
        </row>
      </sheetData>
      <sheetData sheetId="8989">
        <row r="1">
          <cell r="A1" t="str">
            <v>PHIẾU XỬ LÝ HỒ SƠ THANH TOÁN VƯỢT THẨM QUYỀN PD</v>
          </cell>
        </row>
      </sheetData>
      <sheetData sheetId="8990"/>
      <sheetData sheetId="8991">
        <row r="1">
          <cell r="A1" t="str">
            <v>PHIẾU XỬ LÝ HỒ SƠ THANH TOÁN VƯỢT THẨM QUYỀN PD</v>
          </cell>
        </row>
      </sheetData>
      <sheetData sheetId="8992"/>
      <sheetData sheetId="8993"/>
      <sheetData sheetId="8994">
        <row r="1">
          <cell r="A1" t="str">
            <v>PHIẾU XỬ LÝ HỒ SƠ THANH TOÁN VƯỢT THẨM QUYỀN PD</v>
          </cell>
        </row>
      </sheetData>
      <sheetData sheetId="8995">
        <row r="1">
          <cell r="A1" t="str">
            <v>PHIẾU XỬ LÝ HỒ SƠ THANH TOÁN VƯỢT THẨM QUYỀN PD</v>
          </cell>
        </row>
      </sheetData>
      <sheetData sheetId="8996">
        <row r="1">
          <cell r="A1" t="str">
            <v>PHIẾU XỬ LÝ HỒ SƠ THANH TOÁN VƯỢT THẨM QUYỀN PD</v>
          </cell>
        </row>
      </sheetData>
      <sheetData sheetId="8997">
        <row r="1">
          <cell r="A1" t="str">
            <v>PHIẾU XỬ LÝ HỒ SƠ THANH TOÁN VƯỢT THẨM QUYỀN PD</v>
          </cell>
        </row>
      </sheetData>
      <sheetData sheetId="8998">
        <row r="1">
          <cell r="A1" t="str">
            <v>PHIẾU XỬ LÝ HỒ SƠ THANH TOÁN VƯỢT THẨM QUYỀN PD</v>
          </cell>
        </row>
      </sheetData>
      <sheetData sheetId="8999"/>
      <sheetData sheetId="9000"/>
      <sheetData sheetId="9001">
        <row r="1">
          <cell r="A1" t="str">
            <v>PHIẾU XỬ LÝ HỒ SƠ THANH TOÁN VƯỢT THẨM QUYỀN PD</v>
          </cell>
        </row>
      </sheetData>
      <sheetData sheetId="9002"/>
      <sheetData sheetId="9003">
        <row r="1">
          <cell r="A1" t="str">
            <v>PHIẾU XỬ LÝ HỒ SƠ THANH TOÁN VƯỢT THẨM QUYỀN PD</v>
          </cell>
        </row>
      </sheetData>
      <sheetData sheetId="9004"/>
      <sheetData sheetId="9005">
        <row r="1">
          <cell r="A1" t="str">
            <v>PHIẾU XỬ LÝ HỒ SƠ THANH TOÁN VƯỢT THẨM QUYỀN PD</v>
          </cell>
        </row>
      </sheetData>
      <sheetData sheetId="9006">
        <row r="1">
          <cell r="A1" t="str">
            <v>PHIẾU XỬ LÝ HỒ SƠ THANH TOÁN VƯỢT THẨM QUYỀN PD</v>
          </cell>
        </row>
      </sheetData>
      <sheetData sheetId="9007">
        <row r="1">
          <cell r="A1" t="str">
            <v>PHIẾU XỬ LÝ HỒ SƠ THANH TOÁN VƯỢT THẨM QUYỀN PD</v>
          </cell>
        </row>
      </sheetData>
      <sheetData sheetId="9008"/>
      <sheetData sheetId="9009"/>
      <sheetData sheetId="9010">
        <row r="1">
          <cell r="A1" t="str">
            <v>PHIẾU XỬ LÝ HỒ SƠ THANH TOÁN VƯỢT THẨM QUYỀN PD</v>
          </cell>
        </row>
      </sheetData>
      <sheetData sheetId="9011">
        <row r="1">
          <cell r="A1" t="str">
            <v>PHIẾU XỬ LÝ HỒ SƠ THANH TOÁN VƯỢT THẨM QUYỀN PD</v>
          </cell>
        </row>
      </sheetData>
      <sheetData sheetId="9012">
        <row r="1">
          <cell r="A1" t="str">
            <v>PHIẾU XỬ LÝ HỒ SƠ THANH TOÁN VƯỢT THẨM QUYỀN PD</v>
          </cell>
        </row>
      </sheetData>
      <sheetData sheetId="9013">
        <row r="1">
          <cell r="A1" t="str">
            <v>PHIẾU XỬ LÝ HỒ SƠ THANH TOÁN VƯỢT THẨM QUYỀN PD</v>
          </cell>
        </row>
      </sheetData>
      <sheetData sheetId="9014">
        <row r="1">
          <cell r="A1" t="str">
            <v>PHIẾU XỬ LÝ HỒ SƠ THANH TOÁN VƯỢT THẨM QUYỀN PD</v>
          </cell>
        </row>
      </sheetData>
      <sheetData sheetId="9015">
        <row r="1">
          <cell r="A1" t="str">
            <v>PHIẾU XỬ LÝ HỒ SƠ THANH TOÁN VƯỢT THẨM QUYỀN PD</v>
          </cell>
        </row>
      </sheetData>
      <sheetData sheetId="9016">
        <row r="1">
          <cell r="A1" t="str">
            <v>PHIẾU XỬ LÝ HỒ SƠ THANH TOÁN VƯỢT THẨM QUYỀN PD</v>
          </cell>
        </row>
      </sheetData>
      <sheetData sheetId="9017">
        <row r="1">
          <cell r="A1" t="str">
            <v>PHIẾU XỬ LÝ HỒ SƠ THANH TOÁN VƯỢT THẨM QUYỀN PD</v>
          </cell>
        </row>
      </sheetData>
      <sheetData sheetId="9018"/>
      <sheetData sheetId="9019"/>
      <sheetData sheetId="9020">
        <row r="1">
          <cell r="A1" t="str">
            <v>PHIẾU XỬ LÝ HỒ SƠ THANH TOÁN VƯỢT THẨM QUYỀN PD</v>
          </cell>
        </row>
      </sheetData>
      <sheetData sheetId="9021">
        <row r="1">
          <cell r="A1" t="str">
            <v>PHIẾU XỬ LÝ HỒ SƠ THANH TOÁN VƯỢT THẨM QUYỀN PD</v>
          </cell>
        </row>
      </sheetData>
      <sheetData sheetId="9022"/>
      <sheetData sheetId="9023"/>
      <sheetData sheetId="9024"/>
      <sheetData sheetId="9025">
        <row r="1">
          <cell r="A1" t="str">
            <v>PHIẾU XỬ LÝ HỒ SƠ THANH TOÁN VƯỢT THẨM QUYỀN PD</v>
          </cell>
        </row>
      </sheetData>
      <sheetData sheetId="9026">
        <row r="1">
          <cell r="A1" t="str">
            <v>PHIẾU XỬ LÝ HỒ SƠ THANH TOÁN VƯỢT THẨM QUYỀN PD</v>
          </cell>
        </row>
      </sheetData>
      <sheetData sheetId="9027">
        <row r="1">
          <cell r="A1" t="str">
            <v>PHIẾU XỬ LÝ HỒ SƠ THANH TOÁN VƯỢT THẨM QUYỀN PD</v>
          </cell>
        </row>
      </sheetData>
      <sheetData sheetId="9028">
        <row r="1">
          <cell r="A1" t="str">
            <v>PHIẾU XỬ LÝ HỒ SƠ THANH TOÁN VƯỢT THẨM QUYỀN PD</v>
          </cell>
        </row>
      </sheetData>
      <sheetData sheetId="9029">
        <row r="1">
          <cell r="A1" t="str">
            <v>PHIẾU XỬ LÝ HỒ SƠ THANH TOÁN VƯỢT THẨM QUYỀN PD</v>
          </cell>
        </row>
      </sheetData>
      <sheetData sheetId="9030">
        <row r="1">
          <cell r="A1" t="str">
            <v>PHIẾU XỬ LÝ HỒ SƠ THANH TOÁN VƯỢT THẨM QUYỀN PD</v>
          </cell>
        </row>
      </sheetData>
      <sheetData sheetId="9031">
        <row r="1">
          <cell r="A1" t="str">
            <v>PHIẾU XỬ LÝ HỒ SƠ THANH TOÁN VƯỢT THẨM QUYỀN PD</v>
          </cell>
        </row>
      </sheetData>
      <sheetData sheetId="9032">
        <row r="1">
          <cell r="A1" t="str">
            <v>PHIẾU XỬ LÝ HỒ SƠ THANH TOÁN VƯỢT THẨM QUYỀN PD</v>
          </cell>
        </row>
      </sheetData>
      <sheetData sheetId="9033">
        <row r="1">
          <cell r="A1" t="str">
            <v>PHIẾU XỬ LÝ HỒ SƠ THANH TOÁN VƯỢT THẨM QUYỀN PD</v>
          </cell>
        </row>
      </sheetData>
      <sheetData sheetId="9034"/>
      <sheetData sheetId="9035">
        <row r="1">
          <cell r="A1" t="str">
            <v>PHIẾU XỬ LÝ HỒ SƠ THANH TOÁN VƯỢT THẨM QUYỀN PD</v>
          </cell>
        </row>
      </sheetData>
      <sheetData sheetId="9036"/>
      <sheetData sheetId="9037">
        <row r="1">
          <cell r="A1" t="str">
            <v>PHIẾU XỬ LÝ HỒ SƠ THANH TOÁN VƯỢT THẨM QUYỀN PD</v>
          </cell>
        </row>
      </sheetData>
      <sheetData sheetId="9038">
        <row r="1">
          <cell r="A1" t="str">
            <v>PHIẾU XỬ LÝ HỒ SƠ THANH TOÁN VƯỢT THẨM QUYỀN PD</v>
          </cell>
        </row>
      </sheetData>
      <sheetData sheetId="9039"/>
      <sheetData sheetId="9040">
        <row r="1">
          <cell r="A1" t="str">
            <v>PHIẾU XỬ LÝ HỒ SƠ THANH TOÁN VƯỢT THẨM QUYỀN PD</v>
          </cell>
        </row>
      </sheetData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>
        <row r="1">
          <cell r="A1" t="str">
            <v>PHIẾU XỬ LÝ HỒ SƠ THANH TOÁN VƯỢT THẨM QUYỀN PD</v>
          </cell>
        </row>
      </sheetData>
      <sheetData sheetId="9050">
        <row r="1">
          <cell r="A1" t="str">
            <v>PHIẾU XỬ LÝ HỒ SƠ THANH TOÁN VƯỢT THẨM QUYỀN PD</v>
          </cell>
        </row>
      </sheetData>
      <sheetData sheetId="9051">
        <row r="1">
          <cell r="A1" t="str">
            <v>PHIẾU XỬ LÝ HỒ SƠ THANH TOÁN VƯỢT THẨM QUYỀN PD</v>
          </cell>
        </row>
      </sheetData>
      <sheetData sheetId="9052">
        <row r="1">
          <cell r="A1" t="str">
            <v>PHIẾU XỬ LÝ HỒ SƠ THANH TOÁN VƯỢT THẨM QUYỀN PD</v>
          </cell>
        </row>
      </sheetData>
      <sheetData sheetId="9053">
        <row r="1">
          <cell r="A1" t="str">
            <v>PHIẾU XỬ LÝ HỒ SƠ THANH TOÁN VƯỢT THẨM QUYỀN PD</v>
          </cell>
        </row>
      </sheetData>
      <sheetData sheetId="9054">
        <row r="1">
          <cell r="A1" t="str">
            <v>PHIẾU XỬ LÝ HỒ SƠ THANH TOÁN VƯỢT THẨM QUYỀN PD</v>
          </cell>
        </row>
      </sheetData>
      <sheetData sheetId="9055"/>
      <sheetData sheetId="9056">
        <row r="1">
          <cell r="A1" t="str">
            <v>PHIẾU XỬ LÝ HỒ SƠ THANH TOÁN VƯỢT THẨM QUYỀN PD</v>
          </cell>
        </row>
      </sheetData>
      <sheetData sheetId="9057"/>
      <sheetData sheetId="9058"/>
      <sheetData sheetId="9059"/>
      <sheetData sheetId="9060"/>
      <sheetData sheetId="9061">
        <row r="1">
          <cell r="A1" t="str">
            <v>PHIẾU XỬ LÝ HỒ SƠ THANH TOÁN VƯỢT THẨM QUYỀN PD</v>
          </cell>
        </row>
      </sheetData>
      <sheetData sheetId="9062">
        <row r="1">
          <cell r="A1" t="str">
            <v>PHIẾU XỬ LÝ HỒ SƠ THANH TOÁN VƯỢT THẨM QUYỀN PD</v>
          </cell>
        </row>
      </sheetData>
      <sheetData sheetId="9063">
        <row r="1">
          <cell r="A1" t="str">
            <v>PHIẾU XỬ LÝ HỒ SƠ THANH TOÁN VƯỢT THẨM QUYỀN PD</v>
          </cell>
        </row>
      </sheetData>
      <sheetData sheetId="9064">
        <row r="1">
          <cell r="A1" t="str">
            <v>PHIẾU XỬ LÝ HỒ SƠ THANH TOÁN VƯỢT THẨM QUYỀN PD</v>
          </cell>
        </row>
      </sheetData>
      <sheetData sheetId="9065">
        <row r="1">
          <cell r="A1" t="str">
            <v>PHIẾU XỬ LÝ HỒ SƠ THANH TOÁN VƯỢT THẨM QUYỀN PD</v>
          </cell>
        </row>
      </sheetData>
      <sheetData sheetId="9066">
        <row r="1">
          <cell r="A1" t="str">
            <v>PHIẾU XỬ LÝ HỒ SƠ THANH TOÁN VƯỢT THẨM QUYỀN PD</v>
          </cell>
        </row>
      </sheetData>
      <sheetData sheetId="9067">
        <row r="1">
          <cell r="A1" t="str">
            <v>PHIẾU XỬ LÝ HỒ SƠ THANH TOÁN VƯỢT THẨM QUYỀN PD</v>
          </cell>
        </row>
      </sheetData>
      <sheetData sheetId="9068">
        <row r="1">
          <cell r="A1" t="str">
            <v>PHIẾU XỬ LÝ HỒ SƠ THANH TOÁN VƯỢT THẨM QUYỀN PD</v>
          </cell>
        </row>
      </sheetData>
      <sheetData sheetId="9069">
        <row r="1">
          <cell r="A1" t="str">
            <v>PHIẾU XỬ LÝ HỒ SƠ THANH TOÁN VƯỢT THẨM QUYỀN PD</v>
          </cell>
        </row>
      </sheetData>
      <sheetData sheetId="9070">
        <row r="1">
          <cell r="A1" t="str">
            <v>PHIẾU XỬ LÝ HỒ SƠ THANH TOÁN VƯỢT THẨM QUYỀN PD</v>
          </cell>
        </row>
      </sheetData>
      <sheetData sheetId="9071">
        <row r="1">
          <cell r="A1" t="str">
            <v>PHIẾU XỬ LÝ HỒ SƠ THANH TOÁN VƯỢT THẨM QUYỀN PD</v>
          </cell>
        </row>
      </sheetData>
      <sheetData sheetId="9072">
        <row r="1">
          <cell r="A1" t="str">
            <v>PHIẾU XỬ LÝ HỒ SƠ THANH TOÁN VƯỢT THẨM QUYỀN PD</v>
          </cell>
        </row>
      </sheetData>
      <sheetData sheetId="9073">
        <row r="1">
          <cell r="A1" t="str">
            <v>PHIẾU XỬ LÝ HỒ SƠ THANH TOÁN VƯỢT THẨM QUYỀN PD</v>
          </cell>
        </row>
      </sheetData>
      <sheetData sheetId="9074">
        <row r="1">
          <cell r="A1" t="str">
            <v>PHIẾU XỬ LÝ HỒ SƠ THANH TOÁN VƯỢT THẨM QUYỀN PD</v>
          </cell>
        </row>
      </sheetData>
      <sheetData sheetId="9075">
        <row r="1">
          <cell r="A1" t="str">
            <v>PHIẾU XỬ LÝ HỒ SƠ THANH TOÁN VƯỢT THẨM QUYỀN PD</v>
          </cell>
        </row>
      </sheetData>
      <sheetData sheetId="9076">
        <row r="1">
          <cell r="A1" t="str">
            <v>PHIẾU XỬ LÝ HỒ SƠ THANH TOÁN VƯỢT THẨM QUYỀN PD</v>
          </cell>
        </row>
      </sheetData>
      <sheetData sheetId="9077">
        <row r="1">
          <cell r="A1" t="str">
            <v>PHIẾU XỬ LÝ HỒ SƠ THANH TOÁN VƯỢT THẨM QUYỀN PD</v>
          </cell>
        </row>
      </sheetData>
      <sheetData sheetId="9078">
        <row r="1">
          <cell r="A1" t="str">
            <v>PHIẾU XỬ LÝ HỒ SƠ THANH TOÁN VƯỢT THẨM QUYỀN PD</v>
          </cell>
        </row>
      </sheetData>
      <sheetData sheetId="9079">
        <row r="1">
          <cell r="A1" t="str">
            <v>PHIẾU XỬ LÝ HỒ SƠ THANH TOÁN VƯỢT THẨM QUYỀN PD</v>
          </cell>
        </row>
      </sheetData>
      <sheetData sheetId="9080">
        <row r="1">
          <cell r="A1" t="str">
            <v>PHIẾU XỬ LÝ HỒ SƠ THANH TOÁN VƯỢT THẨM QUYỀN PD</v>
          </cell>
        </row>
      </sheetData>
      <sheetData sheetId="9081">
        <row r="1">
          <cell r="A1" t="str">
            <v>PHIẾU XỬ LÝ HỒ SƠ THANH TOÁN VƯỢT THẨM QUYỀN PD</v>
          </cell>
        </row>
      </sheetData>
      <sheetData sheetId="9082">
        <row r="1">
          <cell r="A1" t="str">
            <v>PHIẾU XỬ LÝ HỒ SƠ THANH TOÁN VƯỢT THẨM QUYỀN PD</v>
          </cell>
        </row>
      </sheetData>
      <sheetData sheetId="9083">
        <row r="1">
          <cell r="A1" t="str">
            <v>PHIẾU XỬ LÝ HỒ SƠ THANH TOÁN VƯỢT THẨM QUYỀN PD</v>
          </cell>
        </row>
      </sheetData>
      <sheetData sheetId="9084">
        <row r="1">
          <cell r="A1" t="str">
            <v>PHIẾU XỬ LÝ HỒ SƠ THANH TOÁN VƯỢT THẨM QUYỀN PD</v>
          </cell>
        </row>
      </sheetData>
      <sheetData sheetId="9085">
        <row r="1">
          <cell r="A1" t="str">
            <v>PHIẾU XỬ LÝ HỒ SƠ THANH TOÁN VƯỢT THẨM QUYỀN PD</v>
          </cell>
        </row>
      </sheetData>
      <sheetData sheetId="9086">
        <row r="1">
          <cell r="A1" t="str">
            <v>PHIẾU XỬ LÝ HỒ SƠ THANH TOÁN VƯỢT THẨM QUYỀN PD</v>
          </cell>
        </row>
      </sheetData>
      <sheetData sheetId="9087">
        <row r="1">
          <cell r="A1" t="str">
            <v>PHIẾU XỬ LÝ HỒ SƠ THANH TOÁN VƯỢT THẨM QUYỀN PD</v>
          </cell>
        </row>
      </sheetData>
      <sheetData sheetId="9088">
        <row r="1">
          <cell r="A1" t="str">
            <v>PHIẾU XỬ LÝ HỒ SƠ THANH TOÁN VƯỢT THẨM QUYỀN PD</v>
          </cell>
        </row>
      </sheetData>
      <sheetData sheetId="9089">
        <row r="1">
          <cell r="A1" t="str">
            <v>PHIẾU XỬ LÝ HỒ SƠ THANH TOÁN VƯỢT THẨM QUYỀN PD</v>
          </cell>
        </row>
      </sheetData>
      <sheetData sheetId="9090">
        <row r="1">
          <cell r="A1" t="str">
            <v>PHIẾU XỬ LÝ HỒ SƠ THANH TOÁN VƯỢT THẨM QUYỀN PD</v>
          </cell>
        </row>
      </sheetData>
      <sheetData sheetId="9091">
        <row r="1">
          <cell r="A1" t="str">
            <v>PHIẾU XỬ LÝ HỒ SƠ THANH TOÁN VƯỢT THẨM QUYỀN PD</v>
          </cell>
        </row>
      </sheetData>
      <sheetData sheetId="9092">
        <row r="1">
          <cell r="A1" t="str">
            <v>PHIẾU XỬ LÝ HỒ SƠ THANH TOÁN VƯỢT THẨM QUYỀN PD</v>
          </cell>
        </row>
      </sheetData>
      <sheetData sheetId="9093">
        <row r="1">
          <cell r="A1" t="str">
            <v>PHIẾU XỬ LÝ HỒ SƠ THANH TOÁN VƯỢT THẨM QUYỀN PD</v>
          </cell>
        </row>
      </sheetData>
      <sheetData sheetId="9094">
        <row r="1">
          <cell r="A1" t="str">
            <v>PHIẾU XỬ LÝ HỒ SƠ THANH TOÁN VƯỢT THẨM QUYỀN PD</v>
          </cell>
        </row>
      </sheetData>
      <sheetData sheetId="9095">
        <row r="1">
          <cell r="A1" t="str">
            <v>PHIẾU XỬ LÝ HỒ SƠ THANH TOÁN VƯỢT THẨM QUYỀN PD</v>
          </cell>
        </row>
      </sheetData>
      <sheetData sheetId="9096">
        <row r="1">
          <cell r="A1" t="str">
            <v>PHIẾU XỬ LÝ HỒ SƠ THANH TOÁN VƯỢT THẨM QUYỀN PD</v>
          </cell>
        </row>
      </sheetData>
      <sheetData sheetId="9097">
        <row r="1">
          <cell r="A1" t="str">
            <v>PHIẾU XỬ LÝ HỒ SƠ THANH TOÁN VƯỢT THẨM QUYỀN PD</v>
          </cell>
        </row>
      </sheetData>
      <sheetData sheetId="9098">
        <row r="1">
          <cell r="A1" t="str">
            <v>PHIẾU XỬ LÝ HỒ SƠ THANH TOÁN VƯỢT THẨM QUYỀN PD</v>
          </cell>
        </row>
      </sheetData>
      <sheetData sheetId="9099">
        <row r="1">
          <cell r="A1" t="str">
            <v>PHIẾU XỬ LÝ HỒ SƠ THANH TOÁN VƯỢT THẨM QUYỀN PD</v>
          </cell>
        </row>
      </sheetData>
      <sheetData sheetId="9100">
        <row r="1">
          <cell r="A1" t="str">
            <v>PHIẾU XỬ LÝ HỒ SƠ THANH TOÁN VƯỢT THẨM QUYỀN PD</v>
          </cell>
        </row>
      </sheetData>
      <sheetData sheetId="9101">
        <row r="1">
          <cell r="A1" t="str">
            <v>PHIẾU XỬ LÝ HỒ SƠ THANH TOÁN VƯỢT THẨM QUYỀN PD</v>
          </cell>
        </row>
      </sheetData>
      <sheetData sheetId="9102">
        <row r="1">
          <cell r="A1" t="str">
            <v>PHIẾU XỬ LÝ HỒ SƠ THANH TOÁN VƯỢT THẨM QUYỀN PD</v>
          </cell>
        </row>
      </sheetData>
      <sheetData sheetId="9103">
        <row r="1">
          <cell r="A1" t="str">
            <v>PHIẾU XỬ LÝ HỒ SƠ THANH TOÁN VƯỢT THẨM QUYỀN PD</v>
          </cell>
        </row>
      </sheetData>
      <sheetData sheetId="9104">
        <row r="1">
          <cell r="A1" t="str">
            <v>PHIẾU XỬ LÝ HỒ SƠ THANH TOÁN VƯỢT THẨM QUYỀN PD</v>
          </cell>
        </row>
      </sheetData>
      <sheetData sheetId="9105">
        <row r="1">
          <cell r="A1" t="str">
            <v>PHIẾU XỬ LÝ HỒ SƠ THANH TOÁN VƯỢT THẨM QUYỀN PD</v>
          </cell>
        </row>
      </sheetData>
      <sheetData sheetId="9106">
        <row r="1">
          <cell r="A1" t="str">
            <v>PHIẾU XỬ LÝ HỒ SƠ THANH TOÁN VƯỢT THẨM QUYỀN PD</v>
          </cell>
        </row>
      </sheetData>
      <sheetData sheetId="9107">
        <row r="1">
          <cell r="A1" t="str">
            <v>PHIẾU XỬ LÝ HỒ SƠ THANH TOÁN VƯỢT THẨM QUYỀN PD</v>
          </cell>
        </row>
      </sheetData>
      <sheetData sheetId="9108">
        <row r="1">
          <cell r="A1" t="str">
            <v>PHIẾU XỬ LÝ HỒ SƠ THANH TOÁN VƯỢT THẨM QUYỀN PD</v>
          </cell>
        </row>
      </sheetData>
      <sheetData sheetId="9109">
        <row r="1">
          <cell r="A1" t="str">
            <v>PHIẾU XỬ LÝ HỒ SƠ THANH TOÁN VƯỢT THẨM QUYỀN PD</v>
          </cell>
        </row>
      </sheetData>
      <sheetData sheetId="9110">
        <row r="1">
          <cell r="A1" t="str">
            <v>PHIẾU XỬ LÝ HỒ SƠ THANH TOÁN VƯỢT THẨM QUYỀN PD</v>
          </cell>
        </row>
      </sheetData>
      <sheetData sheetId="9111">
        <row r="1">
          <cell r="A1" t="str">
            <v>PHIẾU XỬ LÝ HỒ SƠ THANH TOÁN VƯỢT THẨM QUYỀN PD</v>
          </cell>
        </row>
      </sheetData>
      <sheetData sheetId="9112">
        <row r="1">
          <cell r="A1" t="str">
            <v>PHIẾU XỬ LÝ HỒ SƠ THANH TOÁN VƯỢT THẨM QUYỀN PD</v>
          </cell>
        </row>
      </sheetData>
      <sheetData sheetId="9113">
        <row r="1">
          <cell r="A1" t="str">
            <v>PHIẾU XỬ LÝ HỒ SƠ THANH TOÁN VƯỢT THẨM QUYỀN PD</v>
          </cell>
        </row>
      </sheetData>
      <sheetData sheetId="9114">
        <row r="1">
          <cell r="A1" t="str">
            <v>PHIẾU XỬ LÝ HỒ SƠ THANH TOÁN VƯỢT THẨM QUYỀN PD</v>
          </cell>
        </row>
      </sheetData>
      <sheetData sheetId="9115">
        <row r="1">
          <cell r="A1" t="str">
            <v>PHIẾU XỬ LÝ HỒ SƠ THANH TOÁN VƯỢT THẨM QUYỀN PD</v>
          </cell>
        </row>
      </sheetData>
      <sheetData sheetId="9116">
        <row r="1">
          <cell r="A1" t="str">
            <v>PHIẾU XỬ LÝ HỒ SƠ THANH TOÁN VƯỢT THẨM QUYỀN PD</v>
          </cell>
        </row>
      </sheetData>
      <sheetData sheetId="9117">
        <row r="1">
          <cell r="A1" t="str">
            <v>PHIẾU XỬ LÝ HỒ SƠ THANH TOÁN VƯỢT THẨM QUYỀN PD</v>
          </cell>
        </row>
      </sheetData>
      <sheetData sheetId="9118">
        <row r="1">
          <cell r="A1" t="str">
            <v>PHIẾU XỬ LÝ HỒ SƠ THANH TOÁN VƯỢT THẨM QUYỀN PD</v>
          </cell>
        </row>
      </sheetData>
      <sheetData sheetId="9119">
        <row r="1">
          <cell r="A1" t="str">
            <v>PHIẾU XỬ LÝ HỒ SƠ THANH TOÁN VƯỢT THẨM QUYỀN PD</v>
          </cell>
        </row>
      </sheetData>
      <sheetData sheetId="9120">
        <row r="1">
          <cell r="A1" t="str">
            <v>PHIẾU XỬ LÝ HỒ SƠ THANH TOÁN VƯỢT THẨM QUYỀN PD</v>
          </cell>
        </row>
      </sheetData>
      <sheetData sheetId="9121">
        <row r="1">
          <cell r="A1" t="str">
            <v>PHIẾU XỬ LÝ HỒ SƠ THANH TOÁN VƯỢT THẨM QUYỀN PD</v>
          </cell>
        </row>
      </sheetData>
      <sheetData sheetId="9122">
        <row r="1">
          <cell r="A1" t="str">
            <v>PHIẾU XỬ LÝ HỒ SƠ THANH TOÁN VƯỢT THẨM QUYỀN PD</v>
          </cell>
        </row>
      </sheetData>
      <sheetData sheetId="9123">
        <row r="1">
          <cell r="A1" t="str">
            <v>PHIẾU XỬ LÝ HỒ SƠ THANH TOÁN VƯỢT THẨM QUYỀN PD</v>
          </cell>
        </row>
      </sheetData>
      <sheetData sheetId="9124">
        <row r="1">
          <cell r="A1" t="str">
            <v>PHIẾU XỬ LÝ HỒ SƠ THANH TOÁN VƯỢT THẨM QUYỀN PD</v>
          </cell>
        </row>
      </sheetData>
      <sheetData sheetId="9125">
        <row r="1">
          <cell r="A1" t="str">
            <v>PHIẾU XỬ LÝ HỒ SƠ THANH TOÁN VƯỢT THẨM QUYỀN PD</v>
          </cell>
        </row>
      </sheetData>
      <sheetData sheetId="9126">
        <row r="1">
          <cell r="A1" t="str">
            <v>PHIẾU XỬ LÝ HỒ SƠ THANH TOÁN VƯỢT THẨM QUYỀN PD</v>
          </cell>
        </row>
      </sheetData>
      <sheetData sheetId="9127">
        <row r="1">
          <cell r="A1" t="str">
            <v>PHIẾU XỬ LÝ HỒ SƠ THANH TOÁN VƯỢT THẨM QUYỀN PD</v>
          </cell>
        </row>
      </sheetData>
      <sheetData sheetId="9128">
        <row r="1">
          <cell r="A1" t="str">
            <v>PHIẾU XỬ LÝ HỒ SƠ THANH TOÁN VƯỢT THẨM QUYỀN PD</v>
          </cell>
        </row>
      </sheetData>
      <sheetData sheetId="9129">
        <row r="1">
          <cell r="A1" t="str">
            <v>PHIẾU XỬ LÝ HỒ SƠ THANH TOÁN VƯỢT THẨM QUYỀN PD</v>
          </cell>
        </row>
      </sheetData>
      <sheetData sheetId="9130">
        <row r="1">
          <cell r="A1" t="str">
            <v>PHIẾU XỬ LÝ HỒ SƠ THANH TOÁN VƯỢT THẨM QUYỀN PD</v>
          </cell>
        </row>
      </sheetData>
      <sheetData sheetId="9131">
        <row r="1">
          <cell r="A1" t="str">
            <v>PHIẾU XỬ LÝ HỒ SƠ THANH TOÁN VƯỢT THẨM QUYỀN PD</v>
          </cell>
        </row>
      </sheetData>
      <sheetData sheetId="9132">
        <row r="1">
          <cell r="A1" t="str">
            <v>PHIẾU XỬ LÝ HỒ SƠ THANH TOÁN VƯỢT THẨM QUYỀN PD</v>
          </cell>
        </row>
      </sheetData>
      <sheetData sheetId="9133">
        <row r="1">
          <cell r="A1" t="str">
            <v>PHIẾU XỬ LÝ HỒ SƠ THANH TOÁN VƯỢT THẨM QUYỀN PD</v>
          </cell>
        </row>
      </sheetData>
      <sheetData sheetId="9134">
        <row r="1">
          <cell r="A1" t="str">
            <v>PHIẾU XỬ LÝ HỒ SƠ THANH TOÁN VƯỢT THẨM QUYỀN PD</v>
          </cell>
        </row>
      </sheetData>
      <sheetData sheetId="9135">
        <row r="1">
          <cell r="A1" t="str">
            <v>PHIẾU XỬ LÝ HỒ SƠ THANH TOÁN VƯỢT THẨM QUYỀN PD</v>
          </cell>
        </row>
      </sheetData>
      <sheetData sheetId="9136">
        <row r="1">
          <cell r="A1" t="str">
            <v>PHIẾU XỬ LÝ HỒ SƠ THANH TOÁN VƯỢT THẨM QUYỀN PD</v>
          </cell>
        </row>
      </sheetData>
      <sheetData sheetId="9137">
        <row r="1">
          <cell r="A1" t="str">
            <v>PHIẾU XỬ LÝ HỒ SƠ THANH TOÁN VƯỢT THẨM QUYỀN PD</v>
          </cell>
        </row>
      </sheetData>
      <sheetData sheetId="9138">
        <row r="1">
          <cell r="A1" t="str">
            <v>PHIẾU XỬ LÝ HỒ SƠ THANH TOÁN VƯỢT THẨM QUYỀN PD</v>
          </cell>
        </row>
      </sheetData>
      <sheetData sheetId="9139">
        <row r="1">
          <cell r="A1" t="str">
            <v>PHIẾU XỬ LÝ HỒ SƠ THANH TOÁN VƯỢT THẨM QUYỀN PD</v>
          </cell>
        </row>
      </sheetData>
      <sheetData sheetId="9140">
        <row r="1">
          <cell r="A1" t="str">
            <v>PHIẾU XỬ LÝ HỒ SƠ THANH TOÁN VƯỢT THẨM QUYỀN PD</v>
          </cell>
        </row>
      </sheetData>
      <sheetData sheetId="9141">
        <row r="1">
          <cell r="A1" t="str">
            <v>PHIẾU XỬ LÝ HỒ SƠ THANH TOÁN VƯỢT THẨM QUYỀN PD</v>
          </cell>
        </row>
      </sheetData>
      <sheetData sheetId="9142">
        <row r="1">
          <cell r="A1" t="str">
            <v>PHIẾU XỬ LÝ HỒ SƠ THANH TOÁN VƯỢT THẨM QUYỀN PD</v>
          </cell>
        </row>
      </sheetData>
      <sheetData sheetId="9143">
        <row r="1">
          <cell r="A1" t="str">
            <v>PHIẾU XỬ LÝ HỒ SƠ THANH TOÁN VƯỢT THẨM QUYỀN PD</v>
          </cell>
        </row>
      </sheetData>
      <sheetData sheetId="9144">
        <row r="1">
          <cell r="A1" t="str">
            <v>PHIẾU XỬ LÝ HỒ SƠ THANH TOÁN VƯỢT THẨM QUYỀN PD</v>
          </cell>
        </row>
      </sheetData>
      <sheetData sheetId="9145">
        <row r="1">
          <cell r="A1" t="str">
            <v>PHIẾU XỬ LÝ HỒ SƠ THANH TOÁN VƯỢT THẨM QUYỀN PD</v>
          </cell>
        </row>
      </sheetData>
      <sheetData sheetId="9146">
        <row r="1">
          <cell r="A1" t="str">
            <v>PHIẾU XỬ LÝ HỒ SƠ THANH TOÁN VƯỢT THẨM QUYỀN PD</v>
          </cell>
        </row>
      </sheetData>
      <sheetData sheetId="9147">
        <row r="1">
          <cell r="A1" t="str">
            <v>PHIẾU XỬ LÝ HỒ SƠ THANH TOÁN VƯỢT THẨM QUYỀN PD</v>
          </cell>
        </row>
      </sheetData>
      <sheetData sheetId="9148">
        <row r="1">
          <cell r="A1" t="str">
            <v>PHIẾU XỬ LÝ HỒ SƠ THANH TOÁN VƯỢT THẨM QUYỀN PD</v>
          </cell>
        </row>
      </sheetData>
      <sheetData sheetId="9149">
        <row r="1">
          <cell r="A1" t="str">
            <v>PHIẾU XỬ LÝ HỒ SƠ THANH TOÁN VƯỢT THẨM QUYỀN PD</v>
          </cell>
        </row>
      </sheetData>
      <sheetData sheetId="9150">
        <row r="1">
          <cell r="A1" t="str">
            <v>PHIẾU XỬ LÝ HỒ SƠ THANH TOÁN VƯỢT THẨM QUYỀN PD</v>
          </cell>
        </row>
      </sheetData>
      <sheetData sheetId="9151">
        <row r="1">
          <cell r="A1" t="str">
            <v>PHIẾU XỬ LÝ HỒ SƠ THANH TOÁN VƯỢT THẨM QUYỀN PD</v>
          </cell>
        </row>
      </sheetData>
      <sheetData sheetId="9152">
        <row r="1">
          <cell r="A1" t="str">
            <v>PHIẾU XỬ LÝ HỒ SƠ THANH TOÁN VƯỢT THẨM QUYỀN PD</v>
          </cell>
        </row>
      </sheetData>
      <sheetData sheetId="9153">
        <row r="1">
          <cell r="A1" t="str">
            <v>PHIẾU XỬ LÝ HỒ SƠ THANH TOÁN VƯỢT THẨM QUYỀN PD</v>
          </cell>
        </row>
      </sheetData>
      <sheetData sheetId="9154">
        <row r="1">
          <cell r="A1" t="str">
            <v>PHIẾU XỬ LÝ HỒ SƠ THANH TOÁN VƯỢT THẨM QUYỀN PD</v>
          </cell>
        </row>
      </sheetData>
      <sheetData sheetId="9155">
        <row r="1">
          <cell r="A1" t="str">
            <v>PHIẾU XỬ LÝ HỒ SƠ THANH TOÁN VƯỢT THẨM QUYỀN PD</v>
          </cell>
        </row>
      </sheetData>
      <sheetData sheetId="9156">
        <row r="1">
          <cell r="A1" t="str">
            <v>PHIẾU XỬ LÝ HỒ SƠ THANH TOÁN VƯỢT THẨM QUYỀN PD</v>
          </cell>
        </row>
      </sheetData>
      <sheetData sheetId="9157">
        <row r="1">
          <cell r="A1" t="str">
            <v>PHIẾU XỬ LÝ HỒ SƠ THANH TOÁN VƯỢT THẨM QUYỀN PD</v>
          </cell>
        </row>
      </sheetData>
      <sheetData sheetId="9158">
        <row r="1">
          <cell r="A1" t="str">
            <v>PHIẾU XỬ LÝ HỒ SƠ THANH TOÁN VƯỢT THẨM QUYỀN PD</v>
          </cell>
        </row>
      </sheetData>
      <sheetData sheetId="9159">
        <row r="1">
          <cell r="A1" t="str">
            <v>PHIẾU XỬ LÝ HỒ SƠ THANH TOÁN VƯỢT THẨM QUYỀN PD</v>
          </cell>
        </row>
      </sheetData>
      <sheetData sheetId="9160">
        <row r="1">
          <cell r="A1" t="str">
            <v>PHIẾU XỬ LÝ HỒ SƠ THANH TOÁN VƯỢT THẨM QUYỀN PD</v>
          </cell>
        </row>
      </sheetData>
      <sheetData sheetId="9161">
        <row r="1">
          <cell r="A1" t="str">
            <v>PHIẾU XỬ LÝ HỒ SƠ THANH TOÁN VƯỢT THẨM QUYỀN PD</v>
          </cell>
        </row>
      </sheetData>
      <sheetData sheetId="9162">
        <row r="1">
          <cell r="A1" t="str">
            <v>PHIẾU XỬ LÝ HỒ SƠ THANH TOÁN VƯỢT THẨM QUYỀN PD</v>
          </cell>
        </row>
      </sheetData>
      <sheetData sheetId="9163">
        <row r="1">
          <cell r="A1" t="str">
            <v>PHIẾU XỬ LÝ HỒ SƠ THANH TOÁN VƯỢT THẨM QUYỀN PD</v>
          </cell>
        </row>
      </sheetData>
      <sheetData sheetId="9164">
        <row r="1">
          <cell r="A1" t="str">
            <v>PHIẾU XỬ LÝ HỒ SƠ THANH TOÁN VƯỢT THẨM QUYỀN PD</v>
          </cell>
        </row>
      </sheetData>
      <sheetData sheetId="9165">
        <row r="1">
          <cell r="A1" t="str">
            <v>PHIẾU XỬ LÝ HỒ SƠ THANH TOÁN VƯỢT THẨM QUYỀN PD</v>
          </cell>
        </row>
      </sheetData>
      <sheetData sheetId="9166">
        <row r="1">
          <cell r="A1" t="str">
            <v>PHIẾU XỬ LÝ HỒ SƠ THANH TOÁN VƯỢT THẨM QUYỀN PD</v>
          </cell>
        </row>
      </sheetData>
      <sheetData sheetId="9167">
        <row r="1">
          <cell r="A1" t="str">
            <v>PHIẾU XỬ LÝ HỒ SƠ THANH TOÁN VƯỢT THẨM QUYỀN PD</v>
          </cell>
        </row>
      </sheetData>
      <sheetData sheetId="9168">
        <row r="1">
          <cell r="A1" t="str">
            <v>PHIẾU XỬ LÝ HỒ SƠ THANH TOÁN VƯỢT THẨM QUYỀN PD</v>
          </cell>
        </row>
      </sheetData>
      <sheetData sheetId="9169">
        <row r="1">
          <cell r="A1" t="str">
            <v>PHIẾU XỬ LÝ HỒ SƠ THANH TOÁN VƯỢT THẨM QUYỀN PD</v>
          </cell>
        </row>
      </sheetData>
      <sheetData sheetId="9170">
        <row r="1">
          <cell r="A1" t="str">
            <v>PHIẾU XỬ LÝ HỒ SƠ THANH TOÁN VƯỢT THẨM QUYỀN PD</v>
          </cell>
        </row>
      </sheetData>
      <sheetData sheetId="9171">
        <row r="1">
          <cell r="A1" t="str">
            <v>PHIẾU XỬ LÝ HỒ SƠ THANH TOÁN VƯỢT THẨM QUYỀN PD</v>
          </cell>
        </row>
      </sheetData>
      <sheetData sheetId="9172">
        <row r="1">
          <cell r="A1" t="str">
            <v>PHIẾU XỬ LÝ HỒ SƠ THANH TOÁN VƯỢT THẨM QUYỀN PD</v>
          </cell>
        </row>
      </sheetData>
      <sheetData sheetId="9173">
        <row r="1">
          <cell r="A1" t="str">
            <v>PHIẾU XỬ LÝ HỒ SƠ THANH TOÁN VƯỢT THẨM QUYỀN PD</v>
          </cell>
        </row>
      </sheetData>
      <sheetData sheetId="9174">
        <row r="1">
          <cell r="A1" t="str">
            <v>PHIẾU XỬ LÝ HỒ SƠ THANH TOÁN VƯỢT THẨM QUYỀN PD</v>
          </cell>
        </row>
      </sheetData>
      <sheetData sheetId="9175">
        <row r="1">
          <cell r="A1" t="str">
            <v>PHIẾU XỬ LÝ HỒ SƠ THANH TOÁN VƯỢT THẨM QUYỀN PD</v>
          </cell>
        </row>
      </sheetData>
      <sheetData sheetId="9176">
        <row r="1">
          <cell r="A1" t="str">
            <v>PHIẾU XỬ LÝ HỒ SƠ THANH TOÁN VƯỢT THẨM QUYỀN PD</v>
          </cell>
        </row>
      </sheetData>
      <sheetData sheetId="9177">
        <row r="1">
          <cell r="A1" t="str">
            <v>PHIẾU XỬ LÝ HỒ SƠ THANH TOÁN VƯỢT THẨM QUYỀN PD</v>
          </cell>
        </row>
      </sheetData>
      <sheetData sheetId="9178">
        <row r="1">
          <cell r="A1" t="str">
            <v>PHIẾU XỬ LÝ HỒ SƠ THANH TOÁN VƯỢT THẨM QUYỀN PD</v>
          </cell>
        </row>
      </sheetData>
      <sheetData sheetId="9179">
        <row r="1">
          <cell r="A1" t="str">
            <v>PHIẾU XỬ LÝ HỒ SƠ THANH TOÁN VƯỢT THẨM QUYỀN PD</v>
          </cell>
        </row>
      </sheetData>
      <sheetData sheetId="9180">
        <row r="1">
          <cell r="A1" t="str">
            <v>PHIẾU XỬ LÝ HỒ SƠ THANH TOÁN VƯỢT THẨM QUYỀN PD</v>
          </cell>
        </row>
      </sheetData>
      <sheetData sheetId="9181">
        <row r="1">
          <cell r="A1" t="str">
            <v>PHIẾU XỬ LÝ HỒ SƠ THANH TOÁN VƯỢT THẨM QUYỀN PD</v>
          </cell>
        </row>
      </sheetData>
      <sheetData sheetId="9182">
        <row r="1">
          <cell r="A1" t="str">
            <v>PHIẾU XỬ LÝ HỒ SƠ THANH TOÁN VƯỢT THẨM QUYỀN PD</v>
          </cell>
        </row>
      </sheetData>
      <sheetData sheetId="9183">
        <row r="1">
          <cell r="A1" t="str">
            <v>PHIẾU XỬ LÝ HỒ SƠ THANH TOÁN VƯỢT THẨM QUYỀN PD</v>
          </cell>
        </row>
      </sheetData>
      <sheetData sheetId="9184">
        <row r="1">
          <cell r="A1" t="str">
            <v>PHIẾU XỬ LÝ HỒ SƠ THANH TOÁN VƯỢT THẨM QUYỀN PD</v>
          </cell>
        </row>
      </sheetData>
      <sheetData sheetId="9185">
        <row r="1">
          <cell r="A1" t="str">
            <v>PHIẾU XỬ LÝ HỒ SƠ THANH TOÁN VƯỢT THẨM QUYỀN PD</v>
          </cell>
        </row>
      </sheetData>
      <sheetData sheetId="9186">
        <row r="1">
          <cell r="A1" t="str">
            <v>PHIẾU XỬ LÝ HỒ SƠ THANH TOÁN VƯỢT THẨM QUYỀN PD</v>
          </cell>
        </row>
      </sheetData>
      <sheetData sheetId="9187">
        <row r="1">
          <cell r="A1" t="str">
            <v>PHIẾU XỬ LÝ HỒ SƠ THANH TOÁN VƯỢT THẨM QUYỀN PD</v>
          </cell>
        </row>
      </sheetData>
      <sheetData sheetId="9188">
        <row r="1">
          <cell r="A1" t="str">
            <v>PHIẾU XỬ LÝ HỒ SƠ THANH TOÁN VƯỢT THẨM QUYỀN PD</v>
          </cell>
        </row>
      </sheetData>
      <sheetData sheetId="9189">
        <row r="1">
          <cell r="A1" t="str">
            <v>PHIẾU XỬ LÝ HỒ SƠ THANH TOÁN VƯỢT THẨM QUYỀN PD</v>
          </cell>
        </row>
      </sheetData>
      <sheetData sheetId="9190">
        <row r="1">
          <cell r="A1" t="str">
            <v>PHIẾU XỬ LÝ HỒ SƠ THANH TOÁN VƯỢT THẨM QUYỀN PD</v>
          </cell>
        </row>
      </sheetData>
      <sheetData sheetId="9191">
        <row r="1">
          <cell r="A1" t="str">
            <v>PHIẾU XỬ LÝ HỒ SƠ THANH TOÁN VƯỢT THẨM QUYỀN PD</v>
          </cell>
        </row>
      </sheetData>
      <sheetData sheetId="9192">
        <row r="1">
          <cell r="A1" t="str">
            <v>PHIẾU XỬ LÝ HỒ SƠ THANH TOÁN VƯỢT THẨM QUYỀN PD</v>
          </cell>
        </row>
      </sheetData>
      <sheetData sheetId="9193">
        <row r="1">
          <cell r="A1" t="str">
            <v>PHIẾU XỬ LÝ HỒ SƠ THANH TOÁN VƯỢT THẨM QUYỀN PD</v>
          </cell>
        </row>
      </sheetData>
      <sheetData sheetId="9194">
        <row r="1">
          <cell r="A1" t="str">
            <v>PHIẾU XỬ LÝ HỒ SƠ THANH TOÁN VƯỢT THẨM QUYỀN PD</v>
          </cell>
        </row>
      </sheetData>
      <sheetData sheetId="9195">
        <row r="1">
          <cell r="A1" t="str">
            <v>PHIẾU XỬ LÝ HỒ SƠ THANH TOÁN VƯỢT THẨM QUYỀN PD</v>
          </cell>
        </row>
      </sheetData>
      <sheetData sheetId="9196">
        <row r="1">
          <cell r="A1" t="str">
            <v>PHIẾU XỬ LÝ HỒ SƠ THANH TOÁN VƯỢT THẨM QUYỀN PD</v>
          </cell>
        </row>
      </sheetData>
      <sheetData sheetId="9197">
        <row r="1">
          <cell r="A1" t="str">
            <v>PHIẾU XỬ LÝ HỒ SƠ THANH TOÁN VƯỢT THẨM QUYỀN PD</v>
          </cell>
        </row>
      </sheetData>
      <sheetData sheetId="9198">
        <row r="1">
          <cell r="A1" t="str">
            <v>PHIẾU XỬ LÝ HỒ SƠ THANH TOÁN VƯỢT THẨM QUYỀN PD</v>
          </cell>
        </row>
      </sheetData>
      <sheetData sheetId="9199">
        <row r="1">
          <cell r="A1" t="str">
            <v>PHIẾU XỬ LÝ HỒ SƠ THANH TOÁN VƯỢT THẨM QUYỀN PD</v>
          </cell>
        </row>
      </sheetData>
      <sheetData sheetId="9200">
        <row r="1">
          <cell r="A1" t="str">
            <v>PHIẾU XỬ LÝ HỒ SƠ THANH TOÁN VƯỢT THẨM QUYỀN PD</v>
          </cell>
        </row>
      </sheetData>
      <sheetData sheetId="9201">
        <row r="1">
          <cell r="A1" t="str">
            <v>PHIẾU XỬ LÝ HỒ SƠ THANH TOÁN VƯỢT THẨM QUYỀN PD</v>
          </cell>
        </row>
      </sheetData>
      <sheetData sheetId="9202">
        <row r="1">
          <cell r="A1" t="str">
            <v>PHIẾU XỬ LÝ HỒ SƠ THANH TOÁN VƯỢT THẨM QUYỀN PD</v>
          </cell>
        </row>
      </sheetData>
      <sheetData sheetId="9203">
        <row r="1">
          <cell r="A1" t="str">
            <v>PHIẾU XỬ LÝ HỒ SƠ THANH TOÁN VƯỢT THẨM QUYỀN PD</v>
          </cell>
        </row>
      </sheetData>
      <sheetData sheetId="9204">
        <row r="1">
          <cell r="A1" t="str">
            <v>PHIẾU XỬ LÝ HỒ SƠ THANH TOÁN VƯỢT THẨM QUYỀN PD</v>
          </cell>
        </row>
      </sheetData>
      <sheetData sheetId="9205">
        <row r="1">
          <cell r="A1" t="str">
            <v>PHIẾU XỬ LÝ HỒ SƠ THANH TOÁN VƯỢT THẨM QUYỀN PD</v>
          </cell>
        </row>
      </sheetData>
      <sheetData sheetId="9206">
        <row r="1">
          <cell r="A1" t="str">
            <v>PHIẾU XỬ LÝ HỒ SƠ THANH TOÁN VƯỢT THẨM QUYỀN PD</v>
          </cell>
        </row>
      </sheetData>
      <sheetData sheetId="9207">
        <row r="1">
          <cell r="A1" t="str">
            <v>PHIẾU XỬ LÝ HỒ SƠ THANH TOÁN VƯỢT THẨM QUYỀN PD</v>
          </cell>
        </row>
      </sheetData>
      <sheetData sheetId="9208">
        <row r="1">
          <cell r="A1" t="str">
            <v>PHIẾU XỬ LÝ HỒ SƠ THANH TOÁN VƯỢT THẨM QUYỀN PD</v>
          </cell>
        </row>
      </sheetData>
      <sheetData sheetId="9209">
        <row r="1">
          <cell r="A1" t="str">
            <v>PHIẾU XỬ LÝ HỒ SƠ THANH TOÁN VƯỢT THẨM QUYỀN PD</v>
          </cell>
        </row>
      </sheetData>
      <sheetData sheetId="9210">
        <row r="1">
          <cell r="A1" t="str">
            <v>PHIẾU XỬ LÝ HỒ SƠ THANH TOÁN VƯỢT THẨM QUYỀN PD</v>
          </cell>
        </row>
      </sheetData>
      <sheetData sheetId="9211">
        <row r="1">
          <cell r="A1" t="str">
            <v>PHIẾU XỬ LÝ HỒ SƠ THANH TOÁN VƯỢT THẨM QUYỀN PD</v>
          </cell>
        </row>
      </sheetData>
      <sheetData sheetId="9212">
        <row r="1">
          <cell r="A1" t="str">
            <v>PHIẾU XỬ LÝ HỒ SƠ THANH TOÁN VƯỢT THẨM QUYỀN PD</v>
          </cell>
        </row>
      </sheetData>
      <sheetData sheetId="9213">
        <row r="1">
          <cell r="A1" t="str">
            <v>PHIẾU XỬ LÝ HỒ SƠ THANH TOÁN VƯỢT THẨM QUYỀN PD</v>
          </cell>
        </row>
      </sheetData>
      <sheetData sheetId="9214">
        <row r="1">
          <cell r="A1" t="str">
            <v>PHIẾU XỬ LÝ HỒ SƠ THANH TOÁN VƯỢT THẨM QUYỀN PD</v>
          </cell>
        </row>
      </sheetData>
      <sheetData sheetId="9215">
        <row r="1">
          <cell r="A1" t="str">
            <v>PHIẾU XỬ LÝ HỒ SƠ THANH TOÁN VƯỢT THẨM QUYỀN PD</v>
          </cell>
        </row>
      </sheetData>
      <sheetData sheetId="9216">
        <row r="1">
          <cell r="A1" t="str">
            <v>PHIẾU XỬ LÝ HỒ SƠ THANH TOÁN VƯỢT THẨM QUYỀN PD</v>
          </cell>
        </row>
      </sheetData>
      <sheetData sheetId="9217">
        <row r="1">
          <cell r="A1" t="str">
            <v>PHIẾU XỬ LÝ HỒ SƠ THANH TOÁN VƯỢT THẨM QUYỀN PD</v>
          </cell>
        </row>
      </sheetData>
      <sheetData sheetId="9218">
        <row r="1">
          <cell r="A1" t="str">
            <v>PHIẾU XỬ LÝ HỒ SƠ THANH TOÁN VƯỢT THẨM QUYỀN PD</v>
          </cell>
        </row>
      </sheetData>
      <sheetData sheetId="9219">
        <row r="1">
          <cell r="A1" t="str">
            <v>PHIẾU XỬ LÝ HỒ SƠ THANH TOÁN VƯỢT THẨM QUYỀN PD</v>
          </cell>
        </row>
      </sheetData>
      <sheetData sheetId="9220">
        <row r="1">
          <cell r="A1" t="str">
            <v>PHIẾU XỬ LÝ HỒ SƠ THANH TOÁN VƯỢT THẨM QUYỀN PD</v>
          </cell>
        </row>
      </sheetData>
      <sheetData sheetId="9221">
        <row r="1">
          <cell r="A1" t="str">
            <v>PHIẾU XỬ LÝ HỒ SƠ THANH TOÁN VƯỢT THẨM QUYỀN PD</v>
          </cell>
        </row>
      </sheetData>
      <sheetData sheetId="9222">
        <row r="1">
          <cell r="A1" t="str">
            <v>PHIẾU XỬ LÝ HỒ SƠ THANH TOÁN VƯỢT THẨM QUYỀN PD</v>
          </cell>
        </row>
      </sheetData>
      <sheetData sheetId="9223">
        <row r="1">
          <cell r="A1" t="str">
            <v>PHIẾU XỬ LÝ HỒ SƠ THANH TOÁN VƯỢT THẨM QUYỀN PD</v>
          </cell>
        </row>
      </sheetData>
      <sheetData sheetId="9224">
        <row r="1">
          <cell r="A1" t="str">
            <v>PHIẾU XỬ LÝ HỒ SƠ THANH TOÁN VƯỢT THẨM QUYỀN PD</v>
          </cell>
        </row>
      </sheetData>
      <sheetData sheetId="9225">
        <row r="1">
          <cell r="A1" t="str">
            <v>PHIẾU XỬ LÝ HỒ SƠ THANH TOÁN VƯỢT THẨM QUYỀN PD</v>
          </cell>
        </row>
      </sheetData>
      <sheetData sheetId="9226">
        <row r="1">
          <cell r="A1" t="str">
            <v>PHIẾU XỬ LÝ HỒ SƠ THANH TOÁN VƯỢT THẨM QUYỀN PD</v>
          </cell>
        </row>
      </sheetData>
      <sheetData sheetId="9227">
        <row r="1">
          <cell r="A1" t="str">
            <v>PHIẾU XỬ LÝ HỒ SƠ THANH TOÁN VƯỢT THẨM QUYỀN PD</v>
          </cell>
        </row>
      </sheetData>
      <sheetData sheetId="9228">
        <row r="1">
          <cell r="A1" t="str">
            <v>PHIẾU XỬ LÝ HỒ SƠ THANH TOÁN VƯỢT THẨM QUYỀN PD</v>
          </cell>
        </row>
      </sheetData>
      <sheetData sheetId="9229">
        <row r="1">
          <cell r="A1" t="str">
            <v>PHIẾU XỬ LÝ HỒ SƠ THANH TOÁN VƯỢT THẨM QUYỀN PD</v>
          </cell>
        </row>
      </sheetData>
      <sheetData sheetId="9230">
        <row r="1">
          <cell r="A1" t="str">
            <v>PHIẾU XỬ LÝ HỒ SƠ THANH TOÁN VƯỢT THẨM QUYỀN PD</v>
          </cell>
        </row>
      </sheetData>
      <sheetData sheetId="9231">
        <row r="1">
          <cell r="A1" t="str">
            <v>PHIẾU XỬ LÝ HỒ SƠ THANH TOÁN VƯỢT THẨM QUYỀN PD</v>
          </cell>
        </row>
      </sheetData>
      <sheetData sheetId="9232">
        <row r="1">
          <cell r="A1" t="str">
            <v>PHIẾU XỬ LÝ HỒ SƠ THANH TOÁN VƯỢT THẨM QUYỀN PD</v>
          </cell>
        </row>
      </sheetData>
      <sheetData sheetId="9233">
        <row r="1">
          <cell r="A1" t="str">
            <v>PHIẾU XỬ LÝ HỒ SƠ THANH TOÁN VƯỢT THẨM QUYỀN PD</v>
          </cell>
        </row>
      </sheetData>
      <sheetData sheetId="9234">
        <row r="1">
          <cell r="A1" t="str">
            <v>PHIẾU XỬ LÝ HỒ SƠ THANH TOÁN VƯỢT THẨM QUYỀN PD</v>
          </cell>
        </row>
      </sheetData>
      <sheetData sheetId="9235">
        <row r="1">
          <cell r="A1" t="str">
            <v>PHIẾU XỬ LÝ HỒ SƠ THANH TOÁN VƯỢT THẨM QUYỀN PD</v>
          </cell>
        </row>
      </sheetData>
      <sheetData sheetId="9236">
        <row r="1">
          <cell r="A1" t="str">
            <v>PHIẾU XỬ LÝ HỒ SƠ THANH TOÁN VƯỢT THẨM QUYỀN PD</v>
          </cell>
        </row>
      </sheetData>
      <sheetData sheetId="9237">
        <row r="1">
          <cell r="A1" t="str">
            <v>PHIẾU XỬ LÝ HỒ SƠ THANH TOÁN VƯỢT THẨM QUYỀN PD</v>
          </cell>
        </row>
      </sheetData>
      <sheetData sheetId="9238">
        <row r="1">
          <cell r="A1" t="str">
            <v>PHIẾU XỬ LÝ HỒ SƠ THANH TOÁN VƯỢT THẨM QUYỀN PD</v>
          </cell>
        </row>
      </sheetData>
      <sheetData sheetId="9239">
        <row r="1">
          <cell r="A1" t="str">
            <v>PHIẾU XỬ LÝ HỒ SƠ THANH TOÁN VƯỢT THẨM QUYỀN PD</v>
          </cell>
        </row>
      </sheetData>
      <sheetData sheetId="9240">
        <row r="1">
          <cell r="A1" t="str">
            <v>PHIẾU XỬ LÝ HỒ SƠ THANH TOÁN VƯỢT THẨM QUYỀN PD</v>
          </cell>
        </row>
      </sheetData>
      <sheetData sheetId="9241">
        <row r="1">
          <cell r="A1" t="str">
            <v>PHIẾU XỬ LÝ HỒ SƠ THANH TOÁN VƯỢT THẨM QUYỀN PD</v>
          </cell>
        </row>
      </sheetData>
      <sheetData sheetId="9242">
        <row r="1">
          <cell r="A1" t="str">
            <v>PHIẾU XỬ LÝ HỒ SƠ THANH TOÁN VƯỢT THẨM QUYỀN PD</v>
          </cell>
        </row>
      </sheetData>
      <sheetData sheetId="9243">
        <row r="1">
          <cell r="A1" t="str">
            <v>PHIẾU XỬ LÝ HỒ SƠ THANH TOÁN VƯỢT THẨM QUYỀN PD</v>
          </cell>
        </row>
      </sheetData>
      <sheetData sheetId="9244">
        <row r="1">
          <cell r="A1" t="str">
            <v>PHIẾU XỬ LÝ HỒ SƠ THANH TOÁN VƯỢT THẨM QUYỀN PD</v>
          </cell>
        </row>
      </sheetData>
      <sheetData sheetId="9245">
        <row r="1">
          <cell r="A1" t="str">
            <v>PHIẾU XỬ LÝ HỒ SƠ THANH TOÁN VƯỢT THẨM QUYỀN PD</v>
          </cell>
        </row>
      </sheetData>
      <sheetData sheetId="9246">
        <row r="1">
          <cell r="A1" t="str">
            <v>PHIẾU XỬ LÝ HỒ SƠ THANH TOÁN VƯỢT THẨM QUYỀN PD</v>
          </cell>
        </row>
      </sheetData>
      <sheetData sheetId="9247">
        <row r="1">
          <cell r="A1" t="str">
            <v>PHIẾU XỬ LÝ HỒ SƠ THANH TOÁN VƯỢT THẨM QUYỀN PD</v>
          </cell>
        </row>
      </sheetData>
      <sheetData sheetId="9248">
        <row r="1">
          <cell r="A1" t="str">
            <v>PHIẾU XỬ LÝ HỒ SƠ THANH TOÁN VƯỢT THẨM QUYỀN PD</v>
          </cell>
        </row>
      </sheetData>
      <sheetData sheetId="9249">
        <row r="1">
          <cell r="A1" t="str">
            <v>PHIẾU XỬ LÝ HỒ SƠ THANH TOÁN VƯỢT THẨM QUYỀN PD</v>
          </cell>
        </row>
      </sheetData>
      <sheetData sheetId="9250">
        <row r="1">
          <cell r="A1" t="str">
            <v>PHIẾU XỬ LÝ HỒ SƠ THANH TOÁN VƯỢT THẨM QUYỀN PD</v>
          </cell>
        </row>
      </sheetData>
      <sheetData sheetId="9251">
        <row r="1">
          <cell r="A1" t="str">
            <v>PHIẾU XỬ LÝ HỒ SƠ THANH TOÁN VƯỢT THẨM QUYỀN PD</v>
          </cell>
        </row>
      </sheetData>
      <sheetData sheetId="9252">
        <row r="1">
          <cell r="A1" t="str">
            <v>PHIẾU XỬ LÝ HỒ SƠ THANH TOÁN VƯỢT THẨM QUYỀN PD</v>
          </cell>
        </row>
      </sheetData>
      <sheetData sheetId="9253">
        <row r="1">
          <cell r="A1" t="str">
            <v>PHIẾU XỬ LÝ HỒ SƠ THANH TOÁN VƯỢT THẨM QUYỀN PD</v>
          </cell>
        </row>
      </sheetData>
      <sheetData sheetId="9254">
        <row r="1">
          <cell r="A1" t="str">
            <v>PHIẾU XỬ LÝ HỒ SƠ THANH TOÁN VƯỢT THẨM QUYỀN PD</v>
          </cell>
        </row>
      </sheetData>
      <sheetData sheetId="9255">
        <row r="1">
          <cell r="A1" t="str">
            <v>PHIẾU XỬ LÝ HỒ SƠ THANH TOÁN VƯỢT THẨM QUYỀN PD</v>
          </cell>
        </row>
      </sheetData>
      <sheetData sheetId="9256">
        <row r="1">
          <cell r="A1" t="str">
            <v>PHIẾU XỬ LÝ HỒ SƠ THANH TOÁN VƯỢT THẨM QUYỀN PD</v>
          </cell>
        </row>
      </sheetData>
      <sheetData sheetId="9257">
        <row r="1">
          <cell r="A1" t="str">
            <v>PHIẾU XỬ LÝ HỒ SƠ THANH TOÁN VƯỢT THẨM QUYỀN PD</v>
          </cell>
        </row>
      </sheetData>
      <sheetData sheetId="9258">
        <row r="1">
          <cell r="A1" t="str">
            <v>PHIẾU XỬ LÝ HỒ SƠ THANH TOÁN VƯỢT THẨM QUYỀN PD</v>
          </cell>
        </row>
      </sheetData>
      <sheetData sheetId="9259">
        <row r="1">
          <cell r="A1" t="str">
            <v>PHIẾU XỬ LÝ HỒ SƠ THANH TOÁN VƯỢT THẨM QUYỀN PD</v>
          </cell>
        </row>
      </sheetData>
      <sheetData sheetId="9260">
        <row r="1">
          <cell r="A1" t="str">
            <v>PHIẾU XỬ LÝ HỒ SƠ THANH TOÁN VƯỢT THẨM QUYỀN PD</v>
          </cell>
        </row>
      </sheetData>
      <sheetData sheetId="9261">
        <row r="1">
          <cell r="A1" t="str">
            <v>PHIẾU XỬ LÝ HỒ SƠ THANH TOÁN VƯỢT THẨM QUYỀN PD</v>
          </cell>
        </row>
      </sheetData>
      <sheetData sheetId="9262">
        <row r="1">
          <cell r="A1" t="str">
            <v>PHIẾU XỬ LÝ HỒ SƠ THANH TOÁN VƯỢT THẨM QUYỀN PD</v>
          </cell>
        </row>
      </sheetData>
      <sheetData sheetId="9263">
        <row r="1">
          <cell r="A1" t="str">
            <v>PHIẾU XỬ LÝ HỒ SƠ THANH TOÁN VƯỢT THẨM QUYỀN PD</v>
          </cell>
        </row>
      </sheetData>
      <sheetData sheetId="9264">
        <row r="1">
          <cell r="A1" t="str">
            <v>PHIẾU XỬ LÝ HỒ SƠ THANH TOÁN VƯỢT THẨM QUYỀN PD</v>
          </cell>
        </row>
      </sheetData>
      <sheetData sheetId="9265">
        <row r="1">
          <cell r="A1" t="str">
            <v>PHIẾU XỬ LÝ HỒ SƠ THANH TOÁN VƯỢT THẨM QUYỀN PD</v>
          </cell>
        </row>
      </sheetData>
      <sheetData sheetId="9266">
        <row r="1">
          <cell r="A1" t="str">
            <v>PHIẾU XỬ LÝ HỒ SƠ THANH TOÁN VƯỢT THẨM QUYỀN PD</v>
          </cell>
        </row>
      </sheetData>
      <sheetData sheetId="9267">
        <row r="1">
          <cell r="A1" t="str">
            <v>PHIẾU XỬ LÝ HỒ SƠ THANH TOÁN VƯỢT THẨM QUYỀN PD</v>
          </cell>
        </row>
      </sheetData>
      <sheetData sheetId="9268">
        <row r="1">
          <cell r="A1" t="str">
            <v>PHIẾU XỬ LÝ HỒ SƠ THANH TOÁN VƯỢT THẨM QUYỀN PD</v>
          </cell>
        </row>
      </sheetData>
      <sheetData sheetId="9269">
        <row r="1">
          <cell r="A1" t="str">
            <v>PHIẾU XỬ LÝ HỒ SƠ THANH TOÁN VƯỢT THẨM QUYỀN PD</v>
          </cell>
        </row>
      </sheetData>
      <sheetData sheetId="9270">
        <row r="1">
          <cell r="A1" t="str">
            <v>PHIẾU XỬ LÝ HỒ SƠ THANH TOÁN VƯỢT THẨM QUYỀN PD</v>
          </cell>
        </row>
      </sheetData>
      <sheetData sheetId="9271">
        <row r="1">
          <cell r="A1" t="str">
            <v>PHIẾU XỬ LÝ HỒ SƠ THANH TOÁN VƯỢT THẨM QUYỀN PD</v>
          </cell>
        </row>
      </sheetData>
      <sheetData sheetId="9272">
        <row r="1">
          <cell r="A1" t="str">
            <v>PHIẾU XỬ LÝ HỒ SƠ THANH TOÁN VƯỢT THẨM QUYỀN PD</v>
          </cell>
        </row>
      </sheetData>
      <sheetData sheetId="9273">
        <row r="1">
          <cell r="A1" t="str">
            <v>PHIẾU XỬ LÝ HỒ SƠ THANH TOÁN VƯỢT THẨM QUYỀN PD</v>
          </cell>
        </row>
      </sheetData>
      <sheetData sheetId="9274">
        <row r="1">
          <cell r="A1" t="str">
            <v>PHIẾU XỬ LÝ HỒ SƠ THANH TOÁN VƯỢT THẨM QUYỀN PD</v>
          </cell>
        </row>
      </sheetData>
      <sheetData sheetId="9275">
        <row r="1">
          <cell r="A1" t="str">
            <v>PHIẾU XỬ LÝ HỒ SƠ THANH TOÁN VƯỢT THẨM QUYỀN PD</v>
          </cell>
        </row>
      </sheetData>
      <sheetData sheetId="9276">
        <row r="1">
          <cell r="A1" t="str">
            <v>PHIẾU XỬ LÝ HỒ SƠ THANH TOÁN VƯỢT THẨM QUYỀN PD</v>
          </cell>
        </row>
      </sheetData>
      <sheetData sheetId="9277">
        <row r="1">
          <cell r="A1" t="str">
            <v>PHIẾU XỬ LÝ HỒ SƠ THANH TOÁN VƯỢT THẨM QUYỀN PD</v>
          </cell>
        </row>
      </sheetData>
      <sheetData sheetId="9278">
        <row r="1">
          <cell r="A1" t="str">
            <v>PHIẾU XỬ LÝ HỒ SƠ THANH TOÁN VƯỢT THẨM QUYỀN PD</v>
          </cell>
        </row>
      </sheetData>
      <sheetData sheetId="9279">
        <row r="1">
          <cell r="A1" t="str">
            <v>PHIẾU XỬ LÝ HỒ SƠ THANH TOÁN VƯỢT THẨM QUYỀN PD</v>
          </cell>
        </row>
      </sheetData>
      <sheetData sheetId="9280">
        <row r="1">
          <cell r="A1" t="str">
            <v>PHIẾU XỬ LÝ HỒ SƠ THANH TOÁN VƯỢT THẨM QUYỀN PD</v>
          </cell>
        </row>
      </sheetData>
      <sheetData sheetId="9281">
        <row r="1">
          <cell r="A1" t="str">
            <v>PHIẾU XỬ LÝ HỒ SƠ THANH TOÁN VƯỢT THẨM QUYỀN PD</v>
          </cell>
        </row>
      </sheetData>
      <sheetData sheetId="9282">
        <row r="1">
          <cell r="A1" t="str">
            <v>PHIẾU XỬ LÝ HỒ SƠ THANH TOÁN VƯỢT THẨM QUYỀN PD</v>
          </cell>
        </row>
      </sheetData>
      <sheetData sheetId="9283">
        <row r="1">
          <cell r="A1" t="str">
            <v>PHIẾU XỬ LÝ HỒ SƠ THANH TOÁN VƯỢT THẨM QUYỀN PD</v>
          </cell>
        </row>
      </sheetData>
      <sheetData sheetId="9284">
        <row r="1">
          <cell r="A1" t="str">
            <v>PHIẾU XỬ LÝ HỒ SƠ THANH TOÁN VƯỢT THẨM QUYỀN PD</v>
          </cell>
        </row>
      </sheetData>
      <sheetData sheetId="9285">
        <row r="1">
          <cell r="A1" t="str">
            <v>PHIẾU XỬ LÝ HỒ SƠ THANH TOÁN VƯỢT THẨM QUYỀN PD</v>
          </cell>
        </row>
      </sheetData>
      <sheetData sheetId="9286">
        <row r="1">
          <cell r="A1" t="str">
            <v>PHIẾU XỬ LÝ HỒ SƠ THANH TOÁN VƯỢT THẨM QUYỀN PD</v>
          </cell>
        </row>
      </sheetData>
      <sheetData sheetId="9287">
        <row r="1">
          <cell r="A1" t="str">
            <v>PHIẾU XỬ LÝ HỒ SƠ THANH TOÁN VƯỢT THẨM QUYỀN PD</v>
          </cell>
        </row>
      </sheetData>
      <sheetData sheetId="9288">
        <row r="1">
          <cell r="A1" t="str">
            <v>PHIẾU XỬ LÝ HỒ SƠ THANH TOÁN VƯỢT THẨM QUYỀN PD</v>
          </cell>
        </row>
      </sheetData>
      <sheetData sheetId="9289">
        <row r="1">
          <cell r="A1" t="str">
            <v>PHIẾU XỬ LÝ HỒ SƠ THANH TOÁN VƯỢT THẨM QUYỀN PD</v>
          </cell>
        </row>
      </sheetData>
      <sheetData sheetId="9290">
        <row r="1">
          <cell r="A1" t="str">
            <v>PHIẾU XỬ LÝ HỒ SƠ THANH TOÁN VƯỢT THẨM QUYỀN PD</v>
          </cell>
        </row>
      </sheetData>
      <sheetData sheetId="9291">
        <row r="1">
          <cell r="A1" t="str">
            <v>PHIẾU XỬ LÝ HỒ SƠ THANH TOÁN VƯỢT THẨM QUYỀN PD</v>
          </cell>
        </row>
      </sheetData>
      <sheetData sheetId="9292">
        <row r="1">
          <cell r="A1" t="str">
            <v>PHIẾU XỬ LÝ HỒ SƠ THANH TOÁN VƯỢT THẨM QUYỀN PD</v>
          </cell>
        </row>
      </sheetData>
      <sheetData sheetId="9293">
        <row r="1">
          <cell r="A1" t="str">
            <v>PHIẾU XỬ LÝ HỒ SƠ THANH TOÁN VƯỢT THẨM QUYỀN PD</v>
          </cell>
        </row>
      </sheetData>
      <sheetData sheetId="9294">
        <row r="1">
          <cell r="A1" t="str">
            <v>PHIẾU XỬ LÝ HỒ SƠ THANH TOÁN VƯỢT THẨM QUYỀN PD</v>
          </cell>
        </row>
      </sheetData>
      <sheetData sheetId="9295">
        <row r="1">
          <cell r="A1" t="str">
            <v>PHIẾU XỬ LÝ HỒ SƠ THANH TOÁN VƯỢT THẨM QUYỀN PD</v>
          </cell>
        </row>
      </sheetData>
      <sheetData sheetId="9296">
        <row r="1">
          <cell r="A1" t="str">
            <v>PHIẾU XỬ LÝ HỒ SƠ THANH TOÁN VƯỢT THẨM QUYỀN PD</v>
          </cell>
        </row>
      </sheetData>
      <sheetData sheetId="9297">
        <row r="1">
          <cell r="A1" t="str">
            <v>PHIẾU XỬ LÝ HỒ SƠ THANH TOÁN VƯỢT THẨM QUYỀN PD</v>
          </cell>
        </row>
      </sheetData>
      <sheetData sheetId="9298">
        <row r="1">
          <cell r="A1" t="str">
            <v>PHIẾU XỬ LÝ HỒ SƠ THANH TOÁN VƯỢT THẨM QUYỀN PD</v>
          </cell>
        </row>
      </sheetData>
      <sheetData sheetId="9299">
        <row r="1">
          <cell r="A1" t="str">
            <v>PHIẾU XỬ LÝ HỒ SƠ THANH TOÁN VƯỢT THẨM QUYỀN PD</v>
          </cell>
        </row>
      </sheetData>
      <sheetData sheetId="9300">
        <row r="1">
          <cell r="A1" t="str">
            <v>PHIẾU XỬ LÝ HỒ SƠ THANH TOÁN VƯỢT THẨM QUYỀN PD</v>
          </cell>
        </row>
      </sheetData>
      <sheetData sheetId="9301">
        <row r="1">
          <cell r="A1" t="str">
            <v>PHIẾU XỬ LÝ HỒ SƠ THANH TOÁN VƯỢT THẨM QUYỀN PD</v>
          </cell>
        </row>
      </sheetData>
      <sheetData sheetId="9302">
        <row r="1">
          <cell r="A1" t="str">
            <v>PHIẾU XỬ LÝ HỒ SƠ THANH TOÁN VƯỢT THẨM QUYỀN PD</v>
          </cell>
        </row>
      </sheetData>
      <sheetData sheetId="9303">
        <row r="1">
          <cell r="A1" t="str">
            <v>PHIẾU XỬ LÝ HỒ SƠ THANH TOÁN VƯỢT THẨM QUYỀN PD</v>
          </cell>
        </row>
      </sheetData>
      <sheetData sheetId="9304">
        <row r="1">
          <cell r="A1" t="str">
            <v>PHIẾU XỬ LÝ HỒ SƠ THANH TOÁN VƯỢT THẨM QUYỀN PD</v>
          </cell>
        </row>
      </sheetData>
      <sheetData sheetId="9305">
        <row r="1">
          <cell r="A1" t="str">
            <v>PHIẾU XỬ LÝ HỒ SƠ THANH TOÁN VƯỢT THẨM QUYỀN PD</v>
          </cell>
        </row>
      </sheetData>
      <sheetData sheetId="9306">
        <row r="1">
          <cell r="A1" t="str">
            <v>PHIẾU XỬ LÝ HỒ SƠ THANH TOÁN VƯỢT THẨM QUYỀN PD</v>
          </cell>
        </row>
      </sheetData>
      <sheetData sheetId="9307">
        <row r="1">
          <cell r="A1" t="str">
            <v>PHIẾU XỬ LÝ HỒ SƠ THANH TOÁN VƯỢT THẨM QUYỀN PD</v>
          </cell>
        </row>
      </sheetData>
      <sheetData sheetId="9308">
        <row r="1">
          <cell r="A1" t="str">
            <v>PHIẾU XỬ LÝ HỒ SƠ THANH TOÁN VƯỢT THẨM QUYỀN PD</v>
          </cell>
        </row>
      </sheetData>
      <sheetData sheetId="9309">
        <row r="1">
          <cell r="A1" t="str">
            <v>PHIẾU XỬ LÝ HỒ SƠ THANH TOÁN VƯỢT THẨM QUYỀN PD</v>
          </cell>
        </row>
      </sheetData>
      <sheetData sheetId="9310">
        <row r="1">
          <cell r="A1" t="str">
            <v>PHIẾU XỬ LÝ HỒ SƠ THANH TOÁN VƯỢT THẨM QUYỀN PD</v>
          </cell>
        </row>
      </sheetData>
      <sheetData sheetId="9311">
        <row r="1">
          <cell r="A1" t="str">
            <v>PHIẾU XỬ LÝ HỒ SƠ THANH TOÁN VƯỢT THẨM QUYỀN PD</v>
          </cell>
        </row>
      </sheetData>
      <sheetData sheetId="9312">
        <row r="1">
          <cell r="A1" t="str">
            <v>PHIẾU XỬ LÝ HỒ SƠ THANH TOÁN VƯỢT THẨM QUYỀN PD</v>
          </cell>
        </row>
      </sheetData>
      <sheetData sheetId="9313">
        <row r="1">
          <cell r="A1" t="str">
            <v>PHIẾU XỬ LÝ HỒ SƠ THANH TOÁN VƯỢT THẨM QUYỀN PD</v>
          </cell>
        </row>
      </sheetData>
      <sheetData sheetId="9314">
        <row r="1">
          <cell r="A1" t="str">
            <v>PHIẾU XỬ LÝ HỒ SƠ THANH TOÁN VƯỢT THẨM QUYỀN PD</v>
          </cell>
        </row>
      </sheetData>
      <sheetData sheetId="9315">
        <row r="1">
          <cell r="A1" t="str">
            <v>PHIẾU XỬ LÝ HỒ SƠ THANH TOÁN VƯỢT THẨM QUYỀN PD</v>
          </cell>
        </row>
      </sheetData>
      <sheetData sheetId="9316">
        <row r="1">
          <cell r="A1" t="str">
            <v>PHIẾU XỬ LÝ HỒ SƠ THANH TOÁN VƯỢT THẨM QUYỀN PD</v>
          </cell>
        </row>
      </sheetData>
      <sheetData sheetId="9317">
        <row r="1">
          <cell r="A1" t="str">
            <v>PHIẾU XỬ LÝ HỒ SƠ THANH TOÁN VƯỢT THẨM QUYỀN PD</v>
          </cell>
        </row>
      </sheetData>
      <sheetData sheetId="9318">
        <row r="1">
          <cell r="A1" t="str">
            <v>PHIẾU XỬ LÝ HỒ SƠ THANH TOÁN VƯỢT THẨM QUYỀN PD</v>
          </cell>
        </row>
      </sheetData>
      <sheetData sheetId="9319">
        <row r="1">
          <cell r="A1" t="str">
            <v>PHIẾU XỬ LÝ HỒ SƠ THANH TOÁN VƯỢT THẨM QUYỀN PD</v>
          </cell>
        </row>
      </sheetData>
      <sheetData sheetId="9320">
        <row r="1">
          <cell r="A1" t="str">
            <v>PHIẾU XỬ LÝ HỒ SƠ THANH TOÁN VƯỢT THẨM QUYỀN PD</v>
          </cell>
        </row>
      </sheetData>
      <sheetData sheetId="9321">
        <row r="1">
          <cell r="A1" t="str">
            <v>PHIẾU XỬ LÝ HỒ SƠ THANH TOÁN VƯỢT THẨM QUYỀN PD</v>
          </cell>
        </row>
      </sheetData>
      <sheetData sheetId="9322">
        <row r="1">
          <cell r="A1" t="str">
            <v>PHIẾU XỬ LÝ HỒ SƠ THANH TOÁN VƯỢT THẨM QUYỀN PD</v>
          </cell>
        </row>
      </sheetData>
      <sheetData sheetId="9323">
        <row r="1">
          <cell r="A1" t="str">
            <v>PHIẾU XỬ LÝ HỒ SƠ THANH TOÁN VƯỢT THẨM QUYỀN PD</v>
          </cell>
        </row>
      </sheetData>
      <sheetData sheetId="9324">
        <row r="1">
          <cell r="A1" t="str">
            <v>PHIẾU XỬ LÝ HỒ SƠ THANH TOÁN VƯỢT THẨM QUYỀN PD</v>
          </cell>
        </row>
      </sheetData>
      <sheetData sheetId="9325">
        <row r="1">
          <cell r="A1" t="str">
            <v>PHIẾU XỬ LÝ HỒ SƠ THANH TOÁN VƯỢT THẨM QUYỀN PD</v>
          </cell>
        </row>
      </sheetData>
      <sheetData sheetId="9326">
        <row r="1">
          <cell r="A1" t="str">
            <v>PHIẾU XỬ LÝ HỒ SƠ THANH TOÁN VƯỢT THẨM QUYỀN PD</v>
          </cell>
        </row>
      </sheetData>
      <sheetData sheetId="9327">
        <row r="1">
          <cell r="A1" t="str">
            <v>PHIẾU XỬ LÝ HỒ SƠ THANH TOÁN VƯỢT THẨM QUYỀN PD</v>
          </cell>
        </row>
      </sheetData>
      <sheetData sheetId="9328">
        <row r="1">
          <cell r="A1" t="str">
            <v>PHIẾU XỬ LÝ HỒ SƠ THANH TOÁN VƯỢT THẨM QUYỀN PD</v>
          </cell>
        </row>
      </sheetData>
      <sheetData sheetId="9329">
        <row r="1">
          <cell r="A1" t="str">
            <v>PHIẾU XỬ LÝ HỒ SƠ THANH TOÁN VƯỢT THẨM QUYỀN PD</v>
          </cell>
        </row>
      </sheetData>
      <sheetData sheetId="9330">
        <row r="1">
          <cell r="A1" t="str">
            <v>PHIẾU XỬ LÝ HỒ SƠ THANH TOÁN VƯỢT THẨM QUYỀN PD</v>
          </cell>
        </row>
      </sheetData>
      <sheetData sheetId="9331">
        <row r="1">
          <cell r="A1" t="str">
            <v>PHIẾU XỬ LÝ HỒ SƠ THANH TOÁN VƯỢT THẨM QUYỀN PD</v>
          </cell>
        </row>
      </sheetData>
      <sheetData sheetId="9332">
        <row r="1">
          <cell r="A1" t="str">
            <v>PHIẾU XỬ LÝ HỒ SƠ THANH TOÁN VƯỢT THẨM QUYỀN PD</v>
          </cell>
        </row>
      </sheetData>
      <sheetData sheetId="9333">
        <row r="1">
          <cell r="A1" t="str">
            <v>PHIẾU XỬ LÝ HỒ SƠ THANH TOÁN VƯỢT THẨM QUYỀN PD</v>
          </cell>
        </row>
      </sheetData>
      <sheetData sheetId="9334">
        <row r="1">
          <cell r="A1" t="str">
            <v>PHIẾU XỬ LÝ HỒ SƠ THANH TOÁN VƯỢT THẨM QUYỀN PD</v>
          </cell>
        </row>
      </sheetData>
      <sheetData sheetId="9335">
        <row r="1">
          <cell r="A1" t="str">
            <v>PHIẾU XỬ LÝ HỒ SƠ THANH TOÁN VƯỢT THẨM QUYỀN PD</v>
          </cell>
        </row>
      </sheetData>
      <sheetData sheetId="9336">
        <row r="1">
          <cell r="A1" t="str">
            <v>PHIẾU XỬ LÝ HỒ SƠ THANH TOÁN VƯỢT THẨM QUYỀN PD</v>
          </cell>
        </row>
      </sheetData>
      <sheetData sheetId="9337">
        <row r="1">
          <cell r="A1" t="str">
            <v>PHIẾU XỬ LÝ HỒ SƠ THANH TOÁN VƯỢT THẨM QUYỀN PD</v>
          </cell>
        </row>
      </sheetData>
      <sheetData sheetId="9338">
        <row r="1">
          <cell r="A1" t="str">
            <v>PHIẾU XỬ LÝ HỒ SƠ THANH TOÁN VƯỢT THẨM QUYỀN PD</v>
          </cell>
        </row>
      </sheetData>
      <sheetData sheetId="9339">
        <row r="1">
          <cell r="A1" t="str">
            <v>PHIẾU XỬ LÝ HỒ SƠ THANH TOÁN VƯỢT THẨM QUYỀN PD</v>
          </cell>
        </row>
      </sheetData>
      <sheetData sheetId="9340">
        <row r="1">
          <cell r="A1" t="str">
            <v>PHIẾU XỬ LÝ HỒ SƠ THANH TOÁN VƯỢT THẨM QUYỀN PD</v>
          </cell>
        </row>
      </sheetData>
      <sheetData sheetId="9341">
        <row r="1">
          <cell r="A1" t="str">
            <v>PHIẾU XỬ LÝ HỒ SƠ THANH TOÁN VƯỢT THẨM QUYỀN PD</v>
          </cell>
        </row>
      </sheetData>
      <sheetData sheetId="9342">
        <row r="1">
          <cell r="A1" t="str">
            <v>PHIẾU XỬ LÝ HỒ SƠ THANH TOÁN VƯỢT THẨM QUYỀN PD</v>
          </cell>
        </row>
      </sheetData>
      <sheetData sheetId="9343">
        <row r="1">
          <cell r="A1" t="str">
            <v>PHIẾU XỬ LÝ HỒ SƠ THANH TOÁN VƯỢT THẨM QUYỀN PD</v>
          </cell>
        </row>
      </sheetData>
      <sheetData sheetId="9344">
        <row r="1">
          <cell r="A1" t="str">
            <v>PHIẾU XỬ LÝ HỒ SƠ THANH TOÁN VƯỢT THẨM QUYỀN PD</v>
          </cell>
        </row>
      </sheetData>
      <sheetData sheetId="9345">
        <row r="1">
          <cell r="A1" t="str">
            <v>PHIẾU XỬ LÝ HỒ SƠ THANH TOÁN VƯỢT THẨM QUYỀN PD</v>
          </cell>
        </row>
      </sheetData>
      <sheetData sheetId="9346">
        <row r="1">
          <cell r="A1" t="str">
            <v>PHIẾU XỬ LÝ HỒ SƠ THANH TOÁN VƯỢT THẨM QUYỀN PD</v>
          </cell>
        </row>
      </sheetData>
      <sheetData sheetId="9347">
        <row r="1">
          <cell r="A1" t="str">
            <v>PHIẾU XỬ LÝ HỒ SƠ THANH TOÁN VƯỢT THẨM QUYỀN PD</v>
          </cell>
        </row>
      </sheetData>
      <sheetData sheetId="9348">
        <row r="1">
          <cell r="A1" t="str">
            <v>PHIẾU XỬ LÝ HỒ SƠ THANH TOÁN VƯỢT THẨM QUYỀN PD</v>
          </cell>
        </row>
      </sheetData>
      <sheetData sheetId="9349">
        <row r="1">
          <cell r="A1" t="str">
            <v>PHIẾU XỬ LÝ HỒ SƠ THANH TOÁN VƯỢT THẨM QUYỀN PD</v>
          </cell>
        </row>
      </sheetData>
      <sheetData sheetId="9350">
        <row r="1">
          <cell r="A1" t="str">
            <v>PHIẾU XỬ LÝ HỒ SƠ THANH TOÁN VƯỢT THẨM QUYỀN PD</v>
          </cell>
        </row>
      </sheetData>
      <sheetData sheetId="9351">
        <row r="1">
          <cell r="A1" t="str">
            <v>PHIẾU XỬ LÝ HỒ SƠ THANH TOÁN VƯỢT THẨM QUYỀN PD</v>
          </cell>
        </row>
      </sheetData>
      <sheetData sheetId="9352">
        <row r="1">
          <cell r="A1" t="str">
            <v>PHIẾU XỬ LÝ HỒ SƠ THANH TOÁN VƯỢT THẨM QUYỀN PD</v>
          </cell>
        </row>
      </sheetData>
      <sheetData sheetId="9353">
        <row r="1">
          <cell r="A1" t="str">
            <v>PHIẾU XỬ LÝ HỒ SƠ THANH TOÁN VƯỢT THẨM QUYỀN PD</v>
          </cell>
        </row>
      </sheetData>
      <sheetData sheetId="9354">
        <row r="1">
          <cell r="A1" t="str">
            <v>PHIẾU XỬ LÝ HỒ SƠ THANH TOÁN VƯỢT THẨM QUYỀN PD</v>
          </cell>
        </row>
      </sheetData>
      <sheetData sheetId="9355">
        <row r="1">
          <cell r="A1" t="str">
            <v>PHIẾU XỬ LÝ HỒ SƠ THANH TOÁN VƯỢT THẨM QUYỀN PD</v>
          </cell>
        </row>
      </sheetData>
      <sheetData sheetId="9356">
        <row r="1">
          <cell r="A1" t="str">
            <v>PHIẾU XỬ LÝ HỒ SƠ THANH TOÁN VƯỢT THẨM QUYỀN PD</v>
          </cell>
        </row>
      </sheetData>
      <sheetData sheetId="9357">
        <row r="1">
          <cell r="A1" t="str">
            <v>PHIẾU XỬ LÝ HỒ SƠ THANH TOÁN VƯỢT THẨM QUYỀN PD</v>
          </cell>
        </row>
      </sheetData>
      <sheetData sheetId="9358">
        <row r="1">
          <cell r="A1" t="str">
            <v>PHIẾU XỬ LÝ HỒ SƠ THANH TOÁN VƯỢT THẨM QUYỀN PD</v>
          </cell>
        </row>
      </sheetData>
      <sheetData sheetId="9359">
        <row r="1">
          <cell r="A1" t="str">
            <v>PHIẾU XỬ LÝ HỒ SƠ THANH TOÁN VƯỢT THẨM QUYỀN PD</v>
          </cell>
        </row>
      </sheetData>
      <sheetData sheetId="9360">
        <row r="1">
          <cell r="A1" t="str">
            <v>PHIẾU XỬ LÝ HỒ SƠ THANH TOÁN VƯỢT THẨM QUYỀN PD</v>
          </cell>
        </row>
      </sheetData>
      <sheetData sheetId="9361">
        <row r="1">
          <cell r="A1" t="str">
            <v>PHIẾU XỬ LÝ HỒ SƠ THANH TOÁN VƯỢT THẨM QUYỀN PD</v>
          </cell>
        </row>
      </sheetData>
      <sheetData sheetId="9362">
        <row r="1">
          <cell r="A1" t="str">
            <v>PHIẾU XỬ LÝ HỒ SƠ THANH TOÁN VƯỢT THẨM QUYỀN PD</v>
          </cell>
        </row>
      </sheetData>
      <sheetData sheetId="9363">
        <row r="1">
          <cell r="A1" t="str">
            <v>PHIẾU XỬ LÝ HỒ SƠ THANH TOÁN VƯỢT THẨM QUYỀN PD</v>
          </cell>
        </row>
      </sheetData>
      <sheetData sheetId="9364">
        <row r="1">
          <cell r="A1" t="str">
            <v>PHIẾU XỬ LÝ HỒ SƠ THANH TOÁN VƯỢT THẨM QUYỀN PD</v>
          </cell>
        </row>
      </sheetData>
      <sheetData sheetId="9365">
        <row r="1">
          <cell r="A1" t="str">
            <v>PHIẾU XỬ LÝ HỒ SƠ THANH TOÁN VƯỢT THẨM QUYỀN PD</v>
          </cell>
        </row>
      </sheetData>
      <sheetData sheetId="9366">
        <row r="1">
          <cell r="A1" t="str">
            <v>PHIẾU XỬ LÝ HỒ SƠ THANH TOÁN VƯỢT THẨM QUYỀN PD</v>
          </cell>
        </row>
      </sheetData>
      <sheetData sheetId="9367">
        <row r="1">
          <cell r="A1" t="str">
            <v>PHIẾU XỬ LÝ HỒ SƠ THANH TOÁN VƯỢT THẨM QUYỀN PD</v>
          </cell>
        </row>
      </sheetData>
      <sheetData sheetId="9368">
        <row r="1">
          <cell r="A1" t="str">
            <v>PHIẾU XỬ LÝ HỒ SƠ THANH TOÁN VƯỢT THẨM QUYỀN PD</v>
          </cell>
        </row>
      </sheetData>
      <sheetData sheetId="9369">
        <row r="1">
          <cell r="A1" t="str">
            <v>PHIẾU XỬ LÝ HỒ SƠ THANH TOÁN VƯỢT THẨM QUYỀN PD</v>
          </cell>
        </row>
      </sheetData>
      <sheetData sheetId="9370">
        <row r="1">
          <cell r="A1" t="str">
            <v>PHIẾU XỬ LÝ HỒ SƠ THANH TOÁN VƯỢT THẨM QUYỀN PD</v>
          </cell>
        </row>
      </sheetData>
      <sheetData sheetId="9371">
        <row r="1">
          <cell r="A1" t="str">
            <v>PHIẾU XỬ LÝ HỒ SƠ THANH TOÁN VƯỢT THẨM QUYỀN PD</v>
          </cell>
        </row>
      </sheetData>
      <sheetData sheetId="9372">
        <row r="1">
          <cell r="A1" t="str">
            <v>PHIẾU XỬ LÝ HỒ SƠ THANH TOÁN VƯỢT THẨM QUYỀN PD</v>
          </cell>
        </row>
      </sheetData>
      <sheetData sheetId="9373">
        <row r="1">
          <cell r="A1" t="str">
            <v>PHIẾU XỬ LÝ HỒ SƠ THANH TOÁN VƯỢT THẨM QUYỀN PD</v>
          </cell>
        </row>
      </sheetData>
      <sheetData sheetId="9374">
        <row r="1">
          <cell r="A1" t="str">
            <v>PHIẾU XỬ LÝ HỒ SƠ THANH TOÁN VƯỢT THẨM QUYỀN PD</v>
          </cell>
        </row>
      </sheetData>
      <sheetData sheetId="9375">
        <row r="1">
          <cell r="A1" t="str">
            <v>PHIẾU XỬ LÝ HỒ SƠ THANH TOÁN VƯỢT THẨM QUYỀN PD</v>
          </cell>
        </row>
      </sheetData>
      <sheetData sheetId="9376">
        <row r="1">
          <cell r="A1" t="str">
            <v>PHIẾU XỬ LÝ HỒ SƠ THANH TOÁN VƯỢT THẨM QUYỀN PD</v>
          </cell>
        </row>
      </sheetData>
      <sheetData sheetId="9377">
        <row r="1">
          <cell r="A1" t="str">
            <v>PHIẾU XỬ LÝ HỒ SƠ THANH TOÁN VƯỢT THẨM QUYỀN PD</v>
          </cell>
        </row>
      </sheetData>
      <sheetData sheetId="9378">
        <row r="1">
          <cell r="A1" t="str">
            <v>PHIẾU XỬ LÝ HỒ SƠ THANH TOÁN VƯỢT THẨM QUYỀN PD</v>
          </cell>
        </row>
      </sheetData>
      <sheetData sheetId="9379">
        <row r="1">
          <cell r="A1" t="str">
            <v>PHIẾU XỬ LÝ HỒ SƠ THANH TOÁN VƯỢT THẨM QUYỀN PD</v>
          </cell>
        </row>
      </sheetData>
      <sheetData sheetId="9380">
        <row r="1">
          <cell r="A1" t="str">
            <v>PHIẾU XỬ LÝ HỒ SƠ THANH TOÁN VƯỢT THẨM QUYỀN PD</v>
          </cell>
        </row>
      </sheetData>
      <sheetData sheetId="9381">
        <row r="1">
          <cell r="A1" t="str">
            <v>PHIẾU XỬ LÝ HỒ SƠ THANH TOÁN VƯỢT THẨM QUYỀN PD</v>
          </cell>
        </row>
      </sheetData>
      <sheetData sheetId="9382">
        <row r="1">
          <cell r="A1" t="str">
            <v>PHIẾU XỬ LÝ HỒ SƠ THANH TOÁN VƯỢT THẨM QUYỀN PD</v>
          </cell>
        </row>
      </sheetData>
      <sheetData sheetId="9383">
        <row r="1">
          <cell r="A1" t="str">
            <v>PHIẾU XỬ LÝ HỒ SƠ THANH TOÁN VƯỢT THẨM QUYỀN PD</v>
          </cell>
        </row>
      </sheetData>
      <sheetData sheetId="9384">
        <row r="1">
          <cell r="A1" t="str">
            <v>PHIẾU XỬ LÝ HỒ SƠ THANH TOÁN VƯỢT THẨM QUYỀN PD</v>
          </cell>
        </row>
      </sheetData>
      <sheetData sheetId="9385">
        <row r="1">
          <cell r="A1" t="str">
            <v>PHIẾU XỬ LÝ HỒ SƠ THANH TOÁN VƯỢT THẨM QUYỀN PD</v>
          </cell>
        </row>
      </sheetData>
      <sheetData sheetId="9386">
        <row r="1">
          <cell r="A1" t="str">
            <v>PHIẾU XỬ LÝ HỒ SƠ THANH TOÁN VƯỢT THẨM QUYỀN PD</v>
          </cell>
        </row>
      </sheetData>
      <sheetData sheetId="9387">
        <row r="1">
          <cell r="A1" t="str">
            <v>PHIẾU XỬ LÝ HỒ SƠ THANH TOÁN VƯỢT THẨM QUYỀN PD</v>
          </cell>
        </row>
      </sheetData>
      <sheetData sheetId="9388">
        <row r="1">
          <cell r="A1" t="str">
            <v>PHIẾU XỬ LÝ HỒ SƠ THANH TOÁN VƯỢT THẨM QUYỀN PD</v>
          </cell>
        </row>
      </sheetData>
      <sheetData sheetId="9389">
        <row r="1">
          <cell r="A1" t="str">
            <v>PHIẾU XỬ LÝ HỒ SƠ THANH TOÁN VƯỢT THẨM QUYỀN PD</v>
          </cell>
        </row>
      </sheetData>
      <sheetData sheetId="9390">
        <row r="1">
          <cell r="A1" t="str">
            <v>PHIẾU XỬ LÝ HỒ SƠ THANH TOÁN VƯỢT THẨM QUYỀN PD</v>
          </cell>
        </row>
      </sheetData>
      <sheetData sheetId="9391">
        <row r="1">
          <cell r="A1" t="str">
            <v>PHIẾU XỬ LÝ HỒ SƠ THANH TOÁN VƯỢT THẨM QUYỀN PD</v>
          </cell>
        </row>
      </sheetData>
      <sheetData sheetId="9392">
        <row r="1">
          <cell r="A1" t="str">
            <v>PHIẾU XỬ LÝ HỒ SƠ THANH TOÁN VƯỢT THẨM QUYỀN PD</v>
          </cell>
        </row>
      </sheetData>
      <sheetData sheetId="9393">
        <row r="1">
          <cell r="A1" t="str">
            <v>PHIẾU XỬ LÝ HỒ SƠ THANH TOÁN VƯỢT THẨM QUYỀN PD</v>
          </cell>
        </row>
      </sheetData>
      <sheetData sheetId="9394">
        <row r="1">
          <cell r="A1" t="str">
            <v>PHIẾU XỬ LÝ HỒ SƠ THANH TOÁN VƯỢT THẨM QUYỀN PD</v>
          </cell>
        </row>
      </sheetData>
      <sheetData sheetId="9395">
        <row r="1">
          <cell r="A1" t="str">
            <v>PHIẾU XỬ LÝ HỒ SƠ THANH TOÁN VƯỢT THẨM QUYỀN PD</v>
          </cell>
        </row>
      </sheetData>
      <sheetData sheetId="9396">
        <row r="1">
          <cell r="A1" t="str">
            <v>PHIẾU XỬ LÝ HỒ SƠ THANH TOÁN VƯỢT THẨM QUYỀN PD</v>
          </cell>
        </row>
      </sheetData>
      <sheetData sheetId="9397">
        <row r="1">
          <cell r="A1" t="str">
            <v>PHIẾU XỬ LÝ HỒ SƠ THANH TOÁN VƯỢT THẨM QUYỀN PD</v>
          </cell>
        </row>
      </sheetData>
      <sheetData sheetId="9398">
        <row r="1">
          <cell r="A1" t="str">
            <v>PHIẾU XỬ LÝ HỒ SƠ THANH TOÁN VƯỢT THẨM QUYỀN PD</v>
          </cell>
        </row>
      </sheetData>
      <sheetData sheetId="9399">
        <row r="1">
          <cell r="A1" t="str">
            <v>PHIẾU XỬ LÝ HỒ SƠ THANH TOÁN VƯỢT THẨM QUYỀN PD</v>
          </cell>
        </row>
      </sheetData>
      <sheetData sheetId="9400">
        <row r="1">
          <cell r="A1" t="str">
            <v>PHIẾU XỬ LÝ HỒ SƠ THANH TOÁN VƯỢT THẨM QUYỀN PD</v>
          </cell>
        </row>
      </sheetData>
      <sheetData sheetId="9401">
        <row r="1">
          <cell r="A1" t="str">
            <v>PHIẾU XỬ LÝ HỒ SƠ THANH TOÁN VƯỢT THẨM QUYỀN PD</v>
          </cell>
        </row>
      </sheetData>
      <sheetData sheetId="9402">
        <row r="1">
          <cell r="A1" t="str">
            <v>PHIẾU XỬ LÝ HỒ SƠ THANH TOÁN VƯỢT THẨM QUYỀN PD</v>
          </cell>
        </row>
      </sheetData>
      <sheetData sheetId="9403">
        <row r="1">
          <cell r="A1" t="str">
            <v>PHIẾU XỬ LÝ HỒ SƠ THANH TOÁN VƯỢT THẨM QUYỀN PD</v>
          </cell>
        </row>
      </sheetData>
      <sheetData sheetId="9404">
        <row r="1">
          <cell r="A1" t="str">
            <v>PHIẾU XỬ LÝ HỒ SƠ THANH TOÁN VƯỢT THẨM QUYỀN PD</v>
          </cell>
        </row>
      </sheetData>
      <sheetData sheetId="9405">
        <row r="1">
          <cell r="A1" t="str">
            <v>PHIẾU XỬ LÝ HỒ SƠ THANH TOÁN VƯỢT THẨM QUYỀN PD</v>
          </cell>
        </row>
      </sheetData>
      <sheetData sheetId="9406">
        <row r="1">
          <cell r="A1" t="str">
            <v>PHIẾU XỬ LÝ HỒ SƠ THANH TOÁN VƯỢT THẨM QUYỀN PD</v>
          </cell>
        </row>
      </sheetData>
      <sheetData sheetId="9407">
        <row r="1">
          <cell r="A1" t="str">
            <v>PHIẾU XỬ LÝ HỒ SƠ THANH TOÁN VƯỢT THẨM QUYỀN PD</v>
          </cell>
        </row>
      </sheetData>
      <sheetData sheetId="9408">
        <row r="1">
          <cell r="A1" t="str">
            <v>PHIẾU XỬ LÝ HỒ SƠ THANH TOÁN VƯỢT THẨM QUYỀN PD</v>
          </cell>
        </row>
      </sheetData>
      <sheetData sheetId="9409">
        <row r="1">
          <cell r="A1" t="str">
            <v>PHIẾU XỬ LÝ HỒ SƠ THANH TOÁN VƯỢT THẨM QUYỀN PD</v>
          </cell>
        </row>
      </sheetData>
      <sheetData sheetId="9410">
        <row r="1">
          <cell r="A1" t="str">
            <v>PHIẾU XỬ LÝ HỒ SƠ THANH TOÁN VƯỢT THẨM QUYỀN PD</v>
          </cell>
        </row>
      </sheetData>
      <sheetData sheetId="9411">
        <row r="1">
          <cell r="A1" t="str">
            <v>PHIẾU XỬ LÝ HỒ SƠ THANH TOÁN VƯỢT THẨM QUYỀN PD</v>
          </cell>
        </row>
      </sheetData>
      <sheetData sheetId="9412">
        <row r="1">
          <cell r="A1" t="str">
            <v>PHIẾU XỬ LÝ HỒ SƠ THANH TOÁN VƯỢT THẨM QUYỀN PD</v>
          </cell>
        </row>
      </sheetData>
      <sheetData sheetId="9413">
        <row r="1">
          <cell r="A1" t="str">
            <v>PHIẾU XỬ LÝ HỒ SƠ THANH TOÁN VƯỢT THẨM QUYỀN PD</v>
          </cell>
        </row>
      </sheetData>
      <sheetData sheetId="9414">
        <row r="1">
          <cell r="A1" t="str">
            <v>PHIẾU XỬ LÝ HỒ SƠ THANH TOÁN VƯỢT THẨM QUYỀN PD</v>
          </cell>
        </row>
      </sheetData>
      <sheetData sheetId="9415">
        <row r="1">
          <cell r="A1" t="str">
            <v>PHIẾU XỬ LÝ HỒ SƠ THANH TOÁN VƯỢT THẨM QUYỀN PD</v>
          </cell>
        </row>
      </sheetData>
      <sheetData sheetId="9416">
        <row r="1">
          <cell r="A1" t="str">
            <v>PHIẾU XỬ LÝ HỒ SƠ THANH TOÁN VƯỢT THẨM QUYỀN PD</v>
          </cell>
        </row>
      </sheetData>
      <sheetData sheetId="9417">
        <row r="1">
          <cell r="A1" t="str">
            <v>PHIẾU XỬ LÝ HỒ SƠ THANH TOÁN VƯỢT THẨM QUYỀN PD</v>
          </cell>
        </row>
      </sheetData>
      <sheetData sheetId="9418">
        <row r="1">
          <cell r="A1" t="str">
            <v>PHIẾU XỬ LÝ HỒ SƠ THANH TOÁN VƯỢT THẨM QUYỀN PD</v>
          </cell>
        </row>
      </sheetData>
      <sheetData sheetId="9419">
        <row r="1">
          <cell r="A1" t="str">
            <v>PHIẾU XỬ LÝ HỒ SƠ THANH TOÁN VƯỢT THẨM QUYỀN PD</v>
          </cell>
        </row>
      </sheetData>
      <sheetData sheetId="9420">
        <row r="1">
          <cell r="A1" t="str">
            <v>PHIẾU XỬ LÝ HỒ SƠ THANH TOÁN VƯỢT THẨM QUYỀN PD</v>
          </cell>
        </row>
      </sheetData>
      <sheetData sheetId="9421">
        <row r="1">
          <cell r="A1" t="str">
            <v>PHIẾU XỬ LÝ HỒ SƠ THANH TOÁN VƯỢT THẨM QUYỀN PD</v>
          </cell>
        </row>
      </sheetData>
      <sheetData sheetId="9422">
        <row r="1">
          <cell r="A1" t="str">
            <v>PHIẾU XỬ LÝ HỒ SƠ THANH TOÁN VƯỢT THẨM QUYỀN PD</v>
          </cell>
        </row>
      </sheetData>
      <sheetData sheetId="9423">
        <row r="1">
          <cell r="A1" t="str">
            <v>PHIẾU XỬ LÝ HỒ SƠ THANH TOÁN VƯỢT THẨM QUYỀN PD</v>
          </cell>
        </row>
      </sheetData>
      <sheetData sheetId="9424">
        <row r="1">
          <cell r="A1" t="str">
            <v>PHIẾU XỬ LÝ HỒ SƠ THANH TOÁN VƯỢT THẨM QUYỀN PD</v>
          </cell>
        </row>
      </sheetData>
      <sheetData sheetId="9425">
        <row r="1">
          <cell r="A1" t="str">
            <v>PHIẾU XỬ LÝ HỒ SƠ THANH TOÁN VƯỢT THẨM QUYỀN PD</v>
          </cell>
        </row>
      </sheetData>
      <sheetData sheetId="9426">
        <row r="1">
          <cell r="A1" t="str">
            <v>PHIẾU XỬ LÝ HỒ SƠ THANH TOÁN VƯỢT THẨM QUYỀN PD</v>
          </cell>
        </row>
      </sheetData>
      <sheetData sheetId="9427"/>
      <sheetData sheetId="9428">
        <row r="1">
          <cell r="A1" t="str">
            <v>PHIẾU XỬ LÝ HỒ SƠ THANH TOÁN VƯỢT THẨM QUYỀN PD</v>
          </cell>
        </row>
      </sheetData>
      <sheetData sheetId="9429">
        <row r="1">
          <cell r="A1" t="str">
            <v>PHIẾU XỬ LÝ HỒ SƠ THANH TOÁN VƯỢT THẨM QUYỀN PD</v>
          </cell>
        </row>
      </sheetData>
      <sheetData sheetId="9430">
        <row r="1">
          <cell r="A1" t="str">
            <v>PHIẾU XỬ LÝ HỒ SƠ THANH TOÁN VƯỢT THẨM QUYỀN PD</v>
          </cell>
        </row>
      </sheetData>
      <sheetData sheetId="9431">
        <row r="1">
          <cell r="A1" t="str">
            <v>PHIẾU XỬ LÝ HỒ SƠ THANH TOÁN VƯỢT THẨM QUYỀN PD</v>
          </cell>
        </row>
      </sheetData>
      <sheetData sheetId="9432">
        <row r="1">
          <cell r="A1" t="str">
            <v>PHIẾU XỬ LÝ HỒ SƠ THANH TOÁN VƯỢT THẨM QUYỀN PD</v>
          </cell>
        </row>
      </sheetData>
      <sheetData sheetId="9433">
        <row r="1">
          <cell r="A1" t="str">
            <v>PHIẾU XỬ LÝ HỒ SƠ THANH TOÁN VƯỢT THẨM QUYỀN PD</v>
          </cell>
        </row>
      </sheetData>
      <sheetData sheetId="9434">
        <row r="1">
          <cell r="A1" t="str">
            <v>PHIẾU XỬ LÝ HỒ SƠ THANH TOÁN VƯỢT THẨM QUYỀN PD</v>
          </cell>
        </row>
      </sheetData>
      <sheetData sheetId="9435">
        <row r="1">
          <cell r="A1" t="str">
            <v>PHIẾU XỬ LÝ HỒ SƠ THANH TOÁN VƯỢT THẨM QUYỀN PD</v>
          </cell>
        </row>
      </sheetData>
      <sheetData sheetId="9436">
        <row r="1">
          <cell r="A1" t="str">
            <v>PHIẾU XỬ LÝ HỒ SƠ THANH TOÁN VƯỢT THẨM QUYỀN PD</v>
          </cell>
        </row>
      </sheetData>
      <sheetData sheetId="9437">
        <row r="1">
          <cell r="A1" t="str">
            <v>PHIẾU XỬ LÝ HỒ SƠ THANH TOÁN VƯỢT THẨM QUYỀN PD</v>
          </cell>
        </row>
      </sheetData>
      <sheetData sheetId="9438">
        <row r="1">
          <cell r="A1" t="str">
            <v>PHIẾU XỬ LÝ HỒ SƠ THANH TOÁN VƯỢT THẨM QUYỀN PD</v>
          </cell>
        </row>
      </sheetData>
      <sheetData sheetId="9439">
        <row r="1">
          <cell r="A1" t="str">
            <v>PHIẾU XỬ LÝ HỒ SƠ THANH TOÁN VƯỢT THẨM QUYỀN PD</v>
          </cell>
        </row>
      </sheetData>
      <sheetData sheetId="9440">
        <row r="1">
          <cell r="A1" t="str">
            <v>PHIẾU XỬ LÝ HỒ SƠ THANH TOÁN VƯỢT THẨM QUYỀN PD</v>
          </cell>
        </row>
      </sheetData>
      <sheetData sheetId="9441">
        <row r="1">
          <cell r="A1" t="str">
            <v>PHIẾU XỬ LÝ HỒ SƠ THANH TOÁN VƯỢT THẨM QUYỀN PD</v>
          </cell>
        </row>
      </sheetData>
      <sheetData sheetId="9442">
        <row r="1">
          <cell r="A1" t="str">
            <v>PHIẾU XỬ LÝ HỒ SƠ THANH TOÁN VƯỢT THẨM QUYỀN PD</v>
          </cell>
        </row>
      </sheetData>
      <sheetData sheetId="9443">
        <row r="1">
          <cell r="A1" t="str">
            <v>PHIẾU XỬ LÝ HỒ SƠ THANH TOÁN VƯỢT THẨM QUYỀN PD</v>
          </cell>
        </row>
      </sheetData>
      <sheetData sheetId="9444">
        <row r="1">
          <cell r="A1" t="str">
            <v>PHIẾU XỬ LÝ HỒ SƠ THANH TOÁN VƯỢT THẨM QUYỀN PD</v>
          </cell>
        </row>
      </sheetData>
      <sheetData sheetId="9445">
        <row r="1">
          <cell r="A1" t="str">
            <v>PHIẾU XỬ LÝ HỒ SƠ THANH TOÁN VƯỢT THẨM QUYỀN PD</v>
          </cell>
        </row>
      </sheetData>
      <sheetData sheetId="9446">
        <row r="1">
          <cell r="A1" t="str">
            <v>PHIẾU XỬ LÝ HỒ SƠ THANH TOÁN VƯỢT THẨM QUYỀN PD</v>
          </cell>
        </row>
      </sheetData>
      <sheetData sheetId="9447">
        <row r="1">
          <cell r="A1" t="str">
            <v>PHIẾU XỬ LÝ HỒ SƠ THANH TOÁN VƯỢT THẨM QUYỀN PD</v>
          </cell>
        </row>
      </sheetData>
      <sheetData sheetId="9448">
        <row r="1">
          <cell r="A1" t="str">
            <v>PHIẾU XỬ LÝ HỒ SƠ THANH TOÁN VƯỢT THẨM QUYỀN PD</v>
          </cell>
        </row>
      </sheetData>
      <sheetData sheetId="9449">
        <row r="1">
          <cell r="A1" t="str">
            <v>PHIẾU XỬ LÝ HỒ SƠ THANH TOÁN VƯỢT THẨM QUYỀN PD</v>
          </cell>
        </row>
      </sheetData>
      <sheetData sheetId="9450">
        <row r="1">
          <cell r="A1" t="str">
            <v>PHIẾU XỬ LÝ HỒ SƠ THANH TOÁN VƯỢT THẨM QUYỀN PD</v>
          </cell>
        </row>
      </sheetData>
      <sheetData sheetId="9451">
        <row r="1">
          <cell r="A1" t="str">
            <v>PHIẾU XỬ LÝ HỒ SƠ THANH TOÁN VƯỢT THẨM QUYỀN PD</v>
          </cell>
        </row>
      </sheetData>
      <sheetData sheetId="9452">
        <row r="1">
          <cell r="A1" t="str">
            <v>PHIẾU XỬ LÝ HỒ SƠ THANH TOÁN VƯỢT THẨM QUYỀN PD</v>
          </cell>
        </row>
      </sheetData>
      <sheetData sheetId="9453">
        <row r="1">
          <cell r="A1" t="str">
            <v>PHIẾU XỬ LÝ HỒ SƠ THANH TOÁN VƯỢT THẨM QUYỀN PD</v>
          </cell>
        </row>
      </sheetData>
      <sheetData sheetId="9454">
        <row r="1">
          <cell r="A1" t="str">
            <v>PHIẾU XỬ LÝ HỒ SƠ THANH TOÁN VƯỢT THẨM QUYỀN PD</v>
          </cell>
        </row>
      </sheetData>
      <sheetData sheetId="9455">
        <row r="1">
          <cell r="A1" t="str">
            <v>PHIẾU XỬ LÝ HỒ SƠ THANH TOÁN VƯỢT THẨM QUYỀN PD</v>
          </cell>
        </row>
      </sheetData>
      <sheetData sheetId="9456">
        <row r="1">
          <cell r="A1" t="str">
            <v>PHIẾU XỬ LÝ HỒ SƠ THANH TOÁN VƯỢT THẨM QUYỀN PD</v>
          </cell>
        </row>
      </sheetData>
      <sheetData sheetId="9457">
        <row r="1">
          <cell r="A1" t="str">
            <v>PHIẾU XỬ LÝ HỒ SƠ THANH TOÁN VƯỢT THẨM QUYỀN PD</v>
          </cell>
        </row>
      </sheetData>
      <sheetData sheetId="9458">
        <row r="1">
          <cell r="A1" t="str">
            <v>PHIẾU XỬ LÝ HỒ SƠ THANH TOÁN VƯỢT THẨM QUYỀN PD</v>
          </cell>
        </row>
      </sheetData>
      <sheetData sheetId="9459">
        <row r="1">
          <cell r="A1" t="str">
            <v>PHIẾU XỬ LÝ HỒ SƠ THANH TOÁN VƯỢT THẨM QUYỀN PD</v>
          </cell>
        </row>
      </sheetData>
      <sheetData sheetId="9460">
        <row r="1">
          <cell r="A1" t="str">
            <v>PHIẾU XỬ LÝ HỒ SƠ THANH TOÁN VƯỢT THẨM QUYỀN PD</v>
          </cell>
        </row>
      </sheetData>
      <sheetData sheetId="9461">
        <row r="1">
          <cell r="A1" t="str">
            <v>PHIẾU XỬ LÝ HỒ SƠ THANH TOÁN VƯỢT THẨM QUYỀN PD</v>
          </cell>
        </row>
      </sheetData>
      <sheetData sheetId="9462">
        <row r="1">
          <cell r="A1" t="str">
            <v>PHIẾU XỬ LÝ HỒ SƠ THANH TOÁN VƯỢT THẨM QUYỀN PD</v>
          </cell>
        </row>
      </sheetData>
      <sheetData sheetId="9463">
        <row r="1">
          <cell r="A1" t="str">
            <v>PHIẾU XỬ LÝ HỒ SƠ THANH TOÁN VƯỢT THẨM QUYỀN PD</v>
          </cell>
        </row>
      </sheetData>
      <sheetData sheetId="9464">
        <row r="1">
          <cell r="A1" t="str">
            <v>PHIẾU XỬ LÝ HỒ SƠ THANH TOÁN VƯỢT THẨM QUYỀN PD</v>
          </cell>
        </row>
      </sheetData>
      <sheetData sheetId="9465">
        <row r="1">
          <cell r="A1" t="str">
            <v>PHIẾU XỬ LÝ HỒ SƠ THANH TOÁN VƯỢT THẨM QUYỀN PD</v>
          </cell>
        </row>
      </sheetData>
      <sheetData sheetId="9466">
        <row r="1">
          <cell r="A1" t="str">
            <v>PHIẾU XỬ LÝ HỒ SƠ THANH TOÁN VƯỢT THẨM QUYỀN PD</v>
          </cell>
        </row>
      </sheetData>
      <sheetData sheetId="9467">
        <row r="1">
          <cell r="A1" t="str">
            <v>PHIẾU XỬ LÝ HỒ SƠ THANH TOÁN VƯỢT THẨM QUYỀN PD</v>
          </cell>
        </row>
      </sheetData>
      <sheetData sheetId="9468">
        <row r="1">
          <cell r="A1" t="str">
            <v>PHIẾU XỬ LÝ HỒ SƠ THANH TOÁN VƯỢT THẨM QUYỀN PD</v>
          </cell>
        </row>
      </sheetData>
      <sheetData sheetId="9469">
        <row r="1">
          <cell r="A1" t="str">
            <v>PHIẾU XỬ LÝ HỒ SƠ THANH TOÁN VƯỢT THẨM QUYỀN PD</v>
          </cell>
        </row>
      </sheetData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/>
      <sheetData sheetId="9488"/>
      <sheetData sheetId="9489"/>
      <sheetData sheetId="9490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/>
      <sheetData sheetId="9506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>
        <row r="1">
          <cell r="A1" t="str">
            <v>PHIẾU XỬ LÝ HỒ SƠ THANH TOÁN VƯỢT THẨM QUYỀN PD</v>
          </cell>
        </row>
      </sheetData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>
        <row r="1">
          <cell r="A1" t="str">
            <v>PHIẾU XỬ LÝ HỒ SƠ THANH TOÁN VƯỢT THẨM QUYỀN PD</v>
          </cell>
        </row>
      </sheetData>
      <sheetData sheetId="9572">
        <row r="1">
          <cell r="A1" t="str">
            <v>PHIẾU XỬ LÝ HỒ SƠ THANH TOÁN VƯỢT THẨM QUYỀN PD</v>
          </cell>
        </row>
      </sheetData>
      <sheetData sheetId="9573" refreshError="1"/>
      <sheetData sheetId="9574" refreshError="1"/>
      <sheetData sheetId="9575">
        <row r="1">
          <cell r="A1" t="str">
            <v>PHIẾU XỬ LÝ HỒ SƠ THANH TOÁN VƯỢT THẨM QUYỀN PD</v>
          </cell>
        </row>
      </sheetData>
      <sheetData sheetId="9576">
        <row r="1">
          <cell r="A1" t="str">
            <v>PHIẾU XỬ LÝ HỒ SƠ THANH TOÁN VƯỢT THẨM QUYỀN PD</v>
          </cell>
        </row>
      </sheetData>
      <sheetData sheetId="9577" refreshError="1"/>
      <sheetData sheetId="9578">
        <row r="1">
          <cell r="A1" t="str">
            <v>PHIẾU XỬ LÝ HỒ SƠ THANH TOÁN VƯỢT THẨM QUYỀN PD</v>
          </cell>
        </row>
      </sheetData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/>
      <sheetData sheetId="9985"/>
      <sheetData sheetId="9986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>
        <row r="1">
          <cell r="A1" t="str">
            <v>PHIẾU XỬ LÝ HỒ SƠ THANH TOÁN VƯỢT THẨM QUYỀN PD</v>
          </cell>
        </row>
      </sheetData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/>
      <sheetData sheetId="10375"/>
      <sheetData sheetId="10376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/>
      <sheetData sheetId="10384"/>
      <sheetData sheetId="10385"/>
      <sheetData sheetId="10386"/>
      <sheetData sheetId="10387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file:///\\P6_CLOUD\..\..\mnmbn\AppData\P6ix\&#50689;&#46041;&#45824;&#47196;%202&#44277;&#44396;\01_&#44277;&#49324;&#44288;&#47532;\03_&#51089;&#50629;\01_&#44277;&#51221;&#44288;&#47144;\&#50689;&#46041;&#45824;&#47196;%202&#44277;&#44396;\&#51105;&#51088;&#47308;\&#54408;&#49480;\&#52404;&#51201;&#54872;&#49328;&#44228;&#49688;f.png" TargetMode="External"/><Relationship Id="rId2" Type="http://schemas.openxmlformats.org/officeDocument/2006/relationships/hyperlink" Target="file:///\\P6_CLOUD\..\..\mnmbn\AppData\P6ix\&#50689;&#46041;&#45824;&#47196;%202&#44277;&#44396;\01_&#44277;&#49324;&#44288;&#47532;\03_&#51089;&#50629;\01_&#44277;&#51221;&#44288;&#47144;\&#50689;&#46041;&#45824;&#47196;%202&#44277;&#44396;\&#51105;&#51088;&#47308;\&#54408;&#49480;\&#44404;&#49325;&#44592;%20E.png" TargetMode="External"/><Relationship Id="rId1" Type="http://schemas.openxmlformats.org/officeDocument/2006/relationships/hyperlink" Target="file:///\\P6_CLOUD\..\..\mnmbn\AppData\P6ix\&#50689;&#46041;&#45824;&#47196;%202&#44277;&#44396;\01_&#44277;&#49324;&#44288;&#47532;\03_&#51089;&#50629;\01_&#44277;&#51221;&#44288;&#47144;\&#50689;&#46041;&#45824;&#47196;%202&#44277;&#44396;\&#51105;&#51088;&#47308;\&#54408;&#49480;\&#44404;&#49325;&#44592;%20Cm.png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file:///\\P6_CLOUD\..\..\mnmbn\AppData\P6ix\&#50689;&#46041;&#45824;&#47196;%202&#44277;&#44396;\01_&#44277;&#49324;&#44288;&#47532;\03_&#51089;&#50629;\01_&#44277;&#51221;&#44288;&#47144;\&#50689;&#46041;&#45824;&#47196;%202&#44277;&#44396;\&#51105;&#51088;&#47308;\&#54408;&#49480;\&#44404;&#49325;&#44592;%20K.p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O85"/>
  <sheetViews>
    <sheetView topLeftCell="A58" zoomScale="85" zoomScaleNormal="85" workbookViewId="0">
      <selection activeCell="D85" sqref="D85"/>
    </sheetView>
  </sheetViews>
  <sheetFormatPr defaultColWidth="10.625" defaultRowHeight="20.100000000000001" customHeight="1" x14ac:dyDescent="0.3"/>
  <cols>
    <col min="1" max="1" width="10.625" style="1"/>
    <col min="2" max="2" width="13.375" style="1" customWidth="1"/>
    <col min="3" max="3" width="27.25" style="6" customWidth="1"/>
    <col min="4" max="4" width="40.625" style="1" customWidth="1"/>
    <col min="5" max="5" width="6.625" style="1" customWidth="1"/>
    <col min="6" max="6" width="10.625" style="5" customWidth="1"/>
    <col min="7" max="7" width="9.625" style="3" customWidth="1"/>
    <col min="8" max="8" width="7.625" style="4" customWidth="1"/>
    <col min="9" max="9" width="9.625" style="3" customWidth="1"/>
    <col min="10" max="10" width="9.625" style="4" customWidth="1"/>
    <col min="11" max="11" width="9.625" style="1" customWidth="1"/>
    <col min="12" max="12" width="11.375" style="1" customWidth="1"/>
    <col min="13" max="13" width="9.625" style="3" customWidth="1"/>
    <col min="14" max="14" width="15.625" style="2" customWidth="1"/>
    <col min="15" max="15" width="34.5" style="2" customWidth="1"/>
    <col min="16" max="16384" width="10.625" style="1"/>
  </cols>
  <sheetData>
    <row r="1" spans="1:15" ht="30" customHeight="1" thickBot="1" x14ac:dyDescent="0.35">
      <c r="A1" s="13" t="s">
        <v>101</v>
      </c>
      <c r="B1" s="7"/>
    </row>
    <row r="2" spans="1:15" ht="30" customHeight="1" thickBot="1" x14ac:dyDescent="0.35">
      <c r="A2" s="202" t="s">
        <v>67</v>
      </c>
      <c r="B2" s="202" t="s">
        <v>318</v>
      </c>
      <c r="D2" s="599" t="s">
        <v>407</v>
      </c>
      <c r="E2" s="600"/>
      <c r="F2" s="600"/>
      <c r="G2" s="600"/>
      <c r="H2" s="600"/>
      <c r="I2" s="600"/>
      <c r="J2" s="600"/>
      <c r="K2" s="600"/>
      <c r="L2" s="600"/>
      <c r="M2" s="601"/>
      <c r="N2" s="239"/>
      <c r="O2" s="239" t="s">
        <v>320</v>
      </c>
    </row>
    <row r="3" spans="1:15" s="7" customFormat="1" ht="39.950000000000003" customHeight="1" thickBot="1" x14ac:dyDescent="0.35">
      <c r="A3" s="8" t="s">
        <v>127</v>
      </c>
      <c r="B3" s="8" t="s">
        <v>133</v>
      </c>
      <c r="C3" s="8" t="s">
        <v>131</v>
      </c>
      <c r="D3" s="9" t="s">
        <v>103</v>
      </c>
      <c r="E3" s="9" t="s">
        <v>2</v>
      </c>
      <c r="F3" s="12" t="s">
        <v>237</v>
      </c>
      <c r="G3" s="11" t="s">
        <v>255</v>
      </c>
      <c r="H3" s="10" t="s">
        <v>129</v>
      </c>
      <c r="I3" s="11" t="s">
        <v>19</v>
      </c>
      <c r="J3" s="10" t="s">
        <v>104</v>
      </c>
      <c r="K3" s="9" t="s">
        <v>149</v>
      </c>
      <c r="L3" s="602" t="s">
        <v>81</v>
      </c>
      <c r="M3" s="603"/>
      <c r="N3" s="8" t="s">
        <v>137</v>
      </c>
      <c r="O3" s="8" t="s">
        <v>302</v>
      </c>
    </row>
    <row r="4" spans="1:15" s="347" customFormat="1" ht="24.95" customHeight="1" thickTop="1" thickBot="1" x14ac:dyDescent="0.35">
      <c r="A4" s="606" t="s">
        <v>66</v>
      </c>
      <c r="B4" s="607"/>
      <c r="C4" s="415"/>
      <c r="D4" s="416"/>
      <c r="E4" s="417"/>
      <c r="F4" s="418"/>
      <c r="G4" s="419"/>
      <c r="H4" s="420"/>
      <c r="I4" s="419"/>
      <c r="J4" s="421"/>
      <c r="K4" s="417"/>
      <c r="L4" s="449">
        <f>L85</f>
        <v>618.85907761715328</v>
      </c>
      <c r="M4" s="422">
        <f>M85</f>
        <v>20.390101237406359</v>
      </c>
      <c r="N4" s="423"/>
      <c r="O4" s="426"/>
    </row>
    <row r="5" spans="1:15" ht="20.100000000000001" customHeight="1" x14ac:dyDescent="0.3">
      <c r="A5" s="369" t="s">
        <v>14</v>
      </c>
      <c r="B5" s="370"/>
      <c r="C5" s="371"/>
      <c r="D5" s="370"/>
      <c r="E5" s="370"/>
      <c r="F5" s="372"/>
      <c r="G5" s="373"/>
      <c r="H5" s="374"/>
      <c r="I5" s="373"/>
      <c r="J5" s="375"/>
      <c r="K5" s="370"/>
      <c r="L5" s="376">
        <v>45</v>
      </c>
      <c r="M5" s="377">
        <f>L5/30</f>
        <v>1.5</v>
      </c>
      <c r="N5" s="378"/>
      <c r="O5" s="427"/>
    </row>
    <row r="6" spans="1:15" ht="20.100000000000001" customHeight="1" x14ac:dyDescent="0.3">
      <c r="A6" s="334" t="s">
        <v>11</v>
      </c>
      <c r="B6" s="604" t="s">
        <v>166</v>
      </c>
      <c r="C6" s="605"/>
      <c r="D6" s="233" t="s">
        <v>222</v>
      </c>
      <c r="E6" s="234" t="s">
        <v>136</v>
      </c>
      <c r="F6" s="235"/>
      <c r="G6" s="452"/>
      <c r="H6" s="227"/>
      <c r="I6" s="226"/>
      <c r="J6" s="227"/>
      <c r="K6" s="236"/>
      <c r="L6" s="228">
        <v>45</v>
      </c>
      <c r="M6" s="229">
        <f>L6/30</f>
        <v>1.5</v>
      </c>
      <c r="N6" s="213"/>
      <c r="O6" s="428"/>
    </row>
    <row r="7" spans="1:15" ht="20.100000000000001" customHeight="1" x14ac:dyDescent="0.3">
      <c r="A7" s="335" t="s">
        <v>17</v>
      </c>
      <c r="B7" s="335" t="s">
        <v>17</v>
      </c>
      <c r="C7" s="22" t="s">
        <v>397</v>
      </c>
      <c r="D7" s="336" t="s">
        <v>398</v>
      </c>
      <c r="E7" s="304" t="s">
        <v>0</v>
      </c>
      <c r="F7" s="317">
        <v>558</v>
      </c>
      <c r="G7" s="223">
        <v>2.7</v>
      </c>
      <c r="H7" s="203">
        <v>1</v>
      </c>
      <c r="I7" s="223">
        <f>G7*H7</f>
        <v>2.7</v>
      </c>
      <c r="J7" s="203">
        <f>(F7/I7)</f>
        <v>206.66666666666666</v>
      </c>
      <c r="K7" s="241">
        <v>0.68799999999999994</v>
      </c>
      <c r="L7" s="205">
        <f>J7/K7</f>
        <v>300.38759689922483</v>
      </c>
      <c r="M7" s="206">
        <f>L7/30</f>
        <v>10.012919896640827</v>
      </c>
      <c r="N7" s="216"/>
      <c r="O7" s="429"/>
    </row>
    <row r="8" spans="1:15" ht="20.100000000000001" customHeight="1" x14ac:dyDescent="0.3">
      <c r="A8" s="337"/>
      <c r="B8" s="337"/>
      <c r="C8" s="218" t="s">
        <v>322</v>
      </c>
      <c r="D8" s="338" t="s">
        <v>323</v>
      </c>
      <c r="E8" s="220" t="s">
        <v>1</v>
      </c>
      <c r="F8" s="221">
        <v>295</v>
      </c>
      <c r="G8" s="224">
        <v>28</v>
      </c>
      <c r="H8" s="207">
        <v>1</v>
      </c>
      <c r="I8" s="224">
        <f>G8*H8</f>
        <v>28</v>
      </c>
      <c r="J8" s="211">
        <f>(F8/I8)</f>
        <v>10.535714285714286</v>
      </c>
      <c r="K8" s="242">
        <v>0.68799999999999994</v>
      </c>
      <c r="L8" s="209">
        <f>J8/K8</f>
        <v>15.313538205980068</v>
      </c>
      <c r="M8" s="210">
        <f>L8/30</f>
        <v>0.51045127353266895</v>
      </c>
      <c r="N8" s="220"/>
      <c r="O8" s="430"/>
    </row>
    <row r="9" spans="1:15" ht="20.100000000000001" customHeight="1" x14ac:dyDescent="0.3">
      <c r="A9" s="379" t="s">
        <v>240</v>
      </c>
      <c r="B9" s="380"/>
      <c r="C9" s="379"/>
      <c r="D9" s="381"/>
      <c r="E9" s="382"/>
      <c r="F9" s="383"/>
      <c r="G9" s="412"/>
      <c r="H9" s="385"/>
      <c r="I9" s="384"/>
      <c r="J9" s="385"/>
      <c r="K9" s="382"/>
      <c r="L9" s="386">
        <f>L10+L15+L16+L17+L18+L19+L21+L22</f>
        <v>160.53375951966439</v>
      </c>
      <c r="M9" s="377">
        <f t="shared" ref="M9:M53" si="0">L9/30.4</f>
        <v>5.2807157736731707</v>
      </c>
      <c r="N9" s="387"/>
      <c r="O9" s="431"/>
    </row>
    <row r="10" spans="1:15" ht="20.100000000000001" customHeight="1" x14ac:dyDescent="0.3">
      <c r="A10" s="213" t="s">
        <v>321</v>
      </c>
      <c r="B10" s="213" t="s">
        <v>321</v>
      </c>
      <c r="C10" s="214" t="s">
        <v>331</v>
      </c>
      <c r="D10" s="348" t="s">
        <v>334</v>
      </c>
      <c r="E10" s="216" t="s">
        <v>70</v>
      </c>
      <c r="F10" s="314">
        <v>46</v>
      </c>
      <c r="G10" s="453">
        <f>5.9*8</f>
        <v>47.2</v>
      </c>
      <c r="H10" s="315">
        <v>1</v>
      </c>
      <c r="I10" s="223">
        <f t="shared" ref="I10:I22" si="1">G10*H10</f>
        <v>47.2</v>
      </c>
      <c r="J10" s="203">
        <f t="shared" ref="J10:J22" si="2">(F10/I10)</f>
        <v>0.97457627118644063</v>
      </c>
      <c r="K10" s="241">
        <v>0.68799999999999994</v>
      </c>
      <c r="L10" s="205">
        <v>60</v>
      </c>
      <c r="M10" s="206">
        <f t="shared" ref="M10" si="3">L10/30.4</f>
        <v>1.9736842105263159</v>
      </c>
      <c r="N10" s="206"/>
      <c r="O10" s="432" t="s">
        <v>353</v>
      </c>
    </row>
    <row r="11" spans="1:15" ht="20.100000000000001" customHeight="1" x14ac:dyDescent="0.3">
      <c r="A11" s="217"/>
      <c r="B11" s="217"/>
      <c r="C11" s="218" t="s">
        <v>332</v>
      </c>
      <c r="D11" s="338" t="s">
        <v>334</v>
      </c>
      <c r="E11" s="220" t="s">
        <v>70</v>
      </c>
      <c r="F11" s="458">
        <v>45</v>
      </c>
      <c r="G11" s="454">
        <f>3.3*8</f>
        <v>26.4</v>
      </c>
      <c r="H11" s="469">
        <v>1</v>
      </c>
      <c r="I11" s="224">
        <f t="shared" si="1"/>
        <v>26.4</v>
      </c>
      <c r="J11" s="207">
        <f t="shared" si="2"/>
        <v>1.7045454545454546</v>
      </c>
      <c r="K11" s="459">
        <v>0.68799999999999994</v>
      </c>
      <c r="L11" s="209"/>
      <c r="M11" s="210"/>
      <c r="N11" s="210"/>
      <c r="O11" s="442" t="s">
        <v>353</v>
      </c>
    </row>
    <row r="12" spans="1:15" ht="20.100000000000001" customHeight="1" x14ac:dyDescent="0.3">
      <c r="A12" s="217"/>
      <c r="B12" s="217"/>
      <c r="C12" s="218" t="s">
        <v>333</v>
      </c>
      <c r="D12" s="338" t="s">
        <v>335</v>
      </c>
      <c r="E12" s="220" t="s">
        <v>70</v>
      </c>
      <c r="F12" s="458">
        <v>145</v>
      </c>
      <c r="G12" s="454">
        <f>16*8</f>
        <v>128</v>
      </c>
      <c r="H12" s="469">
        <v>1</v>
      </c>
      <c r="I12" s="224">
        <f t="shared" si="1"/>
        <v>128</v>
      </c>
      <c r="J12" s="207">
        <f t="shared" si="2"/>
        <v>1.1328125</v>
      </c>
      <c r="K12" s="459">
        <v>0.68799999999999994</v>
      </c>
      <c r="L12" s="209"/>
      <c r="M12" s="210"/>
      <c r="N12" s="210"/>
      <c r="O12" s="442" t="s">
        <v>354</v>
      </c>
    </row>
    <row r="13" spans="1:15" ht="20.100000000000001" customHeight="1" x14ac:dyDescent="0.3">
      <c r="A13" s="217"/>
      <c r="B13" s="217"/>
      <c r="C13" s="218" t="s">
        <v>89</v>
      </c>
      <c r="D13" s="338" t="s">
        <v>330</v>
      </c>
      <c r="E13" s="220" t="s">
        <v>70</v>
      </c>
      <c r="F13" s="458">
        <v>603</v>
      </c>
      <c r="G13" s="454">
        <v>560</v>
      </c>
      <c r="H13" s="469">
        <v>1</v>
      </c>
      <c r="I13" s="224">
        <f t="shared" si="1"/>
        <v>560</v>
      </c>
      <c r="J13" s="207">
        <f t="shared" si="2"/>
        <v>1.0767857142857142</v>
      </c>
      <c r="K13" s="459">
        <v>0.68799999999999994</v>
      </c>
      <c r="L13" s="209"/>
      <c r="M13" s="210"/>
      <c r="N13" s="210"/>
      <c r="O13" s="442" t="s">
        <v>303</v>
      </c>
    </row>
    <row r="14" spans="1:15" ht="20.100000000000001" customHeight="1" x14ac:dyDescent="0.3">
      <c r="A14" s="18"/>
      <c r="B14" s="217"/>
      <c r="C14" s="476" t="s">
        <v>336</v>
      </c>
      <c r="D14" s="463" t="s">
        <v>227</v>
      </c>
      <c r="E14" s="464" t="s">
        <v>70</v>
      </c>
      <c r="F14" s="465">
        <v>431</v>
      </c>
      <c r="G14" s="466">
        <v>110</v>
      </c>
      <c r="H14" s="460">
        <v>1</v>
      </c>
      <c r="I14" s="312">
        <f t="shared" si="1"/>
        <v>110</v>
      </c>
      <c r="J14" s="467">
        <f t="shared" si="2"/>
        <v>3.918181818181818</v>
      </c>
      <c r="K14" s="468">
        <v>0.68799999999999994</v>
      </c>
      <c r="L14" s="461"/>
      <c r="M14" s="462"/>
      <c r="N14" s="243"/>
      <c r="O14" s="442" t="s">
        <v>312</v>
      </c>
    </row>
    <row r="15" spans="1:15" ht="20.100000000000001" customHeight="1" x14ac:dyDescent="0.3">
      <c r="A15" s="217" t="s">
        <v>125</v>
      </c>
      <c r="B15" s="213" t="s">
        <v>328</v>
      </c>
      <c r="C15" s="214" t="s">
        <v>343</v>
      </c>
      <c r="D15" s="215" t="s">
        <v>338</v>
      </c>
      <c r="E15" s="216" t="s">
        <v>257</v>
      </c>
      <c r="F15" s="314">
        <v>524</v>
      </c>
      <c r="G15" s="453">
        <f>(((0.75+0.02*40)*16+3.75)*1)/1</f>
        <v>28.55</v>
      </c>
      <c r="H15" s="315">
        <v>1</v>
      </c>
      <c r="I15" s="223">
        <f t="shared" si="1"/>
        <v>28.55</v>
      </c>
      <c r="J15" s="203">
        <f t="shared" si="2"/>
        <v>18.353765323992995</v>
      </c>
      <c r="K15" s="241">
        <v>0.68799999999999994</v>
      </c>
      <c r="L15" s="205">
        <f>J15/K15</f>
        <v>26.676984482547962</v>
      </c>
      <c r="M15" s="206">
        <f t="shared" ref="M15:M17" si="4">L15/30.4</f>
        <v>0.87753238429434088</v>
      </c>
      <c r="N15" s="206"/>
      <c r="O15" s="432" t="s">
        <v>355</v>
      </c>
    </row>
    <row r="16" spans="1:15" ht="20.100000000000001" customHeight="1" x14ac:dyDescent="0.3">
      <c r="A16" s="217"/>
      <c r="B16" s="217"/>
      <c r="C16" s="471" t="s">
        <v>342</v>
      </c>
      <c r="D16" s="219" t="s">
        <v>339</v>
      </c>
      <c r="E16" s="220" t="s">
        <v>257</v>
      </c>
      <c r="F16" s="458">
        <v>43</v>
      </c>
      <c r="G16" s="454">
        <v>21.564482029598299</v>
      </c>
      <c r="H16" s="207">
        <v>1</v>
      </c>
      <c r="I16" s="224">
        <f t="shared" si="1"/>
        <v>21.564482029598299</v>
      </c>
      <c r="J16" s="207">
        <f t="shared" si="2"/>
        <v>1.9940196078431383</v>
      </c>
      <c r="K16" s="459">
        <v>0.68799999999999994</v>
      </c>
      <c r="L16" s="209">
        <f t="shared" ref="L16:L20" si="5">J16/K16</f>
        <v>2.8982843137254917</v>
      </c>
      <c r="M16" s="210">
        <f t="shared" si="4"/>
        <v>9.53382997936017E-2</v>
      </c>
      <c r="N16" s="210"/>
      <c r="O16" s="433" t="s">
        <v>313</v>
      </c>
    </row>
    <row r="17" spans="1:15" ht="20.100000000000001" customHeight="1" x14ac:dyDescent="0.3">
      <c r="A17" s="217"/>
      <c r="B17" s="217"/>
      <c r="C17" s="471" t="s">
        <v>344</v>
      </c>
      <c r="D17" s="219" t="s">
        <v>329</v>
      </c>
      <c r="E17" s="220" t="s">
        <v>257</v>
      </c>
      <c r="F17" s="458">
        <v>235</v>
      </c>
      <c r="G17" s="454">
        <v>8.247422680412372</v>
      </c>
      <c r="H17" s="211">
        <v>2</v>
      </c>
      <c r="I17" s="225">
        <f t="shared" si="1"/>
        <v>16.494845360824744</v>
      </c>
      <c r="J17" s="211">
        <f t="shared" si="2"/>
        <v>14.246874999999999</v>
      </c>
      <c r="K17" s="242">
        <v>0.68799999999999994</v>
      </c>
      <c r="L17" s="318">
        <f t="shared" si="5"/>
        <v>20.707667151162791</v>
      </c>
      <c r="M17" s="17">
        <f t="shared" si="4"/>
        <v>0.68117326155140767</v>
      </c>
      <c r="N17" s="210"/>
      <c r="O17" s="433" t="s">
        <v>356</v>
      </c>
    </row>
    <row r="18" spans="1:15" ht="20.100000000000001" customHeight="1" x14ac:dyDescent="0.3">
      <c r="A18" s="217"/>
      <c r="B18" s="213" t="s">
        <v>121</v>
      </c>
      <c r="C18" s="472" t="s">
        <v>346</v>
      </c>
      <c r="D18" s="348" t="s">
        <v>391</v>
      </c>
      <c r="E18" s="216" t="s">
        <v>70</v>
      </c>
      <c r="F18" s="314">
        <f>7374*0.25</f>
        <v>1843.5</v>
      </c>
      <c r="G18" s="453">
        <v>560</v>
      </c>
      <c r="H18" s="315">
        <v>1</v>
      </c>
      <c r="I18" s="223">
        <f t="shared" si="1"/>
        <v>560</v>
      </c>
      <c r="J18" s="203">
        <f t="shared" si="2"/>
        <v>3.2919642857142857</v>
      </c>
      <c r="K18" s="241">
        <v>0.68799999999999994</v>
      </c>
      <c r="L18" s="205">
        <f t="shared" si="5"/>
        <v>4.7848318106312293</v>
      </c>
      <c r="M18" s="206">
        <f t="shared" si="0"/>
        <v>0.15739578324444833</v>
      </c>
      <c r="N18" s="206"/>
      <c r="O18" s="432" t="s">
        <v>303</v>
      </c>
    </row>
    <row r="19" spans="1:15" ht="20.100000000000001" customHeight="1" x14ac:dyDescent="0.3">
      <c r="A19" s="217"/>
      <c r="B19" s="217"/>
      <c r="C19" s="471" t="s">
        <v>346</v>
      </c>
      <c r="D19" s="338" t="s">
        <v>392</v>
      </c>
      <c r="E19" s="220" t="s">
        <v>70</v>
      </c>
      <c r="F19" s="458">
        <f>7374*0.75</f>
        <v>5530.5</v>
      </c>
      <c r="G19" s="454">
        <v>288.47000000000003</v>
      </c>
      <c r="H19" s="469">
        <v>1</v>
      </c>
      <c r="I19" s="224">
        <f t="shared" ref="I19" si="6">G19*H19</f>
        <v>288.47000000000003</v>
      </c>
      <c r="J19" s="207">
        <f t="shared" ref="J19" si="7">(F19/I19)</f>
        <v>19.171837626096298</v>
      </c>
      <c r="K19" s="459">
        <v>0.68799999999999994</v>
      </c>
      <c r="L19" s="209">
        <f t="shared" ref="L19" si="8">J19/K19</f>
        <v>27.866043061186481</v>
      </c>
      <c r="M19" s="210">
        <f t="shared" ref="M19" si="9">L19/30.4</f>
        <v>0.91664615332850274</v>
      </c>
      <c r="N19" s="210"/>
      <c r="O19" s="433" t="s">
        <v>399</v>
      </c>
    </row>
    <row r="20" spans="1:15" ht="20.100000000000001" customHeight="1" x14ac:dyDescent="0.3">
      <c r="A20" s="217"/>
      <c r="B20" s="18"/>
      <c r="C20" s="473" t="s">
        <v>228</v>
      </c>
      <c r="D20" s="25" t="s">
        <v>227</v>
      </c>
      <c r="E20" s="303" t="s">
        <v>70</v>
      </c>
      <c r="F20" s="306">
        <v>484</v>
      </c>
      <c r="G20" s="455">
        <v>110</v>
      </c>
      <c r="H20" s="237">
        <v>1</v>
      </c>
      <c r="I20" s="224">
        <f t="shared" si="1"/>
        <v>110</v>
      </c>
      <c r="J20" s="211">
        <f t="shared" si="2"/>
        <v>4.4000000000000004</v>
      </c>
      <c r="K20" s="242">
        <v>0.68799999999999994</v>
      </c>
      <c r="L20" s="307">
        <f t="shared" si="5"/>
        <v>6.395348837209303</v>
      </c>
      <c r="M20" s="244">
        <f t="shared" si="0"/>
        <v>0.21037331701346393</v>
      </c>
      <c r="N20" s="210" t="s">
        <v>301</v>
      </c>
      <c r="O20" s="433" t="s">
        <v>312</v>
      </c>
    </row>
    <row r="21" spans="1:15" ht="20.100000000000001" customHeight="1" x14ac:dyDescent="0.3">
      <c r="A21" s="217"/>
      <c r="B21" s="610" t="s">
        <v>223</v>
      </c>
      <c r="C21" s="472" t="s">
        <v>324</v>
      </c>
      <c r="D21" s="215" t="s">
        <v>345</v>
      </c>
      <c r="E21" s="216" t="s">
        <v>257</v>
      </c>
      <c r="F21" s="230">
        <v>147</v>
      </c>
      <c r="G21" s="453">
        <f>21.5644820295983</f>
        <v>21.564482029598299</v>
      </c>
      <c r="H21" s="203">
        <v>1</v>
      </c>
      <c r="I21" s="223">
        <f t="shared" si="1"/>
        <v>21.564482029598299</v>
      </c>
      <c r="J21" s="203">
        <f t="shared" si="2"/>
        <v>6.8167647058823562</v>
      </c>
      <c r="K21" s="241">
        <v>0.68799999999999994</v>
      </c>
      <c r="L21" s="205">
        <f t="shared" ref="L21:L22" si="10">J21/K21</f>
        <v>9.9080882352941231</v>
      </c>
      <c r="M21" s="206">
        <f t="shared" si="0"/>
        <v>0.32592395510835931</v>
      </c>
      <c r="N21" s="201"/>
      <c r="O21" s="434" t="s">
        <v>313</v>
      </c>
    </row>
    <row r="22" spans="1:15" ht="20.100000000000001" customHeight="1" x14ac:dyDescent="0.3">
      <c r="A22" s="349"/>
      <c r="B22" s="611"/>
      <c r="C22" s="474" t="s">
        <v>256</v>
      </c>
      <c r="D22" s="15" t="s">
        <v>325</v>
      </c>
      <c r="E22" s="16" t="s">
        <v>257</v>
      </c>
      <c r="F22" s="231">
        <v>147</v>
      </c>
      <c r="G22" s="456">
        <v>9.2592592592592595</v>
      </c>
      <c r="H22" s="211">
        <v>3</v>
      </c>
      <c r="I22" s="224">
        <f t="shared" si="1"/>
        <v>27.777777777777779</v>
      </c>
      <c r="J22" s="211">
        <f t="shared" si="2"/>
        <v>5.2919999999999998</v>
      </c>
      <c r="K22" s="242">
        <v>0.68799999999999994</v>
      </c>
      <c r="L22" s="307">
        <f t="shared" si="10"/>
        <v>7.6918604651162799</v>
      </c>
      <c r="M22" s="244">
        <f t="shared" ref="M22" si="11">L22/30.4</f>
        <v>0.25302172582619342</v>
      </c>
      <c r="N22" s="350"/>
      <c r="O22" s="435" t="s">
        <v>304</v>
      </c>
    </row>
    <row r="23" spans="1:15" ht="20.100000000000001" customHeight="1" x14ac:dyDescent="0.3">
      <c r="A23" s="388" t="s">
        <v>9</v>
      </c>
      <c r="B23" s="380"/>
      <c r="C23" s="389"/>
      <c r="D23" s="390"/>
      <c r="E23" s="391"/>
      <c r="F23" s="392"/>
      <c r="G23" s="457"/>
      <c r="H23" s="394"/>
      <c r="I23" s="393"/>
      <c r="J23" s="394"/>
      <c r="K23" s="391"/>
      <c r="L23" s="386">
        <f>L24+L29+L34+L39+L44</f>
        <v>202.32531809748889</v>
      </c>
      <c r="M23" s="377">
        <f t="shared" si="0"/>
        <v>6.6554380953121353</v>
      </c>
      <c r="N23" s="377"/>
      <c r="O23" s="444"/>
    </row>
    <row r="24" spans="1:15" ht="20.100000000000001" customHeight="1" x14ac:dyDescent="0.3">
      <c r="A24" s="213" t="s">
        <v>8</v>
      </c>
      <c r="B24" s="213" t="s">
        <v>16</v>
      </c>
      <c r="C24" s="214" t="s">
        <v>225</v>
      </c>
      <c r="D24" s="215" t="s">
        <v>226</v>
      </c>
      <c r="E24" s="216" t="s">
        <v>70</v>
      </c>
      <c r="F24" s="230">
        <f>1210*0.06</f>
        <v>72.599999999999994</v>
      </c>
      <c r="G24" s="452">
        <v>189</v>
      </c>
      <c r="H24" s="315">
        <v>1</v>
      </c>
      <c r="I24" s="223">
        <f>G24*H24</f>
        <v>189</v>
      </c>
      <c r="J24" s="203">
        <f>(F24/I24)</f>
        <v>0.38412698412698409</v>
      </c>
      <c r="K24" s="204">
        <v>0.627</v>
      </c>
      <c r="L24" s="205">
        <f>((J24+J25+J26)/K24)+(J27/K27)+J28</f>
        <v>30.39504858518767</v>
      </c>
      <c r="M24" s="206">
        <f t="shared" si="0"/>
        <v>0.99983712451275231</v>
      </c>
      <c r="N24" s="201"/>
      <c r="O24" s="434" t="s">
        <v>306</v>
      </c>
    </row>
    <row r="25" spans="1:15" ht="19.5" customHeight="1" x14ac:dyDescent="0.3">
      <c r="A25" s="608"/>
      <c r="B25" s="217"/>
      <c r="C25" s="218" t="s">
        <v>75</v>
      </c>
      <c r="D25" s="219"/>
      <c r="E25" s="220" t="s">
        <v>134</v>
      </c>
      <c r="F25" s="222">
        <v>31.100999999999999</v>
      </c>
      <c r="G25" s="450">
        <v>4</v>
      </c>
      <c r="H25" s="207">
        <v>2</v>
      </c>
      <c r="I25" s="224">
        <f>G25*H25</f>
        <v>8</v>
      </c>
      <c r="J25" s="207">
        <f>(F25/I25)</f>
        <v>3.8876249999999999</v>
      </c>
      <c r="K25" s="208">
        <v>0.627</v>
      </c>
      <c r="L25" s="209"/>
      <c r="M25" s="210"/>
      <c r="N25" s="200"/>
      <c r="O25" s="436" t="s">
        <v>305</v>
      </c>
    </row>
    <row r="26" spans="1:15" ht="20.100000000000001" customHeight="1" x14ac:dyDescent="0.3">
      <c r="A26" s="609"/>
      <c r="B26" s="217"/>
      <c r="C26" s="218" t="s">
        <v>124</v>
      </c>
      <c r="D26" s="219" t="s">
        <v>287</v>
      </c>
      <c r="E26" s="220" t="s">
        <v>0</v>
      </c>
      <c r="F26" s="232">
        <v>611.98</v>
      </c>
      <c r="G26" s="470">
        <v>35</v>
      </c>
      <c r="H26" s="207">
        <v>2</v>
      </c>
      <c r="I26" s="224">
        <f>G26*H26</f>
        <v>70</v>
      </c>
      <c r="J26" s="207">
        <f>(F26/I26)</f>
        <v>8.7425714285714289</v>
      </c>
      <c r="K26" s="208">
        <v>0.627</v>
      </c>
      <c r="L26" s="209"/>
      <c r="M26" s="210"/>
      <c r="N26" s="200"/>
      <c r="O26" s="436" t="s">
        <v>307</v>
      </c>
    </row>
    <row r="27" spans="1:15" ht="20.100000000000001" customHeight="1" x14ac:dyDescent="0.3">
      <c r="A27" s="217"/>
      <c r="B27" s="217"/>
      <c r="C27" s="218" t="s">
        <v>72</v>
      </c>
      <c r="D27" s="219" t="s">
        <v>87</v>
      </c>
      <c r="E27" s="220" t="s">
        <v>70</v>
      </c>
      <c r="F27" s="232">
        <v>1319.93</v>
      </c>
      <c r="G27" s="454">
        <v>189</v>
      </c>
      <c r="H27" s="207">
        <v>2</v>
      </c>
      <c r="I27" s="224">
        <f>G27*H27</f>
        <v>378</v>
      </c>
      <c r="J27" s="207">
        <f>(F27/I27)</f>
        <v>3.491878306878307</v>
      </c>
      <c r="K27" s="208">
        <v>0.52600000000000002</v>
      </c>
      <c r="L27" s="209"/>
      <c r="M27" s="210"/>
      <c r="N27" s="200"/>
      <c r="O27" s="436" t="s">
        <v>306</v>
      </c>
    </row>
    <row r="28" spans="1:15" ht="20.100000000000001" customHeight="1" x14ac:dyDescent="0.3">
      <c r="A28" s="217"/>
      <c r="B28" s="18"/>
      <c r="C28" s="14" t="s">
        <v>122</v>
      </c>
      <c r="D28" s="15"/>
      <c r="E28" s="16"/>
      <c r="F28" s="231"/>
      <c r="G28" s="456"/>
      <c r="H28" s="211"/>
      <c r="I28" s="225"/>
      <c r="J28" s="211">
        <v>3</v>
      </c>
      <c r="K28" s="212"/>
      <c r="L28" s="209"/>
      <c r="M28" s="17"/>
      <c r="N28" s="316"/>
      <c r="O28" s="435"/>
    </row>
    <row r="29" spans="1:15" ht="20.100000000000001" customHeight="1" x14ac:dyDescent="0.3">
      <c r="A29" s="217"/>
      <c r="B29" s="19" t="s">
        <v>317</v>
      </c>
      <c r="C29" s="214" t="s">
        <v>75</v>
      </c>
      <c r="D29" s="215"/>
      <c r="E29" s="216" t="s">
        <v>134</v>
      </c>
      <c r="F29" s="222">
        <v>75.866</v>
      </c>
      <c r="G29" s="224">
        <v>4</v>
      </c>
      <c r="H29" s="207">
        <v>3</v>
      </c>
      <c r="I29" s="223">
        <f>G29*H29</f>
        <v>12</v>
      </c>
      <c r="J29" s="203">
        <f>(F29/I29)</f>
        <v>6.3221666666666669</v>
      </c>
      <c r="K29" s="204">
        <v>0.627</v>
      </c>
      <c r="L29" s="205">
        <f>((J29+J30+J31)/K29)+(J32/K32)+J33</f>
        <v>55.359848751964023</v>
      </c>
      <c r="M29" s="206">
        <f t="shared" si="0"/>
        <v>1.8210476563146061</v>
      </c>
      <c r="N29" s="201"/>
      <c r="O29" s="434" t="s">
        <v>305</v>
      </c>
    </row>
    <row r="30" spans="1:15" ht="20.100000000000001" customHeight="1" x14ac:dyDescent="0.3">
      <c r="A30" s="217"/>
      <c r="B30" s="20"/>
      <c r="C30" s="218" t="s">
        <v>341</v>
      </c>
      <c r="D30" s="219" t="s">
        <v>88</v>
      </c>
      <c r="E30" s="220" t="s">
        <v>0</v>
      </c>
      <c r="F30" s="232">
        <f>2250.83+595.21</f>
        <v>2846.04</v>
      </c>
      <c r="G30" s="470">
        <v>35</v>
      </c>
      <c r="H30" s="207">
        <v>6</v>
      </c>
      <c r="I30" s="224">
        <f>G30*H30</f>
        <v>210</v>
      </c>
      <c r="J30" s="207">
        <f>(F30/I30)</f>
        <v>13.552571428571428</v>
      </c>
      <c r="K30" s="208">
        <v>0.627</v>
      </c>
      <c r="L30" s="209"/>
      <c r="M30" s="210"/>
      <c r="N30" s="200"/>
      <c r="O30" s="436" t="s">
        <v>337</v>
      </c>
    </row>
    <row r="31" spans="1:15" ht="20.100000000000001" customHeight="1" x14ac:dyDescent="0.3">
      <c r="A31" s="217"/>
      <c r="B31" s="20"/>
      <c r="C31" s="218" t="s">
        <v>326</v>
      </c>
      <c r="D31" s="219" t="s">
        <v>340</v>
      </c>
      <c r="E31" s="220" t="s">
        <v>0</v>
      </c>
      <c r="F31" s="232">
        <v>1083.31</v>
      </c>
      <c r="G31" s="224">
        <v>20</v>
      </c>
      <c r="H31" s="207">
        <v>5</v>
      </c>
      <c r="I31" s="224">
        <f>G31*H31</f>
        <v>100</v>
      </c>
      <c r="J31" s="207">
        <f>(F31/I31)</f>
        <v>10.8331</v>
      </c>
      <c r="K31" s="208">
        <v>0.627</v>
      </c>
      <c r="L31" s="209"/>
      <c r="M31" s="210"/>
      <c r="N31" s="200"/>
      <c r="O31" s="436" t="s">
        <v>352</v>
      </c>
    </row>
    <row r="32" spans="1:15" ht="20.100000000000001" customHeight="1" x14ac:dyDescent="0.3">
      <c r="A32" s="217"/>
      <c r="B32" s="20"/>
      <c r="C32" s="218" t="s">
        <v>72</v>
      </c>
      <c r="D32" s="219" t="s">
        <v>87</v>
      </c>
      <c r="E32" s="220" t="s">
        <v>70</v>
      </c>
      <c r="F32" s="232">
        <v>883.58399999999995</v>
      </c>
      <c r="G32" s="224">
        <v>156</v>
      </c>
      <c r="H32" s="207">
        <v>2</v>
      </c>
      <c r="I32" s="224">
        <f>G32*H32</f>
        <v>312</v>
      </c>
      <c r="J32" s="207">
        <f>(F32/I32)</f>
        <v>2.8319999999999999</v>
      </c>
      <c r="K32" s="208">
        <v>0.52600000000000002</v>
      </c>
      <c r="L32" s="209"/>
      <c r="M32" s="210"/>
      <c r="N32" s="200"/>
      <c r="O32" s="436" t="s">
        <v>306</v>
      </c>
    </row>
    <row r="33" spans="1:15" ht="20.100000000000001" customHeight="1" x14ac:dyDescent="0.3">
      <c r="A33" s="217"/>
      <c r="B33" s="21"/>
      <c r="C33" s="14" t="s">
        <v>122</v>
      </c>
      <c r="D33" s="15"/>
      <c r="E33" s="16"/>
      <c r="F33" s="231"/>
      <c r="G33" s="225"/>
      <c r="H33" s="211">
        <v>1</v>
      </c>
      <c r="I33" s="225"/>
      <c r="J33" s="211">
        <v>1</v>
      </c>
      <c r="K33" s="212"/>
      <c r="L33" s="318"/>
      <c r="M33" s="17"/>
      <c r="N33" s="316"/>
      <c r="O33" s="435"/>
    </row>
    <row r="34" spans="1:15" ht="20.100000000000001" customHeight="1" x14ac:dyDescent="0.3">
      <c r="A34" s="217"/>
      <c r="B34" s="19" t="s">
        <v>12</v>
      </c>
      <c r="C34" s="214" t="s">
        <v>75</v>
      </c>
      <c r="D34" s="215"/>
      <c r="E34" s="216" t="s">
        <v>134</v>
      </c>
      <c r="F34" s="222">
        <f>44630.9/1000</f>
        <v>44.630900000000004</v>
      </c>
      <c r="G34" s="224">
        <v>4</v>
      </c>
      <c r="H34" s="207">
        <v>3</v>
      </c>
      <c r="I34" s="223">
        <f>G34*H34</f>
        <v>12</v>
      </c>
      <c r="J34" s="203">
        <f>(F34/I34)</f>
        <v>3.719241666666667</v>
      </c>
      <c r="K34" s="204">
        <v>0.627</v>
      </c>
      <c r="L34" s="205">
        <f>((J34+J35+J36)/K34)+(J37/K37)+J38</f>
        <v>41.60934534135955</v>
      </c>
      <c r="M34" s="206">
        <f t="shared" si="0"/>
        <v>1.368728465176301</v>
      </c>
      <c r="N34" s="201"/>
      <c r="O34" s="434" t="s">
        <v>305</v>
      </c>
    </row>
    <row r="35" spans="1:15" ht="20.100000000000001" customHeight="1" x14ac:dyDescent="0.3">
      <c r="A35" s="217"/>
      <c r="B35" s="20"/>
      <c r="C35" s="218" t="s">
        <v>79</v>
      </c>
      <c r="D35" s="219" t="s">
        <v>88</v>
      </c>
      <c r="E35" s="220" t="s">
        <v>0</v>
      </c>
      <c r="F35" s="232">
        <v>1860.89</v>
      </c>
      <c r="G35" s="470">
        <v>35</v>
      </c>
      <c r="H35" s="207">
        <v>5</v>
      </c>
      <c r="I35" s="224">
        <f>G35*H35</f>
        <v>175</v>
      </c>
      <c r="J35" s="207">
        <f>(F35/I35)</f>
        <v>10.633657142857144</v>
      </c>
      <c r="K35" s="208">
        <v>0.627</v>
      </c>
      <c r="L35" s="209"/>
      <c r="M35" s="210"/>
      <c r="N35" s="200"/>
      <c r="O35" s="436" t="s">
        <v>307</v>
      </c>
    </row>
    <row r="36" spans="1:15" ht="20.100000000000001" customHeight="1" x14ac:dyDescent="0.3">
      <c r="A36" s="217"/>
      <c r="B36" s="20"/>
      <c r="C36" s="218" t="s">
        <v>326</v>
      </c>
      <c r="D36" s="219" t="s">
        <v>327</v>
      </c>
      <c r="E36" s="220" t="s">
        <v>0</v>
      </c>
      <c r="F36" s="232">
        <v>911.55</v>
      </c>
      <c r="G36" s="224">
        <v>20</v>
      </c>
      <c r="H36" s="207">
        <v>5</v>
      </c>
      <c r="I36" s="224">
        <f>G36*H36</f>
        <v>100</v>
      </c>
      <c r="J36" s="207">
        <f>(F36/I36)</f>
        <v>9.115499999999999</v>
      </c>
      <c r="K36" s="208">
        <v>0.627</v>
      </c>
      <c r="L36" s="209"/>
      <c r="M36" s="210"/>
      <c r="N36" s="200"/>
      <c r="O36" s="436" t="s">
        <v>352</v>
      </c>
    </row>
    <row r="37" spans="1:15" ht="20.100000000000001" customHeight="1" x14ac:dyDescent="0.3">
      <c r="A37" s="217"/>
      <c r="B37" s="20"/>
      <c r="C37" s="218" t="s">
        <v>72</v>
      </c>
      <c r="D37" s="219" t="s">
        <v>87</v>
      </c>
      <c r="E37" s="220" t="s">
        <v>70</v>
      </c>
      <c r="F37" s="232">
        <v>521.82399999999996</v>
      </c>
      <c r="G37" s="224">
        <v>156</v>
      </c>
      <c r="H37" s="207">
        <v>2</v>
      </c>
      <c r="I37" s="224">
        <f>G37*H37</f>
        <v>312</v>
      </c>
      <c r="J37" s="207">
        <f>(F37/I37)</f>
        <v>1.6725128205128204</v>
      </c>
      <c r="K37" s="208">
        <v>0.52600000000000002</v>
      </c>
      <c r="L37" s="209"/>
      <c r="M37" s="210"/>
      <c r="N37" s="200"/>
      <c r="O37" s="436" t="s">
        <v>306</v>
      </c>
    </row>
    <row r="38" spans="1:15" ht="20.100000000000001" customHeight="1" x14ac:dyDescent="0.3">
      <c r="A38" s="217"/>
      <c r="B38" s="21"/>
      <c r="C38" s="14" t="s">
        <v>122</v>
      </c>
      <c r="D38" s="15"/>
      <c r="E38" s="16"/>
      <c r="F38" s="231"/>
      <c r="G38" s="225"/>
      <c r="H38" s="211">
        <v>1</v>
      </c>
      <c r="I38" s="225"/>
      <c r="J38" s="211">
        <v>1</v>
      </c>
      <c r="K38" s="212"/>
      <c r="L38" s="318"/>
      <c r="M38" s="17"/>
      <c r="N38" s="316"/>
      <c r="O38" s="435"/>
    </row>
    <row r="39" spans="1:15" ht="20.100000000000001" customHeight="1" x14ac:dyDescent="0.3">
      <c r="A39" s="217"/>
      <c r="B39" s="19" t="s">
        <v>10</v>
      </c>
      <c r="C39" s="214" t="s">
        <v>75</v>
      </c>
      <c r="D39" s="215"/>
      <c r="E39" s="216" t="s">
        <v>134</v>
      </c>
      <c r="F39" s="222">
        <f>40841.1/1000</f>
        <v>40.841099999999997</v>
      </c>
      <c r="G39" s="224">
        <v>4</v>
      </c>
      <c r="H39" s="207">
        <v>3</v>
      </c>
      <c r="I39" s="223">
        <f>G39*H39</f>
        <v>12</v>
      </c>
      <c r="J39" s="203">
        <f>(F39/I39)</f>
        <v>3.4034249999999999</v>
      </c>
      <c r="K39" s="204">
        <v>0.627</v>
      </c>
      <c r="L39" s="205">
        <f>((J39+J40+J41)/K39)+(J42/K42)+J43</f>
        <v>34.78005084685843</v>
      </c>
      <c r="M39" s="206">
        <f t="shared" si="0"/>
        <v>1.1440806199624485</v>
      </c>
      <c r="N39" s="201"/>
      <c r="O39" s="434" t="s">
        <v>305</v>
      </c>
    </row>
    <row r="40" spans="1:15" ht="20.100000000000001" customHeight="1" x14ac:dyDescent="0.3">
      <c r="A40" s="217"/>
      <c r="B40" s="20"/>
      <c r="C40" s="218" t="s">
        <v>79</v>
      </c>
      <c r="D40" s="219" t="s">
        <v>88</v>
      </c>
      <c r="E40" s="220" t="s">
        <v>0</v>
      </c>
      <c r="F40" s="232">
        <v>1787.0900000000001</v>
      </c>
      <c r="G40" s="470">
        <v>35</v>
      </c>
      <c r="H40" s="207">
        <v>5</v>
      </c>
      <c r="I40" s="224">
        <f>G40*H40</f>
        <v>175</v>
      </c>
      <c r="J40" s="207">
        <f>(F40/I40)</f>
        <v>10.211942857142859</v>
      </c>
      <c r="K40" s="208">
        <v>0.627</v>
      </c>
      <c r="L40" s="209"/>
      <c r="M40" s="210"/>
      <c r="N40" s="200"/>
      <c r="O40" s="436" t="s">
        <v>307</v>
      </c>
    </row>
    <row r="41" spans="1:15" ht="20.100000000000001" customHeight="1" x14ac:dyDescent="0.3">
      <c r="A41" s="217"/>
      <c r="B41" s="20"/>
      <c r="C41" s="218" t="s">
        <v>326</v>
      </c>
      <c r="D41" s="219" t="s">
        <v>327</v>
      </c>
      <c r="E41" s="220" t="s">
        <v>0</v>
      </c>
      <c r="F41" s="232">
        <v>1163.3</v>
      </c>
      <c r="G41" s="224">
        <v>20</v>
      </c>
      <c r="H41" s="207">
        <v>10</v>
      </c>
      <c r="I41" s="224">
        <f>G41*H41</f>
        <v>200</v>
      </c>
      <c r="J41" s="207">
        <f>(F41/I41)</f>
        <v>5.8164999999999996</v>
      </c>
      <c r="K41" s="208">
        <v>0.627</v>
      </c>
      <c r="L41" s="209"/>
      <c r="M41" s="210"/>
      <c r="N41" s="200"/>
      <c r="O41" s="436" t="s">
        <v>352</v>
      </c>
    </row>
    <row r="42" spans="1:15" ht="20.100000000000001" customHeight="1" x14ac:dyDescent="0.3">
      <c r="A42" s="217"/>
      <c r="B42" s="20"/>
      <c r="C42" s="218" t="s">
        <v>72</v>
      </c>
      <c r="D42" s="219" t="s">
        <v>87</v>
      </c>
      <c r="E42" s="220" t="s">
        <v>70</v>
      </c>
      <c r="F42" s="232">
        <v>457.58300000000003</v>
      </c>
      <c r="G42" s="224">
        <v>156</v>
      </c>
      <c r="H42" s="207">
        <v>2</v>
      </c>
      <c r="I42" s="224">
        <f>G42*H42</f>
        <v>312</v>
      </c>
      <c r="J42" s="207">
        <f>(F42/I42)</f>
        <v>1.4666121794871796</v>
      </c>
      <c r="K42" s="208">
        <v>0.52600000000000002</v>
      </c>
      <c r="L42" s="209"/>
      <c r="M42" s="210"/>
      <c r="N42" s="200"/>
      <c r="O42" s="436" t="s">
        <v>306</v>
      </c>
    </row>
    <row r="43" spans="1:15" ht="20.100000000000001" customHeight="1" x14ac:dyDescent="0.3">
      <c r="A43" s="217"/>
      <c r="B43" s="21"/>
      <c r="C43" s="14" t="s">
        <v>122</v>
      </c>
      <c r="D43" s="15"/>
      <c r="E43" s="16"/>
      <c r="F43" s="231"/>
      <c r="G43" s="225"/>
      <c r="H43" s="211">
        <v>1</v>
      </c>
      <c r="I43" s="225"/>
      <c r="J43" s="211">
        <v>1</v>
      </c>
      <c r="K43" s="212"/>
      <c r="L43" s="318"/>
      <c r="M43" s="17"/>
      <c r="N43" s="316"/>
      <c r="O43" s="435"/>
    </row>
    <row r="44" spans="1:15" ht="20.100000000000001" customHeight="1" x14ac:dyDescent="0.3">
      <c r="A44" s="217"/>
      <c r="B44" s="19" t="s">
        <v>289</v>
      </c>
      <c r="C44" s="214" t="s">
        <v>75</v>
      </c>
      <c r="D44" s="215"/>
      <c r="E44" s="216" t="s">
        <v>134</v>
      </c>
      <c r="F44" s="222">
        <f>38694.6/1000</f>
        <v>38.694600000000001</v>
      </c>
      <c r="G44" s="224">
        <v>4</v>
      </c>
      <c r="H44" s="207">
        <v>3</v>
      </c>
      <c r="I44" s="223">
        <f>G44*H44</f>
        <v>12</v>
      </c>
      <c r="J44" s="203">
        <f>(F44/I44)</f>
        <v>3.2245500000000002</v>
      </c>
      <c r="K44" s="204">
        <v>0.627</v>
      </c>
      <c r="L44" s="205">
        <f>((J44+J45+J46)/K44)+(J47/K47)+J48</f>
        <v>40.18102457211922</v>
      </c>
      <c r="M44" s="206">
        <f t="shared" si="0"/>
        <v>1.3217442293460271</v>
      </c>
      <c r="N44" s="201"/>
      <c r="O44" s="434" t="s">
        <v>305</v>
      </c>
    </row>
    <row r="45" spans="1:15" ht="20.100000000000001" customHeight="1" x14ac:dyDescent="0.3">
      <c r="A45" s="217"/>
      <c r="B45" s="20"/>
      <c r="C45" s="218" t="s">
        <v>79</v>
      </c>
      <c r="D45" s="219" t="s">
        <v>88</v>
      </c>
      <c r="E45" s="220" t="s">
        <v>0</v>
      </c>
      <c r="F45" s="232">
        <v>1765.8799999999999</v>
      </c>
      <c r="G45" s="470">
        <v>35</v>
      </c>
      <c r="H45" s="207">
        <v>5</v>
      </c>
      <c r="I45" s="224">
        <f>G45*H45</f>
        <v>175</v>
      </c>
      <c r="J45" s="207">
        <f>(F45/I45)</f>
        <v>10.090742857142857</v>
      </c>
      <c r="K45" s="208">
        <v>0.627</v>
      </c>
      <c r="L45" s="209"/>
      <c r="M45" s="210"/>
      <c r="N45" s="200"/>
      <c r="O45" s="436" t="s">
        <v>307</v>
      </c>
    </row>
    <row r="46" spans="1:15" ht="20.100000000000001" customHeight="1" x14ac:dyDescent="0.3">
      <c r="A46" s="217"/>
      <c r="B46" s="20"/>
      <c r="C46" s="218" t="s">
        <v>326</v>
      </c>
      <c r="D46" s="219" t="s">
        <v>357</v>
      </c>
      <c r="E46" s="220" t="s">
        <v>0</v>
      </c>
      <c r="F46" s="232">
        <v>967.4799999999999</v>
      </c>
      <c r="G46" s="224">
        <v>20</v>
      </c>
      <c r="H46" s="207">
        <v>5</v>
      </c>
      <c r="I46" s="224">
        <f>G46*H46</f>
        <v>100</v>
      </c>
      <c r="J46" s="207">
        <f>(F46/I46)</f>
        <v>9.6747999999999994</v>
      </c>
      <c r="K46" s="208">
        <v>0.627</v>
      </c>
      <c r="L46" s="209"/>
      <c r="M46" s="210"/>
      <c r="N46" s="200"/>
      <c r="O46" s="436" t="s">
        <v>352</v>
      </c>
    </row>
    <row r="47" spans="1:15" ht="20.100000000000001" customHeight="1" x14ac:dyDescent="0.3">
      <c r="A47" s="217"/>
      <c r="B47" s="20"/>
      <c r="C47" s="218" t="s">
        <v>72</v>
      </c>
      <c r="D47" s="219" t="s">
        <v>87</v>
      </c>
      <c r="E47" s="220" t="s">
        <v>70</v>
      </c>
      <c r="F47" s="232">
        <v>412.61200000000002</v>
      </c>
      <c r="G47" s="224">
        <v>156</v>
      </c>
      <c r="H47" s="207">
        <v>2</v>
      </c>
      <c r="I47" s="224">
        <f>G47*H47</f>
        <v>312</v>
      </c>
      <c r="J47" s="207">
        <f>(F47/I47)</f>
        <v>1.3224743589743591</v>
      </c>
      <c r="K47" s="208">
        <v>0.52600000000000002</v>
      </c>
      <c r="L47" s="209"/>
      <c r="M47" s="210"/>
      <c r="N47" s="200"/>
      <c r="O47" s="436" t="s">
        <v>306</v>
      </c>
    </row>
    <row r="48" spans="1:15" ht="20.100000000000001" customHeight="1" x14ac:dyDescent="0.3">
      <c r="A48" s="217"/>
      <c r="B48" s="21"/>
      <c r="C48" s="14" t="s">
        <v>122</v>
      </c>
      <c r="D48" s="15"/>
      <c r="E48" s="16"/>
      <c r="F48" s="231"/>
      <c r="G48" s="225"/>
      <c r="H48" s="211">
        <v>1</v>
      </c>
      <c r="I48" s="225"/>
      <c r="J48" s="211">
        <v>1</v>
      </c>
      <c r="K48" s="212"/>
      <c r="L48" s="318"/>
      <c r="M48" s="17"/>
      <c r="N48" s="316"/>
      <c r="O48" s="435"/>
    </row>
    <row r="49" spans="1:15" ht="19.5" customHeight="1" x14ac:dyDescent="0.3">
      <c r="A49" s="217"/>
      <c r="B49" s="19" t="s">
        <v>290</v>
      </c>
      <c r="C49" s="214" t="s">
        <v>75</v>
      </c>
      <c r="D49" s="215"/>
      <c r="E49" s="216" t="s">
        <v>134</v>
      </c>
      <c r="F49" s="222">
        <f>12663.4/1000</f>
        <v>12.663399999999999</v>
      </c>
      <c r="G49" s="224">
        <v>4</v>
      </c>
      <c r="H49" s="315">
        <v>2</v>
      </c>
      <c r="I49" s="223">
        <f>G49*H49</f>
        <v>8</v>
      </c>
      <c r="J49" s="203">
        <f>(F49/I49)</f>
        <v>1.5829249999999999</v>
      </c>
      <c r="K49" s="208">
        <v>0.627</v>
      </c>
      <c r="L49" s="205">
        <f>((J49+J50)/K49)+(J51/K51)+J52</f>
        <v>21.614131089931572</v>
      </c>
      <c r="M49" s="206">
        <f t="shared" si="0"/>
        <v>0.7109911542740649</v>
      </c>
      <c r="N49" s="451" t="s">
        <v>295</v>
      </c>
      <c r="O49" s="434" t="s">
        <v>305</v>
      </c>
    </row>
    <row r="50" spans="1:15" ht="20.100000000000001" customHeight="1" x14ac:dyDescent="0.3">
      <c r="A50" s="217"/>
      <c r="B50" s="20"/>
      <c r="C50" s="218" t="s">
        <v>79</v>
      </c>
      <c r="D50" s="219" t="s">
        <v>88</v>
      </c>
      <c r="E50" s="220" t="s">
        <v>0</v>
      </c>
      <c r="F50" s="232">
        <v>1082.17</v>
      </c>
      <c r="G50" s="470">
        <v>35</v>
      </c>
      <c r="H50" s="207">
        <v>3</v>
      </c>
      <c r="I50" s="224">
        <f>G50*H50</f>
        <v>105</v>
      </c>
      <c r="J50" s="207">
        <f>(F50/I50)</f>
        <v>10.306380952380954</v>
      </c>
      <c r="K50" s="208">
        <v>0.627</v>
      </c>
      <c r="L50" s="209"/>
      <c r="M50" s="210"/>
      <c r="N50" s="200"/>
      <c r="O50" s="436" t="s">
        <v>307</v>
      </c>
    </row>
    <row r="51" spans="1:15" ht="20.100000000000001" customHeight="1" x14ac:dyDescent="0.3">
      <c r="A51" s="217"/>
      <c r="B51" s="20"/>
      <c r="C51" s="218" t="s">
        <v>72</v>
      </c>
      <c r="D51" s="219" t="s">
        <v>87</v>
      </c>
      <c r="E51" s="220" t="s">
        <v>70</v>
      </c>
      <c r="F51" s="232">
        <v>135.55000000000001</v>
      </c>
      <c r="G51" s="224">
        <v>156</v>
      </c>
      <c r="H51" s="207">
        <v>1</v>
      </c>
      <c r="I51" s="224">
        <f>G51*H51</f>
        <v>156</v>
      </c>
      <c r="J51" s="207">
        <f>(F51/I51)</f>
        <v>0.86891025641025643</v>
      </c>
      <c r="K51" s="208">
        <v>0.52600000000000002</v>
      </c>
      <c r="L51" s="209"/>
      <c r="M51" s="210"/>
      <c r="N51" s="200"/>
      <c r="O51" s="436" t="s">
        <v>306</v>
      </c>
    </row>
    <row r="52" spans="1:15" ht="20.100000000000001" customHeight="1" x14ac:dyDescent="0.3">
      <c r="A52" s="217"/>
      <c r="B52" s="21"/>
      <c r="C52" s="14" t="s">
        <v>122</v>
      </c>
      <c r="D52" s="15"/>
      <c r="E52" s="16"/>
      <c r="F52" s="231"/>
      <c r="G52" s="225"/>
      <c r="H52" s="211">
        <v>1</v>
      </c>
      <c r="I52" s="225"/>
      <c r="J52" s="211">
        <v>1</v>
      </c>
      <c r="K52" s="212"/>
      <c r="L52" s="318"/>
      <c r="M52" s="17"/>
      <c r="N52" s="200"/>
      <c r="O52" s="435"/>
    </row>
    <row r="53" spans="1:15" ht="19.5" customHeight="1" x14ac:dyDescent="0.3">
      <c r="A53" s="217"/>
      <c r="B53" s="19" t="s">
        <v>319</v>
      </c>
      <c r="C53" s="214" t="s">
        <v>75</v>
      </c>
      <c r="D53" s="215"/>
      <c r="E53" s="216" t="s">
        <v>134</v>
      </c>
      <c r="F53" s="222">
        <f>703.9/1000</f>
        <v>0.70389999999999997</v>
      </c>
      <c r="G53" s="224">
        <v>4</v>
      </c>
      <c r="H53" s="315">
        <v>1</v>
      </c>
      <c r="I53" s="223">
        <f>G53*H53</f>
        <v>4</v>
      </c>
      <c r="J53" s="203">
        <f>(F53/I53)</f>
        <v>0.17597499999999999</v>
      </c>
      <c r="K53" s="208">
        <v>0.627</v>
      </c>
      <c r="L53" s="205">
        <f>((J53+J54)/K53)+(J55/K55)+J56</f>
        <v>3.3082336031655619</v>
      </c>
      <c r="M53" s="206">
        <f t="shared" si="0"/>
        <v>0.10882347378834085</v>
      </c>
      <c r="N53" s="451" t="s">
        <v>295</v>
      </c>
      <c r="O53" s="434" t="s">
        <v>305</v>
      </c>
    </row>
    <row r="54" spans="1:15" ht="20.100000000000001" customHeight="1" x14ac:dyDescent="0.3">
      <c r="A54" s="217"/>
      <c r="B54" s="20"/>
      <c r="C54" s="218" t="s">
        <v>79</v>
      </c>
      <c r="D54" s="219" t="s">
        <v>88</v>
      </c>
      <c r="E54" s="220" t="s">
        <v>0</v>
      </c>
      <c r="F54" s="232">
        <v>43.62</v>
      </c>
      <c r="G54" s="470">
        <v>35</v>
      </c>
      <c r="H54" s="207">
        <v>1</v>
      </c>
      <c r="I54" s="224">
        <f>G54*H54</f>
        <v>35</v>
      </c>
      <c r="J54" s="207">
        <f>(F54/I54)</f>
        <v>1.2462857142857142</v>
      </c>
      <c r="K54" s="208">
        <v>0.627</v>
      </c>
      <c r="L54" s="209"/>
      <c r="M54" s="210"/>
      <c r="N54" s="200"/>
      <c r="O54" s="436" t="s">
        <v>307</v>
      </c>
    </row>
    <row r="55" spans="1:15" ht="20.100000000000001" customHeight="1" x14ac:dyDescent="0.3">
      <c r="A55" s="217"/>
      <c r="B55" s="20"/>
      <c r="C55" s="218" t="s">
        <v>72</v>
      </c>
      <c r="D55" s="219" t="s">
        <v>87</v>
      </c>
      <c r="E55" s="220" t="s">
        <v>70</v>
      </c>
      <c r="F55" s="232">
        <v>3.2719999999999998</v>
      </c>
      <c r="G55" s="224">
        <v>156</v>
      </c>
      <c r="H55" s="207">
        <v>1</v>
      </c>
      <c r="I55" s="224">
        <f>G55*H55</f>
        <v>156</v>
      </c>
      <c r="J55" s="207">
        <f>(F55/I55)</f>
        <v>2.0974358974358974E-2</v>
      </c>
      <c r="K55" s="208">
        <v>0.52600000000000002</v>
      </c>
      <c r="L55" s="209"/>
      <c r="M55" s="210"/>
      <c r="N55" s="200"/>
      <c r="O55" s="436" t="s">
        <v>306</v>
      </c>
    </row>
    <row r="56" spans="1:15" ht="20.100000000000001" customHeight="1" x14ac:dyDescent="0.3">
      <c r="A56" s="217"/>
      <c r="B56" s="20"/>
      <c r="C56" s="24" t="s">
        <v>122</v>
      </c>
      <c r="D56" s="25"/>
      <c r="E56" s="23"/>
      <c r="F56" s="478"/>
      <c r="G56" s="479"/>
      <c r="H56" s="237">
        <v>1</v>
      </c>
      <c r="I56" s="479"/>
      <c r="J56" s="237">
        <v>1</v>
      </c>
      <c r="K56" s="480"/>
      <c r="L56" s="307"/>
      <c r="M56" s="244"/>
      <c r="N56" s="316"/>
      <c r="O56" s="481"/>
    </row>
    <row r="57" spans="1:15" ht="20.100000000000001" customHeight="1" x14ac:dyDescent="0.3">
      <c r="A57" s="240" t="s">
        <v>347</v>
      </c>
      <c r="B57" s="240" t="s">
        <v>348</v>
      </c>
      <c r="C57" s="484" t="s">
        <v>349</v>
      </c>
      <c r="D57" s="485" t="s">
        <v>350</v>
      </c>
      <c r="E57" s="240" t="s">
        <v>134</v>
      </c>
      <c r="F57" s="486">
        <v>31.141999999999999</v>
      </c>
      <c r="G57" s="487">
        <v>15</v>
      </c>
      <c r="H57" s="238">
        <v>1</v>
      </c>
      <c r="I57" s="487">
        <f>G57*H57</f>
        <v>15</v>
      </c>
      <c r="J57" s="238">
        <f>(F57/I57)</f>
        <v>2.0761333333333334</v>
      </c>
      <c r="K57" s="488">
        <v>0.627</v>
      </c>
      <c r="L57" s="310">
        <f t="shared" ref="L57" si="12">J57/K57</f>
        <v>3.3112174375332271</v>
      </c>
      <c r="M57" s="311">
        <f t="shared" ref="M57" si="13">L57/30.4</f>
        <v>0.10892162623464563</v>
      </c>
      <c r="N57" s="489"/>
      <c r="O57" s="490" t="s">
        <v>351</v>
      </c>
    </row>
    <row r="58" spans="1:15" ht="20.100000000000001" customHeight="1" x14ac:dyDescent="0.3">
      <c r="A58" s="482" t="s">
        <v>15</v>
      </c>
      <c r="B58" s="396"/>
      <c r="C58" s="397"/>
      <c r="D58" s="398"/>
      <c r="E58" s="370"/>
      <c r="F58" s="475">
        <v>31.141999999999999</v>
      </c>
      <c r="G58" s="399"/>
      <c r="H58" s="375"/>
      <c r="I58" s="399"/>
      <c r="J58" s="375"/>
      <c r="K58" s="370"/>
      <c r="L58" s="376">
        <v>181</v>
      </c>
      <c r="M58" s="400">
        <f t="shared" ref="M58:M75" si="14">L58/30.4</f>
        <v>5.9539473684210531</v>
      </c>
      <c r="N58" s="483"/>
      <c r="O58" s="445"/>
    </row>
    <row r="59" spans="1:15" ht="20.100000000000001" customHeight="1" x14ac:dyDescent="0.3">
      <c r="A59" s="340" t="s">
        <v>230</v>
      </c>
      <c r="B59" s="216" t="s">
        <v>367</v>
      </c>
      <c r="C59" s="214" t="s">
        <v>366</v>
      </c>
      <c r="D59" s="215" t="s">
        <v>379</v>
      </c>
      <c r="E59" s="216" t="s">
        <v>0</v>
      </c>
      <c r="F59" s="230">
        <v>289</v>
      </c>
      <c r="G59" s="446">
        <v>2.44</v>
      </c>
      <c r="H59" s="203">
        <v>6</v>
      </c>
      <c r="I59" s="223">
        <f t="shared" ref="I59:I64" si="15">G59*H59</f>
        <v>14.64</v>
      </c>
      <c r="J59" s="203">
        <f t="shared" ref="J59:J65" si="16">(F59/I59)</f>
        <v>19.740437158469945</v>
      </c>
      <c r="K59" s="204">
        <v>0.627</v>
      </c>
      <c r="L59" s="205">
        <f t="shared" ref="L59:L62" si="17">J59/K59</f>
        <v>31.483950810956848</v>
      </c>
      <c r="M59" s="206">
        <f t="shared" si="14"/>
        <v>1.0356562766762121</v>
      </c>
      <c r="N59" s="216" t="s">
        <v>60</v>
      </c>
      <c r="O59" s="429" t="s">
        <v>389</v>
      </c>
    </row>
    <row r="60" spans="1:15" ht="20.100000000000001" customHeight="1" x14ac:dyDescent="0.3">
      <c r="A60" s="217"/>
      <c r="B60" s="220" t="s">
        <v>294</v>
      </c>
      <c r="C60" s="218" t="s">
        <v>369</v>
      </c>
      <c r="D60" s="219" t="s">
        <v>370</v>
      </c>
      <c r="E60" s="220" t="s">
        <v>0</v>
      </c>
      <c r="F60" s="232">
        <v>3427</v>
      </c>
      <c r="G60" s="447">
        <v>15.9</v>
      </c>
      <c r="H60" s="207">
        <v>9</v>
      </c>
      <c r="I60" s="224">
        <f t="shared" si="15"/>
        <v>143.1</v>
      </c>
      <c r="J60" s="207">
        <f t="shared" si="16"/>
        <v>23.948287910552061</v>
      </c>
      <c r="K60" s="208">
        <v>0.627</v>
      </c>
      <c r="L60" s="209">
        <f t="shared" ref="L60" si="18">J60/K60</f>
        <v>38.195036539955439</v>
      </c>
      <c r="M60" s="210">
        <f t="shared" ref="M60" si="19">L60/30.4</f>
        <v>1.2564156756564289</v>
      </c>
      <c r="N60" s="220" t="s">
        <v>60</v>
      </c>
      <c r="O60" s="430" t="s">
        <v>380</v>
      </c>
    </row>
    <row r="61" spans="1:15" ht="20.100000000000001" customHeight="1" x14ac:dyDescent="0.3">
      <c r="A61" s="217"/>
      <c r="B61" s="220" t="s">
        <v>13</v>
      </c>
      <c r="C61" s="218" t="s">
        <v>388</v>
      </c>
      <c r="D61" s="219" t="s">
        <v>387</v>
      </c>
      <c r="E61" s="220" t="s">
        <v>0</v>
      </c>
      <c r="F61" s="232">
        <v>189</v>
      </c>
      <c r="G61" s="424">
        <v>6.94</v>
      </c>
      <c r="H61" s="207">
        <v>1</v>
      </c>
      <c r="I61" s="224">
        <f t="shared" si="15"/>
        <v>6.94</v>
      </c>
      <c r="J61" s="207">
        <f t="shared" si="16"/>
        <v>27.233429394812678</v>
      </c>
      <c r="K61" s="208">
        <v>0.627</v>
      </c>
      <c r="L61" s="209">
        <f t="shared" si="17"/>
        <v>43.434496642444465</v>
      </c>
      <c r="M61" s="210">
        <f t="shared" si="14"/>
        <v>1.4287663369225154</v>
      </c>
      <c r="N61" s="220" t="s">
        <v>60</v>
      </c>
      <c r="O61" s="430" t="s">
        <v>309</v>
      </c>
    </row>
    <row r="62" spans="1:15" ht="20.100000000000001" customHeight="1" x14ac:dyDescent="0.3">
      <c r="A62" s="18"/>
      <c r="B62" s="16" t="s">
        <v>6</v>
      </c>
      <c r="C62" s="14" t="s">
        <v>373</v>
      </c>
      <c r="D62" s="15" t="s">
        <v>374</v>
      </c>
      <c r="E62" s="16" t="s">
        <v>0</v>
      </c>
      <c r="F62" s="231">
        <v>859</v>
      </c>
      <c r="G62" s="425">
        <v>5.9171597633136104</v>
      </c>
      <c r="H62" s="211">
        <v>5</v>
      </c>
      <c r="I62" s="225">
        <f t="shared" si="15"/>
        <v>29.585798816568051</v>
      </c>
      <c r="J62" s="211">
        <f t="shared" si="16"/>
        <v>29.034199999999995</v>
      </c>
      <c r="K62" s="480">
        <v>0.627</v>
      </c>
      <c r="L62" s="318">
        <f t="shared" si="17"/>
        <v>46.306539074960121</v>
      </c>
      <c r="M62" s="17">
        <f t="shared" si="14"/>
        <v>1.5232414169394777</v>
      </c>
      <c r="N62" s="16" t="s">
        <v>60</v>
      </c>
      <c r="O62" s="437" t="s">
        <v>308</v>
      </c>
    </row>
    <row r="63" spans="1:15" ht="20.100000000000001" customHeight="1" x14ac:dyDescent="0.3">
      <c r="A63" s="340" t="s">
        <v>229</v>
      </c>
      <c r="B63" s="216" t="s">
        <v>24</v>
      </c>
      <c r="C63" s="214" t="s">
        <v>365</v>
      </c>
      <c r="D63" s="348" t="s">
        <v>390</v>
      </c>
      <c r="E63" s="216" t="s">
        <v>0</v>
      </c>
      <c r="F63" s="230">
        <v>1110</v>
      </c>
      <c r="G63" s="446">
        <v>17</v>
      </c>
      <c r="H63" s="203">
        <v>5</v>
      </c>
      <c r="I63" s="223">
        <f t="shared" si="15"/>
        <v>85</v>
      </c>
      <c r="J63" s="203">
        <f t="shared" si="16"/>
        <v>13.058823529411764</v>
      </c>
      <c r="K63" s="204">
        <v>0.68799999999999994</v>
      </c>
      <c r="L63" s="205">
        <f>J63/K63</f>
        <v>18.980848153214776</v>
      </c>
      <c r="M63" s="206">
        <f t="shared" si="14"/>
        <v>0.62437000503995976</v>
      </c>
      <c r="N63" s="201" t="s">
        <v>60</v>
      </c>
      <c r="O63" s="434" t="s">
        <v>381</v>
      </c>
    </row>
    <row r="64" spans="1:15" ht="20.100000000000001" customHeight="1" x14ac:dyDescent="0.3">
      <c r="A64" s="217"/>
      <c r="B64" s="220" t="s">
        <v>132</v>
      </c>
      <c r="C64" s="218" t="s">
        <v>292</v>
      </c>
      <c r="D64" s="219" t="s">
        <v>358</v>
      </c>
      <c r="E64" s="220" t="s">
        <v>0</v>
      </c>
      <c r="F64" s="232">
        <v>82</v>
      </c>
      <c r="G64" s="447">
        <v>2.2222222222222223</v>
      </c>
      <c r="H64" s="207">
        <v>5</v>
      </c>
      <c r="I64" s="224">
        <f t="shared" si="15"/>
        <v>11.111111111111111</v>
      </c>
      <c r="J64" s="207">
        <f t="shared" si="16"/>
        <v>7.38</v>
      </c>
      <c r="K64" s="208">
        <v>0.68799999999999994</v>
      </c>
      <c r="L64" s="209">
        <f t="shared" ref="L64:L66" si="20">J64/K64</f>
        <v>10.726744186046512</v>
      </c>
      <c r="M64" s="210">
        <f t="shared" si="14"/>
        <v>0.35285342717258261</v>
      </c>
      <c r="N64" s="200" t="s">
        <v>60</v>
      </c>
      <c r="O64" s="436" t="s">
        <v>382</v>
      </c>
    </row>
    <row r="65" spans="1:15" ht="20.100000000000001" customHeight="1" x14ac:dyDescent="0.3">
      <c r="A65" s="217"/>
      <c r="B65" s="220" t="s">
        <v>34</v>
      </c>
      <c r="C65" s="218" t="s">
        <v>359</v>
      </c>
      <c r="D65" s="219" t="s">
        <v>360</v>
      </c>
      <c r="E65" s="220" t="s">
        <v>0</v>
      </c>
      <c r="F65" s="232">
        <v>915</v>
      </c>
      <c r="G65" s="447">
        <v>26</v>
      </c>
      <c r="H65" s="207">
        <v>5</v>
      </c>
      <c r="I65" s="224">
        <f t="shared" ref="I65:I70" si="21">G65*H65</f>
        <v>130</v>
      </c>
      <c r="J65" s="207">
        <f t="shared" si="16"/>
        <v>7.0384615384615383</v>
      </c>
      <c r="K65" s="208">
        <v>0.68799999999999994</v>
      </c>
      <c r="L65" s="209">
        <f t="shared" si="20"/>
        <v>10.230322003577818</v>
      </c>
      <c r="M65" s="210">
        <f t="shared" si="14"/>
        <v>0.33652375011769142</v>
      </c>
      <c r="N65" s="200" t="s">
        <v>60</v>
      </c>
      <c r="O65" s="430" t="s">
        <v>383</v>
      </c>
    </row>
    <row r="66" spans="1:15" ht="20.100000000000001" customHeight="1" x14ac:dyDescent="0.3">
      <c r="A66" s="217"/>
      <c r="B66" s="220" t="s">
        <v>28</v>
      </c>
      <c r="C66" s="218" t="s">
        <v>361</v>
      </c>
      <c r="D66" s="219" t="s">
        <v>362</v>
      </c>
      <c r="E66" s="220" t="s">
        <v>0</v>
      </c>
      <c r="F66" s="232">
        <v>1986</v>
      </c>
      <c r="G66" s="447">
        <v>31.25</v>
      </c>
      <c r="H66" s="207">
        <v>4</v>
      </c>
      <c r="I66" s="224">
        <f t="shared" si="21"/>
        <v>125</v>
      </c>
      <c r="J66" s="207">
        <f t="shared" ref="J66:J70" si="22">(F66/I66)</f>
        <v>15.888</v>
      </c>
      <c r="K66" s="208">
        <v>0.68799999999999994</v>
      </c>
      <c r="L66" s="209">
        <f t="shared" si="20"/>
        <v>23.093023255813954</v>
      </c>
      <c r="M66" s="210">
        <f t="shared" si="14"/>
        <v>0.7596389228886169</v>
      </c>
      <c r="N66" s="200" t="s">
        <v>60</v>
      </c>
      <c r="O66" s="436" t="s">
        <v>384</v>
      </c>
    </row>
    <row r="67" spans="1:15" ht="20.100000000000001" customHeight="1" x14ac:dyDescent="0.3">
      <c r="A67" s="217"/>
      <c r="B67" s="220" t="s">
        <v>20</v>
      </c>
      <c r="C67" s="218" t="s">
        <v>363</v>
      </c>
      <c r="D67" s="219" t="s">
        <v>368</v>
      </c>
      <c r="E67" s="220" t="s">
        <v>0</v>
      </c>
      <c r="F67" s="232">
        <v>1399</v>
      </c>
      <c r="G67" s="447">
        <v>29</v>
      </c>
      <c r="H67" s="207">
        <v>4</v>
      </c>
      <c r="I67" s="224">
        <f t="shared" si="21"/>
        <v>116</v>
      </c>
      <c r="J67" s="207">
        <f t="shared" si="22"/>
        <v>12.060344827586206</v>
      </c>
      <c r="K67" s="208">
        <v>0.68799999999999994</v>
      </c>
      <c r="L67" s="209">
        <f>J67/K67</f>
        <v>17.529570970328791</v>
      </c>
      <c r="M67" s="210">
        <f t="shared" si="14"/>
        <v>0.57663062402397347</v>
      </c>
      <c r="N67" s="220" t="s">
        <v>60</v>
      </c>
      <c r="O67" s="430" t="s">
        <v>310</v>
      </c>
    </row>
    <row r="68" spans="1:15" ht="20.100000000000001" customHeight="1" x14ac:dyDescent="0.3">
      <c r="A68" s="217"/>
      <c r="B68" s="220" t="s">
        <v>25</v>
      </c>
      <c r="C68" s="218" t="s">
        <v>372</v>
      </c>
      <c r="D68" s="219" t="s">
        <v>371</v>
      </c>
      <c r="E68" s="220" t="s">
        <v>0</v>
      </c>
      <c r="F68" s="232">
        <v>1881</v>
      </c>
      <c r="G68" s="450">
        <v>60</v>
      </c>
      <c r="H68" s="207">
        <v>5</v>
      </c>
      <c r="I68" s="224">
        <f t="shared" si="21"/>
        <v>300</v>
      </c>
      <c r="J68" s="207">
        <f t="shared" si="22"/>
        <v>6.27</v>
      </c>
      <c r="K68" s="208">
        <v>0.68799999999999994</v>
      </c>
      <c r="L68" s="209">
        <f>J68/K68</f>
        <v>9.1133720930232567</v>
      </c>
      <c r="M68" s="210">
        <f t="shared" si="14"/>
        <v>0.29978197674418611</v>
      </c>
      <c r="N68" s="200" t="s">
        <v>60</v>
      </c>
      <c r="O68" s="436" t="s">
        <v>311</v>
      </c>
    </row>
    <row r="69" spans="1:15" ht="20.100000000000001" customHeight="1" x14ac:dyDescent="0.3">
      <c r="A69" s="217"/>
      <c r="B69" s="220" t="s">
        <v>293</v>
      </c>
      <c r="C69" s="218" t="s">
        <v>377</v>
      </c>
      <c r="D69" s="219" t="s">
        <v>378</v>
      </c>
      <c r="E69" s="220" t="s">
        <v>0</v>
      </c>
      <c r="F69" s="232">
        <v>1271</v>
      </c>
      <c r="G69" s="491">
        <v>18.518518518518515</v>
      </c>
      <c r="H69" s="207">
        <v>5</v>
      </c>
      <c r="I69" s="224">
        <f t="shared" si="21"/>
        <v>92.592592592592581</v>
      </c>
      <c r="J69" s="207">
        <f t="shared" si="22"/>
        <v>13.726800000000003</v>
      </c>
      <c r="K69" s="208">
        <v>0.68799999999999994</v>
      </c>
      <c r="L69" s="209">
        <f>J69/K69</f>
        <v>19.951744186046518</v>
      </c>
      <c r="M69" s="210">
        <f t="shared" si="14"/>
        <v>0.65630737454100396</v>
      </c>
      <c r="N69" s="200" t="s">
        <v>60</v>
      </c>
      <c r="O69" s="438" t="s">
        <v>385</v>
      </c>
    </row>
    <row r="70" spans="1:15" ht="20.100000000000001" customHeight="1" x14ac:dyDescent="0.3">
      <c r="A70" s="217"/>
      <c r="B70" s="220" t="s">
        <v>35</v>
      </c>
      <c r="C70" s="218" t="s">
        <v>375</v>
      </c>
      <c r="D70" s="219" t="s">
        <v>376</v>
      </c>
      <c r="E70" s="220" t="s">
        <v>0</v>
      </c>
      <c r="F70" s="232">
        <v>2739</v>
      </c>
      <c r="G70" s="424">
        <v>583.33333333333337</v>
      </c>
      <c r="H70" s="207">
        <v>1</v>
      </c>
      <c r="I70" s="224">
        <f t="shared" si="21"/>
        <v>583.33333333333337</v>
      </c>
      <c r="J70" s="207">
        <f t="shared" si="22"/>
        <v>4.6954285714285708</v>
      </c>
      <c r="K70" s="208">
        <v>0.68799999999999994</v>
      </c>
      <c r="L70" s="209">
        <f>J70/K70</f>
        <v>6.8247508305647839</v>
      </c>
      <c r="M70" s="210">
        <f t="shared" si="14"/>
        <v>0.22449838258436791</v>
      </c>
      <c r="N70" s="200" t="s">
        <v>60</v>
      </c>
      <c r="O70" s="436" t="s">
        <v>386</v>
      </c>
    </row>
    <row r="71" spans="1:15" ht="20.100000000000001" customHeight="1" x14ac:dyDescent="0.3">
      <c r="A71" s="388" t="s">
        <v>161</v>
      </c>
      <c r="B71" s="401"/>
      <c r="C71" s="402"/>
      <c r="D71" s="390"/>
      <c r="E71" s="391"/>
      <c r="F71" s="392"/>
      <c r="G71" s="393"/>
      <c r="H71" s="394"/>
      <c r="I71" s="393"/>
      <c r="J71" s="394"/>
      <c r="K71" s="382"/>
      <c r="L71" s="395"/>
      <c r="M71" s="403">
        <f t="shared" si="14"/>
        <v>0</v>
      </c>
      <c r="N71" s="404" t="s">
        <v>60</v>
      </c>
      <c r="O71" s="439"/>
    </row>
    <row r="72" spans="1:15" ht="20.100000000000001" customHeight="1" x14ac:dyDescent="0.3">
      <c r="A72" s="340" t="s">
        <v>123</v>
      </c>
      <c r="B72" s="216" t="s">
        <v>31</v>
      </c>
      <c r="C72" s="214"/>
      <c r="D72" s="215"/>
      <c r="E72" s="216" t="s">
        <v>0</v>
      </c>
      <c r="F72" s="230"/>
      <c r="G72" s="223"/>
      <c r="H72" s="203"/>
      <c r="I72" s="223"/>
      <c r="J72" s="203"/>
      <c r="K72" s="341"/>
      <c r="L72" s="205"/>
      <c r="M72" s="206">
        <f t="shared" si="14"/>
        <v>0</v>
      </c>
      <c r="N72" s="206" t="s">
        <v>60</v>
      </c>
      <c r="O72" s="432"/>
    </row>
    <row r="73" spans="1:15" ht="20.100000000000001" customHeight="1" x14ac:dyDescent="0.3">
      <c r="A73" s="217"/>
      <c r="B73" s="220" t="s">
        <v>21</v>
      </c>
      <c r="D73" s="219"/>
      <c r="E73" s="220" t="s">
        <v>0</v>
      </c>
      <c r="F73" s="232"/>
      <c r="G73" s="224"/>
      <c r="H73" s="207"/>
      <c r="I73" s="224"/>
      <c r="J73" s="207"/>
      <c r="K73" s="208"/>
      <c r="L73" s="209"/>
      <c r="M73" s="210">
        <f t="shared" si="14"/>
        <v>0</v>
      </c>
      <c r="N73" s="210" t="s">
        <v>60</v>
      </c>
      <c r="O73" s="433"/>
    </row>
    <row r="74" spans="1:15" ht="20.100000000000001" customHeight="1" x14ac:dyDescent="0.3">
      <c r="A74" s="217"/>
      <c r="B74" s="220" t="s">
        <v>33</v>
      </c>
      <c r="C74" s="218"/>
      <c r="D74" s="219"/>
      <c r="E74" s="220" t="s">
        <v>0</v>
      </c>
      <c r="F74" s="232"/>
      <c r="G74" s="224"/>
      <c r="H74" s="207"/>
      <c r="I74" s="224"/>
      <c r="J74" s="207"/>
      <c r="K74" s="208"/>
      <c r="L74" s="209"/>
      <c r="M74" s="210">
        <f t="shared" si="14"/>
        <v>0</v>
      </c>
      <c r="N74" s="210" t="s">
        <v>60</v>
      </c>
      <c r="O74" s="433"/>
    </row>
    <row r="75" spans="1:15" ht="20.100000000000001" customHeight="1" x14ac:dyDescent="0.3">
      <c r="A75" s="217"/>
      <c r="B75" s="220" t="s">
        <v>18</v>
      </c>
      <c r="C75" s="218"/>
      <c r="D75" s="219"/>
      <c r="E75" s="220" t="s">
        <v>0</v>
      </c>
      <c r="F75" s="232"/>
      <c r="G75" s="224"/>
      <c r="H75" s="207"/>
      <c r="I75" s="224"/>
      <c r="J75" s="207"/>
      <c r="K75" s="208"/>
      <c r="L75" s="209"/>
      <c r="M75" s="210">
        <f t="shared" si="14"/>
        <v>0</v>
      </c>
      <c r="N75" s="210" t="s">
        <v>60</v>
      </c>
      <c r="O75" s="433"/>
    </row>
    <row r="76" spans="1:15" ht="20.100000000000001" customHeight="1" x14ac:dyDescent="0.3">
      <c r="A76" s="217"/>
      <c r="B76" s="16" t="s">
        <v>154</v>
      </c>
      <c r="C76" s="15" t="s">
        <v>86</v>
      </c>
      <c r="D76" s="15"/>
      <c r="E76" s="16" t="s">
        <v>136</v>
      </c>
      <c r="F76" s="231"/>
      <c r="G76" s="225"/>
      <c r="H76" s="211"/>
      <c r="I76" s="225"/>
      <c r="J76" s="211"/>
      <c r="K76" s="208"/>
      <c r="L76" s="318"/>
      <c r="M76" s="17">
        <f>L76/30.4</f>
        <v>0</v>
      </c>
      <c r="N76" s="17" t="s">
        <v>60</v>
      </c>
      <c r="O76" s="440"/>
    </row>
    <row r="77" spans="1:15" ht="20.100000000000001" customHeight="1" x14ac:dyDescent="0.3">
      <c r="A77" s="388" t="s">
        <v>238</v>
      </c>
      <c r="B77" s="405"/>
      <c r="C77" s="389"/>
      <c r="D77" s="381"/>
      <c r="E77" s="382"/>
      <c r="F77" s="406"/>
      <c r="G77" s="384"/>
      <c r="H77" s="385"/>
      <c r="I77" s="384"/>
      <c r="J77" s="385"/>
      <c r="K77" s="382"/>
      <c r="L77" s="386"/>
      <c r="M77" s="377">
        <f>L77/30</f>
        <v>0</v>
      </c>
      <c r="N77" s="407" t="s">
        <v>60</v>
      </c>
      <c r="O77" s="441"/>
    </row>
    <row r="78" spans="1:15" ht="20.100000000000001" customHeight="1" x14ac:dyDescent="0.3">
      <c r="A78" s="217"/>
      <c r="B78" s="304" t="s">
        <v>241</v>
      </c>
      <c r="C78" s="199" t="s">
        <v>248</v>
      </c>
      <c r="D78" s="199" t="s">
        <v>250</v>
      </c>
      <c r="E78" s="217" t="s">
        <v>249</v>
      </c>
      <c r="F78" s="308"/>
      <c r="G78" s="312"/>
      <c r="H78" s="313"/>
      <c r="I78" s="312"/>
      <c r="J78" s="313"/>
      <c r="K78" s="204"/>
      <c r="L78" s="305"/>
      <c r="M78" s="243">
        <f>L78/30.4</f>
        <v>0</v>
      </c>
      <c r="N78" s="243" t="s">
        <v>60</v>
      </c>
      <c r="O78" s="442"/>
    </row>
    <row r="79" spans="1:15" ht="20.100000000000001" customHeight="1" x14ac:dyDescent="0.3">
      <c r="A79" s="217"/>
      <c r="B79" s="304" t="s">
        <v>243</v>
      </c>
      <c r="C79" s="199" t="s">
        <v>244</v>
      </c>
      <c r="D79" s="199" t="s">
        <v>245</v>
      </c>
      <c r="E79" s="217" t="s">
        <v>246</v>
      </c>
      <c r="F79" s="308"/>
      <c r="G79" s="312"/>
      <c r="H79" s="313"/>
      <c r="I79" s="312"/>
      <c r="J79" s="313"/>
      <c r="K79" s="208"/>
      <c r="L79" s="305"/>
      <c r="M79" s="243">
        <f>L79/30.4</f>
        <v>0</v>
      </c>
      <c r="N79" s="243" t="s">
        <v>60</v>
      </c>
      <c r="O79" s="442"/>
    </row>
    <row r="80" spans="1:15" ht="20.100000000000001" customHeight="1" x14ac:dyDescent="0.3">
      <c r="A80" s="217"/>
      <c r="B80" s="304" t="s">
        <v>7</v>
      </c>
      <c r="C80" s="199" t="s">
        <v>242</v>
      </c>
      <c r="D80" s="199"/>
      <c r="E80" s="304" t="s">
        <v>0</v>
      </c>
      <c r="F80" s="308"/>
      <c r="G80" s="312"/>
      <c r="H80" s="313"/>
      <c r="I80" s="312"/>
      <c r="J80" s="313"/>
      <c r="K80" s="208"/>
      <c r="L80" s="305"/>
      <c r="M80" s="243">
        <f>L80/30.4</f>
        <v>0</v>
      </c>
      <c r="N80" s="243" t="s">
        <v>60</v>
      </c>
      <c r="O80" s="442"/>
    </row>
    <row r="81" spans="1:15" ht="20.100000000000001" customHeight="1" x14ac:dyDescent="0.3">
      <c r="A81" s="18"/>
      <c r="B81" s="220" t="s">
        <v>42</v>
      </c>
      <c r="C81" s="219" t="s">
        <v>247</v>
      </c>
      <c r="D81" s="219"/>
      <c r="E81" s="23" t="s">
        <v>0</v>
      </c>
      <c r="F81" s="232"/>
      <c r="G81" s="312"/>
      <c r="H81" s="313"/>
      <c r="I81" s="312"/>
      <c r="J81" s="313"/>
      <c r="K81" s="212"/>
      <c r="L81" s="305"/>
      <c r="M81" s="243">
        <f>L81/30.4</f>
        <v>0</v>
      </c>
      <c r="N81" s="243" t="s">
        <v>60</v>
      </c>
      <c r="O81" s="442"/>
    </row>
    <row r="82" spans="1:15" ht="20.100000000000001" customHeight="1" x14ac:dyDescent="0.3">
      <c r="A82" s="408" t="s">
        <v>48</v>
      </c>
      <c r="B82" s="409"/>
      <c r="C82" s="410"/>
      <c r="D82" s="411"/>
      <c r="E82" s="387"/>
      <c r="F82" s="406"/>
      <c r="G82" s="384"/>
      <c r="H82" s="385"/>
      <c r="I82" s="384"/>
      <c r="J82" s="412"/>
      <c r="K82" s="387"/>
      <c r="L82" s="395">
        <v>30</v>
      </c>
      <c r="M82" s="377">
        <f>L82/30</f>
        <v>1</v>
      </c>
      <c r="N82" s="387"/>
      <c r="O82" s="431"/>
    </row>
    <row r="83" spans="1:15" ht="20.100000000000001" customHeight="1" x14ac:dyDescent="0.3">
      <c r="A83" s="342" t="s">
        <v>32</v>
      </c>
      <c r="B83" s="343"/>
      <c r="C83" s="339" t="s">
        <v>251</v>
      </c>
      <c r="D83" s="344" t="s">
        <v>167</v>
      </c>
      <c r="E83" s="240"/>
      <c r="F83" s="309"/>
      <c r="G83" s="345"/>
      <c r="H83" s="238"/>
      <c r="I83" s="345"/>
      <c r="J83" s="238"/>
      <c r="K83" s="240"/>
      <c r="L83" s="310">
        <v>30</v>
      </c>
      <c r="M83" s="311">
        <f>L83/30</f>
        <v>1</v>
      </c>
      <c r="N83" s="240"/>
      <c r="O83" s="443"/>
    </row>
    <row r="84" spans="1:15" ht="20.100000000000001" customHeight="1" thickBot="1" x14ac:dyDescent="0.35">
      <c r="F84" s="346"/>
      <c r="O84" s="1"/>
    </row>
    <row r="85" spans="1:15" s="347" customFormat="1" ht="24.95" customHeight="1" thickBot="1" x14ac:dyDescent="0.35">
      <c r="A85" s="413" t="s">
        <v>26</v>
      </c>
      <c r="B85" s="414"/>
      <c r="C85" s="415"/>
      <c r="D85" s="416"/>
      <c r="E85" s="417"/>
      <c r="F85" s="418"/>
      <c r="G85" s="419"/>
      <c r="H85" s="420"/>
      <c r="I85" s="419"/>
      <c r="J85" s="421"/>
      <c r="K85" s="417"/>
      <c r="L85" s="448">
        <f>L5+L9+L23+L58+L71+L77+L82</f>
        <v>618.85907761715328</v>
      </c>
      <c r="M85" s="422">
        <f>M5+M9+M23+M58+M71+M77+M82</f>
        <v>20.390101237406359</v>
      </c>
      <c r="N85" s="423"/>
      <c r="O85" s="426"/>
    </row>
  </sheetData>
  <autoFilter ref="A5:N85" xr:uid="{00000000-0009-0000-0000-000000000000}"/>
  <mergeCells count="6">
    <mergeCell ref="D2:M2"/>
    <mergeCell ref="L3:M3"/>
    <mergeCell ref="B6:C6"/>
    <mergeCell ref="A4:B4"/>
    <mergeCell ref="A25:A26"/>
    <mergeCell ref="B21:B22"/>
  </mergeCells>
  <phoneticPr fontId="26" type="noConversion"/>
  <printOptions horizontalCentered="1"/>
  <pageMargins left="0.23597222566604614" right="0.23597222566604614" top="0.74777776002883911" bottom="0.25" header="0.31486111879348755" footer="0"/>
  <pageSetup paperSize="8" scale="6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D4959-36AF-47E8-B8FB-48A29E594C55}">
  <sheetPr>
    <pageSetUpPr fitToPage="1"/>
  </sheetPr>
  <dimension ref="A1:S86"/>
  <sheetViews>
    <sheetView topLeftCell="A40" zoomScaleNormal="100" workbookViewId="0">
      <selection activeCell="O57" sqref="O57"/>
    </sheetView>
  </sheetViews>
  <sheetFormatPr defaultColWidth="10.625" defaultRowHeight="20.100000000000001" customHeight="1" x14ac:dyDescent="0.3"/>
  <cols>
    <col min="1" max="1" width="10.625" style="1"/>
    <col min="2" max="2" width="13.375" style="1" customWidth="1"/>
    <col min="3" max="3" width="27.25" style="6" customWidth="1"/>
    <col min="4" max="4" width="40.625" style="1" hidden="1" customWidth="1"/>
    <col min="5" max="5" width="6.625" style="1" customWidth="1"/>
    <col min="6" max="6" width="10.625" style="5" customWidth="1"/>
    <col min="7" max="7" width="9.625" style="3" customWidth="1"/>
    <col min="8" max="8" width="7.625" style="4" customWidth="1"/>
    <col min="9" max="9" width="9.625" style="3" customWidth="1"/>
    <col min="10" max="10" width="9.625" style="4" customWidth="1"/>
    <col min="11" max="11" width="9.625" style="1" customWidth="1"/>
    <col min="12" max="12" width="11.375" style="1" customWidth="1"/>
    <col min="13" max="13" width="9.625" style="3" customWidth="1"/>
    <col min="14" max="14" width="15.625" style="2" customWidth="1"/>
    <col min="15" max="15" width="34.5" style="2" customWidth="1"/>
    <col min="16" max="16384" width="10.625" style="1"/>
  </cols>
  <sheetData>
    <row r="1" spans="1:19" ht="30" customHeight="1" thickBot="1" x14ac:dyDescent="0.35">
      <c r="A1" s="13" t="s">
        <v>101</v>
      </c>
      <c r="B1" s="7"/>
    </row>
    <row r="2" spans="1:19" ht="30" customHeight="1" thickBot="1" x14ac:dyDescent="0.35">
      <c r="A2" s="202" t="s">
        <v>67</v>
      </c>
      <c r="B2" s="202" t="s">
        <v>318</v>
      </c>
      <c r="D2" s="599" t="s">
        <v>408</v>
      </c>
      <c r="E2" s="600"/>
      <c r="F2" s="600"/>
      <c r="G2" s="600"/>
      <c r="H2" s="600"/>
      <c r="I2" s="600"/>
      <c r="J2" s="600"/>
      <c r="K2" s="600"/>
      <c r="L2" s="600"/>
      <c r="M2" s="601"/>
      <c r="N2" s="239"/>
      <c r="O2" s="239" t="s">
        <v>320</v>
      </c>
    </row>
    <row r="3" spans="1:19" s="7" customFormat="1" ht="39.950000000000003" customHeight="1" thickBot="1" x14ac:dyDescent="0.35">
      <c r="A3" s="8" t="s">
        <v>127</v>
      </c>
      <c r="B3" s="8" t="s">
        <v>133</v>
      </c>
      <c r="C3" s="8" t="s">
        <v>131</v>
      </c>
      <c r="D3" s="9" t="s">
        <v>103</v>
      </c>
      <c r="E3" s="9" t="s">
        <v>2</v>
      </c>
      <c r="F3" s="12" t="s">
        <v>237</v>
      </c>
      <c r="G3" s="11" t="s">
        <v>255</v>
      </c>
      <c r="H3" s="10" t="s">
        <v>129</v>
      </c>
      <c r="I3" s="11" t="s">
        <v>19</v>
      </c>
      <c r="J3" s="10" t="s">
        <v>104</v>
      </c>
      <c r="K3" s="9" t="s">
        <v>149</v>
      </c>
      <c r="L3" s="602" t="s">
        <v>81</v>
      </c>
      <c r="M3" s="603"/>
      <c r="N3" s="8" t="s">
        <v>137</v>
      </c>
      <c r="O3" s="8" t="s">
        <v>302</v>
      </c>
    </row>
    <row r="4" spans="1:19" s="347" customFormat="1" ht="24.95" customHeight="1" thickTop="1" thickBot="1" x14ac:dyDescent="0.35">
      <c r="A4" s="606" t="s">
        <v>66</v>
      </c>
      <c r="B4" s="607"/>
      <c r="C4" s="415"/>
      <c r="D4" s="416"/>
      <c r="E4" s="417"/>
      <c r="F4" s="418"/>
      <c r="G4" s="419"/>
      <c r="H4" s="420"/>
      <c r="I4" s="419"/>
      <c r="J4" s="421"/>
      <c r="K4" s="417"/>
      <c r="L4" s="449">
        <f>L85</f>
        <v>549.32180876612779</v>
      </c>
      <c r="M4" s="422">
        <f>M85</f>
        <v>18.069796340991047</v>
      </c>
      <c r="N4" s="423"/>
      <c r="O4" s="426"/>
    </row>
    <row r="5" spans="1:19" ht="20.100000000000001" customHeight="1" x14ac:dyDescent="0.3">
      <c r="A5" s="369" t="s">
        <v>14</v>
      </c>
      <c r="B5" s="370"/>
      <c r="C5" s="371"/>
      <c r="D5" s="370"/>
      <c r="E5" s="370"/>
      <c r="F5" s="372"/>
      <c r="G5" s="373"/>
      <c r="H5" s="374"/>
      <c r="I5" s="373"/>
      <c r="J5" s="375"/>
      <c r="K5" s="370"/>
      <c r="L5" s="376">
        <v>45</v>
      </c>
      <c r="M5" s="377">
        <f>L5/30</f>
        <v>1.5</v>
      </c>
      <c r="N5" s="378"/>
      <c r="O5" s="427"/>
      <c r="Q5" s="370"/>
      <c r="R5" s="376">
        <v>45</v>
      </c>
      <c r="S5" s="377">
        <v>1.5</v>
      </c>
    </row>
    <row r="6" spans="1:19" ht="20.100000000000001" customHeight="1" x14ac:dyDescent="0.3">
      <c r="A6" s="334" t="s">
        <v>11</v>
      </c>
      <c r="B6" s="604" t="s">
        <v>166</v>
      </c>
      <c r="C6" s="605"/>
      <c r="D6" s="233" t="s">
        <v>222</v>
      </c>
      <c r="E6" s="234" t="s">
        <v>136</v>
      </c>
      <c r="F6" s="235"/>
      <c r="G6" s="452"/>
      <c r="H6" s="227"/>
      <c r="I6" s="226"/>
      <c r="J6" s="227"/>
      <c r="K6" s="236"/>
      <c r="L6" s="228">
        <v>45</v>
      </c>
      <c r="M6" s="229">
        <f>L6/30</f>
        <v>1.5</v>
      </c>
      <c r="N6" s="213"/>
      <c r="O6" s="428"/>
      <c r="Q6" s="236"/>
      <c r="R6" s="228">
        <v>45</v>
      </c>
      <c r="S6" s="229">
        <v>1.5</v>
      </c>
    </row>
    <row r="7" spans="1:19" ht="20.100000000000001" customHeight="1" x14ac:dyDescent="0.3">
      <c r="A7" s="335" t="s">
        <v>17</v>
      </c>
      <c r="B7" s="335" t="s">
        <v>17</v>
      </c>
      <c r="C7" s="22" t="s">
        <v>397</v>
      </c>
      <c r="D7" s="336" t="s">
        <v>398</v>
      </c>
      <c r="E7" s="304" t="s">
        <v>0</v>
      </c>
      <c r="F7" s="317">
        <v>558</v>
      </c>
      <c r="G7" s="223">
        <v>2.7</v>
      </c>
      <c r="H7" s="203">
        <v>1</v>
      </c>
      <c r="I7" s="223">
        <f>G7*H7</f>
        <v>2.7</v>
      </c>
      <c r="J7" s="203">
        <f>(F7/I7)</f>
        <v>206.66666666666666</v>
      </c>
      <c r="K7" s="241">
        <v>0.68200000000000005</v>
      </c>
      <c r="L7" s="205">
        <f>J7/K7</f>
        <v>303.030303030303</v>
      </c>
      <c r="M7" s="206">
        <f>L7/30</f>
        <v>10.1010101010101</v>
      </c>
      <c r="N7" s="216"/>
      <c r="O7" s="429"/>
      <c r="Q7" s="241">
        <v>0.68799999999999994</v>
      </c>
      <c r="R7" s="205">
        <v>300.38759689922483</v>
      </c>
      <c r="S7" s="206">
        <v>10.012919896640827</v>
      </c>
    </row>
    <row r="8" spans="1:19" ht="20.100000000000001" customHeight="1" x14ac:dyDescent="0.3">
      <c r="A8" s="337"/>
      <c r="B8" s="337"/>
      <c r="C8" s="218" t="s">
        <v>322</v>
      </c>
      <c r="D8" s="338" t="s">
        <v>323</v>
      </c>
      <c r="E8" s="220" t="s">
        <v>1</v>
      </c>
      <c r="F8" s="221">
        <v>295</v>
      </c>
      <c r="G8" s="224">
        <v>28</v>
      </c>
      <c r="H8" s="207">
        <v>1</v>
      </c>
      <c r="I8" s="224">
        <f>G8*H8</f>
        <v>28</v>
      </c>
      <c r="J8" s="211">
        <f>(F8/I8)</f>
        <v>10.535714285714286</v>
      </c>
      <c r="K8" s="241">
        <v>0.68200000000000005</v>
      </c>
      <c r="L8" s="209">
        <f>J8/K8</f>
        <v>15.448261416003351</v>
      </c>
      <c r="M8" s="210">
        <f>L8/30</f>
        <v>0.51494204720011172</v>
      </c>
      <c r="N8" s="220"/>
      <c r="O8" s="430"/>
      <c r="Q8" s="242">
        <v>0.68799999999999994</v>
      </c>
      <c r="R8" s="209">
        <v>15.313538205980068</v>
      </c>
      <c r="S8" s="210">
        <v>0.51045127353266895</v>
      </c>
    </row>
    <row r="9" spans="1:19" ht="20.100000000000001" customHeight="1" x14ac:dyDescent="0.3">
      <c r="A9" s="379" t="s">
        <v>240</v>
      </c>
      <c r="B9" s="380"/>
      <c r="C9" s="379"/>
      <c r="D9" s="381"/>
      <c r="E9" s="382"/>
      <c r="F9" s="383"/>
      <c r="G9" s="412"/>
      <c r="H9" s="385"/>
      <c r="I9" s="384"/>
      <c r="J9" s="385"/>
      <c r="K9" s="382"/>
      <c r="L9" s="386">
        <f>L10+L15+L16+L17+L18+L19+L21+L22</f>
        <v>144.08261567086885</v>
      </c>
      <c r="M9" s="377">
        <f t="shared" ref="M9:M53" si="0">L9/30.4</f>
        <v>4.7395597260154227</v>
      </c>
      <c r="N9" s="387"/>
      <c r="O9" s="431"/>
      <c r="Q9" s="382"/>
      <c r="R9" s="386">
        <v>143.34933704583224</v>
      </c>
      <c r="S9" s="377">
        <v>4.7154387186129032</v>
      </c>
    </row>
    <row r="10" spans="1:19" ht="20.100000000000001" customHeight="1" x14ac:dyDescent="0.3">
      <c r="A10" s="213" t="s">
        <v>321</v>
      </c>
      <c r="B10" s="213" t="s">
        <v>321</v>
      </c>
      <c r="C10" s="214" t="s">
        <v>331</v>
      </c>
      <c r="D10" s="348" t="s">
        <v>334</v>
      </c>
      <c r="E10" s="216" t="s">
        <v>70</v>
      </c>
      <c r="F10" s="314">
        <v>46</v>
      </c>
      <c r="G10" s="453">
        <f>5.9*8</f>
        <v>47.2</v>
      </c>
      <c r="H10" s="315">
        <v>1</v>
      </c>
      <c r="I10" s="223">
        <f t="shared" ref="I10:I22" si="1">G10*H10</f>
        <v>47.2</v>
      </c>
      <c r="J10" s="203">
        <f t="shared" ref="J10:J22" si="2">(F10/I10)</f>
        <v>0.97457627118644063</v>
      </c>
      <c r="K10" s="241">
        <v>0.68200000000000005</v>
      </c>
      <c r="L10" s="205">
        <v>60</v>
      </c>
      <c r="M10" s="206">
        <f t="shared" si="0"/>
        <v>1.9736842105263159</v>
      </c>
      <c r="N10" s="206"/>
      <c r="O10" s="432" t="s">
        <v>353</v>
      </c>
      <c r="P10" s="592">
        <f>L10*K10</f>
        <v>40.92</v>
      </c>
      <c r="Q10" s="241">
        <v>0.68799999999999994</v>
      </c>
      <c r="R10" s="205">
        <v>60</v>
      </c>
      <c r="S10" s="206">
        <v>1.9736842105263159</v>
      </c>
    </row>
    <row r="11" spans="1:19" ht="20.100000000000001" customHeight="1" x14ac:dyDescent="0.3">
      <c r="A11" s="217"/>
      <c r="B11" s="217"/>
      <c r="C11" s="218" t="s">
        <v>332</v>
      </c>
      <c r="D11" s="338" t="s">
        <v>334</v>
      </c>
      <c r="E11" s="220" t="s">
        <v>70</v>
      </c>
      <c r="F11" s="458">
        <v>45</v>
      </c>
      <c r="G11" s="454">
        <f>3.3*8</f>
        <v>26.4</v>
      </c>
      <c r="H11" s="469">
        <v>1</v>
      </c>
      <c r="I11" s="224">
        <f t="shared" si="1"/>
        <v>26.4</v>
      </c>
      <c r="J11" s="207">
        <f t="shared" si="2"/>
        <v>1.7045454545454546</v>
      </c>
      <c r="K11" s="459">
        <v>0.68200000000000005</v>
      </c>
      <c r="L11" s="209"/>
      <c r="M11" s="210"/>
      <c r="N11" s="210"/>
      <c r="O11" s="442" t="s">
        <v>353</v>
      </c>
      <c r="Q11" s="459">
        <v>0.68799999999999994</v>
      </c>
      <c r="R11" s="209"/>
      <c r="S11" s="210"/>
    </row>
    <row r="12" spans="1:19" ht="20.100000000000001" customHeight="1" x14ac:dyDescent="0.3">
      <c r="A12" s="217"/>
      <c r="B12" s="217"/>
      <c r="C12" s="218" t="s">
        <v>333</v>
      </c>
      <c r="D12" s="338" t="s">
        <v>335</v>
      </c>
      <c r="E12" s="220" t="s">
        <v>70</v>
      </c>
      <c r="F12" s="458">
        <v>145</v>
      </c>
      <c r="G12" s="454">
        <f>16*8</f>
        <v>128</v>
      </c>
      <c r="H12" s="469">
        <v>1</v>
      </c>
      <c r="I12" s="224">
        <f t="shared" si="1"/>
        <v>128</v>
      </c>
      <c r="J12" s="207">
        <f t="shared" si="2"/>
        <v>1.1328125</v>
      </c>
      <c r="K12" s="459">
        <v>0.68200000000000005</v>
      </c>
      <c r="L12" s="209"/>
      <c r="M12" s="210"/>
      <c r="N12" s="210"/>
      <c r="O12" s="442" t="s">
        <v>354</v>
      </c>
      <c r="Q12" s="459">
        <v>0.68799999999999994</v>
      </c>
      <c r="R12" s="209"/>
      <c r="S12" s="210"/>
    </row>
    <row r="13" spans="1:19" ht="20.100000000000001" customHeight="1" x14ac:dyDescent="0.3">
      <c r="A13" s="217"/>
      <c r="B13" s="217"/>
      <c r="C13" s="218" t="s">
        <v>89</v>
      </c>
      <c r="D13" s="338" t="s">
        <v>330</v>
      </c>
      <c r="E13" s="220" t="s">
        <v>70</v>
      </c>
      <c r="F13" s="458">
        <v>603</v>
      </c>
      <c r="G13" s="454">
        <v>560</v>
      </c>
      <c r="H13" s="469">
        <v>1</v>
      </c>
      <c r="I13" s="224">
        <f t="shared" si="1"/>
        <v>560</v>
      </c>
      <c r="J13" s="207">
        <f t="shared" si="2"/>
        <v>1.0767857142857142</v>
      </c>
      <c r="K13" s="459">
        <v>0.68200000000000005</v>
      </c>
      <c r="L13" s="209"/>
      <c r="M13" s="210"/>
      <c r="N13" s="210"/>
      <c r="O13" s="442" t="s">
        <v>303</v>
      </c>
      <c r="Q13" s="459">
        <v>0.68799999999999994</v>
      </c>
      <c r="R13" s="209"/>
      <c r="S13" s="210"/>
    </row>
    <row r="14" spans="1:19" ht="20.100000000000001" customHeight="1" x14ac:dyDescent="0.3">
      <c r="A14" s="18"/>
      <c r="B14" s="217"/>
      <c r="C14" s="476" t="s">
        <v>336</v>
      </c>
      <c r="D14" s="463" t="s">
        <v>227</v>
      </c>
      <c r="E14" s="464" t="s">
        <v>70</v>
      </c>
      <c r="F14" s="465">
        <v>431</v>
      </c>
      <c r="G14" s="466">
        <v>110</v>
      </c>
      <c r="H14" s="460">
        <v>1</v>
      </c>
      <c r="I14" s="312">
        <f t="shared" si="1"/>
        <v>110</v>
      </c>
      <c r="J14" s="467">
        <f t="shared" si="2"/>
        <v>3.918181818181818</v>
      </c>
      <c r="K14" s="468">
        <v>0.68200000000000005</v>
      </c>
      <c r="L14" s="461"/>
      <c r="M14" s="462"/>
      <c r="N14" s="243"/>
      <c r="O14" s="442" t="s">
        <v>312</v>
      </c>
      <c r="Q14" s="468">
        <v>0.68799999999999994</v>
      </c>
      <c r="R14" s="461"/>
      <c r="S14" s="462"/>
    </row>
    <row r="15" spans="1:19" ht="20.100000000000001" customHeight="1" x14ac:dyDescent="0.3">
      <c r="A15" s="217" t="s">
        <v>125</v>
      </c>
      <c r="B15" s="213" t="s">
        <v>328</v>
      </c>
      <c r="C15" s="214" t="s">
        <v>343</v>
      </c>
      <c r="D15" s="215" t="s">
        <v>338</v>
      </c>
      <c r="E15" s="216" t="s">
        <v>257</v>
      </c>
      <c r="F15" s="314">
        <v>524</v>
      </c>
      <c r="G15" s="453">
        <f>(((0.75+0.02*40)*16+3.75)*1)/1</f>
        <v>28.55</v>
      </c>
      <c r="H15" s="536">
        <v>2</v>
      </c>
      <c r="I15" s="223">
        <f t="shared" si="1"/>
        <v>57.1</v>
      </c>
      <c r="J15" s="203">
        <f t="shared" si="2"/>
        <v>9.1768826619964976</v>
      </c>
      <c r="K15" s="241">
        <v>0.68200000000000005</v>
      </c>
      <c r="L15" s="205">
        <f>J15/K15</f>
        <v>13.45583968034677</v>
      </c>
      <c r="M15" s="206">
        <f t="shared" ref="M15:M17" si="3">L15/30.4</f>
        <v>0.44262630527456481</v>
      </c>
      <c r="N15" s="206"/>
      <c r="O15" s="432" t="s">
        <v>355</v>
      </c>
      <c r="P15" s="593">
        <f>J15+J16+J17+J18+J19+J21+J22</f>
        <v>57.344343887532581</v>
      </c>
      <c r="Q15" s="241">
        <v>0.68799999999999994</v>
      </c>
      <c r="R15" s="205">
        <v>13.338492241273981</v>
      </c>
      <c r="S15" s="206">
        <v>0.43876619214717044</v>
      </c>
    </row>
    <row r="16" spans="1:19" ht="20.100000000000001" customHeight="1" x14ac:dyDescent="0.3">
      <c r="A16" s="217"/>
      <c r="B16" s="217"/>
      <c r="C16" s="471" t="s">
        <v>405</v>
      </c>
      <c r="D16" s="219" t="s">
        <v>339</v>
      </c>
      <c r="E16" s="220" t="s">
        <v>257</v>
      </c>
      <c r="F16" s="458">
        <v>43</v>
      </c>
      <c r="G16" s="454">
        <v>21.564482029598299</v>
      </c>
      <c r="H16" s="207">
        <v>1</v>
      </c>
      <c r="I16" s="224">
        <f t="shared" si="1"/>
        <v>21.564482029598299</v>
      </c>
      <c r="J16" s="207">
        <f t="shared" si="2"/>
        <v>1.9940196078431383</v>
      </c>
      <c r="K16" s="459">
        <v>0.68200000000000005</v>
      </c>
      <c r="L16" s="209">
        <f t="shared" ref="L16:L22" si="4">J16/K16</f>
        <v>2.9237824161922847</v>
      </c>
      <c r="M16" s="210">
        <f t="shared" si="3"/>
        <v>9.61770531642199E-2</v>
      </c>
      <c r="N16" s="210"/>
      <c r="O16" s="433" t="s">
        <v>313</v>
      </c>
      <c r="Q16" s="459">
        <v>0.68799999999999994</v>
      </c>
      <c r="R16" s="209">
        <v>2.8982843137254917</v>
      </c>
      <c r="S16" s="210">
        <v>9.53382997936017E-2</v>
      </c>
    </row>
    <row r="17" spans="1:19" ht="20.100000000000001" customHeight="1" x14ac:dyDescent="0.3">
      <c r="A17" s="217"/>
      <c r="B17" s="217"/>
      <c r="C17" s="471" t="s">
        <v>344</v>
      </c>
      <c r="D17" s="219" t="s">
        <v>329</v>
      </c>
      <c r="E17" s="220" t="s">
        <v>257</v>
      </c>
      <c r="F17" s="458">
        <v>235</v>
      </c>
      <c r="G17" s="454">
        <v>8.247422680412372</v>
      </c>
      <c r="H17" s="211">
        <v>2</v>
      </c>
      <c r="I17" s="225">
        <f t="shared" si="1"/>
        <v>16.494845360824744</v>
      </c>
      <c r="J17" s="211">
        <f t="shared" si="2"/>
        <v>14.246874999999999</v>
      </c>
      <c r="K17" s="242">
        <v>0.68200000000000005</v>
      </c>
      <c r="L17" s="318">
        <f t="shared" si="4"/>
        <v>20.889846041055716</v>
      </c>
      <c r="M17" s="17">
        <f t="shared" si="3"/>
        <v>0.6871659881926222</v>
      </c>
      <c r="N17" s="210"/>
      <c r="O17" s="433" t="s">
        <v>356</v>
      </c>
      <c r="Q17" s="242">
        <v>0.68799999999999994</v>
      </c>
      <c r="R17" s="318">
        <v>20.707667151162791</v>
      </c>
      <c r="S17" s="17">
        <v>0.68117326155140767</v>
      </c>
    </row>
    <row r="18" spans="1:19" ht="20.100000000000001" customHeight="1" x14ac:dyDescent="0.3">
      <c r="A18" s="217"/>
      <c r="B18" s="213" t="s">
        <v>121</v>
      </c>
      <c r="C18" s="472" t="s">
        <v>346</v>
      </c>
      <c r="D18" s="348" t="s">
        <v>391</v>
      </c>
      <c r="E18" s="216" t="s">
        <v>70</v>
      </c>
      <c r="F18" s="314">
        <f>7374*0.25</f>
        <v>1843.5</v>
      </c>
      <c r="G18" s="453">
        <v>560</v>
      </c>
      <c r="H18" s="315">
        <v>1</v>
      </c>
      <c r="I18" s="223">
        <f t="shared" si="1"/>
        <v>560</v>
      </c>
      <c r="J18" s="203">
        <f t="shared" si="2"/>
        <v>3.2919642857142857</v>
      </c>
      <c r="K18" s="241">
        <v>0.68200000000000005</v>
      </c>
      <c r="L18" s="205">
        <f t="shared" si="4"/>
        <v>4.8269271051529108</v>
      </c>
      <c r="M18" s="206">
        <f t="shared" si="0"/>
        <v>0.15878049688002996</v>
      </c>
      <c r="N18" s="206"/>
      <c r="O18" s="432" t="s">
        <v>303</v>
      </c>
      <c r="Q18" s="241">
        <v>0.68799999999999994</v>
      </c>
      <c r="R18" s="205">
        <v>4.7848318106312293</v>
      </c>
      <c r="S18" s="206">
        <v>0.15739578324444833</v>
      </c>
    </row>
    <row r="19" spans="1:19" ht="20.100000000000001" customHeight="1" x14ac:dyDescent="0.3">
      <c r="A19" s="217"/>
      <c r="B19" s="217"/>
      <c r="C19" s="471" t="s">
        <v>346</v>
      </c>
      <c r="D19" s="338" t="s">
        <v>392</v>
      </c>
      <c r="E19" s="220" t="s">
        <v>70</v>
      </c>
      <c r="F19" s="458">
        <f>7374*0.75</f>
        <v>5530.5</v>
      </c>
      <c r="G19" s="454">
        <v>288.47000000000003</v>
      </c>
      <c r="H19" s="207">
        <v>1</v>
      </c>
      <c r="I19" s="224">
        <f t="shared" si="1"/>
        <v>288.47000000000003</v>
      </c>
      <c r="J19" s="207">
        <f t="shared" si="2"/>
        <v>19.171837626096298</v>
      </c>
      <c r="K19" s="459">
        <v>0.68200000000000005</v>
      </c>
      <c r="L19" s="209">
        <f t="shared" si="4"/>
        <v>28.111198865243836</v>
      </c>
      <c r="M19" s="210">
        <f t="shared" si="0"/>
        <v>0.92471048898828412</v>
      </c>
      <c r="N19" s="210"/>
      <c r="O19" s="433" t="s">
        <v>399</v>
      </c>
      <c r="Q19" s="459">
        <v>0.68799999999999994</v>
      </c>
      <c r="R19" s="209">
        <v>27.866043061186481</v>
      </c>
      <c r="S19" s="210">
        <v>0.91664615332850274</v>
      </c>
    </row>
    <row r="20" spans="1:19" ht="20.100000000000001" customHeight="1" x14ac:dyDescent="0.3">
      <c r="A20" s="217"/>
      <c r="B20" s="18"/>
      <c r="C20" s="473" t="s">
        <v>228</v>
      </c>
      <c r="D20" s="25" t="s">
        <v>227</v>
      </c>
      <c r="E20" s="303" t="s">
        <v>70</v>
      </c>
      <c r="F20" s="306">
        <v>484</v>
      </c>
      <c r="G20" s="455">
        <v>110</v>
      </c>
      <c r="H20" s="237">
        <v>1</v>
      </c>
      <c r="I20" s="224">
        <f t="shared" si="1"/>
        <v>110</v>
      </c>
      <c r="J20" s="211">
        <f t="shared" si="2"/>
        <v>4.4000000000000004</v>
      </c>
      <c r="K20" s="242">
        <v>0.68200000000000005</v>
      </c>
      <c r="L20" s="307">
        <f t="shared" si="4"/>
        <v>6.4516129032258061</v>
      </c>
      <c r="M20" s="244">
        <f t="shared" si="0"/>
        <v>0.21222410865874364</v>
      </c>
      <c r="N20" s="210" t="s">
        <v>301</v>
      </c>
      <c r="O20" s="433" t="s">
        <v>312</v>
      </c>
      <c r="Q20" s="242">
        <v>0.68799999999999994</v>
      </c>
      <c r="R20" s="307">
        <v>6.395348837209303</v>
      </c>
      <c r="S20" s="244">
        <v>0.21037331701346393</v>
      </c>
    </row>
    <row r="21" spans="1:19" ht="20.100000000000001" customHeight="1" x14ac:dyDescent="0.3">
      <c r="A21" s="217"/>
      <c r="B21" s="610" t="s">
        <v>223</v>
      </c>
      <c r="C21" s="472" t="s">
        <v>324</v>
      </c>
      <c r="D21" s="215" t="s">
        <v>345</v>
      </c>
      <c r="E21" s="216" t="s">
        <v>257</v>
      </c>
      <c r="F21" s="230">
        <v>147</v>
      </c>
      <c r="G21" s="453">
        <f>21.5644820295983</f>
        <v>21.564482029598299</v>
      </c>
      <c r="H21" s="203">
        <v>1</v>
      </c>
      <c r="I21" s="223">
        <f t="shared" si="1"/>
        <v>21.564482029598299</v>
      </c>
      <c r="J21" s="203">
        <f t="shared" si="2"/>
        <v>6.8167647058823562</v>
      </c>
      <c r="K21" s="241">
        <v>0.68200000000000005</v>
      </c>
      <c r="L21" s="205">
        <f t="shared" si="4"/>
        <v>9.9952561669829265</v>
      </c>
      <c r="M21" s="206">
        <f t="shared" si="0"/>
        <v>0.32879132128233313</v>
      </c>
      <c r="N21" s="201"/>
      <c r="O21" s="434" t="s">
        <v>313</v>
      </c>
      <c r="Q21" s="241">
        <v>0.68799999999999994</v>
      </c>
      <c r="R21" s="205">
        <v>9.9080882352941231</v>
      </c>
      <c r="S21" s="206">
        <v>0.32592395510835931</v>
      </c>
    </row>
    <row r="22" spans="1:19" ht="20.100000000000001" customHeight="1" x14ac:dyDescent="0.3">
      <c r="A22" s="349"/>
      <c r="B22" s="611"/>
      <c r="C22" s="474" t="s">
        <v>256</v>
      </c>
      <c r="D22" s="15" t="s">
        <v>325</v>
      </c>
      <c r="E22" s="16" t="s">
        <v>257</v>
      </c>
      <c r="F22" s="231">
        <v>147</v>
      </c>
      <c r="G22" s="456">
        <v>9.2592592592592595</v>
      </c>
      <c r="H22" s="538">
        <v>6</v>
      </c>
      <c r="I22" s="224">
        <f t="shared" si="1"/>
        <v>55.555555555555557</v>
      </c>
      <c r="J22" s="211">
        <f t="shared" si="2"/>
        <v>2.6459999999999999</v>
      </c>
      <c r="K22" s="242">
        <v>0.68200000000000005</v>
      </c>
      <c r="L22" s="307">
        <f t="shared" si="4"/>
        <v>3.8797653958944278</v>
      </c>
      <c r="M22" s="244">
        <f t="shared" si="0"/>
        <v>0.12762386170705356</v>
      </c>
      <c r="N22" s="350"/>
      <c r="O22" s="435" t="s">
        <v>304</v>
      </c>
      <c r="Q22" s="242">
        <v>0.68799999999999994</v>
      </c>
      <c r="R22" s="307">
        <v>3.8459302325581399</v>
      </c>
      <c r="S22" s="244">
        <v>0.12651086291309671</v>
      </c>
    </row>
    <row r="23" spans="1:19" ht="20.100000000000001" customHeight="1" x14ac:dyDescent="0.3">
      <c r="A23" s="388" t="s">
        <v>9</v>
      </c>
      <c r="B23" s="380"/>
      <c r="C23" s="389"/>
      <c r="D23" s="390"/>
      <c r="E23" s="391"/>
      <c r="F23" s="392"/>
      <c r="G23" s="457"/>
      <c r="H23" s="394"/>
      <c r="I23" s="393"/>
      <c r="J23" s="394"/>
      <c r="K23" s="391"/>
      <c r="L23" s="386">
        <f>L24+L29+L34+L39+L44</f>
        <v>148.23919309525888</v>
      </c>
      <c r="M23" s="377">
        <f t="shared" si="0"/>
        <v>4.8762892465545686</v>
      </c>
      <c r="N23" s="377"/>
      <c r="O23" s="444"/>
      <c r="Q23" s="391"/>
      <c r="R23" s="386">
        <v>147.85144934882209</v>
      </c>
      <c r="S23" s="377">
        <v>4.863534518053358</v>
      </c>
    </row>
    <row r="24" spans="1:19" ht="20.100000000000001" customHeight="1" x14ac:dyDescent="0.3">
      <c r="A24" s="213" t="s">
        <v>8</v>
      </c>
      <c r="B24" s="213" t="s">
        <v>16</v>
      </c>
      <c r="C24" s="214" t="s">
        <v>225</v>
      </c>
      <c r="D24" s="215" t="s">
        <v>226</v>
      </c>
      <c r="E24" s="216" t="s">
        <v>70</v>
      </c>
      <c r="F24" s="230">
        <f>1210*0.06</f>
        <v>72.599999999999994</v>
      </c>
      <c r="G24" s="452">
        <v>189</v>
      </c>
      <c r="H24" s="315">
        <v>1</v>
      </c>
      <c r="I24" s="223">
        <f>G24*H24</f>
        <v>189</v>
      </c>
      <c r="J24" s="203">
        <f>(F24/I24)</f>
        <v>0.38412698412698409</v>
      </c>
      <c r="K24" s="241">
        <v>0.625</v>
      </c>
      <c r="L24" s="205">
        <f>((J24+J25+J26)/K24)+(J27/K27)+J28</f>
        <v>15.971752452014059</v>
      </c>
      <c r="M24" s="206">
        <f t="shared" si="0"/>
        <v>0.52538659381625197</v>
      </c>
      <c r="N24" s="201"/>
      <c r="O24" s="434" t="s">
        <v>306</v>
      </c>
      <c r="P24" s="593">
        <f>J24+J25+J26+J27+J28</f>
        <v>10.616698148148149</v>
      </c>
      <c r="Q24" s="204">
        <v>0.627</v>
      </c>
      <c r="R24" s="205">
        <v>15.950700739905503</v>
      </c>
      <c r="S24" s="206">
        <v>0.52469410328636523</v>
      </c>
    </row>
    <row r="25" spans="1:19" ht="19.5" customHeight="1" x14ac:dyDescent="0.3">
      <c r="A25" s="608"/>
      <c r="B25" s="217"/>
      <c r="C25" s="218" t="s">
        <v>75</v>
      </c>
      <c r="D25" s="219"/>
      <c r="E25" s="220" t="s">
        <v>134</v>
      </c>
      <c r="F25" s="222">
        <v>31.100999999999999</v>
      </c>
      <c r="G25" s="450">
        <v>4</v>
      </c>
      <c r="H25" s="537">
        <v>5</v>
      </c>
      <c r="I25" s="224">
        <f>G25*H25</f>
        <v>20</v>
      </c>
      <c r="J25" s="207">
        <f>(F25/I25)</f>
        <v>1.55505</v>
      </c>
      <c r="K25" s="459">
        <v>0.625</v>
      </c>
      <c r="L25" s="209"/>
      <c r="M25" s="210"/>
      <c r="N25" s="200"/>
      <c r="O25" s="436" t="s">
        <v>305</v>
      </c>
      <c r="Q25" s="208">
        <v>0.627</v>
      </c>
      <c r="R25" s="209"/>
      <c r="S25" s="210"/>
    </row>
    <row r="26" spans="1:19" ht="20.100000000000001" customHeight="1" x14ac:dyDescent="0.3">
      <c r="A26" s="609"/>
      <c r="B26" s="217"/>
      <c r="C26" s="218" t="s">
        <v>124</v>
      </c>
      <c r="D26" s="219" t="s">
        <v>287</v>
      </c>
      <c r="E26" s="220" t="s">
        <v>0</v>
      </c>
      <c r="F26" s="232">
        <v>611.98</v>
      </c>
      <c r="G26" s="470">
        <v>35</v>
      </c>
      <c r="H26" s="537">
        <v>8</v>
      </c>
      <c r="I26" s="224">
        <f>G26*H26</f>
        <v>280</v>
      </c>
      <c r="J26" s="207">
        <f>(F26/I26)</f>
        <v>2.1856428571428572</v>
      </c>
      <c r="K26" s="459">
        <v>0.625</v>
      </c>
      <c r="L26" s="209"/>
      <c r="M26" s="210"/>
      <c r="N26" s="200"/>
      <c r="O26" s="436" t="s">
        <v>307</v>
      </c>
      <c r="Q26" s="208">
        <v>0.627</v>
      </c>
      <c r="R26" s="209"/>
      <c r="S26" s="210"/>
    </row>
    <row r="27" spans="1:19" ht="20.100000000000001" customHeight="1" x14ac:dyDescent="0.3">
      <c r="A27" s="217"/>
      <c r="B27" s="217"/>
      <c r="C27" s="218" t="s">
        <v>72</v>
      </c>
      <c r="D27" s="219" t="s">
        <v>87</v>
      </c>
      <c r="E27" s="220" t="s">
        <v>70</v>
      </c>
      <c r="F27" s="232">
        <v>1319.93</v>
      </c>
      <c r="G27" s="454">
        <v>189</v>
      </c>
      <c r="H27" s="207">
        <v>2</v>
      </c>
      <c r="I27" s="224">
        <f>G27*H27</f>
        <v>378</v>
      </c>
      <c r="J27" s="207">
        <f>(F27/I27)</f>
        <v>3.491878306878307</v>
      </c>
      <c r="K27" s="459">
        <v>0.54800000000000004</v>
      </c>
      <c r="L27" s="209"/>
      <c r="M27" s="210"/>
      <c r="N27" s="200"/>
      <c r="O27" s="436" t="s">
        <v>306</v>
      </c>
      <c r="Q27" s="208">
        <v>0.54800000000000004</v>
      </c>
      <c r="R27" s="209"/>
      <c r="S27" s="210"/>
    </row>
    <row r="28" spans="1:19" ht="20.100000000000001" customHeight="1" x14ac:dyDescent="0.3">
      <c r="A28" s="217"/>
      <c r="B28" s="18"/>
      <c r="C28" s="14" t="s">
        <v>122</v>
      </c>
      <c r="D28" s="15"/>
      <c r="E28" s="16"/>
      <c r="F28" s="231"/>
      <c r="G28" s="456"/>
      <c r="H28" s="211"/>
      <c r="I28" s="225"/>
      <c r="J28" s="211">
        <v>3</v>
      </c>
      <c r="K28" s="242"/>
      <c r="L28" s="209"/>
      <c r="M28" s="17"/>
      <c r="N28" s="316"/>
      <c r="O28" s="435"/>
      <c r="Q28" s="212"/>
      <c r="R28" s="209"/>
      <c r="S28" s="17"/>
    </row>
    <row r="29" spans="1:19" ht="20.100000000000001" customHeight="1" x14ac:dyDescent="0.3">
      <c r="A29" s="217"/>
      <c r="B29" s="19" t="s">
        <v>317</v>
      </c>
      <c r="C29" s="214" t="s">
        <v>75</v>
      </c>
      <c r="D29" s="215"/>
      <c r="E29" s="216" t="s">
        <v>134</v>
      </c>
      <c r="F29" s="222">
        <v>75.866</v>
      </c>
      <c r="G29" s="224">
        <v>4</v>
      </c>
      <c r="H29" s="537">
        <v>5</v>
      </c>
      <c r="I29" s="223">
        <f>G29*H29</f>
        <v>20</v>
      </c>
      <c r="J29" s="203">
        <f>(F29/I29)</f>
        <v>3.7932999999999999</v>
      </c>
      <c r="K29" s="241">
        <v>0.625</v>
      </c>
      <c r="L29" s="205">
        <f>((J29+J30+J31)/K29)+(J32/K32)+J33</f>
        <v>39.691765116440735</v>
      </c>
      <c r="M29" s="206">
        <f t="shared" si="0"/>
        <v>1.3056501683039716</v>
      </c>
      <c r="N29" s="201"/>
      <c r="O29" s="434" t="s">
        <v>305</v>
      </c>
      <c r="P29" s="593">
        <f>J29+J30+J31+J32+J33</f>
        <v>24.784426190476189</v>
      </c>
      <c r="Q29" s="204">
        <v>0.627</v>
      </c>
      <c r="R29" s="205">
        <v>39.584830883889659</v>
      </c>
      <c r="S29" s="206">
        <v>1.3021325948647915</v>
      </c>
    </row>
    <row r="30" spans="1:19" ht="20.100000000000001" customHeight="1" x14ac:dyDescent="0.3">
      <c r="A30" s="217"/>
      <c r="B30" s="20"/>
      <c r="C30" s="218" t="s">
        <v>341</v>
      </c>
      <c r="D30" s="219" t="s">
        <v>88</v>
      </c>
      <c r="E30" s="220" t="s">
        <v>0</v>
      </c>
      <c r="F30" s="232">
        <f>2250.83+595.21</f>
        <v>2846.04</v>
      </c>
      <c r="G30" s="470">
        <v>35</v>
      </c>
      <c r="H30" s="537">
        <v>10</v>
      </c>
      <c r="I30" s="224">
        <f>G30*H30</f>
        <v>350</v>
      </c>
      <c r="J30" s="207">
        <f>(F30/I30)</f>
        <v>8.1315428571428576</v>
      </c>
      <c r="K30" s="459">
        <v>0.625</v>
      </c>
      <c r="L30" s="209"/>
      <c r="M30" s="210"/>
      <c r="N30" s="200"/>
      <c r="O30" s="436" t="s">
        <v>337</v>
      </c>
      <c r="Q30" s="208">
        <v>0.627</v>
      </c>
      <c r="R30" s="209"/>
      <c r="S30" s="210"/>
    </row>
    <row r="31" spans="1:19" ht="20.100000000000001" customHeight="1" x14ac:dyDescent="0.3">
      <c r="A31" s="217"/>
      <c r="B31" s="20"/>
      <c r="C31" s="218" t="s">
        <v>326</v>
      </c>
      <c r="D31" s="219" t="s">
        <v>340</v>
      </c>
      <c r="E31" s="220" t="s">
        <v>0</v>
      </c>
      <c r="F31" s="232">
        <v>1083.31</v>
      </c>
      <c r="G31" s="224">
        <v>20</v>
      </c>
      <c r="H31" s="537">
        <v>6</v>
      </c>
      <c r="I31" s="224">
        <f>G31*H31</f>
        <v>120</v>
      </c>
      <c r="J31" s="207">
        <f>(F31/I31)</f>
        <v>9.0275833333333324</v>
      </c>
      <c r="K31" s="459">
        <v>0.625</v>
      </c>
      <c r="L31" s="209"/>
      <c r="M31" s="210"/>
      <c r="N31" s="200"/>
      <c r="O31" s="436" t="s">
        <v>352</v>
      </c>
      <c r="Q31" s="208">
        <v>0.627</v>
      </c>
      <c r="R31" s="209"/>
      <c r="S31" s="210"/>
    </row>
    <row r="32" spans="1:19" ht="20.100000000000001" customHeight="1" x14ac:dyDescent="0.3">
      <c r="A32" s="217"/>
      <c r="B32" s="20"/>
      <c r="C32" s="218" t="s">
        <v>72</v>
      </c>
      <c r="D32" s="219" t="s">
        <v>87</v>
      </c>
      <c r="E32" s="220" t="s">
        <v>70</v>
      </c>
      <c r="F32" s="232">
        <v>883.58399999999995</v>
      </c>
      <c r="G32" s="224">
        <v>156</v>
      </c>
      <c r="H32" s="207">
        <v>2</v>
      </c>
      <c r="I32" s="224">
        <f>G32*H32</f>
        <v>312</v>
      </c>
      <c r="J32" s="207">
        <f>(F32/I32)</f>
        <v>2.8319999999999999</v>
      </c>
      <c r="K32" s="459">
        <v>0.54800000000000004</v>
      </c>
      <c r="L32" s="209"/>
      <c r="M32" s="210"/>
      <c r="N32" s="200"/>
      <c r="O32" s="436" t="s">
        <v>306</v>
      </c>
      <c r="Q32" s="208">
        <v>0.54800000000000004</v>
      </c>
      <c r="R32" s="209"/>
      <c r="S32" s="210"/>
    </row>
    <row r="33" spans="1:19" ht="20.100000000000001" customHeight="1" x14ac:dyDescent="0.3">
      <c r="A33" s="217"/>
      <c r="B33" s="21"/>
      <c r="C33" s="14" t="s">
        <v>122</v>
      </c>
      <c r="D33" s="15"/>
      <c r="E33" s="16"/>
      <c r="F33" s="231"/>
      <c r="G33" s="225"/>
      <c r="H33" s="211"/>
      <c r="I33" s="225"/>
      <c r="J33" s="211">
        <v>1</v>
      </c>
      <c r="K33" s="242"/>
      <c r="L33" s="318"/>
      <c r="M33" s="17"/>
      <c r="N33" s="316"/>
      <c r="O33" s="435"/>
      <c r="Q33" s="212"/>
      <c r="R33" s="318"/>
      <c r="S33" s="17"/>
    </row>
    <row r="34" spans="1:19" ht="20.100000000000001" customHeight="1" x14ac:dyDescent="0.3">
      <c r="A34" s="217"/>
      <c r="B34" s="19" t="s">
        <v>12</v>
      </c>
      <c r="C34" s="214" t="s">
        <v>75</v>
      </c>
      <c r="D34" s="215"/>
      <c r="E34" s="216" t="s">
        <v>134</v>
      </c>
      <c r="F34" s="222">
        <f>44630.9/1000</f>
        <v>44.630900000000004</v>
      </c>
      <c r="G34" s="224">
        <v>4</v>
      </c>
      <c r="H34" s="537">
        <v>5</v>
      </c>
      <c r="I34" s="223">
        <f>G34*H34</f>
        <v>20</v>
      </c>
      <c r="J34" s="203">
        <f>(F34/I34)</f>
        <v>2.2315450000000001</v>
      </c>
      <c r="K34" s="241">
        <v>0.625</v>
      </c>
      <c r="L34" s="205">
        <f>((J34+J35+J36)/K34)+(J37/K37)+J38</f>
        <v>30.410159837223606</v>
      </c>
      <c r="M34" s="206">
        <f t="shared" si="0"/>
        <v>1.0003342051718291</v>
      </c>
      <c r="N34" s="201"/>
      <c r="O34" s="434" t="s">
        <v>305</v>
      </c>
      <c r="P34" s="593">
        <f>J34+J35+J36+J37+J38</f>
        <v>19.146343534798536</v>
      </c>
      <c r="Q34" s="204">
        <v>0.627</v>
      </c>
      <c r="R34" s="205">
        <v>30.326082870260741</v>
      </c>
      <c r="S34" s="206">
        <v>0.99756851546910341</v>
      </c>
    </row>
    <row r="35" spans="1:19" ht="20.100000000000001" customHeight="1" x14ac:dyDescent="0.3">
      <c r="A35" s="217"/>
      <c r="B35" s="20"/>
      <c r="C35" s="218" t="s">
        <v>79</v>
      </c>
      <c r="D35" s="219" t="s">
        <v>88</v>
      </c>
      <c r="E35" s="220" t="s">
        <v>0</v>
      </c>
      <c r="F35" s="232">
        <v>1860.89</v>
      </c>
      <c r="G35" s="470">
        <v>35</v>
      </c>
      <c r="H35" s="537">
        <v>8</v>
      </c>
      <c r="I35" s="224">
        <f>G35*H35</f>
        <v>280</v>
      </c>
      <c r="J35" s="207">
        <f>(F35/I35)</f>
        <v>6.6460357142857145</v>
      </c>
      <c r="K35" s="459">
        <v>0.625</v>
      </c>
      <c r="L35" s="209"/>
      <c r="M35" s="210"/>
      <c r="N35" s="200"/>
      <c r="O35" s="436" t="s">
        <v>307</v>
      </c>
      <c r="Q35" s="208">
        <v>0.627</v>
      </c>
      <c r="R35" s="209"/>
      <c r="S35" s="210"/>
    </row>
    <row r="36" spans="1:19" ht="20.100000000000001" customHeight="1" x14ac:dyDescent="0.3">
      <c r="A36" s="217"/>
      <c r="B36" s="20"/>
      <c r="C36" s="218" t="s">
        <v>326</v>
      </c>
      <c r="D36" s="219" t="s">
        <v>327</v>
      </c>
      <c r="E36" s="220" t="s">
        <v>0</v>
      </c>
      <c r="F36" s="232">
        <v>911.55</v>
      </c>
      <c r="G36" s="224">
        <v>20</v>
      </c>
      <c r="H36" s="537">
        <v>6</v>
      </c>
      <c r="I36" s="224">
        <f>G36*H36</f>
        <v>120</v>
      </c>
      <c r="J36" s="207">
        <f>(F36/I36)</f>
        <v>7.5962499999999995</v>
      </c>
      <c r="K36" s="459">
        <v>0.625</v>
      </c>
      <c r="L36" s="209"/>
      <c r="M36" s="210"/>
      <c r="N36" s="200"/>
      <c r="O36" s="436" t="s">
        <v>352</v>
      </c>
      <c r="Q36" s="208">
        <v>0.627</v>
      </c>
      <c r="R36" s="209"/>
      <c r="S36" s="210"/>
    </row>
    <row r="37" spans="1:19" ht="20.100000000000001" customHeight="1" x14ac:dyDescent="0.3">
      <c r="A37" s="217"/>
      <c r="B37" s="20"/>
      <c r="C37" s="218" t="s">
        <v>72</v>
      </c>
      <c r="D37" s="219" t="s">
        <v>87</v>
      </c>
      <c r="E37" s="220" t="s">
        <v>70</v>
      </c>
      <c r="F37" s="232">
        <v>521.82399999999996</v>
      </c>
      <c r="G37" s="224">
        <v>156</v>
      </c>
      <c r="H37" s="207">
        <v>2</v>
      </c>
      <c r="I37" s="224">
        <f>G37*H37</f>
        <v>312</v>
      </c>
      <c r="J37" s="207">
        <f>(F37/I37)</f>
        <v>1.6725128205128204</v>
      </c>
      <c r="K37" s="459">
        <v>0.54800000000000004</v>
      </c>
      <c r="L37" s="209"/>
      <c r="M37" s="210"/>
      <c r="N37" s="200"/>
      <c r="O37" s="436" t="s">
        <v>306</v>
      </c>
      <c r="Q37" s="208">
        <v>0.54800000000000004</v>
      </c>
      <c r="R37" s="209"/>
      <c r="S37" s="210"/>
    </row>
    <row r="38" spans="1:19" ht="20.100000000000001" customHeight="1" x14ac:dyDescent="0.3">
      <c r="A38" s="217"/>
      <c r="B38" s="21"/>
      <c r="C38" s="14" t="s">
        <v>122</v>
      </c>
      <c r="D38" s="15"/>
      <c r="E38" s="16"/>
      <c r="F38" s="231"/>
      <c r="G38" s="225"/>
      <c r="H38" s="211"/>
      <c r="I38" s="225"/>
      <c r="J38" s="211">
        <v>1</v>
      </c>
      <c r="K38" s="242"/>
      <c r="L38" s="318"/>
      <c r="M38" s="17"/>
      <c r="N38" s="316"/>
      <c r="O38" s="435"/>
      <c r="Q38" s="212"/>
      <c r="R38" s="318"/>
      <c r="S38" s="17"/>
    </row>
    <row r="39" spans="1:19" ht="20.100000000000001" customHeight="1" x14ac:dyDescent="0.3">
      <c r="A39" s="217"/>
      <c r="B39" s="19" t="s">
        <v>10</v>
      </c>
      <c r="C39" s="214" t="s">
        <v>75</v>
      </c>
      <c r="D39" s="215"/>
      <c r="E39" s="216" t="s">
        <v>134</v>
      </c>
      <c r="F39" s="222">
        <f>40841.1/1000</f>
        <v>40.841099999999997</v>
      </c>
      <c r="G39" s="224">
        <v>4</v>
      </c>
      <c r="H39" s="537">
        <v>5</v>
      </c>
      <c r="I39" s="223">
        <f>G39*H39</f>
        <v>20</v>
      </c>
      <c r="J39" s="203">
        <f>(F39/I39)</f>
        <v>2.042055</v>
      </c>
      <c r="K39" s="241">
        <v>0.625</v>
      </c>
      <c r="L39" s="205">
        <f>((J39+J40+J41)/K39)+(J42/K42)+J43</f>
        <v>32.666197121413859</v>
      </c>
      <c r="M39" s="206">
        <f t="shared" si="0"/>
        <v>1.0745459579412453</v>
      </c>
      <c r="N39" s="201"/>
      <c r="O39" s="434" t="s">
        <v>305</v>
      </c>
      <c r="P39" s="593">
        <f>J39+J40+J41+J42+J43</f>
        <v>20.585298131868129</v>
      </c>
      <c r="Q39" s="204">
        <v>0.627</v>
      </c>
      <c r="R39" s="205">
        <v>32.57372535897747</v>
      </c>
      <c r="S39" s="206">
        <v>1.0715041236505747</v>
      </c>
    </row>
    <row r="40" spans="1:19" ht="20.100000000000001" customHeight="1" x14ac:dyDescent="0.3">
      <c r="A40" s="217"/>
      <c r="B40" s="20"/>
      <c r="C40" s="218" t="s">
        <v>79</v>
      </c>
      <c r="D40" s="219" t="s">
        <v>88</v>
      </c>
      <c r="E40" s="220" t="s">
        <v>0</v>
      </c>
      <c r="F40" s="232">
        <v>1787.0900000000001</v>
      </c>
      <c r="G40" s="470">
        <v>35</v>
      </c>
      <c r="H40" s="537">
        <v>8</v>
      </c>
      <c r="I40" s="224">
        <f>G40*H40</f>
        <v>280</v>
      </c>
      <c r="J40" s="207">
        <f>(F40/I40)</f>
        <v>6.3824642857142866</v>
      </c>
      <c r="K40" s="459">
        <v>0.625</v>
      </c>
      <c r="L40" s="209"/>
      <c r="M40" s="210"/>
      <c r="N40" s="200"/>
      <c r="O40" s="436" t="s">
        <v>307</v>
      </c>
      <c r="Q40" s="208">
        <v>0.627</v>
      </c>
      <c r="R40" s="209"/>
      <c r="S40" s="210"/>
    </row>
    <row r="41" spans="1:19" ht="20.100000000000001" customHeight="1" x14ac:dyDescent="0.3">
      <c r="A41" s="217"/>
      <c r="B41" s="20"/>
      <c r="C41" s="218" t="s">
        <v>326</v>
      </c>
      <c r="D41" s="219" t="s">
        <v>327</v>
      </c>
      <c r="E41" s="220" t="s">
        <v>0</v>
      </c>
      <c r="F41" s="232">
        <v>1163.3</v>
      </c>
      <c r="G41" s="224">
        <v>20</v>
      </c>
      <c r="H41" s="537">
        <v>6</v>
      </c>
      <c r="I41" s="224">
        <f>G41*H41</f>
        <v>120</v>
      </c>
      <c r="J41" s="207">
        <f>(F41/I41)</f>
        <v>9.6941666666666659</v>
      </c>
      <c r="K41" s="459">
        <v>0.625</v>
      </c>
      <c r="L41" s="209"/>
      <c r="M41" s="210"/>
      <c r="N41" s="200"/>
      <c r="O41" s="436" t="s">
        <v>352</v>
      </c>
      <c r="Q41" s="208">
        <v>0.627</v>
      </c>
      <c r="R41" s="209"/>
      <c r="S41" s="210"/>
    </row>
    <row r="42" spans="1:19" ht="20.100000000000001" customHeight="1" x14ac:dyDescent="0.3">
      <c r="A42" s="217"/>
      <c r="B42" s="20"/>
      <c r="C42" s="218" t="s">
        <v>72</v>
      </c>
      <c r="D42" s="219" t="s">
        <v>87</v>
      </c>
      <c r="E42" s="220" t="s">
        <v>70</v>
      </c>
      <c r="F42" s="232">
        <v>457.58300000000003</v>
      </c>
      <c r="G42" s="224">
        <v>156</v>
      </c>
      <c r="H42" s="207">
        <v>2</v>
      </c>
      <c r="I42" s="224">
        <f>G42*H42</f>
        <v>312</v>
      </c>
      <c r="J42" s="207">
        <f>(F42/I42)</f>
        <v>1.4666121794871796</v>
      </c>
      <c r="K42" s="459">
        <v>0.54800000000000004</v>
      </c>
      <c r="L42" s="209"/>
      <c r="M42" s="210"/>
      <c r="N42" s="200"/>
      <c r="O42" s="436" t="s">
        <v>306</v>
      </c>
      <c r="Q42" s="208">
        <v>0.54800000000000004</v>
      </c>
      <c r="R42" s="209"/>
      <c r="S42" s="210"/>
    </row>
    <row r="43" spans="1:19" ht="20.100000000000001" customHeight="1" x14ac:dyDescent="0.3">
      <c r="A43" s="217"/>
      <c r="B43" s="21"/>
      <c r="C43" s="14" t="s">
        <v>122</v>
      </c>
      <c r="D43" s="15"/>
      <c r="E43" s="16"/>
      <c r="F43" s="231"/>
      <c r="G43" s="225"/>
      <c r="H43" s="211"/>
      <c r="I43" s="225"/>
      <c r="J43" s="211">
        <v>1</v>
      </c>
      <c r="K43" s="242"/>
      <c r="L43" s="318"/>
      <c r="M43" s="17"/>
      <c r="N43" s="316"/>
      <c r="O43" s="435"/>
      <c r="Q43" s="212"/>
      <c r="R43" s="318"/>
      <c r="S43" s="17"/>
    </row>
    <row r="44" spans="1:19" ht="20.100000000000001" customHeight="1" x14ac:dyDescent="0.3">
      <c r="A44" s="217"/>
      <c r="B44" s="19" t="s">
        <v>289</v>
      </c>
      <c r="C44" s="214" t="s">
        <v>75</v>
      </c>
      <c r="D44" s="215"/>
      <c r="E44" s="216" t="s">
        <v>134</v>
      </c>
      <c r="F44" s="222">
        <f>38694.6/1000</f>
        <v>38.694600000000001</v>
      </c>
      <c r="G44" s="224">
        <v>4</v>
      </c>
      <c r="H44" s="537">
        <v>5</v>
      </c>
      <c r="I44" s="223">
        <f>G44*H44</f>
        <v>20</v>
      </c>
      <c r="J44" s="203">
        <f>(F44/I44)</f>
        <v>1.9347300000000001</v>
      </c>
      <c r="K44" s="241">
        <v>0.625</v>
      </c>
      <c r="L44" s="205">
        <f>((J44+J45+J46)/K44)+(J47/K47)+J48</f>
        <v>29.499318568166625</v>
      </c>
      <c r="M44" s="206">
        <f t="shared" si="0"/>
        <v>0.9703723213212706</v>
      </c>
      <c r="N44" s="201"/>
      <c r="O44" s="434" t="s">
        <v>305</v>
      </c>
      <c r="P44" s="593">
        <f>J44+J45+J46+J47+J48</f>
        <v>18.626251978021976</v>
      </c>
      <c r="Q44" s="204">
        <v>0.627</v>
      </c>
      <c r="R44" s="205">
        <v>29.41610949578871</v>
      </c>
      <c r="S44" s="206">
        <v>0.96763518078252342</v>
      </c>
    </row>
    <row r="45" spans="1:19" ht="20.100000000000001" customHeight="1" x14ac:dyDescent="0.3">
      <c r="A45" s="217"/>
      <c r="B45" s="20"/>
      <c r="C45" s="218" t="s">
        <v>79</v>
      </c>
      <c r="D45" s="219" t="s">
        <v>88</v>
      </c>
      <c r="E45" s="220" t="s">
        <v>0</v>
      </c>
      <c r="F45" s="232">
        <v>1765.8799999999999</v>
      </c>
      <c r="G45" s="470">
        <v>35</v>
      </c>
      <c r="H45" s="537">
        <v>8</v>
      </c>
      <c r="I45" s="224">
        <f>G45*H45</f>
        <v>280</v>
      </c>
      <c r="J45" s="207">
        <f>(F45/I45)</f>
        <v>6.3067142857142855</v>
      </c>
      <c r="K45" s="459">
        <v>0.625</v>
      </c>
      <c r="L45" s="209"/>
      <c r="M45" s="210"/>
      <c r="N45" s="200"/>
      <c r="O45" s="436" t="s">
        <v>307</v>
      </c>
      <c r="Q45" s="208">
        <v>0.627</v>
      </c>
      <c r="R45" s="209"/>
      <c r="S45" s="210"/>
    </row>
    <row r="46" spans="1:19" ht="20.100000000000001" customHeight="1" x14ac:dyDescent="0.3">
      <c r="A46" s="217"/>
      <c r="B46" s="20"/>
      <c r="C46" s="218" t="s">
        <v>326</v>
      </c>
      <c r="D46" s="219" t="s">
        <v>340</v>
      </c>
      <c r="E46" s="220" t="s">
        <v>0</v>
      </c>
      <c r="F46" s="232">
        <v>967.4799999999999</v>
      </c>
      <c r="G46" s="224">
        <v>20</v>
      </c>
      <c r="H46" s="537">
        <v>6</v>
      </c>
      <c r="I46" s="224">
        <f>G46*H46</f>
        <v>120</v>
      </c>
      <c r="J46" s="207">
        <f>(F46/I46)</f>
        <v>8.0623333333333331</v>
      </c>
      <c r="K46" s="459">
        <v>0.625</v>
      </c>
      <c r="L46" s="209"/>
      <c r="M46" s="210"/>
      <c r="N46" s="200"/>
      <c r="O46" s="436" t="s">
        <v>352</v>
      </c>
      <c r="Q46" s="208">
        <v>0.627</v>
      </c>
      <c r="R46" s="209"/>
      <c r="S46" s="210"/>
    </row>
    <row r="47" spans="1:19" ht="20.100000000000001" customHeight="1" x14ac:dyDescent="0.3">
      <c r="A47" s="217"/>
      <c r="B47" s="20"/>
      <c r="C47" s="218" t="s">
        <v>72</v>
      </c>
      <c r="D47" s="219" t="s">
        <v>87</v>
      </c>
      <c r="E47" s="220" t="s">
        <v>70</v>
      </c>
      <c r="F47" s="232">
        <v>412.61200000000002</v>
      </c>
      <c r="G47" s="224">
        <v>156</v>
      </c>
      <c r="H47" s="207">
        <v>2</v>
      </c>
      <c r="I47" s="224">
        <f>G47*H47</f>
        <v>312</v>
      </c>
      <c r="J47" s="207">
        <f>(F47/I47)</f>
        <v>1.3224743589743591</v>
      </c>
      <c r="K47" s="459">
        <v>0.54800000000000004</v>
      </c>
      <c r="L47" s="209"/>
      <c r="M47" s="210"/>
      <c r="N47" s="200"/>
      <c r="O47" s="436" t="s">
        <v>306</v>
      </c>
      <c r="Q47" s="208">
        <v>0.54800000000000004</v>
      </c>
      <c r="R47" s="209"/>
      <c r="S47" s="210"/>
    </row>
    <row r="48" spans="1:19" ht="20.100000000000001" customHeight="1" x14ac:dyDescent="0.3">
      <c r="A48" s="217"/>
      <c r="B48" s="21"/>
      <c r="C48" s="14" t="s">
        <v>122</v>
      </c>
      <c r="D48" s="15"/>
      <c r="E48" s="16"/>
      <c r="F48" s="231"/>
      <c r="G48" s="225"/>
      <c r="H48" s="211"/>
      <c r="I48" s="225"/>
      <c r="J48" s="211">
        <v>1</v>
      </c>
      <c r="K48" s="242"/>
      <c r="L48" s="318"/>
      <c r="M48" s="17"/>
      <c r="N48" s="316"/>
      <c r="O48" s="435"/>
      <c r="Q48" s="212"/>
      <c r="R48" s="318"/>
      <c r="S48" s="17"/>
    </row>
    <row r="49" spans="1:19" ht="19.5" customHeight="1" x14ac:dyDescent="0.3">
      <c r="A49" s="217"/>
      <c r="B49" s="19" t="s">
        <v>290</v>
      </c>
      <c r="C49" s="214" t="s">
        <v>75</v>
      </c>
      <c r="D49" s="215"/>
      <c r="E49" s="216" t="s">
        <v>134</v>
      </c>
      <c r="F49" s="222">
        <f>12663.4/1000</f>
        <v>12.663399999999999</v>
      </c>
      <c r="G49" s="224">
        <v>4</v>
      </c>
      <c r="H49" s="315">
        <v>2</v>
      </c>
      <c r="I49" s="223">
        <f>G49*H49</f>
        <v>8</v>
      </c>
      <c r="J49" s="203">
        <f>(F49/I49)</f>
        <v>1.5829249999999999</v>
      </c>
      <c r="K49" s="459">
        <v>0.625</v>
      </c>
      <c r="L49" s="205">
        <f>((J49+J50)/K49)+(J51/K51)+J52</f>
        <v>21.608492181492473</v>
      </c>
      <c r="M49" s="206">
        <f t="shared" si="0"/>
        <v>0.71080566386488397</v>
      </c>
      <c r="N49" s="451" t="s">
        <v>295</v>
      </c>
      <c r="O49" s="434" t="s">
        <v>305</v>
      </c>
      <c r="Q49" s="208">
        <v>0.627</v>
      </c>
      <c r="R49" s="205">
        <v>21.547813108051294</v>
      </c>
      <c r="S49" s="206">
        <v>0.70880964171221361</v>
      </c>
    </row>
    <row r="50" spans="1:19" ht="20.100000000000001" customHeight="1" x14ac:dyDescent="0.3">
      <c r="A50" s="217"/>
      <c r="B50" s="20"/>
      <c r="C50" s="218" t="s">
        <v>79</v>
      </c>
      <c r="D50" s="219" t="s">
        <v>88</v>
      </c>
      <c r="E50" s="220" t="s">
        <v>0</v>
      </c>
      <c r="F50" s="232">
        <v>1082.17</v>
      </c>
      <c r="G50" s="470">
        <v>35</v>
      </c>
      <c r="H50" s="207">
        <v>3</v>
      </c>
      <c r="I50" s="224">
        <f>G50*H50</f>
        <v>105</v>
      </c>
      <c r="J50" s="207">
        <f>(F50/I50)</f>
        <v>10.306380952380954</v>
      </c>
      <c r="K50" s="459">
        <v>0.625</v>
      </c>
      <c r="L50" s="209"/>
      <c r="M50" s="210"/>
      <c r="N50" s="200"/>
      <c r="O50" s="436" t="s">
        <v>307</v>
      </c>
      <c r="Q50" s="208">
        <v>0.627</v>
      </c>
      <c r="R50" s="209"/>
      <c r="S50" s="210"/>
    </row>
    <row r="51" spans="1:19" ht="20.100000000000001" customHeight="1" x14ac:dyDescent="0.3">
      <c r="A51" s="217"/>
      <c r="B51" s="20"/>
      <c r="C51" s="218" t="s">
        <v>72</v>
      </c>
      <c r="D51" s="219" t="s">
        <v>87</v>
      </c>
      <c r="E51" s="220" t="s">
        <v>70</v>
      </c>
      <c r="F51" s="232">
        <v>135.55000000000001</v>
      </c>
      <c r="G51" s="224">
        <v>156</v>
      </c>
      <c r="H51" s="207">
        <v>1</v>
      </c>
      <c r="I51" s="224">
        <f>G51*H51</f>
        <v>156</v>
      </c>
      <c r="J51" s="207">
        <f>(F51/I51)</f>
        <v>0.86891025641025643</v>
      </c>
      <c r="K51" s="459">
        <v>0.54800000000000004</v>
      </c>
      <c r="L51" s="209"/>
      <c r="M51" s="210"/>
      <c r="N51" s="200"/>
      <c r="O51" s="436" t="s">
        <v>306</v>
      </c>
      <c r="Q51" s="208">
        <v>0.54800000000000004</v>
      </c>
      <c r="R51" s="209"/>
      <c r="S51" s="210"/>
    </row>
    <row r="52" spans="1:19" ht="20.100000000000001" customHeight="1" x14ac:dyDescent="0.3">
      <c r="A52" s="217"/>
      <c r="B52" s="21"/>
      <c r="C52" s="14" t="s">
        <v>122</v>
      </c>
      <c r="D52" s="15"/>
      <c r="E52" s="16"/>
      <c r="F52" s="231"/>
      <c r="G52" s="225"/>
      <c r="H52" s="211">
        <v>1</v>
      </c>
      <c r="I52" s="225"/>
      <c r="J52" s="211">
        <v>1</v>
      </c>
      <c r="K52" s="242"/>
      <c r="L52" s="318"/>
      <c r="M52" s="17"/>
      <c r="N52" s="200"/>
      <c r="O52" s="435"/>
      <c r="Q52" s="212"/>
      <c r="R52" s="318"/>
      <c r="S52" s="17"/>
    </row>
    <row r="53" spans="1:19" ht="19.5" customHeight="1" x14ac:dyDescent="0.3">
      <c r="A53" s="217"/>
      <c r="B53" s="19" t="s">
        <v>319</v>
      </c>
      <c r="C53" s="214" t="s">
        <v>75</v>
      </c>
      <c r="D53" s="215"/>
      <c r="E53" s="216" t="s">
        <v>134</v>
      </c>
      <c r="F53" s="222">
        <f>703.9/1000</f>
        <v>0.70389999999999997</v>
      </c>
      <c r="G53" s="224">
        <v>4</v>
      </c>
      <c r="H53" s="315">
        <v>1</v>
      </c>
      <c r="I53" s="223">
        <f>G53*H53</f>
        <v>4</v>
      </c>
      <c r="J53" s="203">
        <f>(F53/I53)</f>
        <v>0.17597499999999999</v>
      </c>
      <c r="K53" s="459">
        <v>0.625</v>
      </c>
      <c r="L53" s="205">
        <f>((J53+J54)/K53)+(J55/K55)+J56</f>
        <v>3.3138915205475787</v>
      </c>
      <c r="M53" s="206">
        <f t="shared" si="0"/>
        <v>0.10900958949169667</v>
      </c>
      <c r="N53" s="451" t="s">
        <v>295</v>
      </c>
      <c r="O53" s="434" t="s">
        <v>305</v>
      </c>
      <c r="Q53" s="208">
        <v>0.627</v>
      </c>
      <c r="R53" s="205">
        <v>3.3066327736804109</v>
      </c>
      <c r="S53" s="206">
        <v>0.10877081492369774</v>
      </c>
    </row>
    <row r="54" spans="1:19" ht="20.100000000000001" customHeight="1" x14ac:dyDescent="0.3">
      <c r="A54" s="217"/>
      <c r="B54" s="20"/>
      <c r="C54" s="218" t="s">
        <v>79</v>
      </c>
      <c r="D54" s="219" t="s">
        <v>88</v>
      </c>
      <c r="E54" s="220" t="s">
        <v>0</v>
      </c>
      <c r="F54" s="232">
        <v>43.62</v>
      </c>
      <c r="G54" s="470">
        <v>35</v>
      </c>
      <c r="H54" s="207">
        <v>1</v>
      </c>
      <c r="I54" s="224">
        <f>G54*H54</f>
        <v>35</v>
      </c>
      <c r="J54" s="207">
        <f>(F54/I54)</f>
        <v>1.2462857142857142</v>
      </c>
      <c r="K54" s="459">
        <v>0.625</v>
      </c>
      <c r="L54" s="209"/>
      <c r="M54" s="210"/>
      <c r="N54" s="200"/>
      <c r="O54" s="436" t="s">
        <v>307</v>
      </c>
      <c r="Q54" s="208">
        <v>0.627</v>
      </c>
      <c r="R54" s="209"/>
      <c r="S54" s="210"/>
    </row>
    <row r="55" spans="1:19" ht="20.100000000000001" customHeight="1" x14ac:dyDescent="0.3">
      <c r="A55" s="217"/>
      <c r="B55" s="20"/>
      <c r="C55" s="218" t="s">
        <v>72</v>
      </c>
      <c r="D55" s="219" t="s">
        <v>87</v>
      </c>
      <c r="E55" s="220" t="s">
        <v>70</v>
      </c>
      <c r="F55" s="232">
        <v>3.2719999999999998</v>
      </c>
      <c r="G55" s="224">
        <v>156</v>
      </c>
      <c r="H55" s="207">
        <v>1</v>
      </c>
      <c r="I55" s="224">
        <f>G55*H55</f>
        <v>156</v>
      </c>
      <c r="J55" s="207">
        <f>(F55/I55)</f>
        <v>2.0974358974358974E-2</v>
      </c>
      <c r="K55" s="459">
        <v>0.54800000000000004</v>
      </c>
      <c r="L55" s="209"/>
      <c r="M55" s="210"/>
      <c r="N55" s="200"/>
      <c r="O55" s="436" t="s">
        <v>306</v>
      </c>
      <c r="Q55" s="208">
        <v>0.54800000000000004</v>
      </c>
      <c r="R55" s="209"/>
      <c r="S55" s="210"/>
    </row>
    <row r="56" spans="1:19" ht="20.100000000000001" customHeight="1" x14ac:dyDescent="0.3">
      <c r="A56" s="217"/>
      <c r="B56" s="20"/>
      <c r="C56" s="24" t="s">
        <v>122</v>
      </c>
      <c r="D56" s="25"/>
      <c r="E56" s="23"/>
      <c r="F56" s="478"/>
      <c r="G56" s="479"/>
      <c r="H56" s="237">
        <v>1</v>
      </c>
      <c r="I56" s="479"/>
      <c r="J56" s="237">
        <v>1</v>
      </c>
      <c r="K56" s="587"/>
      <c r="L56" s="307"/>
      <c r="M56" s="244"/>
      <c r="N56" s="316"/>
      <c r="O56" s="481"/>
      <c r="Q56" s="480"/>
      <c r="R56" s="307"/>
      <c r="S56" s="244"/>
    </row>
    <row r="57" spans="1:19" ht="20.100000000000001" customHeight="1" x14ac:dyDescent="0.3">
      <c r="A57" s="240" t="s">
        <v>347</v>
      </c>
      <c r="B57" s="240" t="s">
        <v>348</v>
      </c>
      <c r="C57" s="484" t="s">
        <v>349</v>
      </c>
      <c r="D57" s="485" t="s">
        <v>350</v>
      </c>
      <c r="E57" s="240" t="s">
        <v>134</v>
      </c>
      <c r="F57" s="486">
        <v>31.141999999999999</v>
      </c>
      <c r="G57" s="487">
        <v>15</v>
      </c>
      <c r="H57" s="238">
        <v>1</v>
      </c>
      <c r="I57" s="487">
        <f>G57*H57</f>
        <v>15</v>
      </c>
      <c r="J57" s="238">
        <f>(F57/I57)</f>
        <v>2.0761333333333334</v>
      </c>
      <c r="K57" s="588">
        <v>0.625</v>
      </c>
      <c r="L57" s="310">
        <f t="shared" ref="L57" si="5">J57/K57</f>
        <v>3.3218133333333335</v>
      </c>
      <c r="M57" s="311">
        <f t="shared" ref="M57:M75" si="6">L57/30.4</f>
        <v>0.1092701754385965</v>
      </c>
      <c r="N57" s="709" t="s">
        <v>295</v>
      </c>
      <c r="O57" s="490" t="s">
        <v>351</v>
      </c>
      <c r="P57" s="594">
        <f>L57</f>
        <v>3.3218133333333335</v>
      </c>
      <c r="Q57" s="488">
        <v>0.627</v>
      </c>
      <c r="R57" s="310">
        <v>3.3112174375332271</v>
      </c>
      <c r="S57" s="311">
        <v>0.10892162623464563</v>
      </c>
    </row>
    <row r="58" spans="1:19" ht="20.100000000000001" customHeight="1" x14ac:dyDescent="0.3">
      <c r="A58" s="482" t="s">
        <v>15</v>
      </c>
      <c r="B58" s="396"/>
      <c r="C58" s="397"/>
      <c r="D58" s="398"/>
      <c r="E58" s="370"/>
      <c r="F58" s="475">
        <v>31.141999999999999</v>
      </c>
      <c r="G58" s="399"/>
      <c r="H58" s="375"/>
      <c r="I58" s="399"/>
      <c r="J58" s="375"/>
      <c r="K58" s="370"/>
      <c r="L58" s="376">
        <v>182</v>
      </c>
      <c r="M58" s="400">
        <f t="shared" si="6"/>
        <v>5.9868421052631584</v>
      </c>
      <c r="N58" s="483"/>
      <c r="O58" s="445"/>
      <c r="Q58" s="370"/>
      <c r="R58" s="376">
        <v>181</v>
      </c>
      <c r="S58" s="400">
        <v>5.9539473684210531</v>
      </c>
    </row>
    <row r="59" spans="1:19" ht="20.100000000000001" customHeight="1" x14ac:dyDescent="0.3">
      <c r="A59" s="340" t="s">
        <v>230</v>
      </c>
      <c r="B59" s="216" t="s">
        <v>367</v>
      </c>
      <c r="C59" s="214" t="s">
        <v>409</v>
      </c>
      <c r="D59" s="215" t="s">
        <v>379</v>
      </c>
      <c r="E59" s="216" t="s">
        <v>0</v>
      </c>
      <c r="F59" s="230">
        <v>289</v>
      </c>
      <c r="G59" s="446">
        <v>2.44</v>
      </c>
      <c r="H59" s="203">
        <v>6</v>
      </c>
      <c r="I59" s="223">
        <f t="shared" ref="I59:I70" si="7">G59*H59</f>
        <v>14.64</v>
      </c>
      <c r="J59" s="203">
        <f t="shared" ref="J59:J70" si="8">(F59/I59)</f>
        <v>19.740437158469945</v>
      </c>
      <c r="K59" s="241">
        <v>0.64109589041095894</v>
      </c>
      <c r="L59" s="205">
        <f t="shared" ref="L59:L62" si="9">J59/K59</f>
        <v>30.791707533510809</v>
      </c>
      <c r="M59" s="206">
        <f t="shared" si="6"/>
        <v>1.0128851162339083</v>
      </c>
      <c r="N59" s="216" t="s">
        <v>60</v>
      </c>
      <c r="O59" s="429" t="s">
        <v>389</v>
      </c>
      <c r="Q59" s="204">
        <v>0.627</v>
      </c>
      <c r="R59" s="205">
        <v>31.483950810956848</v>
      </c>
      <c r="S59" s="206">
        <v>1.0356562766762121</v>
      </c>
    </row>
    <row r="60" spans="1:19" ht="20.100000000000001" customHeight="1" x14ac:dyDescent="0.3">
      <c r="A60" s="217"/>
      <c r="B60" s="220" t="s">
        <v>294</v>
      </c>
      <c r="C60" s="218" t="s">
        <v>410</v>
      </c>
      <c r="D60" s="219" t="s">
        <v>370</v>
      </c>
      <c r="E60" s="220" t="s">
        <v>0</v>
      </c>
      <c r="F60" s="232">
        <v>3427</v>
      </c>
      <c r="G60" s="447">
        <v>15.9</v>
      </c>
      <c r="H60" s="207">
        <v>9</v>
      </c>
      <c r="I60" s="224">
        <f t="shared" si="7"/>
        <v>143.1</v>
      </c>
      <c r="J60" s="207">
        <f t="shared" si="8"/>
        <v>23.948287910552061</v>
      </c>
      <c r="K60" s="459">
        <v>0.64109589041095894</v>
      </c>
      <c r="L60" s="209">
        <f t="shared" si="9"/>
        <v>37.355235416032059</v>
      </c>
      <c r="M60" s="210">
        <f t="shared" si="6"/>
        <v>1.2287906386852652</v>
      </c>
      <c r="N60" s="220" t="s">
        <v>60</v>
      </c>
      <c r="O60" s="430" t="s">
        <v>380</v>
      </c>
      <c r="Q60" s="208">
        <v>0.627</v>
      </c>
      <c r="R60" s="209">
        <v>38.195036539955439</v>
      </c>
      <c r="S60" s="210">
        <v>1.2564156756564289</v>
      </c>
    </row>
    <row r="61" spans="1:19" ht="20.100000000000001" customHeight="1" x14ac:dyDescent="0.3">
      <c r="A61" s="217"/>
      <c r="B61" s="220" t="s">
        <v>13</v>
      </c>
      <c r="C61" s="218" t="s">
        <v>388</v>
      </c>
      <c r="D61" s="219" t="s">
        <v>387</v>
      </c>
      <c r="E61" s="220" t="s">
        <v>0</v>
      </c>
      <c r="F61" s="232">
        <v>189</v>
      </c>
      <c r="G61" s="424">
        <v>6.94</v>
      </c>
      <c r="H61" s="207">
        <v>1</v>
      </c>
      <c r="I61" s="224">
        <f t="shared" si="7"/>
        <v>6.94</v>
      </c>
      <c r="J61" s="207">
        <f t="shared" si="8"/>
        <v>27.233429394812678</v>
      </c>
      <c r="K61" s="459">
        <v>0.64109589041095894</v>
      </c>
      <c r="L61" s="209">
        <f t="shared" si="9"/>
        <v>42.47949456883174</v>
      </c>
      <c r="M61" s="210">
        <f t="shared" si="6"/>
        <v>1.39735179502736</v>
      </c>
      <c r="N61" s="220" t="s">
        <v>60</v>
      </c>
      <c r="O61" s="430" t="s">
        <v>309</v>
      </c>
      <c r="Q61" s="208">
        <v>0.627</v>
      </c>
      <c r="R61" s="209">
        <v>43.434496642444465</v>
      </c>
      <c r="S61" s="210">
        <v>1.4287663369225154</v>
      </c>
    </row>
    <row r="62" spans="1:19" ht="20.100000000000001" customHeight="1" x14ac:dyDescent="0.3">
      <c r="A62" s="18"/>
      <c r="B62" s="16" t="s">
        <v>6</v>
      </c>
      <c r="C62" s="14" t="s">
        <v>373</v>
      </c>
      <c r="D62" s="15" t="s">
        <v>374</v>
      </c>
      <c r="E62" s="16" t="s">
        <v>0</v>
      </c>
      <c r="F62" s="231">
        <v>859</v>
      </c>
      <c r="G62" s="425">
        <v>5.9171597633136104</v>
      </c>
      <c r="H62" s="211">
        <v>5</v>
      </c>
      <c r="I62" s="225">
        <f t="shared" si="7"/>
        <v>29.585798816568051</v>
      </c>
      <c r="J62" s="211">
        <f t="shared" si="8"/>
        <v>29.034199999999995</v>
      </c>
      <c r="K62" s="587">
        <v>0.64109589041095894</v>
      </c>
      <c r="L62" s="318">
        <f t="shared" si="9"/>
        <v>45.288388888888882</v>
      </c>
      <c r="M62" s="17">
        <f t="shared" si="6"/>
        <v>1.4897496345029237</v>
      </c>
      <c r="N62" s="16" t="s">
        <v>60</v>
      </c>
      <c r="O62" s="437" t="s">
        <v>308</v>
      </c>
      <c r="Q62" s="480">
        <v>0.627</v>
      </c>
      <c r="R62" s="318">
        <v>46.306539074960121</v>
      </c>
      <c r="S62" s="17">
        <v>1.5232414169394777</v>
      </c>
    </row>
    <row r="63" spans="1:19" ht="20.100000000000001" customHeight="1" x14ac:dyDescent="0.3">
      <c r="A63" s="340" t="s">
        <v>229</v>
      </c>
      <c r="B63" s="216" t="s">
        <v>24</v>
      </c>
      <c r="C63" s="214" t="s">
        <v>365</v>
      </c>
      <c r="D63" s="348" t="s">
        <v>390</v>
      </c>
      <c r="E63" s="216" t="s">
        <v>0</v>
      </c>
      <c r="F63" s="230">
        <v>1110</v>
      </c>
      <c r="G63" s="446">
        <v>17</v>
      </c>
      <c r="H63" s="203">
        <v>5</v>
      </c>
      <c r="I63" s="223">
        <f t="shared" si="7"/>
        <v>85</v>
      </c>
      <c r="J63" s="203">
        <f t="shared" si="8"/>
        <v>13.058823529411764</v>
      </c>
      <c r="K63" s="241">
        <v>0.68219178082191778</v>
      </c>
      <c r="L63" s="205">
        <f>J63/K63</f>
        <v>19.142452161587528</v>
      </c>
      <c r="M63" s="206">
        <f t="shared" si="6"/>
        <v>0.6296859263680108</v>
      </c>
      <c r="N63" s="201" t="s">
        <v>60</v>
      </c>
      <c r="O63" s="434" t="s">
        <v>381</v>
      </c>
      <c r="Q63" s="204">
        <v>0.68799999999999994</v>
      </c>
      <c r="R63" s="205">
        <v>18.980848153214776</v>
      </c>
      <c r="S63" s="206">
        <v>0.62437000503995976</v>
      </c>
    </row>
    <row r="64" spans="1:19" ht="20.100000000000001" customHeight="1" x14ac:dyDescent="0.3">
      <c r="A64" s="217"/>
      <c r="B64" s="220" t="s">
        <v>132</v>
      </c>
      <c r="C64" s="218" t="s">
        <v>292</v>
      </c>
      <c r="D64" s="219" t="s">
        <v>358</v>
      </c>
      <c r="E64" s="220" t="s">
        <v>0</v>
      </c>
      <c r="F64" s="232">
        <v>82</v>
      </c>
      <c r="G64" s="447">
        <v>2.2222222222222223</v>
      </c>
      <c r="H64" s="207">
        <v>5</v>
      </c>
      <c r="I64" s="224">
        <f t="shared" si="7"/>
        <v>11.111111111111111</v>
      </c>
      <c r="J64" s="207">
        <f t="shared" si="8"/>
        <v>7.38</v>
      </c>
      <c r="K64" s="459">
        <v>0.68219178082191778</v>
      </c>
      <c r="L64" s="209">
        <f t="shared" ref="L64:L66" si="10">J64/K64</f>
        <v>10.818072289156627</v>
      </c>
      <c r="M64" s="210">
        <f t="shared" si="6"/>
        <v>0.35585764109067852</v>
      </c>
      <c r="N64" s="200" t="s">
        <v>60</v>
      </c>
      <c r="O64" s="436" t="s">
        <v>382</v>
      </c>
      <c r="Q64" s="208">
        <v>0.68799999999999994</v>
      </c>
      <c r="R64" s="209">
        <v>10.726744186046512</v>
      </c>
      <c r="S64" s="210">
        <v>0.35285342717258261</v>
      </c>
    </row>
    <row r="65" spans="1:19" ht="20.100000000000001" customHeight="1" x14ac:dyDescent="0.3">
      <c r="A65" s="217"/>
      <c r="B65" s="220" t="s">
        <v>34</v>
      </c>
      <c r="C65" s="218" t="s">
        <v>411</v>
      </c>
      <c r="D65" s="219" t="s">
        <v>360</v>
      </c>
      <c r="E65" s="220" t="s">
        <v>0</v>
      </c>
      <c r="F65" s="232">
        <v>915</v>
      </c>
      <c r="G65" s="447">
        <v>26</v>
      </c>
      <c r="H65" s="207">
        <v>5</v>
      </c>
      <c r="I65" s="224">
        <f t="shared" si="7"/>
        <v>130</v>
      </c>
      <c r="J65" s="207">
        <f t="shared" si="8"/>
        <v>7.0384615384615383</v>
      </c>
      <c r="K65" s="459">
        <v>0.68219178082191778</v>
      </c>
      <c r="L65" s="209">
        <f t="shared" si="10"/>
        <v>10.317423540315106</v>
      </c>
      <c r="M65" s="210">
        <f t="shared" si="6"/>
        <v>0.33938893224720745</v>
      </c>
      <c r="N65" s="200" t="s">
        <v>60</v>
      </c>
      <c r="O65" s="430" t="s">
        <v>383</v>
      </c>
      <c r="Q65" s="208">
        <v>0.68799999999999994</v>
      </c>
      <c r="R65" s="209">
        <v>10.230322003577818</v>
      </c>
      <c r="S65" s="210">
        <v>0.33652375011769142</v>
      </c>
    </row>
    <row r="66" spans="1:19" ht="20.100000000000001" customHeight="1" x14ac:dyDescent="0.3">
      <c r="A66" s="217"/>
      <c r="B66" s="220" t="s">
        <v>28</v>
      </c>
      <c r="C66" s="218" t="s">
        <v>361</v>
      </c>
      <c r="D66" s="219" t="s">
        <v>362</v>
      </c>
      <c r="E66" s="220" t="s">
        <v>0</v>
      </c>
      <c r="F66" s="232">
        <v>1986</v>
      </c>
      <c r="G66" s="447">
        <v>31.25</v>
      </c>
      <c r="H66" s="207">
        <v>4</v>
      </c>
      <c r="I66" s="224">
        <f t="shared" si="7"/>
        <v>125</v>
      </c>
      <c r="J66" s="207">
        <f t="shared" si="8"/>
        <v>15.888</v>
      </c>
      <c r="K66" s="459">
        <v>0.68219178082191778</v>
      </c>
      <c r="L66" s="209">
        <f t="shared" si="10"/>
        <v>23.289638554216868</v>
      </c>
      <c r="M66" s="210">
        <f t="shared" si="6"/>
        <v>0.76610653138871276</v>
      </c>
      <c r="N66" s="200" t="s">
        <v>60</v>
      </c>
      <c r="O66" s="436" t="s">
        <v>384</v>
      </c>
      <c r="Q66" s="208">
        <v>0.68799999999999994</v>
      </c>
      <c r="R66" s="209">
        <v>23.093023255813954</v>
      </c>
      <c r="S66" s="210">
        <v>0.7596389228886169</v>
      </c>
    </row>
    <row r="67" spans="1:19" ht="20.100000000000001" customHeight="1" x14ac:dyDescent="0.3">
      <c r="A67" s="217"/>
      <c r="B67" s="220" t="s">
        <v>20</v>
      </c>
      <c r="C67" s="218" t="s">
        <v>363</v>
      </c>
      <c r="D67" s="219" t="s">
        <v>368</v>
      </c>
      <c r="E67" s="220" t="s">
        <v>0</v>
      </c>
      <c r="F67" s="232">
        <v>1399</v>
      </c>
      <c r="G67" s="447">
        <v>29</v>
      </c>
      <c r="H67" s="207">
        <v>4</v>
      </c>
      <c r="I67" s="224">
        <f t="shared" si="7"/>
        <v>116</v>
      </c>
      <c r="J67" s="207">
        <f t="shared" si="8"/>
        <v>12.060344827586206</v>
      </c>
      <c r="K67" s="459">
        <v>0.68219178082191778</v>
      </c>
      <c r="L67" s="209">
        <f>J67/K67</f>
        <v>17.678818723168536</v>
      </c>
      <c r="M67" s="210">
        <f t="shared" si="6"/>
        <v>0.58154008957791237</v>
      </c>
      <c r="N67" s="220" t="s">
        <v>60</v>
      </c>
      <c r="O67" s="430" t="s">
        <v>310</v>
      </c>
      <c r="Q67" s="208">
        <v>0.68799999999999994</v>
      </c>
      <c r="R67" s="209">
        <v>17.529570970328791</v>
      </c>
      <c r="S67" s="210">
        <v>0.57663062402397347</v>
      </c>
    </row>
    <row r="68" spans="1:19" ht="20.100000000000001" customHeight="1" x14ac:dyDescent="0.3">
      <c r="A68" s="217"/>
      <c r="B68" s="220" t="s">
        <v>25</v>
      </c>
      <c r="C68" s="218" t="s">
        <v>372</v>
      </c>
      <c r="D68" s="219" t="s">
        <v>371</v>
      </c>
      <c r="E68" s="220" t="s">
        <v>0</v>
      </c>
      <c r="F68" s="232">
        <v>1881</v>
      </c>
      <c r="G68" s="450">
        <v>60</v>
      </c>
      <c r="H68" s="207">
        <v>5</v>
      </c>
      <c r="I68" s="224">
        <f t="shared" si="7"/>
        <v>300</v>
      </c>
      <c r="J68" s="207">
        <f t="shared" si="8"/>
        <v>6.27</v>
      </c>
      <c r="K68" s="459">
        <v>0.68219178082191778</v>
      </c>
      <c r="L68" s="209">
        <f>J68/K68</f>
        <v>9.1909638554216873</v>
      </c>
      <c r="M68" s="210">
        <f t="shared" si="6"/>
        <v>0.30233433734939763</v>
      </c>
      <c r="N68" s="200" t="s">
        <v>60</v>
      </c>
      <c r="O68" s="436" t="s">
        <v>311</v>
      </c>
      <c r="Q68" s="208">
        <v>0.68799999999999994</v>
      </c>
      <c r="R68" s="209">
        <v>9.1133720930232567</v>
      </c>
      <c r="S68" s="210">
        <v>0.29978197674418611</v>
      </c>
    </row>
    <row r="69" spans="1:19" ht="20.100000000000001" customHeight="1" x14ac:dyDescent="0.3">
      <c r="A69" s="217"/>
      <c r="B69" s="220" t="s">
        <v>293</v>
      </c>
      <c r="C69" s="218" t="s">
        <v>377</v>
      </c>
      <c r="D69" s="219" t="s">
        <v>378</v>
      </c>
      <c r="E69" s="220" t="s">
        <v>0</v>
      </c>
      <c r="F69" s="232">
        <v>1271</v>
      </c>
      <c r="G69" s="491">
        <v>18.518518518518515</v>
      </c>
      <c r="H69" s="207">
        <v>5</v>
      </c>
      <c r="I69" s="224">
        <f t="shared" si="7"/>
        <v>92.592592592592581</v>
      </c>
      <c r="J69" s="207">
        <f t="shared" si="8"/>
        <v>13.726800000000003</v>
      </c>
      <c r="K69" s="459">
        <v>0.68219178082191778</v>
      </c>
      <c r="L69" s="209">
        <f>J69/K69</f>
        <v>20.121614457831331</v>
      </c>
      <c r="M69" s="210">
        <f t="shared" si="6"/>
        <v>0.66189521242866223</v>
      </c>
      <c r="N69" s="200" t="s">
        <v>60</v>
      </c>
      <c r="O69" s="438" t="s">
        <v>385</v>
      </c>
      <c r="Q69" s="208">
        <v>0.68799999999999994</v>
      </c>
      <c r="R69" s="209">
        <v>19.951744186046518</v>
      </c>
      <c r="S69" s="210">
        <v>0.65630737454100396</v>
      </c>
    </row>
    <row r="70" spans="1:19" ht="20.100000000000001" customHeight="1" x14ac:dyDescent="0.3">
      <c r="A70" s="217"/>
      <c r="B70" s="220" t="s">
        <v>35</v>
      </c>
      <c r="C70" s="218" t="s">
        <v>375</v>
      </c>
      <c r="D70" s="219" t="s">
        <v>376</v>
      </c>
      <c r="E70" s="220" t="s">
        <v>0</v>
      </c>
      <c r="F70" s="232">
        <v>2739</v>
      </c>
      <c r="G70" s="424">
        <v>583.33333333333337</v>
      </c>
      <c r="H70" s="207">
        <v>1</v>
      </c>
      <c r="I70" s="224">
        <f t="shared" si="7"/>
        <v>583.33333333333337</v>
      </c>
      <c r="J70" s="207">
        <f t="shared" si="8"/>
        <v>4.6954285714285708</v>
      </c>
      <c r="K70" s="459">
        <v>0.68219178082191778</v>
      </c>
      <c r="L70" s="209">
        <f>J70/K70</f>
        <v>6.8828571428571426</v>
      </c>
      <c r="M70" s="210">
        <f t="shared" si="6"/>
        <v>0.22640977443609023</v>
      </c>
      <c r="N70" s="200" t="s">
        <v>60</v>
      </c>
      <c r="O70" s="436" t="s">
        <v>386</v>
      </c>
      <c r="Q70" s="208">
        <v>0.68799999999999994</v>
      </c>
      <c r="R70" s="209">
        <v>6.8247508305647839</v>
      </c>
      <c r="S70" s="210">
        <v>0.22449838258436791</v>
      </c>
    </row>
    <row r="71" spans="1:19" ht="20.100000000000001" customHeight="1" x14ac:dyDescent="0.3">
      <c r="A71" s="388" t="s">
        <v>161</v>
      </c>
      <c r="B71" s="401"/>
      <c r="C71" s="402"/>
      <c r="D71" s="390"/>
      <c r="E71" s="391"/>
      <c r="F71" s="392"/>
      <c r="G71" s="393"/>
      <c r="H71" s="394"/>
      <c r="I71" s="393"/>
      <c r="J71" s="394"/>
      <c r="K71" s="382"/>
      <c r="L71" s="395"/>
      <c r="M71" s="403">
        <f t="shared" si="6"/>
        <v>0</v>
      </c>
      <c r="N71" s="404" t="s">
        <v>60</v>
      </c>
      <c r="O71" s="439"/>
      <c r="Q71" s="382"/>
      <c r="R71" s="395"/>
      <c r="S71" s="403">
        <v>0</v>
      </c>
    </row>
    <row r="72" spans="1:19" ht="20.100000000000001" customHeight="1" x14ac:dyDescent="0.3">
      <c r="A72" s="340" t="s">
        <v>123</v>
      </c>
      <c r="B72" s="216" t="s">
        <v>31</v>
      </c>
      <c r="C72" s="214"/>
      <c r="D72" s="215"/>
      <c r="E72" s="216" t="s">
        <v>0</v>
      </c>
      <c r="F72" s="230"/>
      <c r="G72" s="223"/>
      <c r="H72" s="203"/>
      <c r="I72" s="223"/>
      <c r="J72" s="203"/>
      <c r="K72" s="341"/>
      <c r="L72" s="205"/>
      <c r="M72" s="206">
        <f t="shared" si="6"/>
        <v>0</v>
      </c>
      <c r="N72" s="206" t="s">
        <v>60</v>
      </c>
      <c r="O72" s="432"/>
      <c r="Q72" s="341"/>
      <c r="R72" s="205"/>
      <c r="S72" s="206">
        <v>0</v>
      </c>
    </row>
    <row r="73" spans="1:19" ht="20.100000000000001" customHeight="1" x14ac:dyDescent="0.3">
      <c r="A73" s="217"/>
      <c r="B73" s="220" t="s">
        <v>21</v>
      </c>
      <c r="D73" s="219"/>
      <c r="E73" s="220" t="s">
        <v>0</v>
      </c>
      <c r="F73" s="232"/>
      <c r="G73" s="224"/>
      <c r="H73" s="207"/>
      <c r="I73" s="224"/>
      <c r="J73" s="207"/>
      <c r="K73" s="208"/>
      <c r="L73" s="209"/>
      <c r="M73" s="210">
        <f t="shared" si="6"/>
        <v>0</v>
      </c>
      <c r="N73" s="210" t="s">
        <v>60</v>
      </c>
      <c r="O73" s="433"/>
      <c r="Q73" s="208"/>
      <c r="R73" s="209"/>
      <c r="S73" s="210">
        <v>0</v>
      </c>
    </row>
    <row r="74" spans="1:19" ht="20.100000000000001" customHeight="1" x14ac:dyDescent="0.3">
      <c r="A74" s="217"/>
      <c r="B74" s="220" t="s">
        <v>33</v>
      </c>
      <c r="C74" s="218"/>
      <c r="D74" s="219"/>
      <c r="E74" s="220" t="s">
        <v>0</v>
      </c>
      <c r="F74" s="232"/>
      <c r="G74" s="224"/>
      <c r="H74" s="207"/>
      <c r="I74" s="224"/>
      <c r="J74" s="207"/>
      <c r="K74" s="208"/>
      <c r="L74" s="209"/>
      <c r="M74" s="210">
        <f t="shared" si="6"/>
        <v>0</v>
      </c>
      <c r="N74" s="210" t="s">
        <v>60</v>
      </c>
      <c r="O74" s="433"/>
      <c r="Q74" s="208"/>
      <c r="R74" s="209"/>
      <c r="S74" s="210">
        <v>0</v>
      </c>
    </row>
    <row r="75" spans="1:19" ht="20.100000000000001" customHeight="1" x14ac:dyDescent="0.3">
      <c r="A75" s="217"/>
      <c r="B75" s="220" t="s">
        <v>18</v>
      </c>
      <c r="C75" s="218"/>
      <c r="D75" s="219"/>
      <c r="E75" s="220" t="s">
        <v>0</v>
      </c>
      <c r="F75" s="232"/>
      <c r="G75" s="224"/>
      <c r="H75" s="207"/>
      <c r="I75" s="224"/>
      <c r="J75" s="207"/>
      <c r="K75" s="208"/>
      <c r="L75" s="209"/>
      <c r="M75" s="210">
        <f t="shared" si="6"/>
        <v>0</v>
      </c>
      <c r="N75" s="210" t="s">
        <v>60</v>
      </c>
      <c r="O75" s="433"/>
      <c r="Q75" s="208"/>
      <c r="R75" s="209"/>
      <c r="S75" s="210">
        <v>0</v>
      </c>
    </row>
    <row r="76" spans="1:19" ht="20.100000000000001" customHeight="1" x14ac:dyDescent="0.3">
      <c r="A76" s="217"/>
      <c r="B76" s="16" t="s">
        <v>154</v>
      </c>
      <c r="C76" s="15" t="s">
        <v>86</v>
      </c>
      <c r="D76" s="15"/>
      <c r="E76" s="16" t="s">
        <v>136</v>
      </c>
      <c r="F76" s="231"/>
      <c r="G76" s="225"/>
      <c r="H76" s="211"/>
      <c r="I76" s="225"/>
      <c r="J76" s="211"/>
      <c r="K76" s="208"/>
      <c r="L76" s="318"/>
      <c r="M76" s="17">
        <f>L76/30.4</f>
        <v>0</v>
      </c>
      <c r="N76" s="17" t="s">
        <v>60</v>
      </c>
      <c r="O76" s="440"/>
      <c r="Q76" s="208"/>
      <c r="R76" s="318"/>
      <c r="S76" s="17">
        <v>0</v>
      </c>
    </row>
    <row r="77" spans="1:19" ht="20.100000000000001" customHeight="1" x14ac:dyDescent="0.3">
      <c r="A77" s="388" t="s">
        <v>238</v>
      </c>
      <c r="B77" s="405"/>
      <c r="C77" s="389"/>
      <c r="D77" s="381"/>
      <c r="E77" s="382"/>
      <c r="F77" s="406"/>
      <c r="G77" s="384"/>
      <c r="H77" s="385"/>
      <c r="I77" s="384"/>
      <c r="J77" s="385"/>
      <c r="K77" s="382"/>
      <c r="L77" s="386"/>
      <c r="M77" s="377">
        <f>L77/30</f>
        <v>0</v>
      </c>
      <c r="N77" s="407" t="s">
        <v>60</v>
      </c>
      <c r="O77" s="441"/>
      <c r="Q77" s="382"/>
      <c r="R77" s="386"/>
      <c r="S77" s="377">
        <v>0</v>
      </c>
    </row>
    <row r="78" spans="1:19" ht="20.100000000000001" customHeight="1" x14ac:dyDescent="0.3">
      <c r="A78" s="217"/>
      <c r="B78" s="304" t="s">
        <v>241</v>
      </c>
      <c r="C78" s="199" t="s">
        <v>248</v>
      </c>
      <c r="D78" s="199" t="s">
        <v>250</v>
      </c>
      <c r="E78" s="217" t="s">
        <v>249</v>
      </c>
      <c r="F78" s="308"/>
      <c r="G78" s="312"/>
      <c r="H78" s="313"/>
      <c r="I78" s="312"/>
      <c r="J78" s="313"/>
      <c r="K78" s="204"/>
      <c r="L78" s="305"/>
      <c r="M78" s="243">
        <f>L78/30.4</f>
        <v>0</v>
      </c>
      <c r="N78" s="243" t="s">
        <v>60</v>
      </c>
      <c r="O78" s="442"/>
      <c r="Q78" s="204"/>
      <c r="R78" s="305"/>
      <c r="S78" s="243">
        <v>0</v>
      </c>
    </row>
    <row r="79" spans="1:19" ht="20.100000000000001" customHeight="1" x14ac:dyDescent="0.3">
      <c r="A79" s="217"/>
      <c r="B79" s="304" t="s">
        <v>243</v>
      </c>
      <c r="C79" s="199" t="s">
        <v>244</v>
      </c>
      <c r="D79" s="199" t="s">
        <v>245</v>
      </c>
      <c r="E79" s="217" t="s">
        <v>246</v>
      </c>
      <c r="F79" s="308"/>
      <c r="G79" s="312"/>
      <c r="H79" s="313"/>
      <c r="I79" s="312"/>
      <c r="J79" s="313"/>
      <c r="K79" s="208"/>
      <c r="L79" s="305"/>
      <c r="M79" s="243">
        <f>L79/30.4</f>
        <v>0</v>
      </c>
      <c r="N79" s="243" t="s">
        <v>60</v>
      </c>
      <c r="O79" s="442"/>
      <c r="Q79" s="208"/>
      <c r="R79" s="305"/>
      <c r="S79" s="243">
        <v>0</v>
      </c>
    </row>
    <row r="80" spans="1:19" ht="20.100000000000001" customHeight="1" x14ac:dyDescent="0.3">
      <c r="A80" s="217"/>
      <c r="B80" s="304" t="s">
        <v>7</v>
      </c>
      <c r="C80" s="199" t="s">
        <v>242</v>
      </c>
      <c r="D80" s="199"/>
      <c r="E80" s="304" t="s">
        <v>0</v>
      </c>
      <c r="F80" s="308"/>
      <c r="G80" s="312"/>
      <c r="H80" s="313"/>
      <c r="I80" s="312"/>
      <c r="J80" s="313"/>
      <c r="K80" s="208"/>
      <c r="L80" s="305"/>
      <c r="M80" s="243">
        <f>L80/30.4</f>
        <v>0</v>
      </c>
      <c r="N80" s="243" t="s">
        <v>60</v>
      </c>
      <c r="O80" s="442"/>
      <c r="Q80" s="208"/>
      <c r="R80" s="305"/>
      <c r="S80" s="243">
        <v>0</v>
      </c>
    </row>
    <row r="81" spans="1:19" ht="20.100000000000001" customHeight="1" x14ac:dyDescent="0.3">
      <c r="A81" s="18"/>
      <c r="B81" s="220" t="s">
        <v>42</v>
      </c>
      <c r="C81" s="219" t="s">
        <v>247</v>
      </c>
      <c r="D81" s="219"/>
      <c r="E81" s="23" t="s">
        <v>0</v>
      </c>
      <c r="F81" s="232"/>
      <c r="G81" s="312"/>
      <c r="H81" s="313"/>
      <c r="I81" s="312"/>
      <c r="J81" s="313"/>
      <c r="K81" s="212"/>
      <c r="L81" s="305"/>
      <c r="M81" s="243">
        <f>L81/30.4</f>
        <v>0</v>
      </c>
      <c r="N81" s="243" t="s">
        <v>60</v>
      </c>
      <c r="O81" s="442"/>
      <c r="Q81" s="212"/>
      <c r="R81" s="305"/>
      <c r="S81" s="243">
        <v>0</v>
      </c>
    </row>
    <row r="82" spans="1:19" ht="20.100000000000001" customHeight="1" x14ac:dyDescent="0.3">
      <c r="A82" s="408" t="s">
        <v>48</v>
      </c>
      <c r="B82" s="409"/>
      <c r="C82" s="410"/>
      <c r="D82" s="411"/>
      <c r="E82" s="387"/>
      <c r="F82" s="406"/>
      <c r="G82" s="384"/>
      <c r="H82" s="385"/>
      <c r="I82" s="384"/>
      <c r="J82" s="412"/>
      <c r="K82" s="387"/>
      <c r="L82" s="395">
        <v>30</v>
      </c>
      <c r="M82" s="377">
        <f>L82/30</f>
        <v>1</v>
      </c>
      <c r="N82" s="387"/>
      <c r="O82" s="431"/>
      <c r="Q82" s="387"/>
      <c r="R82" s="395">
        <v>30</v>
      </c>
      <c r="S82" s="377">
        <v>1</v>
      </c>
    </row>
    <row r="83" spans="1:19" ht="20.100000000000001" customHeight="1" x14ac:dyDescent="0.3">
      <c r="A83" s="342" t="s">
        <v>32</v>
      </c>
      <c r="B83" s="343"/>
      <c r="C83" s="339" t="s">
        <v>251</v>
      </c>
      <c r="D83" s="344" t="s">
        <v>167</v>
      </c>
      <c r="E83" s="240"/>
      <c r="F83" s="309"/>
      <c r="G83" s="345"/>
      <c r="H83" s="238"/>
      <c r="I83" s="345"/>
      <c r="J83" s="238"/>
      <c r="K83" s="240"/>
      <c r="L83" s="310">
        <v>30</v>
      </c>
      <c r="M83" s="311">
        <f>L83/30</f>
        <v>1</v>
      </c>
      <c r="N83" s="240"/>
      <c r="O83" s="443"/>
      <c r="Q83" s="240"/>
      <c r="R83" s="310">
        <v>30</v>
      </c>
      <c r="S83" s="311">
        <v>1</v>
      </c>
    </row>
    <row r="84" spans="1:19" ht="20.100000000000001" customHeight="1" thickBot="1" x14ac:dyDescent="0.35">
      <c r="F84" s="346"/>
      <c r="O84" s="1"/>
      <c r="S84" s="3"/>
    </row>
    <row r="85" spans="1:19" s="347" customFormat="1" ht="24.95" customHeight="1" thickBot="1" x14ac:dyDescent="0.35">
      <c r="A85" s="413" t="s">
        <v>26</v>
      </c>
      <c r="B85" s="414"/>
      <c r="C85" s="415"/>
      <c r="D85" s="416"/>
      <c r="E85" s="417"/>
      <c r="F85" s="418"/>
      <c r="G85" s="419"/>
      <c r="H85" s="420"/>
      <c r="I85" s="419"/>
      <c r="J85" s="421"/>
      <c r="K85" s="417"/>
      <c r="L85" s="448">
        <f>L5+L9+L23+L58+L71+L77+L82</f>
        <v>549.32180876612779</v>
      </c>
      <c r="M85" s="598">
        <f>L85/30.4</f>
        <v>18.069796340991047</v>
      </c>
      <c r="N85" s="423"/>
      <c r="O85" s="426"/>
      <c r="Q85" s="417"/>
      <c r="R85" s="448">
        <v>547.2007863946543</v>
      </c>
      <c r="S85" s="595">
        <f>R85/30.4</f>
        <v>18.00002586824521</v>
      </c>
    </row>
    <row r="86" spans="1:19" ht="20.100000000000001" customHeight="1" x14ac:dyDescent="0.3">
      <c r="L86" s="1">
        <v>2</v>
      </c>
      <c r="M86" s="4">
        <f>L86/30.4</f>
        <v>6.5789473684210523E-2</v>
      </c>
    </row>
  </sheetData>
  <autoFilter ref="A5:N85" xr:uid="{00000000-0009-0000-0000-000000000000}"/>
  <mergeCells count="6">
    <mergeCell ref="A25:A26"/>
    <mergeCell ref="D2:M2"/>
    <mergeCell ref="L3:M3"/>
    <mergeCell ref="A4:B4"/>
    <mergeCell ref="B6:C6"/>
    <mergeCell ref="B21:B22"/>
  </mergeCells>
  <phoneticPr fontId="26" type="noConversion"/>
  <printOptions horizontalCentered="1"/>
  <pageMargins left="0.23597222566604614" right="0.23597222566604614" top="0.74777776002883911" bottom="0.25" header="0.31486111879348755" footer="0"/>
  <pageSetup paperSize="8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CO81"/>
  <sheetViews>
    <sheetView tabSelected="1" view="pageBreakPreview" zoomScale="55" zoomScaleNormal="40" zoomScaleSheetLayoutView="55" workbookViewId="0">
      <pane xSplit="5" ySplit="3" topLeftCell="F9" activePane="bottomRight" state="frozen"/>
      <selection pane="topRight" activeCell="M1" sqref="M1"/>
      <selection pane="bottomLeft" activeCell="A4" sqref="A4"/>
      <selection pane="bottomRight" activeCell="V64" sqref="V64"/>
    </sheetView>
  </sheetViews>
  <sheetFormatPr defaultColWidth="10.625" defaultRowHeight="20.100000000000001" customHeight="1" x14ac:dyDescent="0.3"/>
  <cols>
    <col min="1" max="1" width="10.625" style="1"/>
    <col min="2" max="2" width="13.375" style="1" customWidth="1"/>
    <col min="3" max="3" width="26.875" style="6" customWidth="1"/>
    <col min="4" max="4" width="11.375" style="1" customWidth="1"/>
    <col min="5" max="5" width="9.625" style="3" customWidth="1"/>
    <col min="6" max="65" width="5.625" style="1" customWidth="1"/>
    <col min="66" max="66" width="12.875" style="1" customWidth="1"/>
    <col min="67" max="16384" width="10.625" style="1"/>
  </cols>
  <sheetData>
    <row r="1" spans="1:66" ht="39.950000000000003" customHeight="1" x14ac:dyDescent="0.3">
      <c r="A1" s="617" t="s">
        <v>83</v>
      </c>
      <c r="B1" s="618"/>
      <c r="C1" s="618"/>
      <c r="D1" s="618"/>
      <c r="E1" s="619"/>
      <c r="F1" s="612" t="s">
        <v>314</v>
      </c>
      <c r="G1" s="613"/>
      <c r="H1" s="613"/>
      <c r="I1" s="613"/>
      <c r="J1" s="613"/>
      <c r="K1" s="613"/>
      <c r="L1" s="612" t="s">
        <v>315</v>
      </c>
      <c r="M1" s="613"/>
      <c r="N1" s="613"/>
      <c r="O1" s="613"/>
      <c r="P1" s="613"/>
      <c r="Q1" s="613"/>
      <c r="R1" s="613"/>
      <c r="S1" s="613"/>
      <c r="T1" s="613"/>
      <c r="U1" s="613"/>
      <c r="V1" s="613"/>
      <c r="W1" s="613"/>
      <c r="X1" s="613"/>
      <c r="Y1" s="613"/>
      <c r="Z1" s="613"/>
      <c r="AA1" s="613"/>
      <c r="AB1" s="613"/>
      <c r="AC1" s="613"/>
      <c r="AD1" s="613"/>
      <c r="AE1" s="613"/>
      <c r="AF1" s="613"/>
      <c r="AG1" s="613"/>
      <c r="AH1" s="613"/>
      <c r="AI1" s="613"/>
      <c r="AJ1" s="613"/>
      <c r="AK1" s="613"/>
      <c r="AL1" s="613"/>
      <c r="AM1" s="613"/>
      <c r="AN1" s="613"/>
      <c r="AO1" s="613"/>
      <c r="AP1" s="613"/>
      <c r="AQ1" s="613"/>
      <c r="AR1" s="613"/>
      <c r="AS1" s="613"/>
      <c r="AT1" s="613"/>
      <c r="AU1" s="614"/>
      <c r="AV1" s="615" t="s">
        <v>316</v>
      </c>
      <c r="AW1" s="615"/>
      <c r="AX1" s="615"/>
      <c r="AY1" s="615"/>
      <c r="AZ1" s="615"/>
      <c r="BA1" s="615"/>
      <c r="BB1" s="615"/>
      <c r="BC1" s="615"/>
      <c r="BD1" s="615"/>
      <c r="BE1" s="615"/>
      <c r="BF1" s="615"/>
      <c r="BG1" s="615"/>
      <c r="BH1" s="615"/>
      <c r="BI1" s="615"/>
      <c r="BJ1" s="615"/>
      <c r="BK1" s="615"/>
      <c r="BL1" s="615"/>
      <c r="BM1" s="616"/>
      <c r="BN1" s="637" t="s">
        <v>406</v>
      </c>
    </row>
    <row r="2" spans="1:66" s="7" customFormat="1" ht="30" customHeight="1" x14ac:dyDescent="0.3">
      <c r="A2" s="245" t="s">
        <v>67</v>
      </c>
      <c r="B2" s="246" t="s">
        <v>318</v>
      </c>
      <c r="C2" s="247"/>
      <c r="D2" s="248"/>
      <c r="E2" s="249"/>
      <c r="F2" s="622">
        <v>11</v>
      </c>
      <c r="G2" s="623"/>
      <c r="H2" s="624"/>
      <c r="I2" s="622">
        <v>12</v>
      </c>
      <c r="J2" s="623"/>
      <c r="K2" s="624"/>
      <c r="L2" s="622">
        <v>1</v>
      </c>
      <c r="M2" s="623"/>
      <c r="N2" s="624"/>
      <c r="O2" s="622">
        <v>2</v>
      </c>
      <c r="P2" s="623"/>
      <c r="Q2" s="624"/>
      <c r="R2" s="622">
        <v>3</v>
      </c>
      <c r="S2" s="623"/>
      <c r="T2" s="624"/>
      <c r="U2" s="622">
        <v>4</v>
      </c>
      <c r="V2" s="623"/>
      <c r="W2" s="624"/>
      <c r="X2" s="622">
        <v>5</v>
      </c>
      <c r="Y2" s="623"/>
      <c r="Z2" s="624"/>
      <c r="AA2" s="622">
        <v>6</v>
      </c>
      <c r="AB2" s="623"/>
      <c r="AC2" s="624"/>
      <c r="AD2" s="622">
        <v>7</v>
      </c>
      <c r="AE2" s="623"/>
      <c r="AF2" s="624"/>
      <c r="AG2" s="622">
        <v>8</v>
      </c>
      <c r="AH2" s="623"/>
      <c r="AI2" s="624"/>
      <c r="AJ2" s="622">
        <v>9</v>
      </c>
      <c r="AK2" s="623"/>
      <c r="AL2" s="624"/>
      <c r="AM2" s="622">
        <v>10</v>
      </c>
      <c r="AN2" s="623"/>
      <c r="AO2" s="624"/>
      <c r="AP2" s="622">
        <v>11</v>
      </c>
      <c r="AQ2" s="623"/>
      <c r="AR2" s="624"/>
      <c r="AS2" s="622">
        <v>12</v>
      </c>
      <c r="AT2" s="623"/>
      <c r="AU2" s="624"/>
      <c r="AV2" s="622">
        <v>1</v>
      </c>
      <c r="AW2" s="623"/>
      <c r="AX2" s="624"/>
      <c r="AY2" s="622">
        <v>2</v>
      </c>
      <c r="AZ2" s="623"/>
      <c r="BA2" s="624"/>
      <c r="BB2" s="622">
        <v>3</v>
      </c>
      <c r="BC2" s="623"/>
      <c r="BD2" s="624"/>
      <c r="BE2" s="622">
        <v>4</v>
      </c>
      <c r="BF2" s="623"/>
      <c r="BG2" s="624"/>
      <c r="BH2" s="622">
        <v>5</v>
      </c>
      <c r="BI2" s="623"/>
      <c r="BJ2" s="624"/>
      <c r="BK2" s="622">
        <v>6</v>
      </c>
      <c r="BL2" s="623"/>
      <c r="BM2" s="624"/>
      <c r="BN2" s="638"/>
    </row>
    <row r="3" spans="1:66" s="7" customFormat="1" ht="30" customHeight="1" x14ac:dyDescent="0.3">
      <c r="A3" s="8" t="s">
        <v>127</v>
      </c>
      <c r="B3" s="8" t="s">
        <v>133</v>
      </c>
      <c r="C3" s="8" t="s">
        <v>131</v>
      </c>
      <c r="D3" s="620" t="s">
        <v>239</v>
      </c>
      <c r="E3" s="621"/>
      <c r="F3" s="333">
        <f>G3-10</f>
        <v>-20</v>
      </c>
      <c r="G3" s="333">
        <f>H3-10</f>
        <v>-10</v>
      </c>
      <c r="H3" s="333">
        <f>I3-10</f>
        <v>0</v>
      </c>
      <c r="I3" s="333">
        <v>10</v>
      </c>
      <c r="J3" s="333">
        <f>I3+10</f>
        <v>20</v>
      </c>
      <c r="K3" s="333">
        <f>J3+11</f>
        <v>31</v>
      </c>
      <c r="L3" s="333">
        <f t="shared" ref="L3:BI3" si="0">K3+10</f>
        <v>41</v>
      </c>
      <c r="M3" s="333">
        <f t="shared" si="0"/>
        <v>51</v>
      </c>
      <c r="N3" s="333">
        <f>M3+11</f>
        <v>62</v>
      </c>
      <c r="O3" s="333">
        <f t="shared" si="0"/>
        <v>72</v>
      </c>
      <c r="P3" s="333">
        <f t="shared" si="0"/>
        <v>82</v>
      </c>
      <c r="Q3" s="333">
        <f>P3+8</f>
        <v>90</v>
      </c>
      <c r="R3" s="333">
        <f t="shared" si="0"/>
        <v>100</v>
      </c>
      <c r="S3" s="333">
        <f t="shared" si="0"/>
        <v>110</v>
      </c>
      <c r="T3" s="333">
        <f>S3+11</f>
        <v>121</v>
      </c>
      <c r="U3" s="333">
        <f t="shared" si="0"/>
        <v>131</v>
      </c>
      <c r="V3" s="333">
        <f t="shared" si="0"/>
        <v>141</v>
      </c>
      <c r="W3" s="333">
        <f>V3+10</f>
        <v>151</v>
      </c>
      <c r="X3" s="333">
        <f>W3+10</f>
        <v>161</v>
      </c>
      <c r="Y3" s="333">
        <f t="shared" si="0"/>
        <v>171</v>
      </c>
      <c r="Z3" s="333">
        <f>Y3+11</f>
        <v>182</v>
      </c>
      <c r="AA3" s="333">
        <f t="shared" si="0"/>
        <v>192</v>
      </c>
      <c r="AB3" s="333">
        <f t="shared" si="0"/>
        <v>202</v>
      </c>
      <c r="AC3" s="333">
        <f t="shared" si="0"/>
        <v>212</v>
      </c>
      <c r="AD3" s="333">
        <f t="shared" si="0"/>
        <v>222</v>
      </c>
      <c r="AE3" s="333">
        <f t="shared" si="0"/>
        <v>232</v>
      </c>
      <c r="AF3" s="333">
        <f>AE3+11</f>
        <v>243</v>
      </c>
      <c r="AG3" s="333">
        <f t="shared" si="0"/>
        <v>253</v>
      </c>
      <c r="AH3" s="333">
        <f t="shared" si="0"/>
        <v>263</v>
      </c>
      <c r="AI3" s="333">
        <f>AH3+11</f>
        <v>274</v>
      </c>
      <c r="AJ3" s="333">
        <f t="shared" si="0"/>
        <v>284</v>
      </c>
      <c r="AK3" s="333">
        <f t="shared" si="0"/>
        <v>294</v>
      </c>
      <c r="AL3" s="333">
        <f>AK3+10</f>
        <v>304</v>
      </c>
      <c r="AM3" s="333">
        <f t="shared" si="0"/>
        <v>314</v>
      </c>
      <c r="AN3" s="333">
        <f t="shared" si="0"/>
        <v>324</v>
      </c>
      <c r="AO3" s="333">
        <f>AN3+11</f>
        <v>335</v>
      </c>
      <c r="AP3" s="333">
        <f t="shared" si="0"/>
        <v>345</v>
      </c>
      <c r="AQ3" s="333">
        <f t="shared" si="0"/>
        <v>355</v>
      </c>
      <c r="AR3" s="333">
        <f>AQ3+10</f>
        <v>365</v>
      </c>
      <c r="AS3" s="333">
        <f t="shared" si="0"/>
        <v>375</v>
      </c>
      <c r="AT3" s="333">
        <f t="shared" si="0"/>
        <v>385</v>
      </c>
      <c r="AU3" s="333">
        <f>AT3+11</f>
        <v>396</v>
      </c>
      <c r="AV3" s="333">
        <f t="shared" si="0"/>
        <v>406</v>
      </c>
      <c r="AW3" s="333">
        <f t="shared" si="0"/>
        <v>416</v>
      </c>
      <c r="AX3" s="333">
        <f>AW3+11</f>
        <v>427</v>
      </c>
      <c r="AY3" s="333">
        <f t="shared" si="0"/>
        <v>437</v>
      </c>
      <c r="AZ3" s="333">
        <f t="shared" si="0"/>
        <v>447</v>
      </c>
      <c r="BA3" s="333">
        <f>AZ3+8</f>
        <v>455</v>
      </c>
      <c r="BB3" s="333">
        <f t="shared" si="0"/>
        <v>465</v>
      </c>
      <c r="BC3" s="333">
        <f t="shared" si="0"/>
        <v>475</v>
      </c>
      <c r="BD3" s="333">
        <f>BC3+11</f>
        <v>486</v>
      </c>
      <c r="BE3" s="333">
        <f t="shared" si="0"/>
        <v>496</v>
      </c>
      <c r="BF3" s="333">
        <f t="shared" si="0"/>
        <v>506</v>
      </c>
      <c r="BG3" s="333">
        <f>BF3+10</f>
        <v>516</v>
      </c>
      <c r="BH3" s="333">
        <f t="shared" si="0"/>
        <v>526</v>
      </c>
      <c r="BI3" s="333">
        <f t="shared" si="0"/>
        <v>536</v>
      </c>
      <c r="BJ3" s="333">
        <f>BI3+11</f>
        <v>547</v>
      </c>
      <c r="BK3" s="333">
        <f t="shared" ref="BK3" si="1">BJ3+10</f>
        <v>557</v>
      </c>
      <c r="BL3" s="333">
        <f t="shared" ref="BL3" si="2">BK3+10</f>
        <v>567</v>
      </c>
      <c r="BM3" s="333">
        <f>BL3+10</f>
        <v>577</v>
      </c>
      <c r="BN3" s="639"/>
    </row>
    <row r="4" spans="1:66" s="347" customFormat="1" ht="60" customHeight="1" x14ac:dyDescent="0.3">
      <c r="A4" s="632" t="s">
        <v>66</v>
      </c>
      <c r="B4" s="633"/>
      <c r="C4" s="492"/>
      <c r="D4" s="630" t="s">
        <v>65</v>
      </c>
      <c r="E4" s="631"/>
      <c r="F4" s="564"/>
      <c r="G4" s="565"/>
      <c r="H4" s="565"/>
      <c r="I4" s="565"/>
      <c r="J4" s="565"/>
      <c r="K4" s="565"/>
      <c r="L4" s="565"/>
      <c r="M4" s="565"/>
      <c r="N4" s="565"/>
      <c r="O4" s="565"/>
      <c r="P4" s="565"/>
      <c r="Q4" s="565"/>
      <c r="R4" s="565"/>
      <c r="S4" s="565"/>
      <c r="T4" s="565"/>
      <c r="U4" s="565"/>
      <c r="V4" s="565"/>
      <c r="W4" s="565"/>
      <c r="X4" s="565"/>
      <c r="Y4" s="565"/>
      <c r="Z4" s="565"/>
      <c r="AA4" s="565"/>
      <c r="AB4" s="565"/>
      <c r="AC4" s="565"/>
      <c r="AD4" s="565"/>
      <c r="AE4" s="565"/>
      <c r="AF4" s="565"/>
      <c r="AG4" s="565"/>
      <c r="AH4" s="565"/>
      <c r="AI4" s="565"/>
      <c r="AJ4" s="565"/>
      <c r="AK4" s="565"/>
      <c r="AL4" s="565"/>
      <c r="AM4" s="565"/>
      <c r="AN4" s="565"/>
      <c r="AO4" s="565"/>
      <c r="AP4" s="565"/>
      <c r="AQ4" s="565"/>
      <c r="AR4" s="565"/>
      <c r="AS4" s="565"/>
      <c r="AT4" s="565"/>
      <c r="AU4" s="565"/>
      <c r="AV4" s="565"/>
      <c r="AW4" s="565"/>
      <c r="AX4" s="565"/>
      <c r="AY4" s="565"/>
      <c r="AZ4" s="565"/>
      <c r="BA4" s="565"/>
      <c r="BB4" s="565"/>
      <c r="BC4" s="565"/>
      <c r="BD4" s="565"/>
      <c r="BE4" s="565"/>
      <c r="BF4" s="565"/>
      <c r="BG4" s="565"/>
      <c r="BH4" s="565"/>
      <c r="BI4" s="565"/>
      <c r="BJ4" s="565"/>
      <c r="BK4" s="565"/>
      <c r="BL4" s="565"/>
      <c r="BM4" s="565"/>
      <c r="BN4" s="566"/>
    </row>
    <row r="5" spans="1:66" ht="50.1" customHeight="1" x14ac:dyDescent="0.3">
      <c r="A5" s="493" t="s">
        <v>14</v>
      </c>
      <c r="B5" s="628" t="s">
        <v>166</v>
      </c>
      <c r="C5" s="629"/>
      <c r="D5" s="494">
        <v>45</v>
      </c>
      <c r="E5" s="562">
        <f>D5/30.4</f>
        <v>1.4802631578947369</v>
      </c>
      <c r="F5" s="567"/>
      <c r="G5" s="568"/>
      <c r="H5" s="569"/>
      <c r="I5" s="569"/>
      <c r="J5" s="568"/>
      <c r="K5" s="568"/>
      <c r="L5" s="568"/>
      <c r="M5" s="568"/>
      <c r="N5" s="569"/>
      <c r="O5" s="569"/>
      <c r="P5" s="568"/>
      <c r="Q5" s="568"/>
      <c r="R5" s="568"/>
      <c r="S5" s="568"/>
      <c r="T5" s="568"/>
      <c r="U5" s="568"/>
      <c r="V5" s="568"/>
      <c r="W5" s="568"/>
      <c r="X5" s="568"/>
      <c r="Y5" s="568"/>
      <c r="Z5" s="568"/>
      <c r="AA5" s="568"/>
      <c r="AB5" s="568"/>
      <c r="AC5" s="568"/>
      <c r="AD5" s="568"/>
      <c r="AE5" s="568"/>
      <c r="AF5" s="568"/>
      <c r="AG5" s="568"/>
      <c r="AH5" s="568"/>
      <c r="AI5" s="568"/>
      <c r="AJ5" s="568"/>
      <c r="AK5" s="568"/>
      <c r="AL5" s="568"/>
      <c r="AM5" s="568"/>
      <c r="AN5" s="568"/>
      <c r="AO5" s="568"/>
      <c r="AP5" s="568"/>
      <c r="AQ5" s="568"/>
      <c r="AR5" s="568"/>
      <c r="AS5" s="568"/>
      <c r="AT5" s="568"/>
      <c r="AU5" s="568"/>
      <c r="AV5" s="568"/>
      <c r="AW5" s="568"/>
      <c r="AX5" s="568"/>
      <c r="AY5" s="568"/>
      <c r="AZ5" s="568"/>
      <c r="BA5" s="568"/>
      <c r="BB5" s="568"/>
      <c r="BC5" s="568"/>
      <c r="BD5" s="568"/>
      <c r="BE5" s="568"/>
      <c r="BF5" s="568"/>
      <c r="BG5" s="568"/>
      <c r="BH5" s="568"/>
      <c r="BI5" s="568"/>
      <c r="BJ5" s="568"/>
      <c r="BK5" s="568"/>
      <c r="BL5" s="568"/>
      <c r="BM5" s="568"/>
      <c r="BN5" s="570"/>
    </row>
    <row r="6" spans="1:66" ht="30" customHeight="1" x14ac:dyDescent="0.3">
      <c r="A6" s="495" t="s">
        <v>17</v>
      </c>
      <c r="B6" s="495" t="s">
        <v>17</v>
      </c>
      <c r="C6" s="496" t="s">
        <v>396</v>
      </c>
      <c r="D6" s="497">
        <v>289.04428904428903</v>
      </c>
      <c r="E6" s="563">
        <f>D6/30.4</f>
        <v>9.5080358238252973</v>
      </c>
      <c r="F6" s="571"/>
      <c r="G6" s="572"/>
      <c r="H6" s="572"/>
      <c r="I6" s="572"/>
      <c r="J6" s="572"/>
      <c r="K6" s="572"/>
      <c r="L6" s="572"/>
      <c r="M6" s="572"/>
      <c r="N6" s="572"/>
      <c r="O6" s="572"/>
      <c r="P6" s="572"/>
      <c r="Q6" s="572"/>
      <c r="R6" s="572"/>
      <c r="S6" s="572"/>
      <c r="T6" s="572"/>
      <c r="U6" s="572"/>
      <c r="V6" s="572"/>
      <c r="W6" s="572"/>
      <c r="X6" s="572"/>
      <c r="Y6" s="572"/>
      <c r="Z6" s="572"/>
      <c r="AA6" s="572"/>
      <c r="AB6" s="572"/>
      <c r="AC6" s="572"/>
      <c r="AD6" s="572"/>
      <c r="AE6" s="572"/>
      <c r="AF6" s="572"/>
      <c r="AG6" s="572"/>
      <c r="AH6" s="572"/>
      <c r="AI6" s="572"/>
      <c r="AJ6" s="572"/>
      <c r="AK6" s="572"/>
      <c r="AL6" s="572"/>
      <c r="AM6" s="572"/>
      <c r="AN6" s="572"/>
      <c r="AO6" s="572"/>
      <c r="AP6" s="572"/>
      <c r="AQ6" s="572"/>
      <c r="AR6" s="572"/>
      <c r="AS6" s="572"/>
      <c r="AT6" s="572"/>
      <c r="AU6" s="572"/>
      <c r="AV6" s="572"/>
      <c r="AW6" s="572"/>
      <c r="AX6" s="572"/>
      <c r="AY6" s="572"/>
      <c r="AZ6" s="572"/>
      <c r="BA6" s="572"/>
      <c r="BB6" s="572"/>
      <c r="BC6" s="572"/>
      <c r="BD6" s="572"/>
      <c r="BE6" s="572"/>
      <c r="BF6" s="572"/>
      <c r="BG6" s="572"/>
      <c r="BH6" s="572"/>
      <c r="BI6" s="572"/>
      <c r="BJ6" s="572"/>
      <c r="BK6" s="572"/>
      <c r="BL6" s="572"/>
      <c r="BM6" s="572"/>
      <c r="BN6" s="573"/>
    </row>
    <row r="7" spans="1:66" ht="30" customHeight="1" x14ac:dyDescent="0.3">
      <c r="A7" s="499"/>
      <c r="B7" s="499"/>
      <c r="C7" s="500" t="s">
        <v>322</v>
      </c>
      <c r="D7" s="501">
        <v>14.735264735264737</v>
      </c>
      <c r="E7" s="502">
        <f t="shared" ref="E7:E67" si="3">D7/30.4</f>
        <v>0.48471265576528744</v>
      </c>
      <c r="F7" s="574"/>
      <c r="G7" s="572"/>
      <c r="H7" s="575"/>
      <c r="I7" s="575"/>
      <c r="J7" s="572"/>
      <c r="K7" s="572"/>
      <c r="L7" s="572"/>
      <c r="M7" s="572"/>
      <c r="N7" s="575"/>
      <c r="O7" s="575"/>
      <c r="P7" s="572"/>
      <c r="Q7" s="572"/>
      <c r="R7" s="572"/>
      <c r="S7" s="572"/>
      <c r="T7" s="572"/>
      <c r="U7" s="572"/>
      <c r="V7" s="572"/>
      <c r="W7" s="572"/>
      <c r="X7" s="572"/>
      <c r="Y7" s="572"/>
      <c r="Z7" s="572"/>
      <c r="AA7" s="572"/>
      <c r="AB7" s="572"/>
      <c r="AC7" s="572"/>
      <c r="AD7" s="572"/>
      <c r="AE7" s="572"/>
      <c r="AF7" s="572"/>
      <c r="AG7" s="572"/>
      <c r="AH7" s="572"/>
      <c r="AI7" s="572"/>
      <c r="AJ7" s="572"/>
      <c r="AK7" s="572"/>
      <c r="AL7" s="572"/>
      <c r="AM7" s="572"/>
      <c r="AN7" s="572"/>
      <c r="AO7" s="572"/>
      <c r="AP7" s="572"/>
      <c r="AQ7" s="572"/>
      <c r="AR7" s="572"/>
      <c r="AS7" s="572"/>
      <c r="AT7" s="572"/>
      <c r="AU7" s="572"/>
      <c r="AV7" s="572"/>
      <c r="AW7" s="572"/>
      <c r="AX7" s="572"/>
      <c r="AY7" s="572"/>
      <c r="AZ7" s="572"/>
      <c r="BA7" s="572"/>
      <c r="BB7" s="572"/>
      <c r="BC7" s="572"/>
      <c r="BD7" s="572"/>
      <c r="BE7" s="572"/>
      <c r="BF7" s="572"/>
      <c r="BG7" s="572"/>
      <c r="BH7" s="572"/>
      <c r="BI7" s="572"/>
      <c r="BJ7" s="572"/>
      <c r="BK7" s="572"/>
      <c r="BL7" s="572"/>
      <c r="BM7" s="572"/>
      <c r="BN7" s="573"/>
    </row>
    <row r="8" spans="1:66" ht="30" customHeight="1" x14ac:dyDescent="0.3">
      <c r="A8" s="503" t="s">
        <v>240</v>
      </c>
      <c r="B8" s="504"/>
      <c r="C8" s="503"/>
      <c r="D8" s="505">
        <f>'산정기준 (18개월)'!L9</f>
        <v>144.08261567086885</v>
      </c>
      <c r="E8" s="506">
        <f>D8/30.4</f>
        <v>4.7395597260154227</v>
      </c>
      <c r="F8" s="574"/>
      <c r="G8" s="572"/>
      <c r="H8" s="572"/>
      <c r="I8" s="572"/>
      <c r="J8" s="572"/>
      <c r="K8" s="572"/>
      <c r="L8" s="572"/>
      <c r="M8" s="572"/>
      <c r="N8" s="572"/>
      <c r="O8" s="572"/>
      <c r="P8" s="572"/>
      <c r="Q8" s="572"/>
      <c r="R8" s="572"/>
      <c r="S8" s="572"/>
      <c r="T8" s="572"/>
      <c r="U8" s="572"/>
      <c r="V8" s="572"/>
      <c r="W8" s="572"/>
      <c r="X8" s="572"/>
      <c r="Y8" s="572"/>
      <c r="Z8" s="572"/>
      <c r="AA8" s="572"/>
      <c r="AB8" s="572"/>
      <c r="AC8" s="572"/>
      <c r="AD8" s="572"/>
      <c r="AE8" s="572"/>
      <c r="AF8" s="572"/>
      <c r="AG8" s="572"/>
      <c r="AH8" s="572"/>
      <c r="AI8" s="572"/>
      <c r="AJ8" s="572"/>
      <c r="AK8" s="572"/>
      <c r="AL8" s="572"/>
      <c r="AM8" s="572"/>
      <c r="AN8" s="572"/>
      <c r="AO8" s="572"/>
      <c r="AP8" s="572"/>
      <c r="AQ8" s="572"/>
      <c r="AR8" s="572"/>
      <c r="AS8" s="572"/>
      <c r="AT8" s="572"/>
      <c r="AU8" s="572"/>
      <c r="AV8" s="572"/>
      <c r="AW8" s="572"/>
      <c r="AX8" s="572"/>
      <c r="AY8" s="572"/>
      <c r="AZ8" s="572"/>
      <c r="BA8" s="572"/>
      <c r="BB8" s="572"/>
      <c r="BC8" s="572"/>
      <c r="BD8" s="572"/>
      <c r="BE8" s="572"/>
      <c r="BF8" s="572"/>
      <c r="BG8" s="572"/>
      <c r="BH8" s="572"/>
      <c r="BI8" s="572"/>
      <c r="BJ8" s="572"/>
      <c r="BK8" s="572"/>
      <c r="BL8" s="572"/>
      <c r="BM8" s="572"/>
      <c r="BN8" s="573"/>
    </row>
    <row r="9" spans="1:66" ht="30" customHeight="1" x14ac:dyDescent="0.3">
      <c r="A9" s="507" t="s">
        <v>321</v>
      </c>
      <c r="B9" s="507" t="s">
        <v>321</v>
      </c>
      <c r="C9" s="508" t="s">
        <v>400</v>
      </c>
      <c r="D9" s="497">
        <f>'산정기준 (18개월)'!L10</f>
        <v>60</v>
      </c>
      <c r="E9" s="498">
        <f t="shared" si="3"/>
        <v>1.9736842105263159</v>
      </c>
      <c r="F9" s="574"/>
      <c r="G9" s="576"/>
      <c r="H9" s="572"/>
      <c r="I9" s="572"/>
      <c r="J9" s="572"/>
      <c r="K9" s="572"/>
      <c r="L9" s="572"/>
      <c r="M9" s="576"/>
      <c r="N9" s="572"/>
      <c r="O9" s="572"/>
      <c r="P9" s="572"/>
      <c r="Q9" s="572"/>
      <c r="R9" s="572"/>
      <c r="S9" s="572"/>
      <c r="T9" s="572"/>
      <c r="U9" s="572"/>
      <c r="V9" s="572"/>
      <c r="W9" s="572"/>
      <c r="X9" s="572"/>
      <c r="Y9" s="572"/>
      <c r="Z9" s="572"/>
      <c r="AA9" s="572"/>
      <c r="AB9" s="572"/>
      <c r="AC9" s="572"/>
      <c r="AD9" s="572"/>
      <c r="AE9" s="572"/>
      <c r="AF9" s="572"/>
      <c r="AG9" s="572"/>
      <c r="AH9" s="572"/>
      <c r="AI9" s="572"/>
      <c r="AJ9" s="572"/>
      <c r="AK9" s="572"/>
      <c r="AL9" s="572"/>
      <c r="AM9" s="572"/>
      <c r="AN9" s="572"/>
      <c r="AO9" s="572"/>
      <c r="AP9" s="572"/>
      <c r="AQ9" s="572"/>
      <c r="AR9" s="572"/>
      <c r="AS9" s="572"/>
      <c r="AT9" s="572"/>
      <c r="AU9" s="572"/>
      <c r="AV9" s="572"/>
      <c r="AW9" s="572"/>
      <c r="AX9" s="572"/>
      <c r="AY9" s="572"/>
      <c r="AZ9" s="572"/>
      <c r="BA9" s="572"/>
      <c r="BB9" s="572"/>
      <c r="BC9" s="572"/>
      <c r="BD9" s="572"/>
      <c r="BE9" s="572"/>
      <c r="BF9" s="572"/>
      <c r="BG9" s="572"/>
      <c r="BH9" s="572"/>
      <c r="BI9" s="572"/>
      <c r="BJ9" s="572"/>
      <c r="BK9" s="572"/>
      <c r="BL9" s="572"/>
      <c r="BM9" s="572"/>
      <c r="BN9" s="573"/>
    </row>
    <row r="10" spans="1:66" ht="30" customHeight="1" x14ac:dyDescent="0.3">
      <c r="A10" s="509"/>
      <c r="B10" s="509"/>
      <c r="C10" s="500" t="s">
        <v>89</v>
      </c>
      <c r="D10" s="510"/>
      <c r="E10" s="511"/>
      <c r="F10" s="574"/>
      <c r="G10" s="572"/>
      <c r="H10" s="572"/>
      <c r="I10" s="572"/>
      <c r="J10" s="572"/>
      <c r="K10" s="572"/>
      <c r="L10" s="572"/>
      <c r="M10" s="572"/>
      <c r="N10" s="572"/>
      <c r="O10" s="572"/>
      <c r="P10" s="572"/>
      <c r="Q10" s="572"/>
      <c r="R10" s="572"/>
      <c r="S10" s="572"/>
      <c r="T10" s="572"/>
      <c r="U10" s="572"/>
      <c r="V10" s="572"/>
      <c r="W10" s="572"/>
      <c r="X10" s="572"/>
      <c r="Y10" s="572"/>
      <c r="Z10" s="572"/>
      <c r="AA10" s="572"/>
      <c r="AB10" s="572"/>
      <c r="AC10" s="572"/>
      <c r="AD10" s="572"/>
      <c r="AE10" s="572"/>
      <c r="AF10" s="572"/>
      <c r="AG10" s="572"/>
      <c r="AH10" s="572"/>
      <c r="AI10" s="572"/>
      <c r="AJ10" s="572"/>
      <c r="AK10" s="572"/>
      <c r="AL10" s="572"/>
      <c r="AM10" s="572"/>
      <c r="AN10" s="572"/>
      <c r="AO10" s="572"/>
      <c r="AP10" s="572"/>
      <c r="AQ10" s="572"/>
      <c r="AR10" s="572"/>
      <c r="AS10" s="572"/>
      <c r="AT10" s="572"/>
      <c r="AU10" s="572"/>
      <c r="AV10" s="572"/>
      <c r="AW10" s="572"/>
      <c r="AX10" s="572"/>
      <c r="AY10" s="572"/>
      <c r="AZ10" s="572"/>
      <c r="BA10" s="572"/>
      <c r="BB10" s="572"/>
      <c r="BC10" s="572"/>
      <c r="BD10" s="572"/>
      <c r="BE10" s="572"/>
      <c r="BF10" s="572"/>
      <c r="BG10" s="572"/>
      <c r="BH10" s="572"/>
      <c r="BI10" s="572"/>
      <c r="BJ10" s="572"/>
      <c r="BK10" s="572"/>
      <c r="BL10" s="572"/>
      <c r="BM10" s="572"/>
      <c r="BN10" s="573"/>
    </row>
    <row r="11" spans="1:66" ht="30" customHeight="1" x14ac:dyDescent="0.3">
      <c r="A11" s="512"/>
      <c r="B11" s="509"/>
      <c r="C11" s="513" t="s">
        <v>336</v>
      </c>
      <c r="D11" s="501"/>
      <c r="E11" s="514"/>
      <c r="F11" s="574"/>
      <c r="G11" s="572"/>
      <c r="H11" s="572"/>
      <c r="I11" s="572"/>
      <c r="J11" s="572"/>
      <c r="K11" s="572"/>
      <c r="L11" s="572"/>
      <c r="M11" s="572"/>
      <c r="N11" s="572"/>
      <c r="O11" s="572"/>
      <c r="P11" s="572"/>
      <c r="Q11" s="572"/>
      <c r="R11" s="572"/>
      <c r="S11" s="572"/>
      <c r="T11" s="572"/>
      <c r="U11" s="572"/>
      <c r="V11" s="572"/>
      <c r="W11" s="572"/>
      <c r="X11" s="572"/>
      <c r="Y11" s="572"/>
      <c r="Z11" s="572"/>
      <c r="AA11" s="572"/>
      <c r="AB11" s="572"/>
      <c r="AC11" s="572"/>
      <c r="AD11" s="572"/>
      <c r="AE11" s="572"/>
      <c r="AF11" s="572"/>
      <c r="AG11" s="572"/>
      <c r="AH11" s="572"/>
      <c r="AI11" s="572"/>
      <c r="AJ11" s="572"/>
      <c r="AK11" s="572"/>
      <c r="AL11" s="572"/>
      <c r="AM11" s="572"/>
      <c r="AN11" s="572"/>
      <c r="AO11" s="572"/>
      <c r="AP11" s="572"/>
      <c r="AQ11" s="572"/>
      <c r="AR11" s="572"/>
      <c r="AS11" s="572"/>
      <c r="AT11" s="572"/>
      <c r="AU11" s="572"/>
      <c r="AV11" s="572"/>
      <c r="AW11" s="572"/>
      <c r="AX11" s="572"/>
      <c r="AY11" s="572"/>
      <c r="AZ11" s="572"/>
      <c r="BA11" s="572"/>
      <c r="BB11" s="572"/>
      <c r="BC11" s="572"/>
      <c r="BD11" s="572"/>
      <c r="BE11" s="572"/>
      <c r="BF11" s="572"/>
      <c r="BG11" s="572"/>
      <c r="BH11" s="572"/>
      <c r="BI11" s="572"/>
      <c r="BJ11" s="572"/>
      <c r="BK11" s="572"/>
      <c r="BL11" s="572"/>
      <c r="BM11" s="572"/>
      <c r="BN11" s="573"/>
    </row>
    <row r="12" spans="1:66" ht="30" customHeight="1" x14ac:dyDescent="0.3">
      <c r="A12" s="509" t="s">
        <v>125</v>
      </c>
      <c r="B12" s="507" t="s">
        <v>328</v>
      </c>
      <c r="C12" s="591" t="s">
        <v>343</v>
      </c>
      <c r="D12" s="497">
        <f>'산정기준 (18개월)'!L15</f>
        <v>13.45583968034677</v>
      </c>
      <c r="E12" s="498">
        <f t="shared" si="3"/>
        <v>0.44262630527456481</v>
      </c>
      <c r="F12" s="574"/>
      <c r="G12" s="572"/>
      <c r="H12" s="572"/>
      <c r="I12" s="572"/>
      <c r="J12" s="572"/>
      <c r="K12" s="572"/>
      <c r="L12" s="572"/>
      <c r="M12" s="572"/>
      <c r="N12" s="572"/>
      <c r="O12" s="572"/>
      <c r="P12" s="572"/>
      <c r="Q12" s="572"/>
      <c r="R12" s="572"/>
      <c r="S12" s="572"/>
      <c r="T12" s="572"/>
      <c r="U12" s="572"/>
      <c r="V12" s="572"/>
      <c r="W12" s="572"/>
      <c r="X12" s="572"/>
      <c r="Y12" s="572"/>
      <c r="Z12" s="572"/>
      <c r="AA12" s="572"/>
      <c r="AB12" s="572"/>
      <c r="AC12" s="572"/>
      <c r="AD12" s="572"/>
      <c r="AE12" s="572"/>
      <c r="AF12" s="572"/>
      <c r="AG12" s="572"/>
      <c r="AH12" s="572"/>
      <c r="AI12" s="572"/>
      <c r="AJ12" s="572"/>
      <c r="AK12" s="572"/>
      <c r="AL12" s="572"/>
      <c r="AM12" s="572"/>
      <c r="AN12" s="572"/>
      <c r="AO12" s="572"/>
      <c r="AP12" s="572"/>
      <c r="AQ12" s="572"/>
      <c r="AR12" s="572"/>
      <c r="AS12" s="572"/>
      <c r="AT12" s="572"/>
      <c r="AU12" s="572"/>
      <c r="AV12" s="572"/>
      <c r="AW12" s="572"/>
      <c r="AX12" s="572"/>
      <c r="AY12" s="572"/>
      <c r="AZ12" s="572"/>
      <c r="BA12" s="572"/>
      <c r="BB12" s="572"/>
      <c r="BC12" s="572"/>
      <c r="BD12" s="572"/>
      <c r="BE12" s="572"/>
      <c r="BF12" s="572"/>
      <c r="BG12" s="572"/>
      <c r="BH12" s="572"/>
      <c r="BI12" s="572"/>
      <c r="BJ12" s="572"/>
      <c r="BK12" s="572"/>
      <c r="BL12" s="572"/>
      <c r="BM12" s="572"/>
      <c r="BN12" s="573"/>
    </row>
    <row r="13" spans="1:66" ht="30" customHeight="1" x14ac:dyDescent="0.3">
      <c r="A13" s="509"/>
      <c r="B13" s="509"/>
      <c r="C13" s="515" t="s">
        <v>342</v>
      </c>
      <c r="D13" s="510">
        <f>'산정기준 (18개월)'!L16</f>
        <v>2.9237824161922847</v>
      </c>
      <c r="E13" s="511">
        <f t="shared" si="3"/>
        <v>9.61770531642199E-2</v>
      </c>
      <c r="F13" s="574"/>
      <c r="G13" s="572"/>
      <c r="H13" s="572"/>
      <c r="I13" s="572"/>
      <c r="J13" s="572"/>
      <c r="K13" s="572"/>
      <c r="L13" s="572"/>
      <c r="M13" s="572"/>
      <c r="N13" s="572"/>
      <c r="O13" s="572"/>
      <c r="P13" s="572"/>
      <c r="Q13" s="572"/>
      <c r="R13" s="572"/>
      <c r="S13" s="572"/>
      <c r="T13" s="572"/>
      <c r="U13" s="572"/>
      <c r="V13" s="572"/>
      <c r="W13" s="572"/>
      <c r="X13" s="572"/>
      <c r="Y13" s="572"/>
      <c r="Z13" s="572"/>
      <c r="AA13" s="572"/>
      <c r="AB13" s="572"/>
      <c r="AC13" s="572"/>
      <c r="AD13" s="572"/>
      <c r="AE13" s="572"/>
      <c r="AF13" s="572"/>
      <c r="AG13" s="572"/>
      <c r="AH13" s="572"/>
      <c r="AI13" s="572"/>
      <c r="AJ13" s="572"/>
      <c r="AK13" s="572"/>
      <c r="AL13" s="572"/>
      <c r="AM13" s="572"/>
      <c r="AN13" s="572"/>
      <c r="AO13" s="572"/>
      <c r="AP13" s="572"/>
      <c r="AQ13" s="572"/>
      <c r="AR13" s="572"/>
      <c r="AS13" s="572"/>
      <c r="AT13" s="572"/>
      <c r="AU13" s="572"/>
      <c r="AV13" s="572"/>
      <c r="AW13" s="572"/>
      <c r="AX13" s="572"/>
      <c r="AY13" s="572"/>
      <c r="AZ13" s="572"/>
      <c r="BA13" s="572"/>
      <c r="BB13" s="572"/>
      <c r="BC13" s="572"/>
      <c r="BD13" s="572"/>
      <c r="BE13" s="572"/>
      <c r="BF13" s="572"/>
      <c r="BG13" s="572"/>
      <c r="BH13" s="572"/>
      <c r="BI13" s="572"/>
      <c r="BJ13" s="572"/>
      <c r="BK13" s="572"/>
      <c r="BL13" s="572"/>
      <c r="BM13" s="572"/>
      <c r="BN13" s="573"/>
    </row>
    <row r="14" spans="1:66" ht="30" customHeight="1" x14ac:dyDescent="0.3">
      <c r="A14" s="509"/>
      <c r="B14" s="509"/>
      <c r="C14" s="515" t="s">
        <v>344</v>
      </c>
      <c r="D14" s="501">
        <f>'산정기준 (18개월)'!L17</f>
        <v>20.889846041055716</v>
      </c>
      <c r="E14" s="514">
        <f t="shared" si="3"/>
        <v>0.6871659881926222</v>
      </c>
      <c r="F14" s="574"/>
      <c r="G14" s="572"/>
      <c r="H14" s="572"/>
      <c r="I14" s="572"/>
      <c r="J14" s="572"/>
      <c r="K14" s="572"/>
      <c r="L14" s="572"/>
      <c r="M14" s="572"/>
      <c r="N14" s="572"/>
      <c r="O14" s="572"/>
      <c r="P14" s="572"/>
      <c r="Q14" s="572"/>
      <c r="R14" s="572"/>
      <c r="S14" s="572"/>
      <c r="T14" s="572"/>
      <c r="U14" s="572"/>
      <c r="V14" s="572"/>
      <c r="W14" s="572"/>
      <c r="X14" s="572"/>
      <c r="Y14" s="572"/>
      <c r="Z14" s="572"/>
      <c r="AA14" s="572"/>
      <c r="AB14" s="572"/>
      <c r="AC14" s="572"/>
      <c r="AD14" s="572"/>
      <c r="AE14" s="572"/>
      <c r="AF14" s="572"/>
      <c r="AG14" s="572"/>
      <c r="AH14" s="572"/>
      <c r="AI14" s="572"/>
      <c r="AJ14" s="572"/>
      <c r="AK14" s="572"/>
      <c r="AL14" s="572"/>
      <c r="AM14" s="572"/>
      <c r="AN14" s="572"/>
      <c r="AO14" s="572"/>
      <c r="AP14" s="572"/>
      <c r="AQ14" s="572"/>
      <c r="AR14" s="572"/>
      <c r="AS14" s="572"/>
      <c r="AT14" s="572"/>
      <c r="AU14" s="572"/>
      <c r="AV14" s="572"/>
      <c r="AW14" s="572"/>
      <c r="AX14" s="572"/>
      <c r="AY14" s="572"/>
      <c r="AZ14" s="572"/>
      <c r="BA14" s="572"/>
      <c r="BB14" s="572"/>
      <c r="BC14" s="572"/>
      <c r="BD14" s="572"/>
      <c r="BE14" s="572"/>
      <c r="BF14" s="572"/>
      <c r="BG14" s="572"/>
      <c r="BH14" s="572"/>
      <c r="BI14" s="572"/>
      <c r="BJ14" s="572"/>
      <c r="BK14" s="572"/>
      <c r="BL14" s="572"/>
      <c r="BM14" s="572"/>
      <c r="BN14" s="573"/>
    </row>
    <row r="15" spans="1:66" ht="30" customHeight="1" x14ac:dyDescent="0.3">
      <c r="A15" s="509"/>
      <c r="B15" s="507" t="s">
        <v>121</v>
      </c>
      <c r="C15" s="516" t="s">
        <v>393</v>
      </c>
      <c r="D15" s="497">
        <f>'산정기준 (18개월)'!L18</f>
        <v>4.8269271051529108</v>
      </c>
      <c r="E15" s="498">
        <f t="shared" si="3"/>
        <v>0.15878049688002996</v>
      </c>
      <c r="F15" s="574"/>
      <c r="G15" s="572"/>
      <c r="H15" s="572"/>
      <c r="I15" s="572"/>
      <c r="J15" s="572"/>
      <c r="K15" s="572"/>
      <c r="L15" s="572"/>
      <c r="M15" s="572"/>
      <c r="N15" s="572"/>
      <c r="O15" s="572"/>
      <c r="P15" s="572"/>
      <c r="Q15" s="572"/>
      <c r="R15" s="572"/>
      <c r="S15" s="572"/>
      <c r="T15" s="572"/>
      <c r="U15" s="572"/>
      <c r="V15" s="572"/>
      <c r="W15" s="572"/>
      <c r="X15" s="572"/>
      <c r="Y15" s="572"/>
      <c r="Z15" s="572"/>
      <c r="AA15" s="572"/>
      <c r="AB15" s="572"/>
      <c r="AC15" s="572"/>
      <c r="AD15" s="572"/>
      <c r="AE15" s="572"/>
      <c r="AF15" s="572"/>
      <c r="AG15" s="572"/>
      <c r="AH15" s="572"/>
      <c r="AI15" s="572"/>
      <c r="AJ15" s="572"/>
      <c r="AK15" s="572"/>
      <c r="AL15" s="572"/>
      <c r="AM15" s="572"/>
      <c r="AN15" s="572"/>
      <c r="AO15" s="572"/>
      <c r="AP15" s="572"/>
      <c r="AQ15" s="572"/>
      <c r="AR15" s="572"/>
      <c r="AS15" s="572"/>
      <c r="AT15" s="572"/>
      <c r="AU15" s="572"/>
      <c r="AV15" s="572"/>
      <c r="AW15" s="572"/>
      <c r="AX15" s="572"/>
      <c r="AY15" s="572"/>
      <c r="AZ15" s="572"/>
      <c r="BA15" s="572"/>
      <c r="BB15" s="572"/>
      <c r="BC15" s="572"/>
      <c r="BD15" s="572"/>
      <c r="BE15" s="572"/>
      <c r="BF15" s="572"/>
      <c r="BG15" s="572"/>
      <c r="BH15" s="572"/>
      <c r="BI15" s="572"/>
      <c r="BJ15" s="572"/>
      <c r="BK15" s="572"/>
      <c r="BL15" s="572"/>
      <c r="BM15" s="572"/>
      <c r="BN15" s="573"/>
    </row>
    <row r="16" spans="1:66" ht="30" customHeight="1" x14ac:dyDescent="0.3">
      <c r="A16" s="509"/>
      <c r="B16" s="509"/>
      <c r="C16" s="515" t="s">
        <v>394</v>
      </c>
      <c r="D16" s="510">
        <f>'산정기준 (18개월)'!L19</f>
        <v>28.111198865243836</v>
      </c>
      <c r="E16" s="511">
        <f t="shared" si="3"/>
        <v>0.92471048898828412</v>
      </c>
      <c r="F16" s="574"/>
      <c r="G16" s="572"/>
      <c r="H16" s="572"/>
      <c r="I16" s="572"/>
      <c r="J16" s="572"/>
      <c r="K16" s="572"/>
      <c r="L16" s="572"/>
      <c r="M16" s="572"/>
      <c r="N16" s="572"/>
      <c r="O16" s="572"/>
      <c r="P16" s="572"/>
      <c r="Q16" s="572"/>
      <c r="R16" s="572"/>
      <c r="S16" s="572"/>
      <c r="T16" s="572"/>
      <c r="U16" s="572"/>
      <c r="V16" s="572"/>
      <c r="W16" s="572"/>
      <c r="X16" s="572"/>
      <c r="Y16" s="572"/>
      <c r="Z16" s="572"/>
      <c r="AA16" s="572"/>
      <c r="AB16" s="572"/>
      <c r="AC16" s="572"/>
      <c r="AD16" s="572"/>
      <c r="AE16" s="572"/>
      <c r="AF16" s="572"/>
      <c r="AG16" s="572"/>
      <c r="AH16" s="572"/>
      <c r="AI16" s="572"/>
      <c r="AJ16" s="572"/>
      <c r="AK16" s="572"/>
      <c r="AL16" s="572"/>
      <c r="AM16" s="572"/>
      <c r="AN16" s="572"/>
      <c r="AO16" s="572"/>
      <c r="AP16" s="572"/>
      <c r="AQ16" s="572"/>
      <c r="AR16" s="572"/>
      <c r="AS16" s="572"/>
      <c r="AT16" s="572"/>
      <c r="AU16" s="572"/>
      <c r="AV16" s="572"/>
      <c r="AW16" s="572"/>
      <c r="AX16" s="572"/>
      <c r="AY16" s="572"/>
      <c r="AZ16" s="572"/>
      <c r="BA16" s="572"/>
      <c r="BB16" s="572"/>
      <c r="BC16" s="572"/>
      <c r="BD16" s="572"/>
      <c r="BE16" s="572"/>
      <c r="BF16" s="572"/>
      <c r="BG16" s="572"/>
      <c r="BH16" s="572"/>
      <c r="BI16" s="572"/>
      <c r="BJ16" s="572"/>
      <c r="BK16" s="572"/>
      <c r="BL16" s="572"/>
      <c r="BM16" s="572"/>
      <c r="BN16" s="573"/>
    </row>
    <row r="17" spans="1:66" ht="30" customHeight="1" x14ac:dyDescent="0.3">
      <c r="A17" s="509"/>
      <c r="B17" s="512"/>
      <c r="C17" s="590" t="s">
        <v>228</v>
      </c>
      <c r="D17" s="501">
        <f>'산정기준 (18개월)'!L20</f>
        <v>6.4516129032258061</v>
      </c>
      <c r="E17" s="514" t="s">
        <v>418</v>
      </c>
      <c r="F17" s="574"/>
      <c r="G17" s="572"/>
      <c r="H17" s="572"/>
      <c r="I17" s="572"/>
      <c r="J17" s="572"/>
      <c r="K17" s="572"/>
      <c r="L17" s="572"/>
      <c r="M17" s="572"/>
      <c r="N17" s="572"/>
      <c r="O17" s="572"/>
      <c r="P17" s="572"/>
      <c r="Q17" s="572"/>
      <c r="R17" s="572"/>
      <c r="S17" s="572"/>
      <c r="T17" s="572"/>
      <c r="U17" s="572"/>
      <c r="V17" s="572"/>
      <c r="W17" s="572"/>
      <c r="X17" s="572"/>
      <c r="Y17" s="572"/>
      <c r="Z17" s="572"/>
      <c r="AA17" s="572"/>
      <c r="AB17" s="572"/>
      <c r="AC17" s="572"/>
      <c r="AD17" s="572"/>
      <c r="AE17" s="572"/>
      <c r="AF17" s="572"/>
      <c r="AG17" s="572"/>
      <c r="AH17" s="572"/>
      <c r="AI17" s="572"/>
      <c r="AJ17" s="572"/>
      <c r="AK17" s="572"/>
      <c r="AL17" s="572"/>
      <c r="AM17" s="572"/>
      <c r="AN17" s="572"/>
      <c r="AO17" s="572"/>
      <c r="AP17" s="572"/>
      <c r="AQ17" s="572"/>
      <c r="AR17" s="572"/>
      <c r="AS17" s="572"/>
      <c r="AT17" s="572"/>
      <c r="AU17" s="572"/>
      <c r="AV17" s="572"/>
      <c r="AW17" s="572"/>
      <c r="AX17" s="572"/>
      <c r="AY17" s="572"/>
      <c r="AZ17" s="572"/>
      <c r="BA17" s="572"/>
      <c r="BB17" s="572"/>
      <c r="BC17" s="572"/>
      <c r="BD17" s="572"/>
      <c r="BE17" s="572"/>
      <c r="BF17" s="572"/>
      <c r="BG17" s="572"/>
      <c r="BH17" s="572"/>
      <c r="BI17" s="572"/>
      <c r="BJ17" s="572"/>
      <c r="BK17" s="572"/>
      <c r="BL17" s="572"/>
      <c r="BM17" s="572"/>
      <c r="BN17" s="573"/>
    </row>
    <row r="18" spans="1:66" ht="30" customHeight="1" x14ac:dyDescent="0.3">
      <c r="A18" s="509"/>
      <c r="B18" s="634" t="s">
        <v>223</v>
      </c>
      <c r="C18" s="516" t="s">
        <v>324</v>
      </c>
      <c r="D18" s="497">
        <f>'산정기준 (18개월)'!L21</f>
        <v>9.9952561669829265</v>
      </c>
      <c r="E18" s="498">
        <f t="shared" si="3"/>
        <v>0.32879132128233313</v>
      </c>
      <c r="F18" s="574"/>
      <c r="G18" s="572"/>
      <c r="H18" s="572"/>
      <c r="I18" s="572"/>
      <c r="J18" s="572"/>
      <c r="K18" s="572"/>
      <c r="L18" s="572"/>
      <c r="M18" s="572"/>
      <c r="N18" s="572"/>
      <c r="O18" s="572"/>
      <c r="P18" s="572"/>
      <c r="Q18" s="572"/>
      <c r="R18" s="572"/>
      <c r="S18" s="572"/>
      <c r="T18" s="572"/>
      <c r="U18" s="572"/>
      <c r="V18" s="572"/>
      <c r="W18" s="572"/>
      <c r="X18" s="572"/>
      <c r="Y18" s="572"/>
      <c r="Z18" s="572"/>
      <c r="AA18" s="572"/>
      <c r="AB18" s="572"/>
      <c r="AC18" s="572"/>
      <c r="AD18" s="572"/>
      <c r="AE18" s="572"/>
      <c r="AF18" s="572"/>
      <c r="AG18" s="572"/>
      <c r="AH18" s="572"/>
      <c r="AI18" s="572"/>
      <c r="AJ18" s="572"/>
      <c r="AK18" s="572"/>
      <c r="AL18" s="572"/>
      <c r="AM18" s="572"/>
      <c r="AN18" s="572"/>
      <c r="AO18" s="572"/>
      <c r="AP18" s="572"/>
      <c r="AQ18" s="572"/>
      <c r="AR18" s="572"/>
      <c r="AS18" s="572"/>
      <c r="AT18" s="572"/>
      <c r="AU18" s="572"/>
      <c r="AV18" s="572"/>
      <c r="AW18" s="572"/>
      <c r="AX18" s="572"/>
      <c r="AY18" s="572"/>
      <c r="AZ18" s="572"/>
      <c r="BA18" s="572"/>
      <c r="BB18" s="572"/>
      <c r="BC18" s="572"/>
      <c r="BD18" s="572"/>
      <c r="BE18" s="572"/>
      <c r="BF18" s="572"/>
      <c r="BG18" s="572"/>
      <c r="BH18" s="572"/>
      <c r="BI18" s="572"/>
      <c r="BJ18" s="572"/>
      <c r="BK18" s="572"/>
      <c r="BL18" s="572"/>
      <c r="BM18" s="572"/>
      <c r="BN18" s="573"/>
    </row>
    <row r="19" spans="1:66" ht="30" customHeight="1" x14ac:dyDescent="0.3">
      <c r="A19" s="517"/>
      <c r="B19" s="635"/>
      <c r="C19" s="518" t="s">
        <v>256</v>
      </c>
      <c r="D19" s="501">
        <f>'산정기준 (18개월)'!L22</f>
        <v>3.8797653958944278</v>
      </c>
      <c r="E19" s="514">
        <f t="shared" si="3"/>
        <v>0.12762386170705356</v>
      </c>
      <c r="F19" s="574"/>
      <c r="G19" s="572"/>
      <c r="H19" s="572"/>
      <c r="I19" s="572"/>
      <c r="J19" s="572"/>
      <c r="K19" s="572"/>
      <c r="L19" s="572"/>
      <c r="M19" s="572"/>
      <c r="N19" s="572"/>
      <c r="O19" s="572"/>
      <c r="P19" s="572"/>
      <c r="Q19" s="572"/>
      <c r="R19" s="572"/>
      <c r="S19" s="572"/>
      <c r="T19" s="572"/>
      <c r="U19" s="572"/>
      <c r="V19" s="572"/>
      <c r="W19" s="572"/>
      <c r="X19" s="572"/>
      <c r="Y19" s="572"/>
      <c r="Z19" s="572"/>
      <c r="AA19" s="572"/>
      <c r="AB19" s="572"/>
      <c r="AC19" s="572"/>
      <c r="AD19" s="572"/>
      <c r="AE19" s="572"/>
      <c r="AF19" s="572"/>
      <c r="AG19" s="572"/>
      <c r="AH19" s="572"/>
      <c r="AI19" s="572"/>
      <c r="AJ19" s="572"/>
      <c r="AK19" s="572"/>
      <c r="AL19" s="572"/>
      <c r="AM19" s="572"/>
      <c r="AN19" s="572"/>
      <c r="AO19" s="572"/>
      <c r="AP19" s="572"/>
      <c r="AQ19" s="572"/>
      <c r="AR19" s="572"/>
      <c r="AS19" s="572"/>
      <c r="AT19" s="572"/>
      <c r="AU19" s="572"/>
      <c r="AV19" s="572"/>
      <c r="AW19" s="572"/>
      <c r="AX19" s="572"/>
      <c r="AY19" s="572"/>
      <c r="AZ19" s="572"/>
      <c r="BA19" s="572"/>
      <c r="BB19" s="572"/>
      <c r="BC19" s="572"/>
      <c r="BD19" s="572"/>
      <c r="BE19" s="572"/>
      <c r="BF19" s="572"/>
      <c r="BG19" s="572"/>
      <c r="BH19" s="572"/>
      <c r="BI19" s="572"/>
      <c r="BJ19" s="572"/>
      <c r="BK19" s="572"/>
      <c r="BL19" s="572"/>
      <c r="BM19" s="572"/>
      <c r="BN19" s="573"/>
    </row>
    <row r="20" spans="1:66" ht="30" customHeight="1" x14ac:dyDescent="0.3">
      <c r="A20" s="519" t="s">
        <v>9</v>
      </c>
      <c r="B20" s="504"/>
      <c r="C20" s="520"/>
      <c r="D20" s="505">
        <f>'산정기준 (18개월)'!L23</f>
        <v>148.23919309525888</v>
      </c>
      <c r="E20" s="521">
        <f t="shared" si="3"/>
        <v>4.8762892465545686</v>
      </c>
      <c r="F20" s="574"/>
      <c r="G20" s="572"/>
      <c r="H20" s="572"/>
      <c r="I20" s="572"/>
      <c r="J20" s="572"/>
      <c r="K20" s="572"/>
      <c r="L20" s="572"/>
      <c r="M20" s="572"/>
      <c r="N20" s="572"/>
      <c r="O20" s="572"/>
      <c r="P20" s="572"/>
      <c r="Q20" s="572"/>
      <c r="R20" s="572"/>
      <c r="S20" s="572"/>
      <c r="T20" s="572"/>
      <c r="U20" s="572"/>
      <c r="V20" s="572"/>
      <c r="W20" s="572"/>
      <c r="X20" s="572"/>
      <c r="Y20" s="572"/>
      <c r="Z20" s="572"/>
      <c r="AA20" s="572"/>
      <c r="AB20" s="572"/>
      <c r="AC20" s="572"/>
      <c r="AD20" s="572"/>
      <c r="AE20" s="572"/>
      <c r="AF20" s="572"/>
      <c r="AG20" s="572"/>
      <c r="AH20" s="572"/>
      <c r="AI20" s="572"/>
      <c r="AJ20" s="572"/>
      <c r="AK20" s="572"/>
      <c r="AL20" s="572"/>
      <c r="AM20" s="572"/>
      <c r="AN20" s="572"/>
      <c r="AO20" s="572"/>
      <c r="AP20" s="572"/>
      <c r="AQ20" s="572"/>
      <c r="AR20" s="572"/>
      <c r="AS20" s="572"/>
      <c r="AT20" s="572"/>
      <c r="AU20" s="572"/>
      <c r="AV20" s="572"/>
      <c r="AW20" s="572"/>
      <c r="AX20" s="572"/>
      <c r="AY20" s="572"/>
      <c r="AZ20" s="572"/>
      <c r="BA20" s="572"/>
      <c r="BB20" s="572"/>
      <c r="BC20" s="572"/>
      <c r="BD20" s="572"/>
      <c r="BE20" s="572"/>
      <c r="BF20" s="572"/>
      <c r="BG20" s="572"/>
      <c r="BH20" s="572"/>
      <c r="BI20" s="572"/>
      <c r="BJ20" s="572"/>
      <c r="BK20" s="572"/>
      <c r="BL20" s="572"/>
      <c r="BM20" s="572"/>
      <c r="BN20" s="573"/>
    </row>
    <row r="21" spans="1:66" ht="30" customHeight="1" x14ac:dyDescent="0.3">
      <c r="A21" s="507" t="s">
        <v>8</v>
      </c>
      <c r="B21" s="507" t="s">
        <v>16</v>
      </c>
      <c r="C21" s="508" t="s">
        <v>415</v>
      </c>
      <c r="D21" s="497">
        <f>'산정기준 (18개월)'!L24</f>
        <v>15.971752452014059</v>
      </c>
      <c r="E21" s="498">
        <f t="shared" si="3"/>
        <v>0.52538659381625197</v>
      </c>
      <c r="F21" s="574"/>
      <c r="G21" s="572"/>
      <c r="H21" s="572"/>
      <c r="I21" s="572"/>
      <c r="J21" s="572"/>
      <c r="K21" s="572"/>
      <c r="L21" s="572"/>
      <c r="M21" s="572"/>
      <c r="N21" s="572"/>
      <c r="O21" s="572"/>
      <c r="P21" s="572"/>
      <c r="Q21" s="572"/>
      <c r="R21" s="572"/>
      <c r="S21" s="572"/>
      <c r="T21" s="572"/>
      <c r="U21" s="572"/>
      <c r="V21" s="572"/>
      <c r="W21" s="572"/>
      <c r="X21" s="572"/>
      <c r="Y21" s="572"/>
      <c r="Z21" s="572"/>
      <c r="AA21" s="572"/>
      <c r="AB21" s="572"/>
      <c r="AC21" s="572"/>
      <c r="AD21" s="572"/>
      <c r="AE21" s="572"/>
      <c r="AF21" s="572"/>
      <c r="AG21" s="572"/>
      <c r="AH21" s="572"/>
      <c r="AI21" s="572"/>
      <c r="AJ21" s="572"/>
      <c r="AK21" s="572"/>
      <c r="AL21" s="572"/>
      <c r="AM21" s="572"/>
      <c r="AN21" s="572"/>
      <c r="AO21" s="572"/>
      <c r="AP21" s="572"/>
      <c r="AQ21" s="572"/>
      <c r="AR21" s="572"/>
      <c r="AS21" s="572"/>
      <c r="AT21" s="572"/>
      <c r="AU21" s="572"/>
      <c r="AV21" s="572"/>
      <c r="AW21" s="572"/>
      <c r="AX21" s="572"/>
      <c r="AY21" s="572"/>
      <c r="AZ21" s="572"/>
      <c r="BA21" s="572"/>
      <c r="BB21" s="572"/>
      <c r="BC21" s="572"/>
      <c r="BD21" s="572"/>
      <c r="BE21" s="572"/>
      <c r="BF21" s="572"/>
      <c r="BG21" s="572"/>
      <c r="BH21" s="572"/>
      <c r="BI21" s="572"/>
      <c r="BJ21" s="572"/>
      <c r="BK21" s="572"/>
      <c r="BL21" s="572"/>
      <c r="BM21" s="572"/>
      <c r="BN21" s="573"/>
    </row>
    <row r="22" spans="1:66" ht="30" hidden="1" customHeight="1" x14ac:dyDescent="0.3">
      <c r="A22" s="636"/>
      <c r="B22" s="509"/>
      <c r="C22" s="500"/>
      <c r="D22" s="510">
        <v>148.67463115285457</v>
      </c>
      <c r="E22" s="511">
        <f t="shared" si="3"/>
        <v>4.8906128668702165</v>
      </c>
      <c r="F22" s="574"/>
      <c r="G22" s="572"/>
      <c r="H22" s="572"/>
      <c r="I22" s="572"/>
      <c r="J22" s="572"/>
      <c r="K22" s="572"/>
      <c r="L22" s="572"/>
      <c r="M22" s="572"/>
      <c r="N22" s="572"/>
      <c r="O22" s="572"/>
      <c r="P22" s="572"/>
      <c r="Q22" s="572"/>
      <c r="R22" s="572"/>
      <c r="S22" s="572"/>
      <c r="T22" s="572"/>
      <c r="U22" s="572"/>
      <c r="V22" s="572"/>
      <c r="W22" s="572"/>
      <c r="X22" s="572"/>
      <c r="Y22" s="572"/>
      <c r="Z22" s="572"/>
      <c r="AA22" s="572"/>
      <c r="AB22" s="572"/>
      <c r="AC22" s="572"/>
      <c r="AD22" s="572"/>
      <c r="AE22" s="572"/>
      <c r="AF22" s="572"/>
      <c r="AG22" s="572"/>
      <c r="AH22" s="572"/>
      <c r="AI22" s="572"/>
      <c r="AJ22" s="572"/>
      <c r="AK22" s="572"/>
      <c r="AL22" s="572"/>
      <c r="AM22" s="572"/>
      <c r="AN22" s="572"/>
      <c r="AO22" s="572"/>
      <c r="AP22" s="572"/>
      <c r="AQ22" s="572"/>
      <c r="AR22" s="572"/>
      <c r="AS22" s="572"/>
      <c r="AT22" s="572"/>
      <c r="AU22" s="572"/>
      <c r="AV22" s="572"/>
      <c r="AW22" s="572"/>
      <c r="AX22" s="572"/>
      <c r="AY22" s="572"/>
      <c r="AZ22" s="572"/>
      <c r="BA22" s="572"/>
      <c r="BB22" s="572"/>
      <c r="BC22" s="572"/>
      <c r="BD22" s="572"/>
      <c r="BE22" s="572"/>
      <c r="BF22" s="572"/>
      <c r="BG22" s="572"/>
      <c r="BH22" s="572"/>
      <c r="BI22" s="572"/>
      <c r="BJ22" s="572"/>
      <c r="BK22" s="572"/>
      <c r="BL22" s="572"/>
      <c r="BM22" s="572"/>
      <c r="BN22" s="573"/>
    </row>
    <row r="23" spans="1:66" ht="30" hidden="1" customHeight="1" x14ac:dyDescent="0.3">
      <c r="A23" s="636"/>
      <c r="B23" s="509"/>
      <c r="C23" s="500"/>
      <c r="D23" s="510">
        <v>16.217211948140505</v>
      </c>
      <c r="E23" s="511">
        <f t="shared" si="3"/>
        <v>0.53346091934672712</v>
      </c>
      <c r="F23" s="574"/>
      <c r="G23" s="572"/>
      <c r="H23" s="572"/>
      <c r="I23" s="572"/>
      <c r="J23" s="572"/>
      <c r="K23" s="572"/>
      <c r="L23" s="572"/>
      <c r="M23" s="572"/>
      <c r="N23" s="572"/>
      <c r="O23" s="572"/>
      <c r="P23" s="572"/>
      <c r="Q23" s="572"/>
      <c r="R23" s="572"/>
      <c r="S23" s="572"/>
      <c r="T23" s="572"/>
      <c r="U23" s="572"/>
      <c r="V23" s="572"/>
      <c r="W23" s="572"/>
      <c r="X23" s="572"/>
      <c r="Y23" s="572"/>
      <c r="Z23" s="572"/>
      <c r="AA23" s="572"/>
      <c r="AB23" s="572"/>
      <c r="AC23" s="572"/>
      <c r="AD23" s="572"/>
      <c r="AE23" s="572"/>
      <c r="AF23" s="572"/>
      <c r="AG23" s="572"/>
      <c r="AH23" s="572"/>
      <c r="AI23" s="572"/>
      <c r="AJ23" s="572"/>
      <c r="AK23" s="572"/>
      <c r="AL23" s="572"/>
      <c r="AM23" s="572"/>
      <c r="AN23" s="572"/>
      <c r="AO23" s="572"/>
      <c r="AP23" s="572"/>
      <c r="AQ23" s="572"/>
      <c r="AR23" s="572"/>
      <c r="AS23" s="572"/>
      <c r="AT23" s="572"/>
      <c r="AU23" s="572"/>
      <c r="AV23" s="572"/>
      <c r="AW23" s="572"/>
      <c r="AX23" s="572"/>
      <c r="AY23" s="572"/>
      <c r="AZ23" s="572"/>
      <c r="BA23" s="572"/>
      <c r="BB23" s="572"/>
      <c r="BC23" s="572"/>
      <c r="BD23" s="572"/>
      <c r="BE23" s="572"/>
      <c r="BF23" s="572"/>
      <c r="BG23" s="572"/>
      <c r="BH23" s="572"/>
      <c r="BI23" s="572"/>
      <c r="BJ23" s="572"/>
      <c r="BK23" s="572"/>
      <c r="BL23" s="572"/>
      <c r="BM23" s="572"/>
      <c r="BN23" s="573"/>
    </row>
    <row r="24" spans="1:66" ht="30" hidden="1" customHeight="1" x14ac:dyDescent="0.3">
      <c r="A24" s="509"/>
      <c r="B24" s="509"/>
      <c r="C24" s="500"/>
      <c r="D24" s="510"/>
      <c r="E24" s="511">
        <f t="shared" si="3"/>
        <v>0</v>
      </c>
      <c r="F24" s="574"/>
      <c r="G24" s="572"/>
      <c r="H24" s="572"/>
      <c r="I24" s="572"/>
      <c r="J24" s="572"/>
      <c r="K24" s="572"/>
      <c r="L24" s="572"/>
      <c r="M24" s="572"/>
      <c r="N24" s="572"/>
      <c r="O24" s="572"/>
      <c r="P24" s="572"/>
      <c r="Q24" s="572"/>
      <c r="R24" s="572"/>
      <c r="S24" s="572"/>
      <c r="T24" s="572"/>
      <c r="U24" s="572"/>
      <c r="V24" s="572"/>
      <c r="W24" s="572"/>
      <c r="X24" s="572"/>
      <c r="Y24" s="572"/>
      <c r="Z24" s="572"/>
      <c r="AA24" s="572"/>
      <c r="AB24" s="572"/>
      <c r="AC24" s="572"/>
      <c r="AD24" s="572"/>
      <c r="AE24" s="572"/>
      <c r="AF24" s="572"/>
      <c r="AG24" s="572"/>
      <c r="AH24" s="572"/>
      <c r="AI24" s="572"/>
      <c r="AJ24" s="572"/>
      <c r="AK24" s="572"/>
      <c r="AL24" s="572"/>
      <c r="AM24" s="572"/>
      <c r="AN24" s="572"/>
      <c r="AO24" s="572"/>
      <c r="AP24" s="572"/>
      <c r="AQ24" s="572"/>
      <c r="AR24" s="572"/>
      <c r="AS24" s="572"/>
      <c r="AT24" s="572"/>
      <c r="AU24" s="572"/>
      <c r="AV24" s="572"/>
      <c r="AW24" s="572"/>
      <c r="AX24" s="572"/>
      <c r="AY24" s="572"/>
      <c r="AZ24" s="572"/>
      <c r="BA24" s="572"/>
      <c r="BB24" s="572"/>
      <c r="BC24" s="572"/>
      <c r="BD24" s="572"/>
      <c r="BE24" s="572"/>
      <c r="BF24" s="572"/>
      <c r="BG24" s="572"/>
      <c r="BH24" s="572"/>
      <c r="BI24" s="572"/>
      <c r="BJ24" s="572"/>
      <c r="BK24" s="572"/>
      <c r="BL24" s="572"/>
      <c r="BM24" s="572"/>
      <c r="BN24" s="573"/>
    </row>
    <row r="25" spans="1:66" ht="30" hidden="1" customHeight="1" x14ac:dyDescent="0.3">
      <c r="A25" s="509"/>
      <c r="B25" s="512"/>
      <c r="C25" s="522"/>
      <c r="D25" s="501"/>
      <c r="E25" s="514">
        <f t="shared" si="3"/>
        <v>0</v>
      </c>
      <c r="F25" s="574"/>
      <c r="G25" s="572"/>
      <c r="H25" s="572"/>
      <c r="I25" s="572"/>
      <c r="J25" s="572"/>
      <c r="K25" s="572"/>
      <c r="L25" s="572"/>
      <c r="M25" s="572"/>
      <c r="N25" s="572"/>
      <c r="O25" s="572"/>
      <c r="P25" s="572"/>
      <c r="Q25" s="572"/>
      <c r="R25" s="572"/>
      <c r="S25" s="572"/>
      <c r="T25" s="572"/>
      <c r="U25" s="572"/>
      <c r="V25" s="572"/>
      <c r="W25" s="572"/>
      <c r="X25" s="572"/>
      <c r="Y25" s="572"/>
      <c r="Z25" s="572"/>
      <c r="AA25" s="572"/>
      <c r="AB25" s="572"/>
      <c r="AC25" s="572"/>
      <c r="AD25" s="572"/>
      <c r="AE25" s="572"/>
      <c r="AF25" s="572"/>
      <c r="AG25" s="572"/>
      <c r="AH25" s="572"/>
      <c r="AI25" s="572"/>
      <c r="AJ25" s="572"/>
      <c r="AK25" s="572"/>
      <c r="AL25" s="572"/>
      <c r="AM25" s="572"/>
      <c r="AN25" s="572"/>
      <c r="AO25" s="572"/>
      <c r="AP25" s="572"/>
      <c r="AQ25" s="572"/>
      <c r="AR25" s="572"/>
      <c r="AS25" s="572"/>
      <c r="AT25" s="572"/>
      <c r="AU25" s="572"/>
      <c r="AV25" s="572"/>
      <c r="AW25" s="572"/>
      <c r="AX25" s="572"/>
      <c r="AY25" s="572"/>
      <c r="AZ25" s="572"/>
      <c r="BA25" s="572"/>
      <c r="BB25" s="572"/>
      <c r="BC25" s="572"/>
      <c r="BD25" s="572"/>
      <c r="BE25" s="572"/>
      <c r="BF25" s="572"/>
      <c r="BG25" s="572"/>
      <c r="BH25" s="572"/>
      <c r="BI25" s="572"/>
      <c r="BJ25" s="572"/>
      <c r="BK25" s="572"/>
      <c r="BL25" s="572"/>
      <c r="BM25" s="572"/>
      <c r="BN25" s="573"/>
    </row>
    <row r="26" spans="1:66" ht="30" customHeight="1" x14ac:dyDescent="0.3">
      <c r="A26" s="509"/>
      <c r="B26" s="523" t="s">
        <v>317</v>
      </c>
      <c r="C26" s="508" t="s">
        <v>414</v>
      </c>
      <c r="D26" s="497">
        <f>'산정기준 (18개월)'!L29</f>
        <v>39.691765116440735</v>
      </c>
      <c r="E26" s="498">
        <f t="shared" si="3"/>
        <v>1.3056501683039716</v>
      </c>
      <c r="F26" s="574"/>
      <c r="G26" s="572"/>
      <c r="H26" s="572"/>
      <c r="I26" s="572"/>
      <c r="J26" s="572"/>
      <c r="K26" s="572"/>
      <c r="L26" s="572"/>
      <c r="M26" s="572"/>
      <c r="N26" s="572"/>
      <c r="O26" s="572"/>
      <c r="P26" s="572"/>
      <c r="Q26" s="572"/>
      <c r="R26" s="572"/>
      <c r="S26" s="572"/>
      <c r="T26" s="572"/>
      <c r="U26" s="572"/>
      <c r="V26" s="572"/>
      <c r="W26" s="572"/>
      <c r="X26" s="572"/>
      <c r="Y26" s="572"/>
      <c r="Z26" s="572"/>
      <c r="AA26" s="572"/>
      <c r="AB26" s="572"/>
      <c r="AC26" s="572"/>
      <c r="AD26" s="572"/>
      <c r="AE26" s="572"/>
      <c r="AF26" s="572"/>
      <c r="AG26" s="572"/>
      <c r="AH26" s="572"/>
      <c r="AI26" s="572"/>
      <c r="AJ26" s="572"/>
      <c r="AK26" s="572"/>
      <c r="AL26" s="572"/>
      <c r="AM26" s="572"/>
      <c r="AN26" s="572"/>
      <c r="AO26" s="572"/>
      <c r="AP26" s="572"/>
      <c r="AQ26" s="572"/>
      <c r="AR26" s="572"/>
      <c r="AS26" s="572"/>
      <c r="AT26" s="572"/>
      <c r="AU26" s="572"/>
      <c r="AV26" s="572"/>
      <c r="AW26" s="572"/>
      <c r="AX26" s="572"/>
      <c r="AY26" s="572"/>
      <c r="AZ26" s="572"/>
      <c r="BA26" s="572"/>
      <c r="BB26" s="572"/>
      <c r="BC26" s="572"/>
      <c r="BD26" s="572"/>
      <c r="BE26" s="572"/>
      <c r="BF26" s="572"/>
      <c r="BG26" s="572"/>
      <c r="BH26" s="572"/>
      <c r="BI26" s="572"/>
      <c r="BJ26" s="572"/>
      <c r="BK26" s="572"/>
      <c r="BL26" s="572"/>
      <c r="BM26" s="572"/>
      <c r="BN26" s="573"/>
    </row>
    <row r="27" spans="1:66" ht="30" hidden="1" customHeight="1" x14ac:dyDescent="0.3">
      <c r="A27" s="509"/>
      <c r="B27" s="524"/>
      <c r="C27" s="500" t="s">
        <v>414</v>
      </c>
      <c r="D27" s="510"/>
      <c r="E27" s="511">
        <f t="shared" si="3"/>
        <v>0</v>
      </c>
      <c r="F27" s="574"/>
      <c r="G27" s="572"/>
      <c r="H27" s="572"/>
      <c r="I27" s="572"/>
      <c r="J27" s="572"/>
      <c r="K27" s="572"/>
      <c r="L27" s="572"/>
      <c r="M27" s="572"/>
      <c r="N27" s="572"/>
      <c r="O27" s="572"/>
      <c r="P27" s="572"/>
      <c r="Q27" s="572"/>
      <c r="R27" s="572"/>
      <c r="S27" s="572"/>
      <c r="T27" s="572"/>
      <c r="U27" s="572"/>
      <c r="V27" s="572"/>
      <c r="W27" s="572"/>
      <c r="X27" s="572"/>
      <c r="Y27" s="572"/>
      <c r="Z27" s="572"/>
      <c r="AA27" s="572"/>
      <c r="AB27" s="572"/>
      <c r="AC27" s="572"/>
      <c r="AD27" s="572"/>
      <c r="AE27" s="572"/>
      <c r="AF27" s="572"/>
      <c r="AG27" s="572"/>
      <c r="AH27" s="572"/>
      <c r="AI27" s="572"/>
      <c r="AJ27" s="572"/>
      <c r="AK27" s="572"/>
      <c r="AL27" s="572"/>
      <c r="AM27" s="572"/>
      <c r="AN27" s="572"/>
      <c r="AO27" s="572"/>
      <c r="AP27" s="572"/>
      <c r="AQ27" s="572"/>
      <c r="AR27" s="572"/>
      <c r="AS27" s="572"/>
      <c r="AT27" s="572"/>
      <c r="AU27" s="572"/>
      <c r="AV27" s="572"/>
      <c r="AW27" s="572"/>
      <c r="AX27" s="572"/>
      <c r="AY27" s="572"/>
      <c r="AZ27" s="572"/>
      <c r="BA27" s="572"/>
      <c r="BB27" s="572"/>
      <c r="BC27" s="572"/>
      <c r="BD27" s="572"/>
      <c r="BE27" s="572"/>
      <c r="BF27" s="572"/>
      <c r="BG27" s="572"/>
      <c r="BH27" s="572"/>
      <c r="BI27" s="572"/>
      <c r="BJ27" s="572"/>
      <c r="BK27" s="572"/>
      <c r="BL27" s="572"/>
      <c r="BM27" s="572"/>
      <c r="BN27" s="573"/>
    </row>
    <row r="28" spans="1:66" ht="30" hidden="1" customHeight="1" x14ac:dyDescent="0.3">
      <c r="A28" s="509"/>
      <c r="B28" s="524"/>
      <c r="C28" s="500" t="s">
        <v>414</v>
      </c>
      <c r="D28" s="510">
        <v>39.800978090461776</v>
      </c>
      <c r="E28" s="511">
        <f t="shared" si="3"/>
        <v>1.3092427003441374</v>
      </c>
      <c r="F28" s="574"/>
      <c r="G28" s="572"/>
      <c r="H28" s="572"/>
      <c r="I28" s="572"/>
      <c r="J28" s="572"/>
      <c r="K28" s="572"/>
      <c r="L28" s="572"/>
      <c r="M28" s="572"/>
      <c r="N28" s="572"/>
      <c r="O28" s="572"/>
      <c r="P28" s="572"/>
      <c r="Q28" s="572"/>
      <c r="R28" s="572"/>
      <c r="S28" s="572"/>
      <c r="T28" s="572"/>
      <c r="U28" s="572"/>
      <c r="V28" s="572"/>
      <c r="W28" s="572"/>
      <c r="X28" s="572"/>
      <c r="Y28" s="572"/>
      <c r="Z28" s="572"/>
      <c r="AA28" s="572"/>
      <c r="AB28" s="572"/>
      <c r="AC28" s="572"/>
      <c r="AD28" s="572"/>
      <c r="AE28" s="572"/>
      <c r="AF28" s="572"/>
      <c r="AG28" s="572"/>
      <c r="AH28" s="572"/>
      <c r="AI28" s="572"/>
      <c r="AJ28" s="572"/>
      <c r="AK28" s="572"/>
      <c r="AL28" s="572"/>
      <c r="AM28" s="572"/>
      <c r="AN28" s="572"/>
      <c r="AO28" s="572"/>
      <c r="AP28" s="572"/>
      <c r="AQ28" s="572"/>
      <c r="AR28" s="572"/>
      <c r="AS28" s="572"/>
      <c r="AT28" s="572"/>
      <c r="AU28" s="572"/>
      <c r="AV28" s="572"/>
      <c r="AW28" s="572"/>
      <c r="AX28" s="572"/>
      <c r="AY28" s="572"/>
      <c r="AZ28" s="572"/>
      <c r="BA28" s="572"/>
      <c r="BB28" s="572"/>
      <c r="BC28" s="572"/>
      <c r="BD28" s="572"/>
      <c r="BE28" s="572"/>
      <c r="BF28" s="572"/>
      <c r="BG28" s="572"/>
      <c r="BH28" s="572"/>
      <c r="BI28" s="572"/>
      <c r="BJ28" s="572"/>
      <c r="BK28" s="572"/>
      <c r="BL28" s="572"/>
      <c r="BM28" s="572"/>
      <c r="BN28" s="573"/>
    </row>
    <row r="29" spans="1:66" ht="30" hidden="1" customHeight="1" x14ac:dyDescent="0.3">
      <c r="A29" s="509"/>
      <c r="B29" s="524"/>
      <c r="C29" s="500" t="s">
        <v>414</v>
      </c>
      <c r="D29" s="510"/>
      <c r="E29" s="511">
        <f t="shared" si="3"/>
        <v>0</v>
      </c>
      <c r="F29" s="574"/>
      <c r="G29" s="572"/>
      <c r="H29" s="572"/>
      <c r="I29" s="572"/>
      <c r="J29" s="572"/>
      <c r="K29" s="572"/>
      <c r="L29" s="572"/>
      <c r="M29" s="572"/>
      <c r="N29" s="572"/>
      <c r="O29" s="572"/>
      <c r="P29" s="572"/>
      <c r="Q29" s="572"/>
      <c r="R29" s="572"/>
      <c r="S29" s="572"/>
      <c r="T29" s="572"/>
      <c r="U29" s="572"/>
      <c r="V29" s="572"/>
      <c r="W29" s="572"/>
      <c r="X29" s="572"/>
      <c r="Y29" s="572"/>
      <c r="Z29" s="572"/>
      <c r="AA29" s="572"/>
      <c r="AB29" s="572"/>
      <c r="AC29" s="572"/>
      <c r="AD29" s="572"/>
      <c r="AE29" s="572"/>
      <c r="AF29" s="572"/>
      <c r="AG29" s="572"/>
      <c r="AH29" s="572"/>
      <c r="AI29" s="572"/>
      <c r="AJ29" s="572"/>
      <c r="AK29" s="572"/>
      <c r="AL29" s="572"/>
      <c r="AM29" s="572"/>
      <c r="AN29" s="572"/>
      <c r="AO29" s="572"/>
      <c r="AP29" s="572"/>
      <c r="AQ29" s="572"/>
      <c r="AR29" s="572"/>
      <c r="AS29" s="572"/>
      <c r="AT29" s="572"/>
      <c r="AU29" s="572"/>
      <c r="AV29" s="572"/>
      <c r="AW29" s="572"/>
      <c r="AX29" s="572"/>
      <c r="AY29" s="572"/>
      <c r="AZ29" s="572"/>
      <c r="BA29" s="572"/>
      <c r="BB29" s="572"/>
      <c r="BC29" s="572"/>
      <c r="BD29" s="572"/>
      <c r="BE29" s="572"/>
      <c r="BF29" s="572"/>
      <c r="BG29" s="572"/>
      <c r="BH29" s="572"/>
      <c r="BI29" s="572"/>
      <c r="BJ29" s="572"/>
      <c r="BK29" s="572"/>
      <c r="BL29" s="572"/>
      <c r="BM29" s="572"/>
      <c r="BN29" s="573"/>
    </row>
    <row r="30" spans="1:66" ht="30" hidden="1" customHeight="1" x14ac:dyDescent="0.3">
      <c r="A30" s="509"/>
      <c r="B30" s="525"/>
      <c r="C30" s="522" t="s">
        <v>414</v>
      </c>
      <c r="D30" s="501"/>
      <c r="E30" s="514">
        <f t="shared" si="3"/>
        <v>0</v>
      </c>
      <c r="F30" s="574"/>
      <c r="G30" s="572"/>
      <c r="H30" s="572"/>
      <c r="I30" s="572"/>
      <c r="J30" s="572"/>
      <c r="K30" s="572"/>
      <c r="L30" s="572"/>
      <c r="M30" s="572"/>
      <c r="N30" s="572"/>
      <c r="O30" s="572"/>
      <c r="P30" s="572"/>
      <c r="Q30" s="572"/>
      <c r="R30" s="572"/>
      <c r="S30" s="572"/>
      <c r="T30" s="572"/>
      <c r="U30" s="572"/>
      <c r="V30" s="572"/>
      <c r="W30" s="572"/>
      <c r="X30" s="572"/>
      <c r="Y30" s="572"/>
      <c r="Z30" s="572"/>
      <c r="AA30" s="572"/>
      <c r="AB30" s="572"/>
      <c r="AC30" s="572"/>
      <c r="AD30" s="572"/>
      <c r="AE30" s="572"/>
      <c r="AF30" s="572"/>
      <c r="AG30" s="572"/>
      <c r="AH30" s="572"/>
      <c r="AI30" s="572"/>
      <c r="AJ30" s="572"/>
      <c r="AK30" s="572"/>
      <c r="AL30" s="572"/>
      <c r="AM30" s="572"/>
      <c r="AN30" s="572"/>
      <c r="AO30" s="572"/>
      <c r="AP30" s="572"/>
      <c r="AQ30" s="572"/>
      <c r="AR30" s="572"/>
      <c r="AS30" s="572"/>
      <c r="AT30" s="572"/>
      <c r="AU30" s="572"/>
      <c r="AV30" s="572"/>
      <c r="AW30" s="572"/>
      <c r="AX30" s="572"/>
      <c r="AY30" s="572"/>
      <c r="AZ30" s="572"/>
      <c r="BA30" s="572"/>
      <c r="BB30" s="572"/>
      <c r="BC30" s="572"/>
      <c r="BD30" s="572"/>
      <c r="BE30" s="572"/>
      <c r="BF30" s="572"/>
      <c r="BG30" s="572"/>
      <c r="BH30" s="572"/>
      <c r="BI30" s="572"/>
      <c r="BJ30" s="572"/>
      <c r="BK30" s="572"/>
      <c r="BL30" s="572"/>
      <c r="BM30" s="572"/>
      <c r="BN30" s="573"/>
    </row>
    <row r="31" spans="1:66" ht="30" customHeight="1" x14ac:dyDescent="0.3">
      <c r="A31" s="509"/>
      <c r="B31" s="523" t="s">
        <v>12</v>
      </c>
      <c r="C31" s="508" t="s">
        <v>414</v>
      </c>
      <c r="D31" s="497">
        <f>'산정기준 (18개월)'!L34</f>
        <v>30.410159837223606</v>
      </c>
      <c r="E31" s="498">
        <f t="shared" si="3"/>
        <v>1.0003342051718291</v>
      </c>
      <c r="F31" s="574"/>
      <c r="G31" s="572"/>
      <c r="H31" s="572"/>
      <c r="I31" s="572"/>
      <c r="J31" s="572"/>
      <c r="K31" s="572"/>
      <c r="L31" s="572"/>
      <c r="M31" s="572"/>
      <c r="N31" s="572"/>
      <c r="O31" s="572"/>
      <c r="P31" s="572"/>
      <c r="Q31" s="572"/>
      <c r="R31" s="572"/>
      <c r="S31" s="572"/>
      <c r="T31" s="572"/>
      <c r="U31" s="572"/>
      <c r="V31" s="572"/>
      <c r="W31" s="572"/>
      <c r="X31" s="572"/>
      <c r="Y31" s="572"/>
      <c r="Z31" s="572"/>
      <c r="AA31" s="572"/>
      <c r="AB31" s="572"/>
      <c r="AC31" s="572"/>
      <c r="AD31" s="572"/>
      <c r="AE31" s="572"/>
      <c r="AF31" s="572"/>
      <c r="AG31" s="572"/>
      <c r="AH31" s="572"/>
      <c r="AI31" s="572"/>
      <c r="AJ31" s="572"/>
      <c r="AK31" s="572"/>
      <c r="AL31" s="572"/>
      <c r="AM31" s="572"/>
      <c r="AN31" s="572"/>
      <c r="AO31" s="572"/>
      <c r="AP31" s="572"/>
      <c r="AQ31" s="572"/>
      <c r="AR31" s="572"/>
      <c r="AS31" s="572"/>
      <c r="AT31" s="572"/>
      <c r="AU31" s="572"/>
      <c r="AV31" s="572"/>
      <c r="AW31" s="572"/>
      <c r="AX31" s="572"/>
      <c r="AY31" s="572"/>
      <c r="AZ31" s="572"/>
      <c r="BA31" s="572"/>
      <c r="BB31" s="572"/>
      <c r="BC31" s="572"/>
      <c r="BD31" s="572"/>
      <c r="BE31" s="572"/>
      <c r="BF31" s="572"/>
      <c r="BG31" s="572"/>
      <c r="BH31" s="572"/>
      <c r="BI31" s="572"/>
      <c r="BJ31" s="572"/>
      <c r="BK31" s="572"/>
      <c r="BL31" s="572"/>
      <c r="BM31" s="572"/>
      <c r="BN31" s="573"/>
    </row>
    <row r="32" spans="1:66" ht="30" hidden="1" customHeight="1" x14ac:dyDescent="0.3">
      <c r="A32" s="509"/>
      <c r="B32" s="524"/>
      <c r="C32" s="500" t="s">
        <v>414</v>
      </c>
      <c r="D32" s="510"/>
      <c r="E32" s="511">
        <f t="shared" si="3"/>
        <v>0</v>
      </c>
      <c r="F32" s="574"/>
      <c r="G32" s="572"/>
      <c r="H32" s="572"/>
      <c r="I32" s="572"/>
      <c r="J32" s="572"/>
      <c r="K32" s="572"/>
      <c r="L32" s="572"/>
      <c r="M32" s="572"/>
      <c r="N32" s="572"/>
      <c r="O32" s="572"/>
      <c r="P32" s="572"/>
      <c r="Q32" s="572"/>
      <c r="R32" s="572"/>
      <c r="S32" s="572"/>
      <c r="T32" s="572"/>
      <c r="U32" s="572"/>
      <c r="V32" s="572"/>
      <c r="W32" s="572"/>
      <c r="X32" s="572"/>
      <c r="Y32" s="572"/>
      <c r="Z32" s="572"/>
      <c r="AA32" s="572"/>
      <c r="AB32" s="572"/>
      <c r="AC32" s="572"/>
      <c r="AD32" s="572"/>
      <c r="AE32" s="572"/>
      <c r="AF32" s="572"/>
      <c r="AG32" s="572"/>
      <c r="AH32" s="572"/>
      <c r="AI32" s="572"/>
      <c r="AJ32" s="572"/>
      <c r="AK32" s="572"/>
      <c r="AL32" s="572"/>
      <c r="AM32" s="572"/>
      <c r="AN32" s="572"/>
      <c r="AO32" s="572"/>
      <c r="AP32" s="572"/>
      <c r="AQ32" s="572"/>
      <c r="AR32" s="572"/>
      <c r="AS32" s="572"/>
      <c r="AT32" s="572"/>
      <c r="AU32" s="572"/>
      <c r="AV32" s="572"/>
      <c r="AW32" s="572"/>
      <c r="AX32" s="572"/>
      <c r="AY32" s="572"/>
      <c r="AZ32" s="572"/>
      <c r="BA32" s="572"/>
      <c r="BB32" s="572"/>
      <c r="BC32" s="572"/>
      <c r="BD32" s="572"/>
      <c r="BE32" s="572"/>
      <c r="BF32" s="572"/>
      <c r="BG32" s="572"/>
      <c r="BH32" s="572"/>
      <c r="BI32" s="572"/>
      <c r="BJ32" s="572"/>
      <c r="BK32" s="572"/>
      <c r="BL32" s="572"/>
      <c r="BM32" s="572"/>
      <c r="BN32" s="573"/>
    </row>
    <row r="33" spans="1:66" ht="30" hidden="1" customHeight="1" x14ac:dyDescent="0.3">
      <c r="A33" s="509"/>
      <c r="B33" s="524"/>
      <c r="C33" s="500" t="s">
        <v>414</v>
      </c>
      <c r="D33" s="510">
        <v>30.453734344169604</v>
      </c>
      <c r="E33" s="511">
        <f t="shared" si="3"/>
        <v>1.0017675771108423</v>
      </c>
      <c r="F33" s="574"/>
      <c r="G33" s="572"/>
      <c r="H33" s="572"/>
      <c r="I33" s="572"/>
      <c r="J33" s="572"/>
      <c r="K33" s="572"/>
      <c r="L33" s="572"/>
      <c r="M33" s="572"/>
      <c r="N33" s="572"/>
      <c r="O33" s="572"/>
      <c r="P33" s="572"/>
      <c r="Q33" s="572"/>
      <c r="R33" s="572"/>
      <c r="S33" s="572"/>
      <c r="T33" s="572"/>
      <c r="U33" s="572"/>
      <c r="V33" s="572"/>
      <c r="W33" s="572"/>
      <c r="X33" s="572"/>
      <c r="Y33" s="572"/>
      <c r="Z33" s="572"/>
      <c r="AA33" s="572"/>
      <c r="AB33" s="572"/>
      <c r="AC33" s="572"/>
      <c r="AD33" s="572"/>
      <c r="AE33" s="572"/>
      <c r="AF33" s="572"/>
      <c r="AG33" s="572"/>
      <c r="AH33" s="572"/>
      <c r="AI33" s="572"/>
      <c r="AJ33" s="572"/>
      <c r="AK33" s="572"/>
      <c r="AL33" s="572"/>
      <c r="AM33" s="572"/>
      <c r="AN33" s="572"/>
      <c r="AO33" s="572"/>
      <c r="AP33" s="572"/>
      <c r="AQ33" s="572"/>
      <c r="AR33" s="572"/>
      <c r="AS33" s="572"/>
      <c r="AT33" s="572"/>
      <c r="AU33" s="572"/>
      <c r="AV33" s="572"/>
      <c r="AW33" s="572"/>
      <c r="AX33" s="572"/>
      <c r="AY33" s="572"/>
      <c r="AZ33" s="572"/>
      <c r="BA33" s="572"/>
      <c r="BB33" s="572"/>
      <c r="BC33" s="572"/>
      <c r="BD33" s="572"/>
      <c r="BE33" s="572"/>
      <c r="BF33" s="572"/>
      <c r="BG33" s="572"/>
      <c r="BH33" s="572"/>
      <c r="BI33" s="572"/>
      <c r="BJ33" s="572"/>
      <c r="BK33" s="572"/>
      <c r="BL33" s="572"/>
      <c r="BM33" s="572"/>
      <c r="BN33" s="573"/>
    </row>
    <row r="34" spans="1:66" ht="30" hidden="1" customHeight="1" x14ac:dyDescent="0.3">
      <c r="A34" s="509"/>
      <c r="B34" s="524"/>
      <c r="C34" s="500" t="s">
        <v>414</v>
      </c>
      <c r="D34" s="510"/>
      <c r="E34" s="511">
        <f t="shared" si="3"/>
        <v>0</v>
      </c>
      <c r="F34" s="574"/>
      <c r="G34" s="572"/>
      <c r="H34" s="572"/>
      <c r="I34" s="572"/>
      <c r="J34" s="572"/>
      <c r="K34" s="572"/>
      <c r="L34" s="572"/>
      <c r="M34" s="572"/>
      <c r="N34" s="572"/>
      <c r="O34" s="572"/>
      <c r="P34" s="572"/>
      <c r="Q34" s="572"/>
      <c r="R34" s="572"/>
      <c r="S34" s="572"/>
      <c r="T34" s="572"/>
      <c r="U34" s="572"/>
      <c r="V34" s="572"/>
      <c r="W34" s="572"/>
      <c r="X34" s="572"/>
      <c r="Y34" s="572"/>
      <c r="Z34" s="572"/>
      <c r="AA34" s="572"/>
      <c r="AB34" s="572"/>
      <c r="AC34" s="572"/>
      <c r="AD34" s="572"/>
      <c r="AE34" s="572"/>
      <c r="AF34" s="572"/>
      <c r="AG34" s="572"/>
      <c r="AH34" s="572"/>
      <c r="AI34" s="572"/>
      <c r="AJ34" s="572"/>
      <c r="AK34" s="572"/>
      <c r="AL34" s="572"/>
      <c r="AM34" s="572"/>
      <c r="AN34" s="572"/>
      <c r="AO34" s="572"/>
      <c r="AP34" s="572"/>
      <c r="AQ34" s="572"/>
      <c r="AR34" s="572"/>
      <c r="AS34" s="572"/>
      <c r="AT34" s="572"/>
      <c r="AU34" s="572"/>
      <c r="AV34" s="572"/>
      <c r="AW34" s="572"/>
      <c r="AX34" s="572"/>
      <c r="AY34" s="572"/>
      <c r="AZ34" s="572"/>
      <c r="BA34" s="572"/>
      <c r="BB34" s="572"/>
      <c r="BC34" s="572"/>
      <c r="BD34" s="572"/>
      <c r="BE34" s="572"/>
      <c r="BF34" s="572"/>
      <c r="BG34" s="572"/>
      <c r="BH34" s="572"/>
      <c r="BI34" s="572"/>
      <c r="BJ34" s="572"/>
      <c r="BK34" s="572"/>
      <c r="BL34" s="572"/>
      <c r="BM34" s="572"/>
      <c r="BN34" s="573"/>
    </row>
    <row r="35" spans="1:66" ht="30" hidden="1" customHeight="1" x14ac:dyDescent="0.3">
      <c r="A35" s="509"/>
      <c r="B35" s="525"/>
      <c r="C35" s="522" t="s">
        <v>414</v>
      </c>
      <c r="D35" s="501"/>
      <c r="E35" s="514">
        <f t="shared" si="3"/>
        <v>0</v>
      </c>
      <c r="F35" s="574"/>
      <c r="G35" s="572"/>
      <c r="H35" s="572"/>
      <c r="I35" s="572"/>
      <c r="J35" s="572"/>
      <c r="K35" s="572"/>
      <c r="L35" s="572"/>
      <c r="M35" s="572"/>
      <c r="N35" s="572"/>
      <c r="O35" s="572"/>
      <c r="P35" s="572"/>
      <c r="Q35" s="572"/>
      <c r="R35" s="572"/>
      <c r="S35" s="572"/>
      <c r="T35" s="572"/>
      <c r="U35" s="572"/>
      <c r="V35" s="572"/>
      <c r="W35" s="572"/>
      <c r="X35" s="572"/>
      <c r="Y35" s="572"/>
      <c r="Z35" s="572"/>
      <c r="AA35" s="572"/>
      <c r="AB35" s="572"/>
      <c r="AC35" s="572"/>
      <c r="AD35" s="572"/>
      <c r="AE35" s="572"/>
      <c r="AF35" s="572"/>
      <c r="AG35" s="572"/>
      <c r="AH35" s="572"/>
      <c r="AI35" s="572"/>
      <c r="AJ35" s="572"/>
      <c r="AK35" s="572"/>
      <c r="AL35" s="572"/>
      <c r="AM35" s="572"/>
      <c r="AN35" s="572"/>
      <c r="AO35" s="572"/>
      <c r="AP35" s="572"/>
      <c r="AQ35" s="572"/>
      <c r="AR35" s="572"/>
      <c r="AS35" s="572"/>
      <c r="AT35" s="572"/>
      <c r="AU35" s="572"/>
      <c r="AV35" s="572"/>
      <c r="AW35" s="572"/>
      <c r="AX35" s="572"/>
      <c r="AY35" s="572"/>
      <c r="AZ35" s="572"/>
      <c r="BA35" s="572"/>
      <c r="BB35" s="572"/>
      <c r="BC35" s="572"/>
      <c r="BD35" s="572"/>
      <c r="BE35" s="572"/>
      <c r="BF35" s="572"/>
      <c r="BG35" s="572"/>
      <c r="BH35" s="572"/>
      <c r="BI35" s="572"/>
      <c r="BJ35" s="572"/>
      <c r="BK35" s="572"/>
      <c r="BL35" s="572"/>
      <c r="BM35" s="572"/>
      <c r="BN35" s="573"/>
    </row>
    <row r="36" spans="1:66" ht="30" customHeight="1" x14ac:dyDescent="0.3">
      <c r="A36" s="509"/>
      <c r="B36" s="523" t="s">
        <v>10</v>
      </c>
      <c r="C36" s="508" t="s">
        <v>414</v>
      </c>
      <c r="D36" s="497">
        <f>'산정기준 (18개월)'!L39</f>
        <v>32.666197121413859</v>
      </c>
      <c r="E36" s="498">
        <f t="shared" si="3"/>
        <v>1.0745459579412453</v>
      </c>
      <c r="F36" s="574"/>
      <c r="G36" s="572"/>
      <c r="H36" s="572"/>
      <c r="I36" s="572"/>
      <c r="J36" s="572"/>
      <c r="K36" s="572"/>
      <c r="L36" s="572"/>
      <c r="M36" s="572"/>
      <c r="N36" s="572"/>
      <c r="O36" s="572"/>
      <c r="P36" s="572"/>
      <c r="Q36" s="572"/>
      <c r="R36" s="572"/>
      <c r="S36" s="572"/>
      <c r="T36" s="572"/>
      <c r="U36" s="572"/>
      <c r="V36" s="572"/>
      <c r="W36" s="572"/>
      <c r="X36" s="572"/>
      <c r="Y36" s="572"/>
      <c r="Z36" s="572"/>
      <c r="AA36" s="572"/>
      <c r="AB36" s="572"/>
      <c r="AC36" s="572"/>
      <c r="AD36" s="572"/>
      <c r="AE36" s="572"/>
      <c r="AF36" s="572"/>
      <c r="AG36" s="572"/>
      <c r="AH36" s="572"/>
      <c r="AI36" s="572"/>
      <c r="AJ36" s="572"/>
      <c r="AK36" s="572"/>
      <c r="AL36" s="572"/>
      <c r="AM36" s="572"/>
      <c r="AN36" s="572"/>
      <c r="AO36" s="572"/>
      <c r="AP36" s="572"/>
      <c r="AQ36" s="572"/>
      <c r="AR36" s="572"/>
      <c r="AS36" s="572"/>
      <c r="AT36" s="572"/>
      <c r="AU36" s="572"/>
      <c r="AV36" s="572"/>
      <c r="AW36" s="572"/>
      <c r="AX36" s="572"/>
      <c r="AY36" s="572"/>
      <c r="AZ36" s="572"/>
      <c r="BA36" s="572"/>
      <c r="BB36" s="572"/>
      <c r="BC36" s="572"/>
      <c r="BD36" s="572"/>
      <c r="BE36" s="572"/>
      <c r="BF36" s="572"/>
      <c r="BG36" s="572"/>
      <c r="BH36" s="572"/>
      <c r="BI36" s="572"/>
      <c r="BJ36" s="572"/>
      <c r="BK36" s="572"/>
      <c r="BL36" s="572"/>
      <c r="BM36" s="572"/>
      <c r="BN36" s="573"/>
    </row>
    <row r="37" spans="1:66" ht="30" hidden="1" customHeight="1" x14ac:dyDescent="0.3">
      <c r="A37" s="509"/>
      <c r="B37" s="524"/>
      <c r="C37" s="500" t="s">
        <v>414</v>
      </c>
      <c r="D37" s="510"/>
      <c r="E37" s="511">
        <f t="shared" si="3"/>
        <v>0</v>
      </c>
      <c r="F37" s="574"/>
      <c r="G37" s="572"/>
      <c r="H37" s="572"/>
      <c r="I37" s="572"/>
      <c r="J37" s="572"/>
      <c r="K37" s="572"/>
      <c r="L37" s="572"/>
      <c r="M37" s="572"/>
      <c r="N37" s="572"/>
      <c r="O37" s="572"/>
      <c r="P37" s="572"/>
      <c r="Q37" s="572"/>
      <c r="R37" s="572"/>
      <c r="S37" s="572"/>
      <c r="T37" s="572"/>
      <c r="U37" s="572"/>
      <c r="V37" s="572"/>
      <c r="W37" s="572"/>
      <c r="X37" s="572"/>
      <c r="Y37" s="572"/>
      <c r="Z37" s="572"/>
      <c r="AA37" s="572"/>
      <c r="AB37" s="572"/>
      <c r="AC37" s="572"/>
      <c r="AD37" s="572"/>
      <c r="AE37" s="572"/>
      <c r="AF37" s="572"/>
      <c r="AG37" s="572"/>
      <c r="AH37" s="572"/>
      <c r="AI37" s="572"/>
      <c r="AJ37" s="572"/>
      <c r="AK37" s="572"/>
      <c r="AL37" s="572"/>
      <c r="AM37" s="572"/>
      <c r="AN37" s="572"/>
      <c r="AO37" s="572"/>
      <c r="AP37" s="572"/>
      <c r="AQ37" s="572"/>
      <c r="AR37" s="572"/>
      <c r="AS37" s="572"/>
      <c r="AT37" s="572"/>
      <c r="AU37" s="572"/>
      <c r="AV37" s="572"/>
      <c r="AW37" s="572"/>
      <c r="AX37" s="572"/>
      <c r="AY37" s="572"/>
      <c r="AZ37" s="572"/>
      <c r="BA37" s="572"/>
      <c r="BB37" s="572"/>
      <c r="BC37" s="572"/>
      <c r="BD37" s="572"/>
      <c r="BE37" s="572"/>
      <c r="BF37" s="572"/>
      <c r="BG37" s="572"/>
      <c r="BH37" s="572"/>
      <c r="BI37" s="572"/>
      <c r="BJ37" s="572"/>
      <c r="BK37" s="572"/>
      <c r="BL37" s="572"/>
      <c r="BM37" s="572"/>
      <c r="BN37" s="573"/>
    </row>
    <row r="38" spans="1:66" ht="30" hidden="1" customHeight="1" x14ac:dyDescent="0.3">
      <c r="A38" s="509"/>
      <c r="B38" s="524"/>
      <c r="C38" s="500" t="s">
        <v>414</v>
      </c>
      <c r="D38" s="510">
        <v>32.685661844048369</v>
      </c>
      <c r="E38" s="511">
        <f t="shared" si="3"/>
        <v>1.0751862448700122</v>
      </c>
      <c r="F38" s="574"/>
      <c r="G38" s="572"/>
      <c r="H38" s="572"/>
      <c r="I38" s="572"/>
      <c r="J38" s="572"/>
      <c r="K38" s="572"/>
      <c r="L38" s="572"/>
      <c r="M38" s="572"/>
      <c r="N38" s="572"/>
      <c r="O38" s="572"/>
      <c r="P38" s="572"/>
      <c r="Q38" s="572"/>
      <c r="R38" s="572"/>
      <c r="S38" s="572"/>
      <c r="T38" s="572"/>
      <c r="U38" s="572"/>
      <c r="V38" s="572"/>
      <c r="W38" s="572"/>
      <c r="X38" s="572"/>
      <c r="Y38" s="572"/>
      <c r="Z38" s="572"/>
      <c r="AA38" s="572"/>
      <c r="AB38" s="572"/>
      <c r="AC38" s="572"/>
      <c r="AD38" s="572"/>
      <c r="AE38" s="572"/>
      <c r="AF38" s="572"/>
      <c r="AG38" s="572"/>
      <c r="AH38" s="572"/>
      <c r="AI38" s="572"/>
      <c r="AJ38" s="572"/>
      <c r="AK38" s="572"/>
      <c r="AL38" s="572"/>
      <c r="AM38" s="572"/>
      <c r="AN38" s="572"/>
      <c r="AO38" s="572"/>
      <c r="AP38" s="572"/>
      <c r="AQ38" s="572"/>
      <c r="AR38" s="572"/>
      <c r="AS38" s="572"/>
      <c r="AT38" s="572"/>
      <c r="AU38" s="572"/>
      <c r="AV38" s="572"/>
      <c r="AW38" s="572"/>
      <c r="AX38" s="572"/>
      <c r="AY38" s="572"/>
      <c r="AZ38" s="572"/>
      <c r="BA38" s="572"/>
      <c r="BB38" s="572"/>
      <c r="BC38" s="572"/>
      <c r="BD38" s="572"/>
      <c r="BE38" s="572"/>
      <c r="BF38" s="572"/>
      <c r="BG38" s="572"/>
      <c r="BH38" s="572"/>
      <c r="BI38" s="572"/>
      <c r="BJ38" s="572"/>
      <c r="BK38" s="572"/>
      <c r="BL38" s="572"/>
      <c r="BM38" s="572"/>
      <c r="BN38" s="573"/>
    </row>
    <row r="39" spans="1:66" ht="30" hidden="1" customHeight="1" x14ac:dyDescent="0.3">
      <c r="A39" s="509"/>
      <c r="B39" s="524"/>
      <c r="C39" s="500" t="s">
        <v>414</v>
      </c>
      <c r="D39" s="510"/>
      <c r="E39" s="511">
        <f t="shared" si="3"/>
        <v>0</v>
      </c>
      <c r="F39" s="574"/>
      <c r="G39" s="572"/>
      <c r="H39" s="572"/>
      <c r="I39" s="572"/>
      <c r="J39" s="572"/>
      <c r="K39" s="572"/>
      <c r="L39" s="572"/>
      <c r="M39" s="572"/>
      <c r="N39" s="572"/>
      <c r="O39" s="572"/>
      <c r="P39" s="572"/>
      <c r="Q39" s="572"/>
      <c r="R39" s="572"/>
      <c r="S39" s="572"/>
      <c r="T39" s="572"/>
      <c r="U39" s="572"/>
      <c r="V39" s="572"/>
      <c r="W39" s="572"/>
      <c r="X39" s="572"/>
      <c r="Y39" s="572"/>
      <c r="Z39" s="572"/>
      <c r="AA39" s="572"/>
      <c r="AB39" s="572"/>
      <c r="AC39" s="572"/>
      <c r="AD39" s="572"/>
      <c r="AE39" s="572"/>
      <c r="AF39" s="572"/>
      <c r="AG39" s="572"/>
      <c r="AH39" s="572"/>
      <c r="AI39" s="572"/>
      <c r="AJ39" s="572"/>
      <c r="AK39" s="572"/>
      <c r="AL39" s="572"/>
      <c r="AM39" s="572"/>
      <c r="AN39" s="572"/>
      <c r="AO39" s="572"/>
      <c r="AP39" s="572"/>
      <c r="AQ39" s="572"/>
      <c r="AR39" s="572"/>
      <c r="AS39" s="572"/>
      <c r="AT39" s="572"/>
      <c r="AU39" s="572"/>
      <c r="AV39" s="572"/>
      <c r="AW39" s="572"/>
      <c r="AX39" s="572"/>
      <c r="AY39" s="572"/>
      <c r="AZ39" s="572"/>
      <c r="BA39" s="572"/>
      <c r="BB39" s="572"/>
      <c r="BC39" s="572"/>
      <c r="BD39" s="572"/>
      <c r="BE39" s="572"/>
      <c r="BF39" s="572"/>
      <c r="BG39" s="572"/>
      <c r="BH39" s="572"/>
      <c r="BI39" s="572"/>
      <c r="BJ39" s="572"/>
      <c r="BK39" s="572"/>
      <c r="BL39" s="572"/>
      <c r="BM39" s="572"/>
      <c r="BN39" s="573"/>
    </row>
    <row r="40" spans="1:66" ht="30" hidden="1" customHeight="1" x14ac:dyDescent="0.3">
      <c r="A40" s="509"/>
      <c r="B40" s="525"/>
      <c r="C40" s="522" t="s">
        <v>414</v>
      </c>
      <c r="D40" s="501"/>
      <c r="E40" s="514">
        <f t="shared" si="3"/>
        <v>0</v>
      </c>
      <c r="F40" s="574"/>
      <c r="G40" s="572"/>
      <c r="H40" s="572"/>
      <c r="I40" s="572"/>
      <c r="J40" s="572"/>
      <c r="K40" s="572"/>
      <c r="L40" s="572"/>
      <c r="M40" s="572"/>
      <c r="N40" s="572"/>
      <c r="O40" s="572"/>
      <c r="P40" s="572"/>
      <c r="Q40" s="572"/>
      <c r="R40" s="572"/>
      <c r="S40" s="572"/>
      <c r="T40" s="572"/>
      <c r="U40" s="572"/>
      <c r="V40" s="572"/>
      <c r="W40" s="572"/>
      <c r="X40" s="572"/>
      <c r="Y40" s="572"/>
      <c r="Z40" s="572"/>
      <c r="AA40" s="572"/>
      <c r="AB40" s="572"/>
      <c r="AC40" s="572"/>
      <c r="AD40" s="572"/>
      <c r="AE40" s="572"/>
      <c r="AF40" s="572"/>
      <c r="AG40" s="572"/>
      <c r="AH40" s="572"/>
      <c r="AI40" s="572"/>
      <c r="AJ40" s="572"/>
      <c r="AK40" s="572"/>
      <c r="AL40" s="572"/>
      <c r="AM40" s="572"/>
      <c r="AN40" s="572"/>
      <c r="AO40" s="572"/>
      <c r="AP40" s="572"/>
      <c r="AQ40" s="572"/>
      <c r="AR40" s="572"/>
      <c r="AS40" s="572"/>
      <c r="AT40" s="572"/>
      <c r="AU40" s="572"/>
      <c r="AV40" s="572"/>
      <c r="AW40" s="572"/>
      <c r="AX40" s="572"/>
      <c r="AY40" s="572"/>
      <c r="AZ40" s="572"/>
      <c r="BA40" s="572"/>
      <c r="BB40" s="572"/>
      <c r="BC40" s="572"/>
      <c r="BD40" s="572"/>
      <c r="BE40" s="572"/>
      <c r="BF40" s="572"/>
      <c r="BG40" s="572"/>
      <c r="BH40" s="572"/>
      <c r="BI40" s="572"/>
      <c r="BJ40" s="572"/>
      <c r="BK40" s="572"/>
      <c r="BL40" s="572"/>
      <c r="BM40" s="572"/>
      <c r="BN40" s="573"/>
    </row>
    <row r="41" spans="1:66" ht="30" customHeight="1" x14ac:dyDescent="0.3">
      <c r="A41" s="509"/>
      <c r="B41" s="523" t="s">
        <v>289</v>
      </c>
      <c r="C41" s="508" t="s">
        <v>414</v>
      </c>
      <c r="D41" s="497">
        <f>'산정기준 (18개월)'!L44</f>
        <v>29.499318568166625</v>
      </c>
      <c r="E41" s="498">
        <f t="shared" si="3"/>
        <v>0.9703723213212706</v>
      </c>
      <c r="F41" s="574"/>
      <c r="G41" s="572"/>
      <c r="H41" s="572"/>
      <c r="I41" s="572"/>
      <c r="J41" s="572"/>
      <c r="K41" s="572"/>
      <c r="L41" s="572"/>
      <c r="M41" s="572"/>
      <c r="N41" s="572"/>
      <c r="O41" s="572"/>
      <c r="P41" s="572"/>
      <c r="Q41" s="572"/>
      <c r="R41" s="572"/>
      <c r="S41" s="572"/>
      <c r="T41" s="572"/>
      <c r="U41" s="572"/>
      <c r="V41" s="572"/>
      <c r="W41" s="572"/>
      <c r="X41" s="572"/>
      <c r="Y41" s="572"/>
      <c r="Z41" s="572"/>
      <c r="AA41" s="572"/>
      <c r="AB41" s="572"/>
      <c r="AC41" s="572"/>
      <c r="AD41" s="572"/>
      <c r="AE41" s="572"/>
      <c r="AF41" s="572"/>
      <c r="AG41" s="572"/>
      <c r="AH41" s="572"/>
      <c r="AI41" s="572"/>
      <c r="AJ41" s="572"/>
      <c r="AK41" s="572"/>
      <c r="AL41" s="572"/>
      <c r="AM41" s="572"/>
      <c r="AN41" s="572"/>
      <c r="AO41" s="572"/>
      <c r="AP41" s="572"/>
      <c r="AQ41" s="572"/>
      <c r="AR41" s="572"/>
      <c r="AS41" s="572"/>
      <c r="AT41" s="572"/>
      <c r="AU41" s="572"/>
      <c r="AV41" s="572"/>
      <c r="AW41" s="572"/>
      <c r="AX41" s="572"/>
      <c r="AY41" s="572"/>
      <c r="AZ41" s="572"/>
      <c r="BA41" s="572"/>
      <c r="BB41" s="572"/>
      <c r="BC41" s="572"/>
      <c r="BD41" s="572"/>
      <c r="BE41" s="572"/>
      <c r="BF41" s="572"/>
      <c r="BG41" s="572"/>
      <c r="BH41" s="572"/>
      <c r="BI41" s="572"/>
      <c r="BJ41" s="572"/>
      <c r="BK41" s="572"/>
      <c r="BL41" s="572"/>
      <c r="BM41" s="572"/>
      <c r="BN41" s="573"/>
    </row>
    <row r="42" spans="1:66" ht="30" hidden="1" customHeight="1" x14ac:dyDescent="0.3">
      <c r="A42" s="509"/>
      <c r="B42" s="524"/>
      <c r="C42" s="500" t="s">
        <v>414</v>
      </c>
      <c r="D42" s="510"/>
      <c r="E42" s="511">
        <f t="shared" si="3"/>
        <v>0</v>
      </c>
      <c r="F42" s="574"/>
      <c r="G42" s="572"/>
      <c r="H42" s="572"/>
      <c r="I42" s="572"/>
      <c r="J42" s="572"/>
      <c r="K42" s="572"/>
      <c r="L42" s="572"/>
      <c r="M42" s="572"/>
      <c r="N42" s="572"/>
      <c r="O42" s="572"/>
      <c r="P42" s="572"/>
      <c r="Q42" s="572"/>
      <c r="R42" s="572"/>
      <c r="S42" s="572"/>
      <c r="T42" s="572"/>
      <c r="U42" s="572"/>
      <c r="V42" s="572"/>
      <c r="W42" s="572"/>
      <c r="X42" s="572"/>
      <c r="Y42" s="572"/>
      <c r="Z42" s="572"/>
      <c r="AA42" s="572"/>
      <c r="AB42" s="572"/>
      <c r="AC42" s="572"/>
      <c r="AD42" s="572"/>
      <c r="AE42" s="572"/>
      <c r="AF42" s="572"/>
      <c r="AG42" s="572"/>
      <c r="AH42" s="572"/>
      <c r="AI42" s="572"/>
      <c r="AJ42" s="572"/>
      <c r="AK42" s="572"/>
      <c r="AL42" s="572"/>
      <c r="AM42" s="572"/>
      <c r="AN42" s="572"/>
      <c r="AO42" s="572"/>
      <c r="AP42" s="572"/>
      <c r="AQ42" s="572"/>
      <c r="AR42" s="572"/>
      <c r="AS42" s="572"/>
      <c r="AT42" s="572"/>
      <c r="AU42" s="572"/>
      <c r="AV42" s="572"/>
      <c r="AW42" s="572"/>
      <c r="AX42" s="572"/>
      <c r="AY42" s="572"/>
      <c r="AZ42" s="572"/>
      <c r="BA42" s="572"/>
      <c r="BB42" s="572"/>
      <c r="BC42" s="572"/>
      <c r="BD42" s="572"/>
      <c r="BE42" s="572"/>
      <c r="BF42" s="572"/>
      <c r="BG42" s="572"/>
      <c r="BH42" s="572"/>
      <c r="BI42" s="572"/>
      <c r="BJ42" s="572"/>
      <c r="BK42" s="572"/>
      <c r="BL42" s="572"/>
      <c r="BM42" s="572"/>
      <c r="BN42" s="573"/>
    </row>
    <row r="43" spans="1:66" ht="30" hidden="1" customHeight="1" x14ac:dyDescent="0.3">
      <c r="A43" s="509"/>
      <c r="B43" s="524"/>
      <c r="C43" s="500" t="s">
        <v>414</v>
      </c>
      <c r="D43" s="510">
        <v>29.51704492603432</v>
      </c>
      <c r="E43" s="511">
        <f t="shared" si="3"/>
        <v>0.97095542519849742</v>
      </c>
      <c r="F43" s="574"/>
      <c r="G43" s="572"/>
      <c r="H43" s="572"/>
      <c r="I43" s="572"/>
      <c r="J43" s="572"/>
      <c r="K43" s="572"/>
      <c r="L43" s="572"/>
      <c r="M43" s="572"/>
      <c r="N43" s="572"/>
      <c r="O43" s="572"/>
      <c r="P43" s="572"/>
      <c r="Q43" s="572"/>
      <c r="R43" s="572"/>
      <c r="S43" s="572"/>
      <c r="T43" s="572"/>
      <c r="U43" s="572"/>
      <c r="V43" s="572"/>
      <c r="W43" s="572"/>
      <c r="X43" s="572"/>
      <c r="Y43" s="572"/>
      <c r="Z43" s="572"/>
      <c r="AA43" s="572"/>
      <c r="AB43" s="572"/>
      <c r="AC43" s="572"/>
      <c r="AD43" s="572"/>
      <c r="AE43" s="572"/>
      <c r="AF43" s="572"/>
      <c r="AG43" s="572"/>
      <c r="AH43" s="572"/>
      <c r="AI43" s="572"/>
      <c r="AJ43" s="572"/>
      <c r="AK43" s="572"/>
      <c r="AL43" s="572"/>
      <c r="AM43" s="572"/>
      <c r="AN43" s="572"/>
      <c r="AO43" s="572"/>
      <c r="AP43" s="572"/>
      <c r="AQ43" s="572"/>
      <c r="AR43" s="572"/>
      <c r="AS43" s="572"/>
      <c r="AT43" s="572"/>
      <c r="AU43" s="572"/>
      <c r="AV43" s="572"/>
      <c r="AW43" s="572"/>
      <c r="AX43" s="572"/>
      <c r="AY43" s="572"/>
      <c r="AZ43" s="572"/>
      <c r="BA43" s="572"/>
      <c r="BB43" s="572"/>
      <c r="BC43" s="572"/>
      <c r="BD43" s="572"/>
      <c r="BE43" s="572"/>
      <c r="BF43" s="572"/>
      <c r="BG43" s="572"/>
      <c r="BH43" s="572"/>
      <c r="BI43" s="572"/>
      <c r="BJ43" s="572"/>
      <c r="BK43" s="572"/>
      <c r="BL43" s="572"/>
      <c r="BM43" s="572"/>
      <c r="BN43" s="573"/>
    </row>
    <row r="44" spans="1:66" ht="30" hidden="1" customHeight="1" x14ac:dyDescent="0.3">
      <c r="A44" s="509"/>
      <c r="B44" s="524"/>
      <c r="C44" s="500" t="s">
        <v>414</v>
      </c>
      <c r="D44" s="510"/>
      <c r="E44" s="511">
        <f t="shared" si="3"/>
        <v>0</v>
      </c>
      <c r="F44" s="574"/>
      <c r="G44" s="572"/>
      <c r="H44" s="572"/>
      <c r="I44" s="572"/>
      <c r="J44" s="572"/>
      <c r="K44" s="572"/>
      <c r="L44" s="572"/>
      <c r="M44" s="572"/>
      <c r="N44" s="572"/>
      <c r="O44" s="572"/>
      <c r="P44" s="572"/>
      <c r="Q44" s="572"/>
      <c r="R44" s="572"/>
      <c r="S44" s="572"/>
      <c r="T44" s="572"/>
      <c r="U44" s="572"/>
      <c r="V44" s="572"/>
      <c r="W44" s="572"/>
      <c r="X44" s="572"/>
      <c r="Y44" s="572"/>
      <c r="Z44" s="572"/>
      <c r="AA44" s="572"/>
      <c r="AB44" s="572"/>
      <c r="AC44" s="572"/>
      <c r="AD44" s="572"/>
      <c r="AE44" s="572"/>
      <c r="AF44" s="572"/>
      <c r="AG44" s="572"/>
      <c r="AH44" s="572"/>
      <c r="AI44" s="572"/>
      <c r="AJ44" s="572"/>
      <c r="AK44" s="572"/>
      <c r="AL44" s="572"/>
      <c r="AM44" s="572"/>
      <c r="AN44" s="572"/>
      <c r="AO44" s="572"/>
      <c r="AP44" s="572"/>
      <c r="AQ44" s="572"/>
      <c r="AR44" s="572"/>
      <c r="AS44" s="572"/>
      <c r="AT44" s="572"/>
      <c r="AU44" s="572"/>
      <c r="AV44" s="572"/>
      <c r="AW44" s="572"/>
      <c r="AX44" s="572"/>
      <c r="AY44" s="572"/>
      <c r="AZ44" s="572"/>
      <c r="BA44" s="572"/>
      <c r="BB44" s="572"/>
      <c r="BC44" s="572"/>
      <c r="BD44" s="572"/>
      <c r="BE44" s="572"/>
      <c r="BF44" s="572"/>
      <c r="BG44" s="572"/>
      <c r="BH44" s="572"/>
      <c r="BI44" s="572"/>
      <c r="BJ44" s="572"/>
      <c r="BK44" s="572"/>
      <c r="BL44" s="572"/>
      <c r="BM44" s="572"/>
      <c r="BN44" s="573"/>
    </row>
    <row r="45" spans="1:66" ht="30" hidden="1" customHeight="1" x14ac:dyDescent="0.3">
      <c r="A45" s="509"/>
      <c r="B45" s="525"/>
      <c r="C45" s="522" t="s">
        <v>414</v>
      </c>
      <c r="D45" s="501"/>
      <c r="E45" s="514">
        <f t="shared" si="3"/>
        <v>0</v>
      </c>
      <c r="F45" s="574"/>
      <c r="G45" s="572"/>
      <c r="H45" s="572"/>
      <c r="I45" s="572"/>
      <c r="J45" s="572"/>
      <c r="K45" s="572"/>
      <c r="L45" s="572"/>
      <c r="M45" s="572"/>
      <c r="N45" s="572"/>
      <c r="O45" s="572"/>
      <c r="P45" s="572"/>
      <c r="Q45" s="572"/>
      <c r="R45" s="572"/>
      <c r="S45" s="572"/>
      <c r="T45" s="572"/>
      <c r="U45" s="572"/>
      <c r="V45" s="572"/>
      <c r="W45" s="572"/>
      <c r="X45" s="572"/>
      <c r="Y45" s="572"/>
      <c r="Z45" s="572"/>
      <c r="AA45" s="572"/>
      <c r="AB45" s="572"/>
      <c r="AC45" s="572"/>
      <c r="AD45" s="572"/>
      <c r="AE45" s="572"/>
      <c r="AF45" s="572"/>
      <c r="AG45" s="572"/>
      <c r="AH45" s="572"/>
      <c r="AI45" s="572"/>
      <c r="AJ45" s="572"/>
      <c r="AK45" s="572"/>
      <c r="AL45" s="572"/>
      <c r="AM45" s="572"/>
      <c r="AN45" s="572"/>
      <c r="AO45" s="572"/>
      <c r="AP45" s="572"/>
      <c r="AQ45" s="572"/>
      <c r="AR45" s="572"/>
      <c r="AS45" s="572"/>
      <c r="AT45" s="572"/>
      <c r="AU45" s="572"/>
      <c r="AV45" s="572"/>
      <c r="AW45" s="572"/>
      <c r="AX45" s="572"/>
      <c r="AY45" s="572"/>
      <c r="AZ45" s="572"/>
      <c r="BA45" s="572"/>
      <c r="BB45" s="572"/>
      <c r="BC45" s="572"/>
      <c r="BD45" s="572"/>
      <c r="BE45" s="572"/>
      <c r="BF45" s="572"/>
      <c r="BG45" s="572"/>
      <c r="BH45" s="572"/>
      <c r="BI45" s="572"/>
      <c r="BJ45" s="572"/>
      <c r="BK45" s="572"/>
      <c r="BL45" s="572"/>
      <c r="BM45" s="572"/>
      <c r="BN45" s="573"/>
    </row>
    <row r="46" spans="1:66" ht="30" customHeight="1" x14ac:dyDescent="0.3">
      <c r="A46" s="509"/>
      <c r="B46" s="523" t="s">
        <v>395</v>
      </c>
      <c r="C46" s="508" t="s">
        <v>414</v>
      </c>
      <c r="D46" s="497">
        <f>'산정기준 (18개월)'!L49+'산정기준 (18개월)'!L53</f>
        <v>24.922383702040051</v>
      </c>
      <c r="E46" s="498" t="s">
        <v>416</v>
      </c>
      <c r="F46" s="577"/>
      <c r="G46" s="572"/>
      <c r="H46" s="572"/>
      <c r="I46" s="572"/>
      <c r="J46" s="572"/>
      <c r="K46" s="572"/>
      <c r="L46" s="572"/>
      <c r="M46" s="572"/>
      <c r="N46" s="572"/>
      <c r="O46" s="572"/>
      <c r="P46" s="572"/>
      <c r="Q46" s="572"/>
      <c r="R46" s="572"/>
      <c r="S46" s="572"/>
      <c r="T46" s="572"/>
      <c r="U46" s="572"/>
      <c r="V46" s="572"/>
      <c r="W46" s="572"/>
      <c r="X46" s="572"/>
      <c r="Y46" s="572"/>
      <c r="Z46" s="572"/>
      <c r="AA46" s="572"/>
      <c r="AB46" s="572"/>
      <c r="AC46" s="572"/>
      <c r="AD46" s="572"/>
      <c r="AE46" s="572"/>
      <c r="AF46" s="572"/>
      <c r="AG46" s="572"/>
      <c r="AH46" s="572"/>
      <c r="AI46" s="572"/>
      <c r="AJ46" s="572"/>
      <c r="AK46" s="572"/>
      <c r="AL46" s="572"/>
      <c r="AM46" s="572"/>
      <c r="AN46" s="572"/>
      <c r="AO46" s="572"/>
      <c r="AP46" s="572"/>
      <c r="AQ46" s="572"/>
      <c r="AR46" s="572"/>
      <c r="AS46" s="572"/>
      <c r="AT46" s="572"/>
      <c r="AU46" s="572"/>
      <c r="AV46" s="572"/>
      <c r="AW46" s="572"/>
      <c r="AX46" s="572"/>
      <c r="AY46" s="572"/>
      <c r="AZ46" s="572"/>
      <c r="BA46" s="572"/>
      <c r="BB46" s="572"/>
      <c r="BC46" s="572"/>
      <c r="BD46" s="572"/>
      <c r="BE46" s="572"/>
      <c r="BF46" s="572"/>
      <c r="BG46" s="572"/>
      <c r="BH46" s="572"/>
      <c r="BI46" s="572"/>
      <c r="BJ46" s="572"/>
      <c r="BK46" s="572"/>
      <c r="BL46" s="572"/>
      <c r="BM46" s="572"/>
      <c r="BN46" s="573"/>
    </row>
    <row r="47" spans="1:66" s="347" customFormat="1" ht="30" hidden="1" customHeight="1" x14ac:dyDescent="0.3">
      <c r="A47" s="509"/>
      <c r="B47" s="524"/>
      <c r="C47" s="500" t="s">
        <v>79</v>
      </c>
      <c r="D47" s="510"/>
      <c r="E47" s="511">
        <f t="shared" si="3"/>
        <v>0</v>
      </c>
      <c r="F47" s="578"/>
      <c r="G47" s="579"/>
      <c r="H47" s="579"/>
      <c r="I47" s="579"/>
      <c r="J47" s="579"/>
      <c r="K47" s="579"/>
      <c r="L47" s="579"/>
      <c r="M47" s="579"/>
      <c r="N47" s="579"/>
      <c r="O47" s="579"/>
      <c r="P47" s="579"/>
      <c r="Q47" s="579"/>
      <c r="R47" s="579"/>
      <c r="S47" s="579"/>
      <c r="T47" s="579"/>
      <c r="U47" s="579"/>
      <c r="V47" s="579"/>
      <c r="W47" s="579"/>
      <c r="X47" s="579"/>
      <c r="Y47" s="579"/>
      <c r="Z47" s="579"/>
      <c r="AA47" s="579"/>
      <c r="AB47" s="579"/>
      <c r="AC47" s="579"/>
      <c r="AD47" s="579"/>
      <c r="AE47" s="579"/>
      <c r="AF47" s="579"/>
      <c r="AG47" s="579"/>
      <c r="AH47" s="579"/>
      <c r="AI47" s="579"/>
      <c r="AJ47" s="579"/>
      <c r="AK47" s="579"/>
      <c r="AL47" s="579"/>
      <c r="AM47" s="579"/>
      <c r="AN47" s="579"/>
      <c r="AO47" s="579"/>
      <c r="AP47" s="579"/>
      <c r="AQ47" s="579"/>
      <c r="AR47" s="579"/>
      <c r="AS47" s="579"/>
      <c r="AT47" s="579"/>
      <c r="AU47" s="579"/>
      <c r="AV47" s="579"/>
      <c r="AW47" s="579"/>
      <c r="AX47" s="579"/>
      <c r="AY47" s="579"/>
      <c r="AZ47" s="579"/>
      <c r="BA47" s="579"/>
      <c r="BB47" s="579"/>
      <c r="BC47" s="579"/>
      <c r="BD47" s="579"/>
      <c r="BE47" s="579"/>
      <c r="BF47" s="579"/>
      <c r="BG47" s="579"/>
      <c r="BH47" s="579"/>
      <c r="BI47" s="579"/>
      <c r="BJ47" s="579"/>
      <c r="BK47" s="579"/>
      <c r="BL47" s="579"/>
      <c r="BM47" s="579"/>
      <c r="BN47" s="573"/>
    </row>
    <row r="48" spans="1:66" ht="30" hidden="1" customHeight="1" x14ac:dyDescent="0.3">
      <c r="A48" s="509"/>
      <c r="B48" s="524"/>
      <c r="C48" s="500" t="s">
        <v>72</v>
      </c>
      <c r="D48" s="510">
        <v>21.614131089931572</v>
      </c>
      <c r="E48" s="511">
        <f t="shared" si="3"/>
        <v>0.7109911542740649</v>
      </c>
      <c r="F48" s="577"/>
      <c r="G48" s="572"/>
      <c r="H48" s="572"/>
      <c r="I48" s="572"/>
      <c r="J48" s="572"/>
      <c r="K48" s="572"/>
      <c r="L48" s="572"/>
      <c r="M48" s="572"/>
      <c r="N48" s="572"/>
      <c r="O48" s="572"/>
      <c r="P48" s="572"/>
      <c r="Q48" s="572"/>
      <c r="R48" s="572"/>
      <c r="S48" s="572"/>
      <c r="T48" s="572"/>
      <c r="U48" s="572"/>
      <c r="V48" s="572"/>
      <c r="W48" s="572"/>
      <c r="X48" s="572"/>
      <c r="Y48" s="572"/>
      <c r="Z48" s="572"/>
      <c r="AA48" s="572"/>
      <c r="AB48" s="572"/>
      <c r="AC48" s="572"/>
      <c r="AD48" s="572"/>
      <c r="AE48" s="572"/>
      <c r="AF48" s="572"/>
      <c r="AG48" s="572"/>
      <c r="AH48" s="572"/>
      <c r="AI48" s="572"/>
      <c r="AJ48" s="572"/>
      <c r="AK48" s="572"/>
      <c r="AL48" s="572"/>
      <c r="AM48" s="572"/>
      <c r="AN48" s="572"/>
      <c r="AO48" s="572"/>
      <c r="AP48" s="572"/>
      <c r="AQ48" s="572"/>
      <c r="AR48" s="572"/>
      <c r="AS48" s="572"/>
      <c r="AT48" s="572"/>
      <c r="AU48" s="572"/>
      <c r="AV48" s="572"/>
      <c r="AW48" s="572"/>
      <c r="AX48" s="572"/>
      <c r="AY48" s="572"/>
      <c r="AZ48" s="572"/>
      <c r="BA48" s="572"/>
      <c r="BB48" s="572"/>
      <c r="BC48" s="572"/>
      <c r="BD48" s="572"/>
      <c r="BE48" s="572"/>
      <c r="BF48" s="572"/>
      <c r="BG48" s="572"/>
      <c r="BH48" s="572"/>
      <c r="BI48" s="572"/>
      <c r="BJ48" s="572"/>
      <c r="BK48" s="572"/>
      <c r="BL48" s="572"/>
      <c r="BM48" s="572"/>
      <c r="BN48" s="573"/>
    </row>
    <row r="49" spans="1:66" ht="30" hidden="1" customHeight="1" x14ac:dyDescent="0.3">
      <c r="A49" s="509"/>
      <c r="B49" s="525"/>
      <c r="C49" s="522" t="s">
        <v>122</v>
      </c>
      <c r="D49" s="501"/>
      <c r="E49" s="514">
        <f t="shared" si="3"/>
        <v>0</v>
      </c>
      <c r="F49" s="577"/>
      <c r="G49" s="572"/>
      <c r="H49" s="572"/>
      <c r="I49" s="572"/>
      <c r="J49" s="572"/>
      <c r="K49" s="572"/>
      <c r="L49" s="572"/>
      <c r="M49" s="572"/>
      <c r="N49" s="572"/>
      <c r="O49" s="572"/>
      <c r="P49" s="572"/>
      <c r="Q49" s="572"/>
      <c r="R49" s="572"/>
      <c r="S49" s="572"/>
      <c r="T49" s="572"/>
      <c r="U49" s="572"/>
      <c r="V49" s="572"/>
      <c r="W49" s="572"/>
      <c r="X49" s="572"/>
      <c r="Y49" s="572"/>
      <c r="Z49" s="572"/>
      <c r="AA49" s="572"/>
      <c r="AB49" s="572"/>
      <c r="AC49" s="572"/>
      <c r="AD49" s="572"/>
      <c r="AE49" s="572"/>
      <c r="AF49" s="572"/>
      <c r="AG49" s="572"/>
      <c r="AH49" s="572"/>
      <c r="AI49" s="572"/>
      <c r="AJ49" s="572"/>
      <c r="AK49" s="572"/>
      <c r="AL49" s="572"/>
      <c r="AM49" s="572"/>
      <c r="AN49" s="572"/>
      <c r="AO49" s="572"/>
      <c r="AP49" s="572"/>
      <c r="AQ49" s="572"/>
      <c r="AR49" s="572"/>
      <c r="AS49" s="572"/>
      <c r="AT49" s="572"/>
      <c r="AU49" s="572"/>
      <c r="AV49" s="572"/>
      <c r="AW49" s="572"/>
      <c r="AX49" s="572"/>
      <c r="AY49" s="572"/>
      <c r="AZ49" s="572"/>
      <c r="BA49" s="572"/>
      <c r="BB49" s="572"/>
      <c r="BC49" s="572"/>
      <c r="BD49" s="572"/>
      <c r="BE49" s="572"/>
      <c r="BF49" s="572"/>
      <c r="BG49" s="572"/>
      <c r="BH49" s="572"/>
      <c r="BI49" s="572"/>
      <c r="BJ49" s="572"/>
      <c r="BK49" s="572"/>
      <c r="BL49" s="572"/>
      <c r="BM49" s="572"/>
      <c r="BN49" s="573"/>
    </row>
    <row r="50" spans="1:66" ht="30" hidden="1" customHeight="1" x14ac:dyDescent="0.3">
      <c r="A50" s="509"/>
      <c r="B50" s="523" t="s">
        <v>319</v>
      </c>
      <c r="C50" s="508" t="s">
        <v>75</v>
      </c>
      <c r="D50" s="497"/>
      <c r="E50" s="498">
        <f t="shared" si="3"/>
        <v>0</v>
      </c>
      <c r="F50" s="577"/>
      <c r="G50" s="572"/>
      <c r="H50" s="572"/>
      <c r="I50" s="572"/>
      <c r="J50" s="572"/>
      <c r="K50" s="572"/>
      <c r="L50" s="572"/>
      <c r="M50" s="572"/>
      <c r="N50" s="572"/>
      <c r="O50" s="572"/>
      <c r="P50" s="572"/>
      <c r="Q50" s="572"/>
      <c r="R50" s="572"/>
      <c r="S50" s="572"/>
      <c r="T50" s="572"/>
      <c r="U50" s="572"/>
      <c r="V50" s="572"/>
      <c r="W50" s="572"/>
      <c r="X50" s="572"/>
      <c r="Y50" s="572"/>
      <c r="Z50" s="572"/>
      <c r="AA50" s="572"/>
      <c r="AB50" s="572"/>
      <c r="AC50" s="572"/>
      <c r="AD50" s="572"/>
      <c r="AE50" s="572"/>
      <c r="AF50" s="572"/>
      <c r="AG50" s="572"/>
      <c r="AH50" s="572"/>
      <c r="AI50" s="572"/>
      <c r="AJ50" s="572"/>
      <c r="AK50" s="572"/>
      <c r="AL50" s="572"/>
      <c r="AM50" s="572"/>
      <c r="AN50" s="572"/>
      <c r="AO50" s="572"/>
      <c r="AP50" s="572"/>
      <c r="AQ50" s="572"/>
      <c r="AR50" s="572"/>
      <c r="AS50" s="572"/>
      <c r="AT50" s="572"/>
      <c r="AU50" s="572"/>
      <c r="AV50" s="572"/>
      <c r="AW50" s="572"/>
      <c r="AX50" s="572"/>
      <c r="AY50" s="572"/>
      <c r="AZ50" s="572"/>
      <c r="BA50" s="572"/>
      <c r="BB50" s="572"/>
      <c r="BC50" s="572"/>
      <c r="BD50" s="572"/>
      <c r="BE50" s="572"/>
      <c r="BF50" s="572"/>
      <c r="BG50" s="572"/>
      <c r="BH50" s="572"/>
      <c r="BI50" s="572"/>
      <c r="BJ50" s="572"/>
      <c r="BK50" s="572"/>
      <c r="BL50" s="572"/>
      <c r="BM50" s="572"/>
      <c r="BN50" s="573"/>
    </row>
    <row r="51" spans="1:66" ht="30" hidden="1" customHeight="1" x14ac:dyDescent="0.3">
      <c r="A51" s="509"/>
      <c r="B51" s="524"/>
      <c r="C51" s="500" t="s">
        <v>79</v>
      </c>
      <c r="D51" s="510"/>
      <c r="E51" s="511">
        <f t="shared" si="3"/>
        <v>0</v>
      </c>
      <c r="F51" s="577"/>
      <c r="G51" s="572"/>
      <c r="H51" s="572"/>
      <c r="I51" s="572"/>
      <c r="J51" s="572"/>
      <c r="K51" s="572"/>
      <c r="L51" s="572"/>
      <c r="M51" s="572"/>
      <c r="N51" s="572"/>
      <c r="O51" s="572"/>
      <c r="P51" s="572"/>
      <c r="Q51" s="572"/>
      <c r="R51" s="572"/>
      <c r="S51" s="572"/>
      <c r="T51" s="572"/>
      <c r="U51" s="572"/>
      <c r="V51" s="572"/>
      <c r="W51" s="572"/>
      <c r="X51" s="572"/>
      <c r="Y51" s="572"/>
      <c r="Z51" s="572"/>
      <c r="AA51" s="572"/>
      <c r="AB51" s="572"/>
      <c r="AC51" s="572"/>
      <c r="AD51" s="572"/>
      <c r="AE51" s="572"/>
      <c r="AF51" s="572"/>
      <c r="AG51" s="572"/>
      <c r="AH51" s="572"/>
      <c r="AI51" s="572"/>
      <c r="AJ51" s="572"/>
      <c r="AK51" s="572"/>
      <c r="AL51" s="572"/>
      <c r="AM51" s="572"/>
      <c r="AN51" s="572"/>
      <c r="AO51" s="572"/>
      <c r="AP51" s="572"/>
      <c r="AQ51" s="572"/>
      <c r="AR51" s="572"/>
      <c r="AS51" s="572"/>
      <c r="AT51" s="572"/>
      <c r="AU51" s="572"/>
      <c r="AV51" s="572"/>
      <c r="AW51" s="572"/>
      <c r="AX51" s="572"/>
      <c r="AY51" s="572"/>
      <c r="AZ51" s="572"/>
      <c r="BA51" s="572"/>
      <c r="BB51" s="572"/>
      <c r="BC51" s="572"/>
      <c r="BD51" s="572"/>
      <c r="BE51" s="572"/>
      <c r="BF51" s="572"/>
      <c r="BG51" s="572"/>
      <c r="BH51" s="572"/>
      <c r="BI51" s="572"/>
      <c r="BJ51" s="572"/>
      <c r="BK51" s="572"/>
      <c r="BL51" s="572"/>
      <c r="BM51" s="572"/>
      <c r="BN51" s="573"/>
    </row>
    <row r="52" spans="1:66" ht="30" hidden="1" customHeight="1" x14ac:dyDescent="0.3">
      <c r="A52" s="509"/>
      <c r="B52" s="524"/>
      <c r="C52" s="500" t="s">
        <v>72</v>
      </c>
      <c r="D52" s="510">
        <v>3.3082336031655619</v>
      </c>
      <c r="E52" s="511">
        <f t="shared" si="3"/>
        <v>0.10882347378834085</v>
      </c>
      <c r="F52" s="577"/>
      <c r="G52" s="572"/>
      <c r="H52" s="572"/>
      <c r="I52" s="572"/>
      <c r="J52" s="572"/>
      <c r="K52" s="572"/>
      <c r="L52" s="572"/>
      <c r="M52" s="572"/>
      <c r="N52" s="572"/>
      <c r="O52" s="572"/>
      <c r="P52" s="572"/>
      <c r="Q52" s="572"/>
      <c r="R52" s="572"/>
      <c r="S52" s="572"/>
      <c r="T52" s="572"/>
      <c r="U52" s="572"/>
      <c r="V52" s="572"/>
      <c r="W52" s="572"/>
      <c r="X52" s="572"/>
      <c r="Y52" s="572"/>
      <c r="Z52" s="572"/>
      <c r="AA52" s="572"/>
      <c r="AB52" s="572"/>
      <c r="AC52" s="572"/>
      <c r="AD52" s="572"/>
      <c r="AE52" s="572"/>
      <c r="AF52" s="572"/>
      <c r="AG52" s="572"/>
      <c r="AH52" s="572"/>
      <c r="AI52" s="572"/>
      <c r="AJ52" s="572"/>
      <c r="AK52" s="572"/>
      <c r="AL52" s="572"/>
      <c r="AM52" s="572"/>
      <c r="AN52" s="572"/>
      <c r="AO52" s="572"/>
      <c r="AP52" s="572"/>
      <c r="AQ52" s="572"/>
      <c r="AR52" s="572"/>
      <c r="AS52" s="572"/>
      <c r="AT52" s="572"/>
      <c r="AU52" s="572"/>
      <c r="AV52" s="572"/>
      <c r="AW52" s="572"/>
      <c r="AX52" s="572"/>
      <c r="AY52" s="572"/>
      <c r="AZ52" s="572"/>
      <c r="BA52" s="572"/>
      <c r="BB52" s="572"/>
      <c r="BC52" s="572"/>
      <c r="BD52" s="572"/>
      <c r="BE52" s="572"/>
      <c r="BF52" s="572"/>
      <c r="BG52" s="572"/>
      <c r="BH52" s="572"/>
      <c r="BI52" s="572"/>
      <c r="BJ52" s="572"/>
      <c r="BK52" s="572"/>
      <c r="BL52" s="572"/>
      <c r="BM52" s="572"/>
      <c r="BN52" s="573"/>
    </row>
    <row r="53" spans="1:66" ht="30" hidden="1" customHeight="1" x14ac:dyDescent="0.3">
      <c r="A53" s="509"/>
      <c r="B53" s="524"/>
      <c r="C53" s="526" t="s">
        <v>122</v>
      </c>
      <c r="D53" s="545"/>
      <c r="E53" s="502">
        <f t="shared" si="3"/>
        <v>0</v>
      </c>
      <c r="F53" s="577"/>
      <c r="G53" s="572"/>
      <c r="H53" s="572"/>
      <c r="I53" s="572"/>
      <c r="J53" s="572"/>
      <c r="K53" s="572"/>
      <c r="L53" s="572"/>
      <c r="M53" s="572"/>
      <c r="N53" s="572"/>
      <c r="O53" s="572"/>
      <c r="P53" s="572"/>
      <c r="Q53" s="572"/>
      <c r="R53" s="572"/>
      <c r="S53" s="572"/>
      <c r="T53" s="572"/>
      <c r="U53" s="572"/>
      <c r="V53" s="572"/>
      <c r="W53" s="572"/>
      <c r="X53" s="572"/>
      <c r="Y53" s="572"/>
      <c r="Z53" s="572"/>
      <c r="AA53" s="572"/>
      <c r="AB53" s="572"/>
      <c r="AC53" s="572"/>
      <c r="AD53" s="572"/>
      <c r="AE53" s="572"/>
      <c r="AF53" s="572"/>
      <c r="AG53" s="572"/>
      <c r="AH53" s="572"/>
      <c r="AI53" s="572"/>
      <c r="AJ53" s="572"/>
      <c r="AK53" s="572"/>
      <c r="AL53" s="572"/>
      <c r="AM53" s="572"/>
      <c r="AN53" s="572"/>
      <c r="AO53" s="572"/>
      <c r="AP53" s="572"/>
      <c r="AQ53" s="572"/>
      <c r="AR53" s="572"/>
      <c r="AS53" s="572"/>
      <c r="AT53" s="572"/>
      <c r="AU53" s="572"/>
      <c r="AV53" s="572"/>
      <c r="AW53" s="572"/>
      <c r="AX53" s="572"/>
      <c r="AY53" s="572"/>
      <c r="AZ53" s="572"/>
      <c r="BA53" s="572"/>
      <c r="BB53" s="572"/>
      <c r="BC53" s="572"/>
      <c r="BD53" s="572"/>
      <c r="BE53" s="572"/>
      <c r="BF53" s="572"/>
      <c r="BG53" s="572"/>
      <c r="BH53" s="572"/>
      <c r="BI53" s="572"/>
      <c r="BJ53" s="572"/>
      <c r="BK53" s="572"/>
      <c r="BL53" s="572"/>
      <c r="BM53" s="572"/>
      <c r="BN53" s="573"/>
    </row>
    <row r="54" spans="1:66" ht="30" customHeight="1" x14ac:dyDescent="0.3">
      <c r="A54" s="527" t="s">
        <v>347</v>
      </c>
      <c r="B54" s="527" t="s">
        <v>348</v>
      </c>
      <c r="C54" s="528" t="s">
        <v>349</v>
      </c>
      <c r="D54" s="546">
        <v>3.3112174375332271</v>
      </c>
      <c r="E54" s="506" t="s">
        <v>416</v>
      </c>
      <c r="F54" s="577"/>
      <c r="G54" s="572"/>
      <c r="H54" s="572"/>
      <c r="I54" s="572"/>
      <c r="J54" s="572"/>
      <c r="K54" s="572"/>
      <c r="L54" s="572"/>
      <c r="M54" s="572"/>
      <c r="N54" s="572"/>
      <c r="O54" s="572"/>
      <c r="P54" s="572"/>
      <c r="Q54" s="572"/>
      <c r="R54" s="572"/>
      <c r="S54" s="572"/>
      <c r="T54" s="572"/>
      <c r="U54" s="572"/>
      <c r="V54" s="572"/>
      <c r="W54" s="572"/>
      <c r="X54" s="572"/>
      <c r="Y54" s="572"/>
      <c r="Z54" s="572"/>
      <c r="AA54" s="572"/>
      <c r="AB54" s="572"/>
      <c r="AC54" s="572"/>
      <c r="AD54" s="572"/>
      <c r="AE54" s="572"/>
      <c r="AF54" s="572"/>
      <c r="AG54" s="572"/>
      <c r="AH54" s="572"/>
      <c r="AI54" s="572"/>
      <c r="AJ54" s="572"/>
      <c r="AK54" s="572"/>
      <c r="AL54" s="572"/>
      <c r="AM54" s="572"/>
      <c r="AN54" s="572"/>
      <c r="AO54" s="572"/>
      <c r="AP54" s="572"/>
      <c r="AQ54" s="572"/>
      <c r="AR54" s="572"/>
      <c r="AS54" s="572"/>
      <c r="AT54" s="572"/>
      <c r="AU54" s="572"/>
      <c r="AV54" s="572"/>
      <c r="AW54" s="572"/>
      <c r="AX54" s="572"/>
      <c r="AY54" s="572"/>
      <c r="AZ54" s="572"/>
      <c r="BA54" s="572"/>
      <c r="BB54" s="572"/>
      <c r="BC54" s="572"/>
      <c r="BD54" s="572"/>
      <c r="BE54" s="572"/>
      <c r="BF54" s="572"/>
      <c r="BG54" s="572"/>
      <c r="BH54" s="572"/>
      <c r="BI54" s="572"/>
      <c r="BJ54" s="572"/>
      <c r="BK54" s="572"/>
      <c r="BL54" s="572"/>
      <c r="BM54" s="572"/>
      <c r="BN54" s="573"/>
    </row>
    <row r="55" spans="1:66" ht="30" customHeight="1" x14ac:dyDescent="0.3">
      <c r="A55" s="529" t="s">
        <v>15</v>
      </c>
      <c r="B55" s="530"/>
      <c r="C55" s="531"/>
      <c r="D55" s="505">
        <f>'산정기준 (18개월)'!L58</f>
        <v>182</v>
      </c>
      <c r="E55" s="521">
        <f t="shared" si="3"/>
        <v>5.9868421052631584</v>
      </c>
      <c r="F55" s="577"/>
      <c r="G55" s="572"/>
      <c r="H55" s="572"/>
      <c r="I55" s="572"/>
      <c r="J55" s="572"/>
      <c r="K55" s="572"/>
      <c r="L55" s="572"/>
      <c r="M55" s="572"/>
      <c r="N55" s="572"/>
      <c r="O55" s="572"/>
      <c r="P55" s="572"/>
      <c r="Q55" s="572"/>
      <c r="R55" s="572"/>
      <c r="S55" s="572"/>
      <c r="T55" s="572"/>
      <c r="U55" s="572"/>
      <c r="V55" s="572"/>
      <c r="W55" s="572"/>
      <c r="X55" s="572"/>
      <c r="Y55" s="572"/>
      <c r="Z55" s="572"/>
      <c r="AA55" s="572"/>
      <c r="AB55" s="572"/>
      <c r="AC55" s="572"/>
      <c r="AD55" s="572"/>
      <c r="AE55" s="572"/>
      <c r="AF55" s="572"/>
      <c r="AG55" s="572"/>
      <c r="AH55" s="572"/>
      <c r="AI55" s="572"/>
      <c r="AJ55" s="572"/>
      <c r="AK55" s="572"/>
      <c r="AL55" s="572"/>
      <c r="AM55" s="572"/>
      <c r="AN55" s="572"/>
      <c r="AO55" s="572"/>
      <c r="AP55" s="572"/>
      <c r="AQ55" s="572"/>
      <c r="AR55" s="572"/>
      <c r="AS55" s="572"/>
      <c r="AT55" s="572"/>
      <c r="AU55" s="572"/>
      <c r="AV55" s="572"/>
      <c r="AW55" s="572"/>
      <c r="AX55" s="572"/>
      <c r="AY55" s="572"/>
      <c r="AZ55" s="572"/>
      <c r="BA55" s="572"/>
      <c r="BB55" s="572"/>
      <c r="BC55" s="572"/>
      <c r="BD55" s="572"/>
      <c r="BE55" s="572"/>
      <c r="BF55" s="572"/>
      <c r="BG55" s="572"/>
      <c r="BH55" s="572"/>
      <c r="BI55" s="572"/>
      <c r="BJ55" s="572"/>
      <c r="BK55" s="572"/>
      <c r="BL55" s="572"/>
      <c r="BM55" s="572"/>
      <c r="BN55" s="573"/>
    </row>
    <row r="56" spans="1:66" ht="30" customHeight="1" x14ac:dyDescent="0.3">
      <c r="A56" s="532" t="s">
        <v>230</v>
      </c>
      <c r="B56" s="533" t="s">
        <v>367</v>
      </c>
      <c r="C56" s="508" t="s">
        <v>409</v>
      </c>
      <c r="D56" s="497">
        <f>'산정기준 (18개월)'!L59</f>
        <v>30.791707533510809</v>
      </c>
      <c r="E56" s="498">
        <f t="shared" si="3"/>
        <v>1.0128851162339083</v>
      </c>
      <c r="F56" s="577"/>
      <c r="G56" s="572"/>
      <c r="H56" s="572"/>
      <c r="I56" s="572"/>
      <c r="J56" s="572"/>
      <c r="K56" s="572"/>
      <c r="L56" s="572"/>
      <c r="M56" s="572"/>
      <c r="N56" s="572"/>
      <c r="O56" s="572"/>
      <c r="P56" s="572"/>
      <c r="Q56" s="572"/>
      <c r="R56" s="572"/>
      <c r="S56" s="572"/>
      <c r="T56" s="572"/>
      <c r="U56" s="572"/>
      <c r="V56" s="572"/>
      <c r="W56" s="572"/>
      <c r="X56" s="572"/>
      <c r="Y56" s="572"/>
      <c r="Z56" s="572"/>
      <c r="AA56" s="572"/>
      <c r="AB56" s="572"/>
      <c r="AC56" s="572"/>
      <c r="AD56" s="572"/>
      <c r="AE56" s="572"/>
      <c r="AF56" s="572"/>
      <c r="AG56" s="572"/>
      <c r="AH56" s="572"/>
      <c r="AI56" s="572"/>
      <c r="AJ56" s="572"/>
      <c r="AK56" s="572"/>
      <c r="AL56" s="572"/>
      <c r="AM56" s="572"/>
      <c r="AN56" s="572"/>
      <c r="AO56" s="572"/>
      <c r="AP56" s="572"/>
      <c r="AQ56" s="572"/>
      <c r="AR56" s="572"/>
      <c r="AS56" s="572"/>
      <c r="AT56" s="572"/>
      <c r="AU56" s="572"/>
      <c r="AV56" s="572"/>
      <c r="AW56" s="572"/>
      <c r="AX56" s="572"/>
      <c r="AY56" s="572"/>
      <c r="AZ56" s="572"/>
      <c r="BA56" s="572"/>
      <c r="BB56" s="572"/>
      <c r="BC56" s="572"/>
      <c r="BD56" s="572"/>
      <c r="BE56" s="572"/>
      <c r="BF56" s="572"/>
      <c r="BG56" s="572"/>
      <c r="BH56" s="572"/>
      <c r="BI56" s="572"/>
      <c r="BJ56" s="572"/>
      <c r="BK56" s="572"/>
      <c r="BL56" s="572"/>
      <c r="BM56" s="572"/>
      <c r="BN56" s="573"/>
    </row>
    <row r="57" spans="1:66" ht="30" customHeight="1" x14ac:dyDescent="0.3">
      <c r="A57" s="509"/>
      <c r="B57" s="534" t="s">
        <v>294</v>
      </c>
      <c r="C57" s="500" t="s">
        <v>410</v>
      </c>
      <c r="D57" s="510">
        <f>'산정기준 (18개월)'!L60</f>
        <v>37.355235416032059</v>
      </c>
      <c r="E57" s="511">
        <f t="shared" si="3"/>
        <v>1.2287906386852652</v>
      </c>
      <c r="F57" s="577"/>
      <c r="G57" s="572"/>
      <c r="H57" s="572"/>
      <c r="I57" s="572"/>
      <c r="J57" s="572"/>
      <c r="K57" s="572"/>
      <c r="L57" s="572"/>
      <c r="M57" s="572"/>
      <c r="N57" s="572"/>
      <c r="O57" s="572"/>
      <c r="P57" s="572"/>
      <c r="Q57" s="572"/>
      <c r="R57" s="572"/>
      <c r="S57" s="572"/>
      <c r="T57" s="572"/>
      <c r="U57" s="572"/>
      <c r="V57" s="572"/>
      <c r="W57" s="572"/>
      <c r="X57" s="572"/>
      <c r="Y57" s="572"/>
      <c r="Z57" s="572"/>
      <c r="AA57" s="572"/>
      <c r="AB57" s="572"/>
      <c r="AC57" s="572"/>
      <c r="AD57" s="572"/>
      <c r="AE57" s="572"/>
      <c r="AF57" s="572"/>
      <c r="AG57" s="572"/>
      <c r="AH57" s="572"/>
      <c r="AI57" s="572"/>
      <c r="AJ57" s="572"/>
      <c r="AK57" s="572"/>
      <c r="AL57" s="572"/>
      <c r="AM57" s="572"/>
      <c r="AN57" s="572"/>
      <c r="AO57" s="572"/>
      <c r="AP57" s="572"/>
      <c r="AQ57" s="572"/>
      <c r="AR57" s="572"/>
      <c r="AS57" s="572"/>
      <c r="AT57" s="572"/>
      <c r="AU57" s="572"/>
      <c r="AV57" s="572"/>
      <c r="AW57" s="572"/>
      <c r="AX57" s="572"/>
      <c r="AY57" s="572"/>
      <c r="AZ57" s="572"/>
      <c r="BA57" s="572"/>
      <c r="BB57" s="572"/>
      <c r="BC57" s="572"/>
      <c r="BD57" s="572"/>
      <c r="BE57" s="572"/>
      <c r="BF57" s="572"/>
      <c r="BG57" s="572"/>
      <c r="BH57" s="572"/>
      <c r="BI57" s="572"/>
      <c r="BJ57" s="572"/>
      <c r="BK57" s="572"/>
      <c r="BL57" s="572"/>
      <c r="BM57" s="572"/>
      <c r="BN57" s="573"/>
    </row>
    <row r="58" spans="1:66" ht="30" customHeight="1" x14ac:dyDescent="0.3">
      <c r="A58" s="509"/>
      <c r="B58" s="534" t="s">
        <v>13</v>
      </c>
      <c r="C58" s="500" t="s">
        <v>388</v>
      </c>
      <c r="D58" s="510">
        <f>'산정기준 (18개월)'!L61</f>
        <v>42.47949456883174</v>
      </c>
      <c r="E58" s="511">
        <f t="shared" si="3"/>
        <v>1.39735179502736</v>
      </c>
      <c r="F58" s="577"/>
      <c r="G58" s="572"/>
      <c r="H58" s="572"/>
      <c r="I58" s="572"/>
      <c r="J58" s="572"/>
      <c r="K58" s="572"/>
      <c r="L58" s="572"/>
      <c r="M58" s="572"/>
      <c r="N58" s="572"/>
      <c r="O58" s="572"/>
      <c r="P58" s="572"/>
      <c r="Q58" s="572"/>
      <c r="R58" s="572"/>
      <c r="S58" s="572"/>
      <c r="T58" s="572"/>
      <c r="U58" s="572"/>
      <c r="V58" s="572"/>
      <c r="W58" s="572"/>
      <c r="X58" s="572"/>
      <c r="Y58" s="572"/>
      <c r="Z58" s="572"/>
      <c r="AA58" s="572"/>
      <c r="AB58" s="572"/>
      <c r="AC58" s="572"/>
      <c r="AD58" s="572"/>
      <c r="AE58" s="572"/>
      <c r="AF58" s="572"/>
      <c r="AG58" s="572"/>
      <c r="AH58" s="572"/>
      <c r="AI58" s="572"/>
      <c r="AJ58" s="572"/>
      <c r="AK58" s="572"/>
      <c r="AL58" s="572"/>
      <c r="AM58" s="572"/>
      <c r="AN58" s="572"/>
      <c r="AO58" s="572"/>
      <c r="AP58" s="572"/>
      <c r="AQ58" s="572"/>
      <c r="AR58" s="572"/>
      <c r="AS58" s="572"/>
      <c r="AT58" s="572"/>
      <c r="AU58" s="572"/>
      <c r="AV58" s="572"/>
      <c r="AW58" s="572"/>
      <c r="AX58" s="572"/>
      <c r="AY58" s="572"/>
      <c r="AZ58" s="572"/>
      <c r="BA58" s="572"/>
      <c r="BB58" s="572"/>
      <c r="BC58" s="572"/>
      <c r="BD58" s="572"/>
      <c r="BE58" s="572"/>
      <c r="BF58" s="572"/>
      <c r="BG58" s="572"/>
      <c r="BH58" s="572"/>
      <c r="BI58" s="572"/>
      <c r="BJ58" s="572"/>
      <c r="BK58" s="572"/>
      <c r="BL58" s="572"/>
      <c r="BM58" s="572"/>
      <c r="BN58" s="573"/>
    </row>
    <row r="59" spans="1:66" ht="30" customHeight="1" x14ac:dyDescent="0.3">
      <c r="A59" s="512"/>
      <c r="B59" s="535" t="s">
        <v>6</v>
      </c>
      <c r="C59" s="522" t="s">
        <v>373</v>
      </c>
      <c r="D59" s="501">
        <f>'산정기준 (18개월)'!L62</f>
        <v>45.288388888888882</v>
      </c>
      <c r="E59" s="514">
        <f t="shared" si="3"/>
        <v>1.4897496345029237</v>
      </c>
      <c r="F59" s="577"/>
      <c r="G59" s="572"/>
      <c r="H59" s="572"/>
      <c r="I59" s="572"/>
      <c r="J59" s="572"/>
      <c r="K59" s="572"/>
      <c r="L59" s="572"/>
      <c r="M59" s="572"/>
      <c r="N59" s="572"/>
      <c r="O59" s="572"/>
      <c r="P59" s="572"/>
      <c r="Q59" s="572"/>
      <c r="R59" s="572"/>
      <c r="S59" s="572"/>
      <c r="T59" s="572"/>
      <c r="U59" s="572"/>
      <c r="V59" s="572"/>
      <c r="W59" s="572"/>
      <c r="X59" s="572"/>
      <c r="Y59" s="572"/>
      <c r="Z59" s="572"/>
      <c r="AA59" s="572"/>
      <c r="AB59" s="572"/>
      <c r="AC59" s="572"/>
      <c r="AD59" s="572"/>
      <c r="AE59" s="572"/>
      <c r="AF59" s="572"/>
      <c r="AG59" s="572"/>
      <c r="AH59" s="572"/>
      <c r="AI59" s="572"/>
      <c r="AJ59" s="572"/>
      <c r="AK59" s="572"/>
      <c r="AL59" s="572"/>
      <c r="AM59" s="572"/>
      <c r="AN59" s="572"/>
      <c r="AO59" s="572"/>
      <c r="AP59" s="572"/>
      <c r="AQ59" s="572"/>
      <c r="AR59" s="572"/>
      <c r="AS59" s="572"/>
      <c r="AT59" s="572"/>
      <c r="AU59" s="572"/>
      <c r="AV59" s="572"/>
      <c r="AW59" s="572"/>
      <c r="AX59" s="572"/>
      <c r="AY59" s="572"/>
      <c r="AZ59" s="572"/>
      <c r="BA59" s="572"/>
      <c r="BB59" s="572"/>
      <c r="BC59" s="572"/>
      <c r="BD59" s="572"/>
      <c r="BE59" s="572"/>
      <c r="BF59" s="572"/>
      <c r="BG59" s="572"/>
      <c r="BH59" s="572"/>
      <c r="BI59" s="572"/>
      <c r="BJ59" s="572"/>
      <c r="BK59" s="572"/>
      <c r="BL59" s="572"/>
      <c r="BM59" s="572"/>
      <c r="BN59" s="573"/>
    </row>
    <row r="60" spans="1:66" ht="30" customHeight="1" x14ac:dyDescent="0.3">
      <c r="A60" s="532" t="s">
        <v>229</v>
      </c>
      <c r="B60" s="533" t="s">
        <v>24</v>
      </c>
      <c r="C60" s="508" t="s">
        <v>365</v>
      </c>
      <c r="D60" s="505">
        <f>'산정기준 (18개월)'!L63</f>
        <v>19.142452161587528</v>
      </c>
      <c r="E60" s="521">
        <f t="shared" si="3"/>
        <v>0.6296859263680108</v>
      </c>
      <c r="F60" s="577"/>
      <c r="G60" s="572"/>
      <c r="H60" s="572"/>
      <c r="I60" s="572"/>
      <c r="J60" s="572"/>
      <c r="K60" s="572"/>
      <c r="L60" s="572"/>
      <c r="M60" s="572"/>
      <c r="N60" s="572"/>
      <c r="O60" s="572"/>
      <c r="P60" s="572"/>
      <c r="Q60" s="572"/>
      <c r="R60" s="572"/>
      <c r="S60" s="572"/>
      <c r="T60" s="572"/>
      <c r="U60" s="572"/>
      <c r="V60" s="572"/>
      <c r="W60" s="572"/>
      <c r="X60" s="572"/>
      <c r="Y60" s="572"/>
      <c r="Z60" s="572"/>
      <c r="AA60" s="572"/>
      <c r="AB60" s="572"/>
      <c r="AC60" s="572"/>
      <c r="AD60" s="572"/>
      <c r="AE60" s="572"/>
      <c r="AF60" s="572"/>
      <c r="AG60" s="572"/>
      <c r="AH60" s="572"/>
      <c r="AI60" s="572"/>
      <c r="AJ60" s="572"/>
      <c r="AK60" s="572"/>
      <c r="AL60" s="572"/>
      <c r="AM60" s="572"/>
      <c r="AN60" s="572"/>
      <c r="AO60" s="572"/>
      <c r="AP60" s="572"/>
      <c r="AQ60" s="572"/>
      <c r="AR60" s="572"/>
      <c r="AS60" s="572"/>
      <c r="AT60" s="572"/>
      <c r="AU60" s="572"/>
      <c r="AV60" s="572"/>
      <c r="AW60" s="572"/>
      <c r="AX60" s="572"/>
      <c r="AY60" s="572"/>
      <c r="AZ60" s="572"/>
      <c r="BA60" s="572"/>
      <c r="BB60" s="572"/>
      <c r="BC60" s="572"/>
      <c r="BD60" s="572"/>
      <c r="BE60" s="572"/>
      <c r="BF60" s="572"/>
      <c r="BG60" s="572"/>
      <c r="BH60" s="572"/>
      <c r="BI60" s="572"/>
      <c r="BJ60" s="572"/>
      <c r="BK60" s="572"/>
      <c r="BL60" s="572"/>
      <c r="BM60" s="572"/>
      <c r="BN60" s="573"/>
    </row>
    <row r="61" spans="1:66" ht="30" customHeight="1" x14ac:dyDescent="0.3">
      <c r="A61" s="509"/>
      <c r="B61" s="534" t="s">
        <v>132</v>
      </c>
      <c r="C61" s="500" t="s">
        <v>292</v>
      </c>
      <c r="D61" s="510">
        <f>'산정기준 (18개월)'!L64</f>
        <v>10.818072289156627</v>
      </c>
      <c r="E61" s="511">
        <f t="shared" si="3"/>
        <v>0.35585764109067852</v>
      </c>
      <c r="F61" s="577"/>
      <c r="G61" s="572"/>
      <c r="H61" s="572"/>
      <c r="I61" s="572"/>
      <c r="J61" s="572"/>
      <c r="K61" s="572"/>
      <c r="L61" s="572"/>
      <c r="M61" s="572"/>
      <c r="N61" s="572"/>
      <c r="O61" s="572"/>
      <c r="P61" s="572"/>
      <c r="Q61" s="572"/>
      <c r="R61" s="572"/>
      <c r="S61" s="572"/>
      <c r="T61" s="572"/>
      <c r="U61" s="572"/>
      <c r="V61" s="572"/>
      <c r="W61" s="572"/>
      <c r="X61" s="572"/>
      <c r="Y61" s="572"/>
      <c r="Z61" s="572"/>
      <c r="AA61" s="572"/>
      <c r="AB61" s="572"/>
      <c r="AC61" s="572"/>
      <c r="AD61" s="572"/>
      <c r="AE61" s="572"/>
      <c r="AF61" s="572"/>
      <c r="AG61" s="572"/>
      <c r="AH61" s="572"/>
      <c r="AI61" s="572"/>
      <c r="AJ61" s="572"/>
      <c r="AK61" s="572"/>
      <c r="AL61" s="572"/>
      <c r="AM61" s="572"/>
      <c r="AN61" s="572"/>
      <c r="AO61" s="572"/>
      <c r="AP61" s="572"/>
      <c r="AQ61" s="572"/>
      <c r="AR61" s="572"/>
      <c r="AS61" s="572"/>
      <c r="AT61" s="572"/>
      <c r="AU61" s="572"/>
      <c r="AV61" s="572"/>
      <c r="AW61" s="572"/>
      <c r="AX61" s="572"/>
      <c r="AY61" s="572"/>
      <c r="AZ61" s="572"/>
      <c r="BA61" s="572"/>
      <c r="BB61" s="572"/>
      <c r="BC61" s="572"/>
      <c r="BD61" s="572"/>
      <c r="BE61" s="572"/>
      <c r="BF61" s="572"/>
      <c r="BG61" s="572"/>
      <c r="BH61" s="572"/>
      <c r="BI61" s="572"/>
      <c r="BJ61" s="572"/>
      <c r="BK61" s="572"/>
      <c r="BL61" s="572"/>
      <c r="BM61" s="572"/>
      <c r="BN61" s="573"/>
    </row>
    <row r="62" spans="1:66" ht="30" customHeight="1" x14ac:dyDescent="0.3">
      <c r="A62" s="509"/>
      <c r="B62" s="534" t="s">
        <v>34</v>
      </c>
      <c r="C62" s="500" t="s">
        <v>412</v>
      </c>
      <c r="D62" s="510">
        <f>'산정기준 (18개월)'!L65</f>
        <v>10.317423540315106</v>
      </c>
      <c r="E62" s="511">
        <f t="shared" si="3"/>
        <v>0.33938893224720745</v>
      </c>
      <c r="F62" s="577"/>
      <c r="G62" s="572"/>
      <c r="H62" s="572"/>
      <c r="I62" s="572"/>
      <c r="J62" s="572"/>
      <c r="K62" s="572"/>
      <c r="L62" s="572"/>
      <c r="M62" s="572"/>
      <c r="N62" s="572"/>
      <c r="O62" s="572"/>
      <c r="P62" s="572"/>
      <c r="Q62" s="572"/>
      <c r="R62" s="572"/>
      <c r="S62" s="572"/>
      <c r="T62" s="572"/>
      <c r="U62" s="572"/>
      <c r="V62" s="572"/>
      <c r="W62" s="572"/>
      <c r="X62" s="572"/>
      <c r="Y62" s="572"/>
      <c r="Z62" s="572"/>
      <c r="AA62" s="572"/>
      <c r="AB62" s="572"/>
      <c r="AC62" s="572"/>
      <c r="AD62" s="572"/>
      <c r="AE62" s="572"/>
      <c r="AF62" s="572"/>
      <c r="AG62" s="572"/>
      <c r="AH62" s="572"/>
      <c r="AI62" s="572"/>
      <c r="AJ62" s="572"/>
      <c r="AK62" s="572"/>
      <c r="AL62" s="572"/>
      <c r="AM62" s="572"/>
      <c r="AN62" s="572"/>
      <c r="AO62" s="572"/>
      <c r="AP62" s="572"/>
      <c r="AQ62" s="572"/>
      <c r="AR62" s="572"/>
      <c r="AS62" s="572"/>
      <c r="AT62" s="572"/>
      <c r="AU62" s="572"/>
      <c r="AV62" s="572"/>
      <c r="AW62" s="572"/>
      <c r="AX62" s="572"/>
      <c r="AY62" s="572"/>
      <c r="AZ62" s="572"/>
      <c r="BA62" s="572"/>
      <c r="BB62" s="572"/>
      <c r="BC62" s="572"/>
      <c r="BD62" s="572"/>
      <c r="BE62" s="572"/>
      <c r="BF62" s="572"/>
      <c r="BG62" s="572"/>
      <c r="BH62" s="572"/>
      <c r="BI62" s="572"/>
      <c r="BJ62" s="572"/>
      <c r="BK62" s="572"/>
      <c r="BL62" s="572"/>
      <c r="BM62" s="572"/>
      <c r="BN62" s="573"/>
    </row>
    <row r="63" spans="1:66" ht="30" customHeight="1" x14ac:dyDescent="0.3">
      <c r="A63" s="509"/>
      <c r="B63" s="534" t="s">
        <v>28</v>
      </c>
      <c r="C63" s="500" t="s">
        <v>361</v>
      </c>
      <c r="D63" s="510">
        <f>'산정기준 (18개월)'!L66</f>
        <v>23.289638554216868</v>
      </c>
      <c r="E63" s="511">
        <f t="shared" si="3"/>
        <v>0.76610653138871276</v>
      </c>
      <c r="F63" s="577"/>
      <c r="G63" s="572"/>
      <c r="H63" s="572"/>
      <c r="I63" s="572"/>
      <c r="J63" s="572"/>
      <c r="K63" s="572"/>
      <c r="L63" s="572"/>
      <c r="M63" s="572"/>
      <c r="N63" s="572"/>
      <c r="O63" s="572"/>
      <c r="P63" s="572"/>
      <c r="Q63" s="572"/>
      <c r="R63" s="572"/>
      <c r="S63" s="572"/>
      <c r="T63" s="572"/>
      <c r="U63" s="572"/>
      <c r="V63" s="572"/>
      <c r="W63" s="572"/>
      <c r="X63" s="572"/>
      <c r="Y63" s="572"/>
      <c r="Z63" s="572"/>
      <c r="AA63" s="572"/>
      <c r="AB63" s="572"/>
      <c r="AC63" s="572"/>
      <c r="AD63" s="572"/>
      <c r="AE63" s="572"/>
      <c r="AF63" s="572"/>
      <c r="AG63" s="572"/>
      <c r="AH63" s="572"/>
      <c r="AI63" s="572"/>
      <c r="AJ63" s="572"/>
      <c r="AK63" s="572"/>
      <c r="AL63" s="572"/>
      <c r="AM63" s="572"/>
      <c r="AN63" s="572"/>
      <c r="AO63" s="572"/>
      <c r="AP63" s="572"/>
      <c r="AQ63" s="572"/>
      <c r="AR63" s="572"/>
      <c r="AS63" s="572"/>
      <c r="AT63" s="572"/>
      <c r="AU63" s="572"/>
      <c r="AV63" s="572"/>
      <c r="AW63" s="572"/>
      <c r="AX63" s="572"/>
      <c r="AY63" s="572"/>
      <c r="AZ63" s="572"/>
      <c r="BA63" s="572"/>
      <c r="BB63" s="572"/>
      <c r="BC63" s="572"/>
      <c r="BD63" s="572"/>
      <c r="BE63" s="572"/>
      <c r="BF63" s="572"/>
      <c r="BG63" s="572"/>
      <c r="BH63" s="572"/>
      <c r="BI63" s="572"/>
      <c r="BJ63" s="572"/>
      <c r="BK63" s="572"/>
      <c r="BL63" s="572"/>
      <c r="BM63" s="572"/>
      <c r="BN63" s="573"/>
    </row>
    <row r="64" spans="1:66" ht="30" customHeight="1" x14ac:dyDescent="0.3">
      <c r="A64" s="509"/>
      <c r="B64" s="534" t="s">
        <v>20</v>
      </c>
      <c r="C64" s="500" t="s">
        <v>363</v>
      </c>
      <c r="D64" s="510">
        <f>'산정기준 (18개월)'!L67</f>
        <v>17.678818723168536</v>
      </c>
      <c r="E64" s="511">
        <f t="shared" si="3"/>
        <v>0.58154008957791237</v>
      </c>
      <c r="F64" s="577"/>
      <c r="G64" s="572"/>
      <c r="H64" s="572"/>
      <c r="I64" s="572"/>
      <c r="J64" s="572"/>
      <c r="K64" s="572"/>
      <c r="L64" s="572"/>
      <c r="M64" s="572"/>
      <c r="N64" s="572"/>
      <c r="O64" s="572"/>
      <c r="P64" s="572"/>
      <c r="Q64" s="572"/>
      <c r="R64" s="572"/>
      <c r="S64" s="572"/>
      <c r="T64" s="572"/>
      <c r="U64" s="572"/>
      <c r="V64" s="572"/>
      <c r="W64" s="572"/>
      <c r="X64" s="572"/>
      <c r="Y64" s="572"/>
      <c r="Z64" s="572"/>
      <c r="AA64" s="572"/>
      <c r="AB64" s="572"/>
      <c r="AC64" s="572"/>
      <c r="AD64" s="572"/>
      <c r="AE64" s="572"/>
      <c r="AF64" s="572"/>
      <c r="AG64" s="572"/>
      <c r="AH64" s="572"/>
      <c r="AI64" s="572"/>
      <c r="AJ64" s="572"/>
      <c r="AK64" s="572"/>
      <c r="AL64" s="572"/>
      <c r="AM64" s="572"/>
      <c r="AN64" s="572"/>
      <c r="AO64" s="572"/>
      <c r="AP64" s="572"/>
      <c r="AQ64" s="572"/>
      <c r="AR64" s="572"/>
      <c r="AS64" s="572"/>
      <c r="AT64" s="572"/>
      <c r="AU64" s="572"/>
      <c r="AV64" s="572"/>
      <c r="AW64" s="572"/>
      <c r="AX64" s="572"/>
      <c r="AY64" s="572"/>
      <c r="AZ64" s="572"/>
      <c r="BA64" s="572"/>
      <c r="BB64" s="572"/>
      <c r="BC64" s="572"/>
      <c r="BD64" s="572"/>
      <c r="BE64" s="572"/>
      <c r="BF64" s="572"/>
      <c r="BG64" s="572"/>
      <c r="BH64" s="572"/>
      <c r="BI64" s="572"/>
      <c r="BJ64" s="572"/>
      <c r="BK64" s="572"/>
      <c r="BL64" s="572"/>
      <c r="BM64" s="572"/>
      <c r="BN64" s="573"/>
    </row>
    <row r="65" spans="1:93" ht="30" customHeight="1" x14ac:dyDescent="0.3">
      <c r="A65" s="509"/>
      <c r="B65" s="534" t="s">
        <v>25</v>
      </c>
      <c r="C65" s="500" t="s">
        <v>372</v>
      </c>
      <c r="D65" s="510">
        <f>'산정기준 (18개월)'!L68</f>
        <v>9.1909638554216873</v>
      </c>
      <c r="E65" s="511">
        <f t="shared" si="3"/>
        <v>0.30233433734939763</v>
      </c>
      <c r="F65" s="577"/>
      <c r="G65" s="572"/>
      <c r="H65" s="572"/>
      <c r="I65" s="572"/>
      <c r="J65" s="572"/>
      <c r="K65" s="572"/>
      <c r="L65" s="572"/>
      <c r="M65" s="572"/>
      <c r="N65" s="572"/>
      <c r="O65" s="572"/>
      <c r="P65" s="572"/>
      <c r="Q65" s="572"/>
      <c r="R65" s="572"/>
      <c r="S65" s="572"/>
      <c r="T65" s="572"/>
      <c r="U65" s="572"/>
      <c r="V65" s="572"/>
      <c r="W65" s="572"/>
      <c r="X65" s="572"/>
      <c r="Y65" s="572"/>
      <c r="Z65" s="572"/>
      <c r="AA65" s="572"/>
      <c r="AB65" s="572"/>
      <c r="AC65" s="572"/>
      <c r="AD65" s="572"/>
      <c r="AE65" s="572"/>
      <c r="AF65" s="572"/>
      <c r="AG65" s="572"/>
      <c r="AH65" s="572"/>
      <c r="AI65" s="572"/>
      <c r="AJ65" s="572"/>
      <c r="AK65" s="572"/>
      <c r="AL65" s="572"/>
      <c r="AM65" s="572"/>
      <c r="AN65" s="572"/>
      <c r="AO65" s="572"/>
      <c r="AP65" s="572"/>
      <c r="AQ65" s="572"/>
      <c r="AR65" s="572"/>
      <c r="AS65" s="572"/>
      <c r="AT65" s="572"/>
      <c r="AU65" s="572"/>
      <c r="AV65" s="572"/>
      <c r="AW65" s="572"/>
      <c r="AX65" s="572"/>
      <c r="AY65" s="572"/>
      <c r="AZ65" s="572"/>
      <c r="BA65" s="572"/>
      <c r="BB65" s="572"/>
      <c r="BC65" s="572"/>
      <c r="BD65" s="572"/>
      <c r="BE65" s="572"/>
      <c r="BF65" s="572"/>
      <c r="BG65" s="572"/>
      <c r="BH65" s="572"/>
      <c r="BI65" s="572"/>
      <c r="BJ65" s="572"/>
      <c r="BK65" s="572"/>
      <c r="BL65" s="572"/>
      <c r="BM65" s="572"/>
      <c r="BN65" s="573"/>
    </row>
    <row r="66" spans="1:93" ht="30" customHeight="1" x14ac:dyDescent="0.3">
      <c r="A66" s="509"/>
      <c r="B66" s="534" t="s">
        <v>293</v>
      </c>
      <c r="C66" s="500" t="s">
        <v>377</v>
      </c>
      <c r="D66" s="510">
        <f>'산정기준 (18개월)'!L69</f>
        <v>20.121614457831331</v>
      </c>
      <c r="E66" s="511">
        <f t="shared" si="3"/>
        <v>0.66189521242866223</v>
      </c>
      <c r="F66" s="577"/>
      <c r="G66" s="572"/>
      <c r="H66" s="572"/>
      <c r="I66" s="572"/>
      <c r="J66" s="572"/>
      <c r="K66" s="572"/>
      <c r="L66" s="572"/>
      <c r="M66" s="572"/>
      <c r="N66" s="572"/>
      <c r="O66" s="572"/>
      <c r="P66" s="572"/>
      <c r="Q66" s="572"/>
      <c r="R66" s="572"/>
      <c r="S66" s="572"/>
      <c r="T66" s="572"/>
      <c r="U66" s="572"/>
      <c r="V66" s="572"/>
      <c r="W66" s="572"/>
      <c r="X66" s="572"/>
      <c r="Y66" s="572"/>
      <c r="Z66" s="572"/>
      <c r="AA66" s="572"/>
      <c r="AB66" s="572"/>
      <c r="AC66" s="572"/>
      <c r="AD66" s="572"/>
      <c r="AE66" s="572"/>
      <c r="AF66" s="572"/>
      <c r="AG66" s="572"/>
      <c r="AH66" s="572"/>
      <c r="AI66" s="572"/>
      <c r="AJ66" s="572"/>
      <c r="AK66" s="572"/>
      <c r="AL66" s="572"/>
      <c r="AM66" s="572"/>
      <c r="AN66" s="572"/>
      <c r="AO66" s="572"/>
      <c r="AP66" s="572"/>
      <c r="AQ66" s="572"/>
      <c r="AR66" s="572"/>
      <c r="AS66" s="572"/>
      <c r="AT66" s="572"/>
      <c r="AU66" s="572"/>
      <c r="AV66" s="572"/>
      <c r="AW66" s="572"/>
      <c r="AX66" s="572"/>
      <c r="AY66" s="572"/>
      <c r="AZ66" s="572"/>
      <c r="BA66" s="572"/>
      <c r="BB66" s="572"/>
      <c r="BC66" s="572"/>
      <c r="BD66" s="572"/>
      <c r="BE66" s="572"/>
      <c r="BF66" s="572"/>
      <c r="BG66" s="572"/>
      <c r="BH66" s="572" t="s">
        <v>417</v>
      </c>
      <c r="BI66" s="572"/>
      <c r="BJ66" s="572"/>
      <c r="BK66" s="572"/>
      <c r="BL66" s="572"/>
      <c r="BM66" s="572"/>
      <c r="BN66" s="573"/>
    </row>
    <row r="67" spans="1:93" ht="30" customHeight="1" x14ac:dyDescent="0.3">
      <c r="A67" s="509"/>
      <c r="B67" s="534" t="s">
        <v>35</v>
      </c>
      <c r="C67" s="589" t="s">
        <v>375</v>
      </c>
      <c r="D67" s="545">
        <f>'산정기준 (18개월)'!L70</f>
        <v>6.8828571428571426</v>
      </c>
      <c r="E67" s="502">
        <f t="shared" si="3"/>
        <v>0.22640977443609023</v>
      </c>
      <c r="F67" s="577"/>
      <c r="G67" s="572"/>
      <c r="H67" s="572"/>
      <c r="I67" s="572"/>
      <c r="J67" s="572"/>
      <c r="K67" s="572"/>
      <c r="L67" s="572"/>
      <c r="M67" s="572"/>
      <c r="N67" s="572"/>
      <c r="O67" s="572"/>
      <c r="P67" s="572"/>
      <c r="Q67" s="572"/>
      <c r="R67" s="572"/>
      <c r="S67" s="572"/>
      <c r="T67" s="572"/>
      <c r="U67" s="572"/>
      <c r="V67" s="572"/>
      <c r="W67" s="572"/>
      <c r="X67" s="572"/>
      <c r="Y67" s="572"/>
      <c r="Z67" s="572"/>
      <c r="AA67" s="572"/>
      <c r="AB67" s="572"/>
      <c r="AC67" s="572"/>
      <c r="AD67" s="572"/>
      <c r="AE67" s="572"/>
      <c r="AF67" s="572"/>
      <c r="AG67" s="572"/>
      <c r="AH67" s="572"/>
      <c r="AI67" s="572"/>
      <c r="AJ67" s="572"/>
      <c r="AK67" s="572"/>
      <c r="AL67" s="572"/>
      <c r="AM67" s="572"/>
      <c r="AN67" s="572"/>
      <c r="AO67" s="572"/>
      <c r="AP67" s="572"/>
      <c r="AQ67" s="572"/>
      <c r="AR67" s="572"/>
      <c r="AS67" s="572"/>
      <c r="AT67" s="572"/>
      <c r="AU67" s="572"/>
      <c r="AV67" s="572"/>
      <c r="AW67" s="572"/>
      <c r="AX67" s="572"/>
      <c r="AY67" s="572"/>
      <c r="AZ67" s="572"/>
      <c r="BA67" s="572"/>
      <c r="BB67" s="572"/>
      <c r="BC67" s="572"/>
      <c r="BD67" s="572"/>
      <c r="BE67" s="572"/>
      <c r="BF67" s="572"/>
      <c r="BG67" s="572"/>
      <c r="BH67" s="572"/>
      <c r="BI67" s="572"/>
      <c r="BJ67" s="572"/>
      <c r="BK67" s="572"/>
      <c r="BL67" s="572"/>
      <c r="BM67" s="572"/>
      <c r="BN67" s="573"/>
    </row>
    <row r="68" spans="1:93" ht="30" customHeight="1" x14ac:dyDescent="0.3">
      <c r="A68" s="539" t="s">
        <v>161</v>
      </c>
      <c r="B68" s="540"/>
      <c r="C68" s="541"/>
      <c r="D68" s="546" t="s">
        <v>416</v>
      </c>
      <c r="E68" s="561" t="s">
        <v>416</v>
      </c>
      <c r="F68" s="577"/>
      <c r="G68" s="572"/>
      <c r="H68" s="572"/>
      <c r="I68" s="572"/>
      <c r="J68" s="572"/>
      <c r="K68" s="572"/>
      <c r="L68" s="572"/>
      <c r="M68" s="572"/>
      <c r="N68" s="572"/>
      <c r="O68" s="572"/>
      <c r="P68" s="572"/>
      <c r="Q68" s="572"/>
      <c r="R68" s="572"/>
      <c r="S68" s="572"/>
      <c r="T68" s="572"/>
      <c r="U68" s="572"/>
      <c r="V68" s="572"/>
      <c r="W68" s="572"/>
      <c r="X68" s="572"/>
      <c r="Y68" s="572"/>
      <c r="Z68" s="572"/>
      <c r="AA68" s="572"/>
      <c r="AB68" s="572"/>
      <c r="AC68" s="572"/>
      <c r="AD68" s="572"/>
      <c r="AE68" s="572"/>
      <c r="AF68" s="572"/>
      <c r="AG68" s="572"/>
      <c r="AH68" s="572"/>
      <c r="AI68" s="572"/>
      <c r="AJ68" s="572"/>
      <c r="AK68" s="572"/>
      <c r="AL68" s="572"/>
      <c r="AM68" s="572"/>
      <c r="AN68" s="572"/>
      <c r="AO68" s="572"/>
      <c r="AP68" s="572"/>
      <c r="AQ68" s="572"/>
      <c r="AR68" s="572"/>
      <c r="AS68" s="572"/>
      <c r="AT68" s="572"/>
      <c r="AU68" s="572"/>
      <c r="AV68" s="572"/>
      <c r="AW68" s="572"/>
      <c r="AX68" s="572"/>
      <c r="AY68" s="572"/>
      <c r="AZ68" s="572"/>
      <c r="BA68" s="572"/>
      <c r="BB68" s="572"/>
      <c r="BC68" s="572"/>
      <c r="BD68" s="572"/>
      <c r="BE68" s="572"/>
      <c r="BF68" s="572"/>
      <c r="BG68" s="572"/>
      <c r="BH68" s="572"/>
      <c r="BI68" s="572"/>
      <c r="BJ68" s="572"/>
      <c r="BK68" s="572"/>
      <c r="BL68" s="572"/>
      <c r="BM68" s="572"/>
      <c r="BN68" s="573"/>
    </row>
    <row r="69" spans="1:93" ht="30" customHeight="1" x14ac:dyDescent="0.3">
      <c r="A69" s="340" t="s">
        <v>123</v>
      </c>
      <c r="B69" s="216" t="s">
        <v>31</v>
      </c>
      <c r="C69" s="214"/>
      <c r="D69" s="505"/>
      <c r="E69" s="544"/>
      <c r="F69" s="577"/>
      <c r="G69" s="572"/>
      <c r="H69" s="572"/>
      <c r="I69" s="572"/>
      <c r="J69" s="572"/>
      <c r="K69" s="572"/>
      <c r="L69" s="572"/>
      <c r="M69" s="572"/>
      <c r="N69" s="572"/>
      <c r="O69" s="572"/>
      <c r="P69" s="572"/>
      <c r="Q69" s="572"/>
      <c r="R69" s="572"/>
      <c r="S69" s="572"/>
      <c r="T69" s="572"/>
      <c r="U69" s="572"/>
      <c r="V69" s="572"/>
      <c r="W69" s="572"/>
      <c r="X69" s="572"/>
      <c r="Y69" s="572"/>
      <c r="Z69" s="572"/>
      <c r="AA69" s="572"/>
      <c r="AB69" s="572"/>
      <c r="AC69" s="572"/>
      <c r="AD69" s="572"/>
      <c r="AE69" s="572"/>
      <c r="AF69" s="572"/>
      <c r="AG69" s="572"/>
      <c r="AH69" s="572"/>
      <c r="AI69" s="572"/>
      <c r="AJ69" s="572"/>
      <c r="AK69" s="572"/>
      <c r="AL69" s="572"/>
      <c r="AM69" s="572"/>
      <c r="AN69" s="572"/>
      <c r="AO69" s="572"/>
      <c r="AP69" s="572"/>
      <c r="AQ69" s="572"/>
      <c r="AR69" s="572"/>
      <c r="AS69" s="572"/>
      <c r="AT69" s="572"/>
      <c r="AU69" s="572"/>
      <c r="AV69" s="572"/>
      <c r="AW69" s="572"/>
      <c r="AX69" s="572"/>
      <c r="AY69" s="572"/>
      <c r="AZ69" s="572"/>
      <c r="BA69" s="572"/>
      <c r="BB69" s="572"/>
      <c r="BC69" s="572"/>
      <c r="BD69" s="572"/>
      <c r="BE69" s="572"/>
      <c r="BF69" s="572"/>
      <c r="BG69" s="572"/>
      <c r="BH69" s="572"/>
      <c r="BI69" s="572"/>
      <c r="BJ69" s="572"/>
      <c r="BK69" s="572"/>
      <c r="BL69" s="572"/>
      <c r="BM69" s="572"/>
      <c r="BN69" s="573"/>
    </row>
    <row r="70" spans="1:93" ht="30" customHeight="1" x14ac:dyDescent="0.3">
      <c r="A70" s="217"/>
      <c r="B70" s="220" t="s">
        <v>21</v>
      </c>
      <c r="D70" s="510"/>
      <c r="E70" s="544"/>
      <c r="F70" s="577"/>
      <c r="G70" s="572"/>
      <c r="H70" s="572"/>
      <c r="I70" s="572"/>
      <c r="J70" s="572"/>
      <c r="K70" s="572"/>
      <c r="L70" s="572"/>
      <c r="M70" s="572"/>
      <c r="N70" s="572"/>
      <c r="O70" s="572"/>
      <c r="P70" s="572"/>
      <c r="Q70" s="572"/>
      <c r="R70" s="572"/>
      <c r="S70" s="572"/>
      <c r="T70" s="572"/>
      <c r="U70" s="572"/>
      <c r="V70" s="572"/>
      <c r="W70" s="572"/>
      <c r="X70" s="572"/>
      <c r="Y70" s="572"/>
      <c r="Z70" s="572"/>
      <c r="AA70" s="572"/>
      <c r="AB70" s="572"/>
      <c r="AC70" s="572"/>
      <c r="AD70" s="572"/>
      <c r="AE70" s="572"/>
      <c r="AF70" s="572"/>
      <c r="AG70" s="572"/>
      <c r="AH70" s="572"/>
      <c r="AI70" s="572"/>
      <c r="AJ70" s="572"/>
      <c r="AK70" s="572"/>
      <c r="AL70" s="572"/>
      <c r="AM70" s="572"/>
      <c r="AN70" s="572"/>
      <c r="AO70" s="572"/>
      <c r="AP70" s="572"/>
      <c r="AQ70" s="572"/>
      <c r="AR70" s="572"/>
      <c r="AS70" s="572"/>
      <c r="AT70" s="572"/>
      <c r="AU70" s="572"/>
      <c r="AV70" s="572"/>
      <c r="AW70" s="572"/>
      <c r="AX70" s="572"/>
      <c r="AY70" s="572"/>
      <c r="AZ70" s="572"/>
      <c r="BA70" s="572"/>
      <c r="BB70" s="572"/>
      <c r="BC70" s="572"/>
      <c r="BD70" s="572"/>
      <c r="BE70" s="572"/>
      <c r="BF70" s="572"/>
      <c r="BG70" s="572"/>
      <c r="BH70" s="572"/>
      <c r="BI70" s="572"/>
      <c r="BJ70" s="572"/>
      <c r="BK70" s="572"/>
      <c r="BL70" s="572"/>
      <c r="BM70" s="572"/>
      <c r="BN70" s="573"/>
    </row>
    <row r="71" spans="1:93" ht="30" customHeight="1" x14ac:dyDescent="0.3">
      <c r="A71" s="217"/>
      <c r="B71" s="220" t="s">
        <v>33</v>
      </c>
      <c r="C71" s="218"/>
      <c r="D71" s="510"/>
      <c r="E71" s="544"/>
      <c r="F71" s="577"/>
      <c r="G71" s="572"/>
      <c r="H71" s="572"/>
      <c r="I71" s="572"/>
      <c r="J71" s="572"/>
      <c r="K71" s="572"/>
      <c r="L71" s="572"/>
      <c r="M71" s="572"/>
      <c r="N71" s="572"/>
      <c r="O71" s="572"/>
      <c r="P71" s="572"/>
      <c r="Q71" s="572"/>
      <c r="R71" s="572"/>
      <c r="S71" s="572"/>
      <c r="T71" s="572"/>
      <c r="U71" s="572"/>
      <c r="V71" s="572"/>
      <c r="W71" s="572"/>
      <c r="X71" s="572"/>
      <c r="Y71" s="572"/>
      <c r="Z71" s="572"/>
      <c r="AA71" s="572"/>
      <c r="AB71" s="572"/>
      <c r="AC71" s="572"/>
      <c r="AD71" s="572"/>
      <c r="AE71" s="572"/>
      <c r="AF71" s="572"/>
      <c r="AG71" s="572"/>
      <c r="AH71" s="572"/>
      <c r="AI71" s="572"/>
      <c r="AJ71" s="572"/>
      <c r="AK71" s="572"/>
      <c r="AL71" s="572"/>
      <c r="AM71" s="572"/>
      <c r="AN71" s="572"/>
      <c r="AO71" s="572"/>
      <c r="AP71" s="572"/>
      <c r="AQ71" s="572"/>
      <c r="AR71" s="572"/>
      <c r="AS71" s="572"/>
      <c r="AT71" s="572"/>
      <c r="AU71" s="572"/>
      <c r="AV71" s="572"/>
      <c r="AW71" s="572"/>
      <c r="AX71" s="572"/>
      <c r="AY71" s="572"/>
      <c r="AZ71" s="572"/>
      <c r="BA71" s="572"/>
      <c r="BB71" s="572"/>
      <c r="BC71" s="572"/>
      <c r="BD71" s="572"/>
      <c r="BE71" s="572"/>
      <c r="BF71" s="572"/>
      <c r="BG71" s="572"/>
      <c r="BH71" s="572"/>
      <c r="BI71" s="572"/>
      <c r="BJ71" s="572"/>
      <c r="BK71" s="572"/>
      <c r="BL71" s="572"/>
      <c r="BM71" s="572"/>
      <c r="BN71" s="573"/>
    </row>
    <row r="72" spans="1:93" ht="30" customHeight="1" x14ac:dyDescent="0.3">
      <c r="A72" s="217"/>
      <c r="B72" s="220" t="s">
        <v>18</v>
      </c>
      <c r="C72" s="218"/>
      <c r="D72" s="510"/>
      <c r="E72" s="544"/>
      <c r="F72" s="577"/>
      <c r="G72" s="572"/>
      <c r="H72" s="572"/>
      <c r="I72" s="572"/>
      <c r="J72" s="572"/>
      <c r="K72" s="572"/>
      <c r="L72" s="572"/>
      <c r="M72" s="572"/>
      <c r="N72" s="572"/>
      <c r="O72" s="572"/>
      <c r="P72" s="572"/>
      <c r="Q72" s="572"/>
      <c r="R72" s="572"/>
      <c r="S72" s="572"/>
      <c r="T72" s="572"/>
      <c r="U72" s="572"/>
      <c r="V72" s="572"/>
      <c r="W72" s="572"/>
      <c r="X72" s="572"/>
      <c r="Y72" s="572"/>
      <c r="Z72" s="572"/>
      <c r="AA72" s="572"/>
      <c r="AB72" s="572"/>
      <c r="AC72" s="572"/>
      <c r="AD72" s="572"/>
      <c r="AE72" s="572"/>
      <c r="AF72" s="572"/>
      <c r="AG72" s="572"/>
      <c r="AH72" s="572"/>
      <c r="AI72" s="572"/>
      <c r="AJ72" s="572"/>
      <c r="AK72" s="572"/>
      <c r="AL72" s="572"/>
      <c r="AM72" s="572"/>
      <c r="AN72" s="572"/>
      <c r="AO72" s="572"/>
      <c r="AP72" s="572"/>
      <c r="AQ72" s="572"/>
      <c r="AR72" s="572"/>
      <c r="AS72" s="572"/>
      <c r="AT72" s="572"/>
      <c r="AU72" s="572"/>
      <c r="AV72" s="572"/>
      <c r="AW72" s="572"/>
      <c r="AX72" s="572"/>
      <c r="AY72" s="572"/>
      <c r="AZ72" s="572"/>
      <c r="BA72" s="572"/>
      <c r="BB72" s="572"/>
      <c r="BC72" s="572"/>
      <c r="BD72" s="572"/>
      <c r="BE72" s="572"/>
      <c r="BF72" s="572"/>
      <c r="BG72" s="572"/>
      <c r="BH72" s="572"/>
      <c r="BI72" s="572"/>
      <c r="BJ72" s="572"/>
      <c r="BK72" s="572"/>
      <c r="BL72" s="572"/>
      <c r="BM72" s="572"/>
      <c r="BN72" s="573"/>
    </row>
    <row r="73" spans="1:93" ht="30" customHeight="1" x14ac:dyDescent="0.3">
      <c r="A73" s="217"/>
      <c r="B73" s="16" t="s">
        <v>154</v>
      </c>
      <c r="C73" s="15" t="s">
        <v>86</v>
      </c>
      <c r="D73" s="545"/>
      <c r="E73" s="547"/>
      <c r="F73" s="577"/>
      <c r="G73" s="572"/>
      <c r="H73" s="572"/>
      <c r="I73" s="572"/>
      <c r="J73" s="572"/>
      <c r="K73" s="572"/>
      <c r="L73" s="572"/>
      <c r="M73" s="572"/>
      <c r="N73" s="572"/>
      <c r="O73" s="572"/>
      <c r="P73" s="572"/>
      <c r="Q73" s="572"/>
      <c r="R73" s="572"/>
      <c r="S73" s="572"/>
      <c r="T73" s="572"/>
      <c r="U73" s="572"/>
      <c r="V73" s="572"/>
      <c r="W73" s="572"/>
      <c r="X73" s="572"/>
      <c r="Y73" s="572"/>
      <c r="Z73" s="572"/>
      <c r="AA73" s="572"/>
      <c r="AB73" s="572"/>
      <c r="AC73" s="572"/>
      <c r="AD73" s="572"/>
      <c r="AE73" s="572"/>
      <c r="AF73" s="572"/>
      <c r="AG73" s="572"/>
      <c r="AH73" s="572"/>
      <c r="AI73" s="572"/>
      <c r="AJ73" s="572"/>
      <c r="AK73" s="572"/>
      <c r="AL73" s="572"/>
      <c r="AM73" s="572"/>
      <c r="AN73" s="572"/>
      <c r="AO73" s="572"/>
      <c r="AP73" s="572"/>
      <c r="AQ73" s="572"/>
      <c r="AR73" s="572"/>
      <c r="AS73" s="572"/>
      <c r="AT73" s="572"/>
      <c r="AU73" s="572"/>
      <c r="AV73" s="572"/>
      <c r="AW73" s="572"/>
      <c r="AX73" s="572"/>
      <c r="AY73" s="572"/>
      <c r="AZ73" s="572"/>
      <c r="BA73" s="572"/>
      <c r="BB73" s="572"/>
      <c r="BC73" s="572"/>
      <c r="BD73" s="572"/>
      <c r="BE73" s="572"/>
      <c r="BF73" s="572"/>
      <c r="BG73" s="572"/>
      <c r="BH73" s="572"/>
      <c r="BI73" s="572"/>
      <c r="BJ73" s="572"/>
      <c r="BK73" s="572"/>
      <c r="BL73" s="572"/>
      <c r="BM73" s="572"/>
      <c r="BN73" s="573"/>
    </row>
    <row r="74" spans="1:93" ht="30" customHeight="1" x14ac:dyDescent="0.3">
      <c r="A74" s="539" t="s">
        <v>238</v>
      </c>
      <c r="B74" s="542"/>
      <c r="C74" s="543"/>
      <c r="D74" s="546" t="s">
        <v>416</v>
      </c>
      <c r="E74" s="561" t="s">
        <v>416</v>
      </c>
      <c r="F74" s="577"/>
      <c r="G74" s="572"/>
      <c r="H74" s="572"/>
      <c r="I74" s="572"/>
      <c r="J74" s="572"/>
      <c r="K74" s="572"/>
      <c r="L74" s="572"/>
      <c r="M74" s="572"/>
      <c r="N74" s="572"/>
      <c r="O74" s="572"/>
      <c r="P74" s="572"/>
      <c r="Q74" s="572"/>
      <c r="R74" s="572"/>
      <c r="S74" s="572"/>
      <c r="T74" s="572"/>
      <c r="U74" s="572"/>
      <c r="V74" s="572"/>
      <c r="W74" s="572"/>
      <c r="X74" s="572"/>
      <c r="Y74" s="572"/>
      <c r="Z74" s="572"/>
      <c r="AA74" s="572"/>
      <c r="AB74" s="572"/>
      <c r="AC74" s="572"/>
      <c r="AD74" s="572"/>
      <c r="AE74" s="572"/>
      <c r="AF74" s="572"/>
      <c r="AG74" s="572"/>
      <c r="AH74" s="572"/>
      <c r="AI74" s="572"/>
      <c r="AJ74" s="572"/>
      <c r="AK74" s="572"/>
      <c r="AL74" s="572"/>
      <c r="AM74" s="572"/>
      <c r="AN74" s="572"/>
      <c r="AO74" s="572"/>
      <c r="AP74" s="572"/>
      <c r="AQ74" s="572"/>
      <c r="AR74" s="572"/>
      <c r="AS74" s="572"/>
      <c r="AT74" s="572"/>
      <c r="AU74" s="572"/>
      <c r="AV74" s="572"/>
      <c r="AW74" s="572"/>
      <c r="AX74" s="572"/>
      <c r="AY74" s="572"/>
      <c r="AZ74" s="572"/>
      <c r="BA74" s="572"/>
      <c r="BB74" s="572"/>
      <c r="BC74" s="572"/>
      <c r="BD74" s="572"/>
      <c r="BE74" s="572"/>
      <c r="BF74" s="572"/>
      <c r="BG74" s="572"/>
      <c r="BH74" s="572"/>
      <c r="BI74" s="572"/>
      <c r="BJ74" s="572"/>
      <c r="BK74" s="572"/>
      <c r="BL74" s="572"/>
      <c r="BM74" s="572"/>
      <c r="BN74" s="573"/>
    </row>
    <row r="75" spans="1:93" ht="30" customHeight="1" x14ac:dyDescent="0.3">
      <c r="A75" s="217"/>
      <c r="B75" s="304" t="s">
        <v>401</v>
      </c>
      <c r="C75" s="199" t="s">
        <v>413</v>
      </c>
      <c r="D75" s="505">
        <v>30</v>
      </c>
      <c r="E75" s="559">
        <f>D75/30.4</f>
        <v>0.98684210526315796</v>
      </c>
      <c r="F75" s="577"/>
      <c r="G75" s="572"/>
      <c r="H75" s="572"/>
      <c r="I75" s="572"/>
      <c r="J75" s="572"/>
      <c r="K75" s="572"/>
      <c r="L75" s="572"/>
      <c r="M75" s="572"/>
      <c r="N75" s="572"/>
      <c r="O75" s="572"/>
      <c r="P75" s="572"/>
      <c r="Q75" s="572"/>
      <c r="R75" s="572"/>
      <c r="S75" s="572"/>
      <c r="T75" s="572"/>
      <c r="U75" s="572"/>
      <c r="V75" s="572"/>
      <c r="W75" s="572"/>
      <c r="X75" s="572"/>
      <c r="Y75" s="572"/>
      <c r="Z75" s="572"/>
      <c r="AA75" s="572"/>
      <c r="AB75" s="572"/>
      <c r="AC75" s="572"/>
      <c r="AD75" s="572"/>
      <c r="AE75" s="572"/>
      <c r="AF75" s="572"/>
      <c r="AG75" s="572"/>
      <c r="AH75" s="572"/>
      <c r="AI75" s="572"/>
      <c r="AJ75" s="572"/>
      <c r="AK75" s="572"/>
      <c r="AL75" s="572"/>
      <c r="AM75" s="572"/>
      <c r="AN75" s="572"/>
      <c r="AO75" s="572"/>
      <c r="AP75" s="572"/>
      <c r="AQ75" s="572"/>
      <c r="AR75" s="572"/>
      <c r="AS75" s="572"/>
      <c r="AT75" s="572"/>
      <c r="AU75" s="572"/>
      <c r="AV75" s="572"/>
      <c r="AW75" s="572"/>
      <c r="AX75" s="572"/>
      <c r="AY75" s="572"/>
      <c r="AZ75" s="572"/>
      <c r="BA75" s="572"/>
      <c r="BB75" s="572"/>
      <c r="BC75" s="572"/>
      <c r="BD75" s="572"/>
      <c r="BE75" s="572"/>
      <c r="BF75" s="572"/>
      <c r="BG75" s="572"/>
      <c r="BH75" s="572"/>
      <c r="BI75" s="572"/>
      <c r="BJ75" s="572"/>
      <c r="BK75" s="572"/>
      <c r="BL75" s="572"/>
      <c r="BM75" s="572"/>
      <c r="BN75" s="573"/>
    </row>
    <row r="76" spans="1:93" ht="30" customHeight="1" x14ac:dyDescent="0.3">
      <c r="A76" s="217"/>
      <c r="B76" s="304" t="s">
        <v>42</v>
      </c>
      <c r="C76" s="199" t="s">
        <v>419</v>
      </c>
      <c r="D76" s="510">
        <v>30</v>
      </c>
      <c r="E76" s="544">
        <f t="shared" ref="E76:E79" si="4">D76/30.4</f>
        <v>0.98684210526315796</v>
      </c>
      <c r="F76" s="577"/>
      <c r="G76" s="572"/>
      <c r="H76" s="572"/>
      <c r="I76" s="572"/>
      <c r="J76" s="572"/>
      <c r="K76" s="572"/>
      <c r="L76" s="572"/>
      <c r="M76" s="572"/>
      <c r="N76" s="572"/>
      <c r="O76" s="572"/>
      <c r="P76" s="572"/>
      <c r="Q76" s="572"/>
      <c r="R76" s="572"/>
      <c r="S76" s="572"/>
      <c r="T76" s="572"/>
      <c r="U76" s="572"/>
      <c r="V76" s="572"/>
      <c r="W76" s="572"/>
      <c r="X76" s="572"/>
      <c r="Y76" s="572"/>
      <c r="Z76" s="572"/>
      <c r="AA76" s="572"/>
      <c r="AB76" s="572"/>
      <c r="AC76" s="572"/>
      <c r="AD76" s="572"/>
      <c r="AE76" s="572"/>
      <c r="AF76" s="572"/>
      <c r="AG76" s="572"/>
      <c r="AH76" s="572"/>
      <c r="AI76" s="572"/>
      <c r="AJ76" s="572"/>
      <c r="AK76" s="572"/>
      <c r="AL76" s="572"/>
      <c r="AM76" s="572"/>
      <c r="AN76" s="572"/>
      <c r="AO76" s="572"/>
      <c r="AP76" s="572"/>
      <c r="AQ76" s="572"/>
      <c r="AR76" s="572"/>
      <c r="AS76" s="572"/>
      <c r="AT76" s="572"/>
      <c r="AU76" s="572"/>
      <c r="AV76" s="572"/>
      <c r="AW76" s="572"/>
      <c r="AX76" s="572"/>
      <c r="AY76" s="572"/>
      <c r="AZ76" s="572"/>
      <c r="BA76" s="572"/>
      <c r="BB76" s="572"/>
      <c r="BC76" s="572"/>
      <c r="BD76" s="572"/>
      <c r="BE76" s="572"/>
      <c r="BF76" s="572"/>
      <c r="BG76" s="572"/>
      <c r="BH76" s="572"/>
      <c r="BI76" s="572"/>
      <c r="BJ76" s="572"/>
      <c r="BK76" s="572"/>
      <c r="BL76" s="572"/>
      <c r="BM76" s="572"/>
      <c r="BN76" s="573"/>
    </row>
    <row r="77" spans="1:93" ht="30" customHeight="1" x14ac:dyDescent="0.3">
      <c r="A77" s="217"/>
      <c r="B77" s="304" t="s">
        <v>402</v>
      </c>
      <c r="C77" s="199" t="s">
        <v>420</v>
      </c>
      <c r="D77" s="510">
        <v>15</v>
      </c>
      <c r="E77" s="547">
        <f t="shared" si="4"/>
        <v>0.49342105263157898</v>
      </c>
      <c r="F77" s="577"/>
      <c r="G77" s="572"/>
      <c r="H77" s="572"/>
      <c r="I77" s="572"/>
      <c r="J77" s="572"/>
      <c r="K77" s="572"/>
      <c r="L77" s="572"/>
      <c r="M77" s="572"/>
      <c r="N77" s="572"/>
      <c r="O77" s="572"/>
      <c r="P77" s="572"/>
      <c r="Q77" s="572"/>
      <c r="R77" s="572"/>
      <c r="S77" s="572"/>
      <c r="T77" s="572"/>
      <c r="U77" s="572"/>
      <c r="V77" s="572"/>
      <c r="W77" s="572"/>
      <c r="X77" s="572"/>
      <c r="Y77" s="572"/>
      <c r="Z77" s="572"/>
      <c r="AA77" s="572"/>
      <c r="AB77" s="572"/>
      <c r="AC77" s="572"/>
      <c r="AD77" s="572"/>
      <c r="AE77" s="572"/>
      <c r="AF77" s="572"/>
      <c r="AG77" s="572"/>
      <c r="AH77" s="572"/>
      <c r="AI77" s="572"/>
      <c r="AJ77" s="572"/>
      <c r="AK77" s="572"/>
      <c r="AL77" s="572"/>
      <c r="AM77" s="572"/>
      <c r="AN77" s="572"/>
      <c r="AO77" s="572"/>
      <c r="AP77" s="572"/>
      <c r="AQ77" s="572"/>
      <c r="AR77" s="572"/>
      <c r="AS77" s="572"/>
      <c r="AT77" s="572"/>
      <c r="AU77" s="572"/>
      <c r="AV77" s="572"/>
      <c r="AW77" s="572"/>
      <c r="AX77" s="572"/>
      <c r="AY77" s="572"/>
      <c r="AZ77" s="572"/>
      <c r="BA77" s="572"/>
      <c r="BB77" s="572"/>
      <c r="BC77" s="572"/>
      <c r="BD77" s="572"/>
      <c r="BE77" s="572"/>
      <c r="BF77" s="572"/>
      <c r="BG77" s="572"/>
      <c r="BH77" s="572"/>
      <c r="BI77" s="572"/>
      <c r="BJ77" s="572"/>
      <c r="BK77" s="572"/>
      <c r="BL77" s="572"/>
      <c r="BM77" s="572"/>
      <c r="BN77" s="573"/>
    </row>
    <row r="78" spans="1:93" ht="30" customHeight="1" x14ac:dyDescent="0.3">
      <c r="A78" s="548" t="s">
        <v>48</v>
      </c>
      <c r="B78" s="549"/>
      <c r="C78" s="550"/>
      <c r="D78" s="551">
        <v>30</v>
      </c>
      <c r="E78" s="561">
        <f t="shared" si="4"/>
        <v>0.98684210526315796</v>
      </c>
      <c r="F78" s="577"/>
      <c r="G78" s="572"/>
      <c r="H78" s="572"/>
      <c r="I78" s="572"/>
      <c r="J78" s="572"/>
      <c r="K78" s="572"/>
      <c r="L78" s="572"/>
      <c r="M78" s="572"/>
      <c r="N78" s="572"/>
      <c r="O78" s="572"/>
      <c r="P78" s="572"/>
      <c r="Q78" s="572"/>
      <c r="R78" s="572"/>
      <c r="S78" s="572"/>
      <c r="T78" s="572"/>
      <c r="U78" s="572"/>
      <c r="V78" s="572"/>
      <c r="W78" s="572"/>
      <c r="X78" s="572"/>
      <c r="Y78" s="572"/>
      <c r="Z78" s="572"/>
      <c r="AA78" s="572"/>
      <c r="AB78" s="572"/>
      <c r="AC78" s="572"/>
      <c r="AD78" s="572"/>
      <c r="AE78" s="572"/>
      <c r="AF78" s="572"/>
      <c r="AG78" s="572"/>
      <c r="AH78" s="572"/>
      <c r="AI78" s="572"/>
      <c r="AJ78" s="572"/>
      <c r="AK78" s="572"/>
      <c r="AL78" s="572"/>
      <c r="AM78" s="572"/>
      <c r="AN78" s="572"/>
      <c r="AO78" s="572"/>
      <c r="AP78" s="572"/>
      <c r="AQ78" s="572"/>
      <c r="AR78" s="572"/>
      <c r="AS78" s="572"/>
      <c r="AT78" s="572"/>
      <c r="AU78" s="572"/>
      <c r="AV78" s="572"/>
      <c r="AW78" s="572"/>
      <c r="AX78" s="572"/>
      <c r="AY78" s="572"/>
      <c r="AZ78" s="572"/>
      <c r="BA78" s="572"/>
      <c r="BB78" s="572"/>
      <c r="BC78" s="572"/>
      <c r="BD78" s="572"/>
      <c r="BE78" s="572"/>
      <c r="BF78" s="572"/>
      <c r="BG78" s="572"/>
      <c r="BH78" s="572"/>
      <c r="BI78" s="572"/>
      <c r="BJ78" s="572"/>
      <c r="BK78" s="572"/>
      <c r="BL78" s="572"/>
      <c r="BM78" s="572"/>
      <c r="BN78" s="573"/>
    </row>
    <row r="79" spans="1:93" ht="30" customHeight="1" x14ac:dyDescent="0.3">
      <c r="A79" s="552" t="s">
        <v>403</v>
      </c>
      <c r="B79" s="553"/>
      <c r="C79" s="554" t="s">
        <v>404</v>
      </c>
      <c r="D79" s="497">
        <v>30</v>
      </c>
      <c r="E79" s="560">
        <f t="shared" si="4"/>
        <v>0.98684210526315796</v>
      </c>
      <c r="F79" s="577"/>
      <c r="G79" s="572"/>
      <c r="H79" s="572"/>
      <c r="I79" s="572"/>
      <c r="J79" s="572"/>
      <c r="K79" s="572"/>
      <c r="L79" s="572"/>
      <c r="M79" s="572"/>
      <c r="N79" s="572"/>
      <c r="O79" s="572"/>
      <c r="P79" s="572"/>
      <c r="Q79" s="572"/>
      <c r="R79" s="572"/>
      <c r="S79" s="572"/>
      <c r="T79" s="572"/>
      <c r="U79" s="572"/>
      <c r="V79" s="572"/>
      <c r="W79" s="572"/>
      <c r="X79" s="572"/>
      <c r="Y79" s="572"/>
      <c r="Z79" s="572"/>
      <c r="AA79" s="572"/>
      <c r="AB79" s="572"/>
      <c r="AC79" s="572"/>
      <c r="AD79" s="572"/>
      <c r="AE79" s="572"/>
      <c r="AF79" s="572"/>
      <c r="AG79" s="572"/>
      <c r="AH79" s="579"/>
      <c r="AI79" s="579"/>
      <c r="AJ79" s="579"/>
      <c r="AK79" s="579"/>
      <c r="AL79" s="579"/>
      <c r="AM79" s="579"/>
      <c r="AN79" s="579"/>
      <c r="AO79" s="579"/>
      <c r="AP79" s="579"/>
      <c r="AQ79" s="579"/>
      <c r="AR79" s="579"/>
      <c r="AS79" s="579"/>
      <c r="AT79" s="579"/>
      <c r="AU79" s="579"/>
      <c r="AV79" s="579"/>
      <c r="AW79" s="579"/>
      <c r="AX79" s="579"/>
      <c r="AY79" s="579"/>
      <c r="AZ79" s="579"/>
      <c r="BA79" s="579"/>
      <c r="BB79" s="579"/>
      <c r="BC79" s="579"/>
      <c r="BD79" s="579"/>
      <c r="BE79" s="579"/>
      <c r="BF79" s="579"/>
      <c r="BG79" s="579"/>
      <c r="BH79" s="579"/>
      <c r="BI79" s="579"/>
      <c r="BJ79" s="579"/>
      <c r="BK79" s="579"/>
      <c r="BL79" s="579"/>
      <c r="BM79" s="579"/>
      <c r="BN79" s="573"/>
      <c r="BO79" s="347"/>
      <c r="BP79" s="347"/>
      <c r="BQ79" s="347"/>
      <c r="BR79" s="347"/>
      <c r="BS79" s="347"/>
      <c r="BT79" s="347"/>
      <c r="BU79" s="347"/>
      <c r="BV79" s="347"/>
      <c r="BW79" s="347"/>
      <c r="BX79" s="347"/>
      <c r="BY79" s="347"/>
      <c r="BZ79" s="347"/>
      <c r="CA79" s="347"/>
      <c r="CB79" s="347"/>
      <c r="CC79" s="347"/>
      <c r="CD79" s="347"/>
      <c r="CE79" s="347"/>
      <c r="CF79" s="347"/>
      <c r="CG79" s="347"/>
      <c r="CH79" s="347"/>
      <c r="CI79" s="347"/>
      <c r="CJ79" s="347"/>
      <c r="CK79" s="347"/>
      <c r="CL79" s="347"/>
      <c r="CM79" s="347"/>
      <c r="CN79" s="347"/>
      <c r="CO79" s="347"/>
    </row>
    <row r="80" spans="1:93" ht="30" customHeight="1" x14ac:dyDescent="0.3">
      <c r="A80" s="555" t="s">
        <v>32</v>
      </c>
      <c r="B80" s="556"/>
      <c r="C80" s="557" t="s">
        <v>251</v>
      </c>
      <c r="D80" s="545"/>
      <c r="E80" s="558"/>
      <c r="F80" s="580"/>
      <c r="G80" s="581"/>
      <c r="H80" s="581"/>
      <c r="I80" s="581"/>
      <c r="J80" s="581"/>
      <c r="K80" s="581"/>
      <c r="L80" s="581"/>
      <c r="M80" s="581"/>
      <c r="N80" s="581"/>
      <c r="O80" s="581"/>
      <c r="P80" s="581"/>
      <c r="Q80" s="581"/>
      <c r="R80" s="581"/>
      <c r="S80" s="581"/>
      <c r="T80" s="581"/>
      <c r="U80" s="581"/>
      <c r="V80" s="581"/>
      <c r="W80" s="581"/>
      <c r="X80" s="581"/>
      <c r="Y80" s="581"/>
      <c r="Z80" s="581"/>
      <c r="AA80" s="581"/>
      <c r="AB80" s="581"/>
      <c r="AC80" s="581"/>
      <c r="AD80" s="581"/>
      <c r="AE80" s="581"/>
      <c r="AF80" s="581"/>
      <c r="AG80" s="581"/>
      <c r="AH80" s="582"/>
      <c r="AI80" s="582"/>
      <c r="AJ80" s="582"/>
      <c r="AK80" s="582"/>
      <c r="AL80" s="582"/>
      <c r="AM80" s="582"/>
      <c r="AN80" s="582"/>
      <c r="AO80" s="582"/>
      <c r="AP80" s="582"/>
      <c r="AQ80" s="582"/>
      <c r="AR80" s="582"/>
      <c r="AS80" s="582"/>
      <c r="AT80" s="582"/>
      <c r="AU80" s="582"/>
      <c r="AV80" s="582"/>
      <c r="AW80" s="582"/>
      <c r="AX80" s="582"/>
      <c r="AY80" s="582"/>
      <c r="AZ80" s="582"/>
      <c r="BA80" s="582"/>
      <c r="BB80" s="582"/>
      <c r="BC80" s="582"/>
      <c r="BD80" s="582"/>
      <c r="BE80" s="582"/>
      <c r="BF80" s="582"/>
      <c r="BG80" s="582"/>
      <c r="BH80" s="582"/>
      <c r="BI80" s="582"/>
      <c r="BJ80" s="582"/>
      <c r="BK80" s="582"/>
      <c r="BL80" s="582"/>
      <c r="BM80" s="582"/>
      <c r="BN80" s="583"/>
      <c r="BO80" s="347"/>
      <c r="BP80" s="347"/>
      <c r="BQ80" s="347"/>
      <c r="BR80" s="347"/>
      <c r="BS80" s="347"/>
      <c r="BT80" s="347"/>
      <c r="BU80" s="347"/>
      <c r="BV80" s="347"/>
      <c r="BW80" s="347"/>
      <c r="BX80" s="347"/>
      <c r="BY80" s="347"/>
      <c r="BZ80" s="347"/>
      <c r="CA80" s="347"/>
      <c r="CB80" s="347"/>
      <c r="CC80" s="347"/>
      <c r="CD80" s="347"/>
      <c r="CE80" s="347"/>
      <c r="CF80" s="347"/>
      <c r="CG80" s="347"/>
      <c r="CH80" s="347"/>
      <c r="CI80" s="347"/>
      <c r="CJ80" s="347"/>
      <c r="CK80" s="347"/>
      <c r="CL80" s="347"/>
      <c r="CM80" s="347"/>
      <c r="CN80" s="347"/>
      <c r="CO80" s="347"/>
    </row>
    <row r="81" spans="1:66" ht="30" customHeight="1" x14ac:dyDescent="0.3">
      <c r="A81" s="625" t="s">
        <v>26</v>
      </c>
      <c r="B81" s="626"/>
      <c r="C81" s="627"/>
      <c r="D81" s="596">
        <f>SUM(D78,D55,D20,D8,D5)</f>
        <v>549.32180876612779</v>
      </c>
      <c r="E81" s="597">
        <f>D81/30.4</f>
        <v>18.069796340991047</v>
      </c>
      <c r="F81" s="584"/>
      <c r="G81" s="585"/>
      <c r="H81" s="585"/>
      <c r="I81" s="585"/>
      <c r="J81" s="585"/>
      <c r="K81" s="585"/>
      <c r="L81" s="585"/>
      <c r="M81" s="585"/>
      <c r="N81" s="585"/>
      <c r="O81" s="585"/>
      <c r="P81" s="585"/>
      <c r="Q81" s="585"/>
      <c r="R81" s="585"/>
      <c r="S81" s="585"/>
      <c r="T81" s="585"/>
      <c r="U81" s="585"/>
      <c r="V81" s="585"/>
      <c r="W81" s="585"/>
      <c r="X81" s="585"/>
      <c r="Y81" s="585"/>
      <c r="Z81" s="585"/>
      <c r="AA81" s="585"/>
      <c r="AB81" s="585"/>
      <c r="AC81" s="585"/>
      <c r="AD81" s="585"/>
      <c r="AE81" s="585"/>
      <c r="AF81" s="585"/>
      <c r="AG81" s="585"/>
      <c r="AH81" s="585"/>
      <c r="AI81" s="585"/>
      <c r="AJ81" s="585"/>
      <c r="AK81" s="585"/>
      <c r="AL81" s="585"/>
      <c r="AM81" s="585"/>
      <c r="AN81" s="585"/>
      <c r="AO81" s="585"/>
      <c r="AP81" s="585"/>
      <c r="AQ81" s="585"/>
      <c r="AR81" s="585"/>
      <c r="AS81" s="585"/>
      <c r="AT81" s="585"/>
      <c r="AU81" s="585"/>
      <c r="AV81" s="585"/>
      <c r="AW81" s="585"/>
      <c r="AX81" s="585"/>
      <c r="AY81" s="585"/>
      <c r="AZ81" s="585"/>
      <c r="BA81" s="585"/>
      <c r="BB81" s="585"/>
      <c r="BC81" s="585"/>
      <c r="BD81" s="585"/>
      <c r="BE81" s="585"/>
      <c r="BF81" s="585"/>
      <c r="BG81" s="585"/>
      <c r="BH81" s="585"/>
      <c r="BI81" s="585"/>
      <c r="BJ81" s="585"/>
      <c r="BK81" s="585"/>
      <c r="BL81" s="585"/>
      <c r="BM81" s="585"/>
      <c r="BN81" s="586"/>
    </row>
  </sheetData>
  <autoFilter ref="A5:E47" xr:uid="{00000000-0009-0000-0000-000001000000}"/>
  <mergeCells count="32">
    <mergeCell ref="BN1:BN3"/>
    <mergeCell ref="AP2:AR2"/>
    <mergeCell ref="AV2:AX2"/>
    <mergeCell ref="BK2:BM2"/>
    <mergeCell ref="U2:W2"/>
    <mergeCell ref="I2:K2"/>
    <mergeCell ref="AM2:AO2"/>
    <mergeCell ref="AS2:AU2"/>
    <mergeCell ref="AJ2:AL2"/>
    <mergeCell ref="O2:Q2"/>
    <mergeCell ref="A81:C81"/>
    <mergeCell ref="B5:C5"/>
    <mergeCell ref="D4:E4"/>
    <mergeCell ref="A4:B4"/>
    <mergeCell ref="B18:B19"/>
    <mergeCell ref="A22:A23"/>
    <mergeCell ref="F1:K1"/>
    <mergeCell ref="L1:AU1"/>
    <mergeCell ref="AV1:BM1"/>
    <mergeCell ref="A1:E1"/>
    <mergeCell ref="D3:E3"/>
    <mergeCell ref="BH2:BJ2"/>
    <mergeCell ref="AY2:BA2"/>
    <mergeCell ref="BB2:BD2"/>
    <mergeCell ref="BE2:BG2"/>
    <mergeCell ref="X2:Z2"/>
    <mergeCell ref="AA2:AC2"/>
    <mergeCell ref="AD2:AF2"/>
    <mergeCell ref="AG2:AI2"/>
    <mergeCell ref="F2:H2"/>
    <mergeCell ref="R2:T2"/>
    <mergeCell ref="L2:N2"/>
  </mergeCells>
  <phoneticPr fontId="26" type="noConversion"/>
  <printOptions horizontalCentered="1"/>
  <pageMargins left="3.937007874015748E-2" right="3.937007874015748E-2" top="0.35433070866141736" bottom="0.35433070866141736" header="0.31496062992125984" footer="0.31496062992125984"/>
  <pageSetup paperSize="8" scale="4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4398-A1BB-44C5-B446-D12B2D48F1F6}">
  <sheetPr codeName="Sheet3"/>
  <dimension ref="A1:U23"/>
  <sheetViews>
    <sheetView showZeros="0" workbookViewId="0">
      <selection activeCell="B6" sqref="B6"/>
    </sheetView>
  </sheetViews>
  <sheetFormatPr defaultRowHeight="16.5" x14ac:dyDescent="0.3"/>
  <cols>
    <col min="1" max="1" width="5.625" style="351" customWidth="1"/>
    <col min="2" max="7" width="10.625" style="351" customWidth="1"/>
    <col min="8" max="14" width="10.625" style="351" hidden="1" customWidth="1"/>
    <col min="15" max="21" width="10.625" style="351" customWidth="1"/>
    <col min="22" max="257" width="9" style="351"/>
    <col min="258" max="258" width="5.625" style="351" customWidth="1"/>
    <col min="259" max="276" width="10.625" style="351" customWidth="1"/>
    <col min="277" max="513" width="9" style="351"/>
    <col min="514" max="514" width="5.625" style="351" customWidth="1"/>
    <col min="515" max="532" width="10.625" style="351" customWidth="1"/>
    <col min="533" max="769" width="9" style="351"/>
    <col min="770" max="770" width="5.625" style="351" customWidth="1"/>
    <col min="771" max="788" width="10.625" style="351" customWidth="1"/>
    <col min="789" max="1025" width="9" style="351"/>
    <col min="1026" max="1026" width="5.625" style="351" customWidth="1"/>
    <col min="1027" max="1044" width="10.625" style="351" customWidth="1"/>
    <col min="1045" max="1281" width="9" style="351"/>
    <col min="1282" max="1282" width="5.625" style="351" customWidth="1"/>
    <col min="1283" max="1300" width="10.625" style="351" customWidth="1"/>
    <col min="1301" max="1537" width="9" style="351"/>
    <col min="1538" max="1538" width="5.625" style="351" customWidth="1"/>
    <col min="1539" max="1556" width="10.625" style="351" customWidth="1"/>
    <col min="1557" max="1793" width="9" style="351"/>
    <col min="1794" max="1794" width="5.625" style="351" customWidth="1"/>
    <col min="1795" max="1812" width="10.625" style="351" customWidth="1"/>
    <col min="1813" max="2049" width="9" style="351"/>
    <col min="2050" max="2050" width="5.625" style="351" customWidth="1"/>
    <col min="2051" max="2068" width="10.625" style="351" customWidth="1"/>
    <col min="2069" max="2305" width="9" style="351"/>
    <col min="2306" max="2306" width="5.625" style="351" customWidth="1"/>
    <col min="2307" max="2324" width="10.625" style="351" customWidth="1"/>
    <col min="2325" max="2561" width="9" style="351"/>
    <col min="2562" max="2562" width="5.625" style="351" customWidth="1"/>
    <col min="2563" max="2580" width="10.625" style="351" customWidth="1"/>
    <col min="2581" max="2817" width="9" style="351"/>
    <col min="2818" max="2818" width="5.625" style="351" customWidth="1"/>
    <col min="2819" max="2836" width="10.625" style="351" customWidth="1"/>
    <col min="2837" max="3073" width="9" style="351"/>
    <col min="3074" max="3074" width="5.625" style="351" customWidth="1"/>
    <col min="3075" max="3092" width="10.625" style="351" customWidth="1"/>
    <col min="3093" max="3329" width="9" style="351"/>
    <col min="3330" max="3330" width="5.625" style="351" customWidth="1"/>
    <col min="3331" max="3348" width="10.625" style="351" customWidth="1"/>
    <col min="3349" max="3585" width="9" style="351"/>
    <col min="3586" max="3586" width="5.625" style="351" customWidth="1"/>
    <col min="3587" max="3604" width="10.625" style="351" customWidth="1"/>
    <col min="3605" max="3841" width="9" style="351"/>
    <col min="3842" max="3842" width="5.625" style="351" customWidth="1"/>
    <col min="3843" max="3860" width="10.625" style="351" customWidth="1"/>
    <col min="3861" max="4097" width="9" style="351"/>
    <col min="4098" max="4098" width="5.625" style="351" customWidth="1"/>
    <col min="4099" max="4116" width="10.625" style="351" customWidth="1"/>
    <col min="4117" max="4353" width="9" style="351"/>
    <col min="4354" max="4354" width="5.625" style="351" customWidth="1"/>
    <col min="4355" max="4372" width="10.625" style="351" customWidth="1"/>
    <col min="4373" max="4609" width="9" style="351"/>
    <col min="4610" max="4610" width="5.625" style="351" customWidth="1"/>
    <col min="4611" max="4628" width="10.625" style="351" customWidth="1"/>
    <col min="4629" max="4865" width="9" style="351"/>
    <col min="4866" max="4866" width="5.625" style="351" customWidth="1"/>
    <col min="4867" max="4884" width="10.625" style="351" customWidth="1"/>
    <col min="4885" max="5121" width="9" style="351"/>
    <col min="5122" max="5122" width="5.625" style="351" customWidth="1"/>
    <col min="5123" max="5140" width="10.625" style="351" customWidth="1"/>
    <col min="5141" max="5377" width="9" style="351"/>
    <col min="5378" max="5378" width="5.625" style="351" customWidth="1"/>
    <col min="5379" max="5396" width="10.625" style="351" customWidth="1"/>
    <col min="5397" max="5633" width="9" style="351"/>
    <col min="5634" max="5634" width="5.625" style="351" customWidth="1"/>
    <col min="5635" max="5652" width="10.625" style="351" customWidth="1"/>
    <col min="5653" max="5889" width="9" style="351"/>
    <col min="5890" max="5890" width="5.625" style="351" customWidth="1"/>
    <col min="5891" max="5908" width="10.625" style="351" customWidth="1"/>
    <col min="5909" max="6145" width="9" style="351"/>
    <col min="6146" max="6146" width="5.625" style="351" customWidth="1"/>
    <col min="6147" max="6164" width="10.625" style="351" customWidth="1"/>
    <col min="6165" max="6401" width="9" style="351"/>
    <col min="6402" max="6402" width="5.625" style="351" customWidth="1"/>
    <col min="6403" max="6420" width="10.625" style="351" customWidth="1"/>
    <col min="6421" max="6657" width="9" style="351"/>
    <col min="6658" max="6658" width="5.625" style="351" customWidth="1"/>
    <col min="6659" max="6676" width="10.625" style="351" customWidth="1"/>
    <col min="6677" max="6913" width="9" style="351"/>
    <col min="6914" max="6914" width="5.625" style="351" customWidth="1"/>
    <col min="6915" max="6932" width="10.625" style="351" customWidth="1"/>
    <col min="6933" max="7169" width="9" style="351"/>
    <col min="7170" max="7170" width="5.625" style="351" customWidth="1"/>
    <col min="7171" max="7188" width="10.625" style="351" customWidth="1"/>
    <col min="7189" max="7425" width="9" style="351"/>
    <col min="7426" max="7426" width="5.625" style="351" customWidth="1"/>
    <col min="7427" max="7444" width="10.625" style="351" customWidth="1"/>
    <col min="7445" max="7681" width="9" style="351"/>
    <col min="7682" max="7682" width="5.625" style="351" customWidth="1"/>
    <col min="7683" max="7700" width="10.625" style="351" customWidth="1"/>
    <col min="7701" max="7937" width="9" style="351"/>
    <col min="7938" max="7938" width="5.625" style="351" customWidth="1"/>
    <col min="7939" max="7956" width="10.625" style="351" customWidth="1"/>
    <col min="7957" max="8193" width="9" style="351"/>
    <col min="8194" max="8194" width="5.625" style="351" customWidth="1"/>
    <col min="8195" max="8212" width="10.625" style="351" customWidth="1"/>
    <col min="8213" max="8449" width="9" style="351"/>
    <col min="8450" max="8450" width="5.625" style="351" customWidth="1"/>
    <col min="8451" max="8468" width="10.625" style="351" customWidth="1"/>
    <col min="8469" max="8705" width="9" style="351"/>
    <col min="8706" max="8706" width="5.625" style="351" customWidth="1"/>
    <col min="8707" max="8724" width="10.625" style="351" customWidth="1"/>
    <col min="8725" max="8961" width="9" style="351"/>
    <col min="8962" max="8962" width="5.625" style="351" customWidth="1"/>
    <col min="8963" max="8980" width="10.625" style="351" customWidth="1"/>
    <col min="8981" max="9217" width="9" style="351"/>
    <col min="9218" max="9218" width="5.625" style="351" customWidth="1"/>
    <col min="9219" max="9236" width="10.625" style="351" customWidth="1"/>
    <col min="9237" max="9473" width="9" style="351"/>
    <col min="9474" max="9474" width="5.625" style="351" customWidth="1"/>
    <col min="9475" max="9492" width="10.625" style="351" customWidth="1"/>
    <col min="9493" max="9729" width="9" style="351"/>
    <col min="9730" max="9730" width="5.625" style="351" customWidth="1"/>
    <col min="9731" max="9748" width="10.625" style="351" customWidth="1"/>
    <col min="9749" max="9985" width="9" style="351"/>
    <col min="9986" max="9986" width="5.625" style="351" customWidth="1"/>
    <col min="9987" max="10004" width="10.625" style="351" customWidth="1"/>
    <col min="10005" max="10241" width="9" style="351"/>
    <col min="10242" max="10242" width="5.625" style="351" customWidth="1"/>
    <col min="10243" max="10260" width="10.625" style="351" customWidth="1"/>
    <col min="10261" max="10497" width="9" style="351"/>
    <col min="10498" max="10498" width="5.625" style="351" customWidth="1"/>
    <col min="10499" max="10516" width="10.625" style="351" customWidth="1"/>
    <col min="10517" max="10753" width="9" style="351"/>
    <col min="10754" max="10754" width="5.625" style="351" customWidth="1"/>
    <col min="10755" max="10772" width="10.625" style="351" customWidth="1"/>
    <col min="10773" max="11009" width="9" style="351"/>
    <col min="11010" max="11010" width="5.625" style="351" customWidth="1"/>
    <col min="11011" max="11028" width="10.625" style="351" customWidth="1"/>
    <col min="11029" max="11265" width="9" style="351"/>
    <col min="11266" max="11266" width="5.625" style="351" customWidth="1"/>
    <col min="11267" max="11284" width="10.625" style="351" customWidth="1"/>
    <col min="11285" max="11521" width="9" style="351"/>
    <col min="11522" max="11522" width="5.625" style="351" customWidth="1"/>
    <col min="11523" max="11540" width="10.625" style="351" customWidth="1"/>
    <col min="11541" max="11777" width="9" style="351"/>
    <col min="11778" max="11778" width="5.625" style="351" customWidth="1"/>
    <col min="11779" max="11796" width="10.625" style="351" customWidth="1"/>
    <col min="11797" max="12033" width="9" style="351"/>
    <col min="12034" max="12034" width="5.625" style="351" customWidth="1"/>
    <col min="12035" max="12052" width="10.625" style="351" customWidth="1"/>
    <col min="12053" max="12289" width="9" style="351"/>
    <col min="12290" max="12290" width="5.625" style="351" customWidth="1"/>
    <col min="12291" max="12308" width="10.625" style="351" customWidth="1"/>
    <col min="12309" max="12545" width="9" style="351"/>
    <col min="12546" max="12546" width="5.625" style="351" customWidth="1"/>
    <col min="12547" max="12564" width="10.625" style="351" customWidth="1"/>
    <col min="12565" max="12801" width="9" style="351"/>
    <col min="12802" max="12802" width="5.625" style="351" customWidth="1"/>
    <col min="12803" max="12820" width="10.625" style="351" customWidth="1"/>
    <col min="12821" max="13057" width="9" style="351"/>
    <col min="13058" max="13058" width="5.625" style="351" customWidth="1"/>
    <col min="13059" max="13076" width="10.625" style="351" customWidth="1"/>
    <col min="13077" max="13313" width="9" style="351"/>
    <col min="13314" max="13314" width="5.625" style="351" customWidth="1"/>
    <col min="13315" max="13332" width="10.625" style="351" customWidth="1"/>
    <col min="13333" max="13569" width="9" style="351"/>
    <col min="13570" max="13570" width="5.625" style="351" customWidth="1"/>
    <col min="13571" max="13588" width="10.625" style="351" customWidth="1"/>
    <col min="13589" max="13825" width="9" style="351"/>
    <col min="13826" max="13826" width="5.625" style="351" customWidth="1"/>
    <col min="13827" max="13844" width="10.625" style="351" customWidth="1"/>
    <col min="13845" max="14081" width="9" style="351"/>
    <col min="14082" max="14082" width="5.625" style="351" customWidth="1"/>
    <col min="14083" max="14100" width="10.625" style="351" customWidth="1"/>
    <col min="14101" max="14337" width="9" style="351"/>
    <col min="14338" max="14338" width="5.625" style="351" customWidth="1"/>
    <col min="14339" max="14356" width="10.625" style="351" customWidth="1"/>
    <col min="14357" max="14593" width="9" style="351"/>
    <col min="14594" max="14594" width="5.625" style="351" customWidth="1"/>
    <col min="14595" max="14612" width="10.625" style="351" customWidth="1"/>
    <col min="14613" max="14849" width="9" style="351"/>
    <col min="14850" max="14850" width="5.625" style="351" customWidth="1"/>
    <col min="14851" max="14868" width="10.625" style="351" customWidth="1"/>
    <col min="14869" max="15105" width="9" style="351"/>
    <col min="15106" max="15106" width="5.625" style="351" customWidth="1"/>
    <col min="15107" max="15124" width="10.625" style="351" customWidth="1"/>
    <col min="15125" max="15361" width="9" style="351"/>
    <col min="15362" max="15362" width="5.625" style="351" customWidth="1"/>
    <col min="15363" max="15380" width="10.625" style="351" customWidth="1"/>
    <col min="15381" max="15617" width="9" style="351"/>
    <col min="15618" max="15618" width="5.625" style="351" customWidth="1"/>
    <col min="15619" max="15636" width="10.625" style="351" customWidth="1"/>
    <col min="15637" max="15873" width="9" style="351"/>
    <col min="15874" max="15874" width="5.625" style="351" customWidth="1"/>
    <col min="15875" max="15892" width="10.625" style="351" customWidth="1"/>
    <col min="15893" max="16129" width="9" style="351"/>
    <col min="16130" max="16130" width="5.625" style="351" customWidth="1"/>
    <col min="16131" max="16148" width="10.625" style="351" customWidth="1"/>
    <col min="16149" max="16384" width="9" style="351"/>
  </cols>
  <sheetData>
    <row r="1" spans="1:21" ht="32.1" customHeight="1" x14ac:dyDescent="0.3">
      <c r="A1" s="646" t="s">
        <v>258</v>
      </c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6"/>
      <c r="R1" s="646"/>
      <c r="S1" s="646"/>
      <c r="T1" s="646"/>
    </row>
    <row r="2" spans="1:21" ht="27.95" customHeight="1" x14ac:dyDescent="0.3">
      <c r="A2" s="647" t="s">
        <v>252</v>
      </c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T2" s="352"/>
      <c r="U2" s="352"/>
    </row>
    <row r="3" spans="1:21" s="358" customFormat="1" ht="27.95" customHeight="1" x14ac:dyDescent="0.3">
      <c r="A3" s="648" t="s">
        <v>259</v>
      </c>
      <c r="B3" s="353" t="s">
        <v>285</v>
      </c>
      <c r="C3" s="353" t="s">
        <v>260</v>
      </c>
      <c r="D3" s="353"/>
      <c r="E3" s="353"/>
      <c r="F3" s="353"/>
      <c r="G3" s="353" t="s">
        <v>288</v>
      </c>
      <c r="H3" s="353" t="s">
        <v>261</v>
      </c>
      <c r="I3" s="353" t="s">
        <v>261</v>
      </c>
      <c r="J3" s="353" t="s">
        <v>261</v>
      </c>
      <c r="K3" s="354"/>
      <c r="L3" s="354"/>
      <c r="M3" s="354"/>
      <c r="N3" s="355"/>
      <c r="O3" s="356" t="s">
        <v>262</v>
      </c>
      <c r="P3" s="357" t="s">
        <v>263</v>
      </c>
      <c r="Q3" s="357" t="s">
        <v>264</v>
      </c>
      <c r="R3" s="357" t="s">
        <v>265</v>
      </c>
      <c r="S3" s="357" t="s">
        <v>266</v>
      </c>
      <c r="T3" s="357" t="s">
        <v>267</v>
      </c>
      <c r="U3" s="640" t="s">
        <v>291</v>
      </c>
    </row>
    <row r="4" spans="1:21" s="358" customFormat="1" ht="27.95" customHeight="1" x14ac:dyDescent="0.3">
      <c r="A4" s="648"/>
      <c r="B4" s="359" t="s">
        <v>269</v>
      </c>
      <c r="C4" s="359" t="s">
        <v>270</v>
      </c>
      <c r="D4" s="359" t="s">
        <v>268</v>
      </c>
      <c r="E4" s="359" t="s">
        <v>286</v>
      </c>
      <c r="F4" s="359"/>
      <c r="G4" s="359" t="s">
        <v>288</v>
      </c>
      <c r="H4" s="359"/>
      <c r="I4" s="359"/>
      <c r="J4" s="359"/>
      <c r="K4" s="359"/>
      <c r="L4" s="359"/>
      <c r="M4" s="359"/>
      <c r="N4" s="360"/>
      <c r="O4" s="356" t="s">
        <v>271</v>
      </c>
      <c r="P4" s="357" t="s">
        <v>272</v>
      </c>
      <c r="Q4" s="357" t="s">
        <v>273</v>
      </c>
      <c r="R4" s="357" t="s">
        <v>274</v>
      </c>
      <c r="S4" s="357" t="s">
        <v>275</v>
      </c>
      <c r="T4" s="357" t="s">
        <v>276</v>
      </c>
      <c r="U4" s="641"/>
    </row>
    <row r="5" spans="1:21" ht="27.95" customHeight="1" x14ac:dyDescent="0.3">
      <c r="A5" s="649" t="s">
        <v>284</v>
      </c>
      <c r="B5" s="649"/>
      <c r="C5" s="649"/>
      <c r="D5" s="649"/>
      <c r="E5" s="649"/>
      <c r="F5" s="649"/>
      <c r="G5" s="649"/>
      <c r="H5" s="649"/>
      <c r="I5" s="649"/>
      <c r="J5" s="649"/>
      <c r="K5" s="649"/>
      <c r="L5" s="649"/>
      <c r="M5" s="649"/>
      <c r="N5" s="649"/>
      <c r="O5" s="649"/>
      <c r="P5" s="649"/>
      <c r="Q5" s="649"/>
      <c r="R5" s="649"/>
      <c r="S5" s="649"/>
      <c r="T5" s="649"/>
    </row>
    <row r="6" spans="1:21" ht="27.95" customHeight="1" x14ac:dyDescent="0.3">
      <c r="A6" s="642" t="s">
        <v>277</v>
      </c>
      <c r="B6" s="361">
        <v>825.63400000000001</v>
      </c>
      <c r="C6" s="361">
        <v>3.3</v>
      </c>
      <c r="D6" s="361"/>
      <c r="E6" s="361"/>
      <c r="F6" s="361"/>
      <c r="G6" s="361">
        <f t="shared" ref="G6:G21" si="0">SUM(B6:F6)</f>
        <v>828.93399999999997</v>
      </c>
      <c r="H6" s="361"/>
      <c r="I6" s="361"/>
      <c r="J6" s="361"/>
      <c r="K6" s="361"/>
      <c r="L6" s="361"/>
      <c r="M6" s="361"/>
      <c r="N6" s="362"/>
      <c r="O6" s="363">
        <f t="shared" ref="O6:U20" si="1">SUM(G6)</f>
        <v>828.93399999999997</v>
      </c>
      <c r="P6" s="364">
        <f t="shared" si="1"/>
        <v>0</v>
      </c>
      <c r="Q6" s="364">
        <f t="shared" si="1"/>
        <v>0</v>
      </c>
      <c r="R6" s="364">
        <f t="shared" si="1"/>
        <v>0</v>
      </c>
      <c r="S6" s="364">
        <f t="shared" si="1"/>
        <v>0</v>
      </c>
      <c r="T6" s="364">
        <f t="shared" si="1"/>
        <v>0</v>
      </c>
      <c r="U6" s="364">
        <f t="shared" si="1"/>
        <v>0</v>
      </c>
    </row>
    <row r="7" spans="1:21" ht="27.95" customHeight="1" x14ac:dyDescent="0.3">
      <c r="A7" s="643"/>
      <c r="B7" s="365">
        <v>1.1599999999999999</v>
      </c>
      <c r="C7" s="365">
        <v>1.2</v>
      </c>
      <c r="D7" s="365">
        <v>917.36</v>
      </c>
      <c r="E7" s="365">
        <v>1.1399999999999999</v>
      </c>
      <c r="F7" s="365"/>
      <c r="G7" s="365">
        <f t="shared" si="0"/>
        <v>920.86</v>
      </c>
      <c r="H7" s="365"/>
      <c r="I7" s="365"/>
      <c r="J7" s="365"/>
      <c r="K7" s="365"/>
      <c r="L7" s="365"/>
      <c r="M7" s="365"/>
      <c r="N7" s="366"/>
      <c r="O7" s="367">
        <v>833.6</v>
      </c>
      <c r="P7" s="368">
        <v>1676.3</v>
      </c>
      <c r="Q7" s="368">
        <v>39.799999999999997</v>
      </c>
      <c r="R7" s="368">
        <v>6601.7</v>
      </c>
      <c r="S7" s="368">
        <v>32728</v>
      </c>
      <c r="T7" s="368"/>
      <c r="U7" s="368">
        <f>SUM(O7:T7)</f>
        <v>41879.4</v>
      </c>
    </row>
    <row r="8" spans="1:21" ht="27.95" customHeight="1" x14ac:dyDescent="0.3">
      <c r="A8" s="642" t="s">
        <v>278</v>
      </c>
      <c r="B8" s="361">
        <v>225.392</v>
      </c>
      <c r="C8" s="361">
        <v>392.46199999999999</v>
      </c>
      <c r="D8" s="361"/>
      <c r="E8" s="361"/>
      <c r="F8" s="361"/>
      <c r="G8" s="361">
        <f t="shared" si="0"/>
        <v>617.85400000000004</v>
      </c>
      <c r="H8" s="361"/>
      <c r="I8" s="361"/>
      <c r="J8" s="361"/>
      <c r="K8" s="361"/>
      <c r="L8" s="361"/>
      <c r="M8" s="361"/>
      <c r="N8" s="362"/>
      <c r="O8" s="363"/>
      <c r="P8" s="364"/>
      <c r="Q8" s="364"/>
      <c r="R8" s="364"/>
      <c r="S8" s="364"/>
      <c r="T8" s="364"/>
      <c r="U8" s="364">
        <f t="shared" si="1"/>
        <v>0</v>
      </c>
    </row>
    <row r="9" spans="1:21" ht="27.95" customHeight="1" x14ac:dyDescent="0.3">
      <c r="A9" s="643"/>
      <c r="B9" s="365">
        <v>57.28</v>
      </c>
      <c r="C9" s="365">
        <v>326.41000000000003</v>
      </c>
      <c r="D9" s="365">
        <v>62.17</v>
      </c>
      <c r="E9" s="365">
        <v>90.05</v>
      </c>
      <c r="F9" s="365"/>
      <c r="G9" s="365">
        <f t="shared" si="0"/>
        <v>535.91000000000008</v>
      </c>
      <c r="H9" s="365"/>
      <c r="I9" s="365"/>
      <c r="J9" s="365"/>
      <c r="K9" s="365"/>
      <c r="L9" s="365"/>
      <c r="M9" s="365"/>
      <c r="N9" s="366"/>
      <c r="O9" s="367">
        <v>17033.7</v>
      </c>
      <c r="P9" s="368">
        <v>6642.1</v>
      </c>
      <c r="Q9" s="368">
        <v>1691.8</v>
      </c>
      <c r="R9" s="368">
        <v>18762.5</v>
      </c>
      <c r="S9" s="368">
        <v>32633.8</v>
      </c>
      <c r="T9" s="368"/>
      <c r="U9" s="368">
        <f>SUM(O9:T9)</f>
        <v>76763.900000000009</v>
      </c>
    </row>
    <row r="10" spans="1:21" ht="27.95" customHeight="1" x14ac:dyDescent="0.3">
      <c r="A10" s="642" t="s">
        <v>279</v>
      </c>
      <c r="B10" s="361"/>
      <c r="C10" s="361">
        <v>566.73</v>
      </c>
      <c r="D10" s="361"/>
      <c r="E10" s="361"/>
      <c r="F10" s="361"/>
      <c r="G10" s="361">
        <f t="shared" si="0"/>
        <v>566.73</v>
      </c>
      <c r="H10" s="361"/>
      <c r="I10" s="361"/>
      <c r="J10" s="361"/>
      <c r="K10" s="361"/>
      <c r="L10" s="361"/>
      <c r="M10" s="361"/>
      <c r="N10" s="362"/>
      <c r="O10" s="363"/>
      <c r="P10" s="364"/>
      <c r="Q10" s="364"/>
      <c r="R10" s="364"/>
      <c r="S10" s="364"/>
      <c r="T10" s="364"/>
      <c r="U10" s="364">
        <f t="shared" si="1"/>
        <v>0</v>
      </c>
    </row>
    <row r="11" spans="1:21" ht="27.95" customHeight="1" x14ac:dyDescent="0.3">
      <c r="A11" s="643"/>
      <c r="B11" s="365">
        <v>254.2</v>
      </c>
      <c r="C11" s="365">
        <v>2163.84</v>
      </c>
      <c r="D11" s="365"/>
      <c r="E11" s="365">
        <v>63.87</v>
      </c>
      <c r="F11" s="365"/>
      <c r="G11" s="365">
        <f t="shared" si="0"/>
        <v>2481.91</v>
      </c>
      <c r="H11" s="365"/>
      <c r="I11" s="365"/>
      <c r="J11" s="365"/>
      <c r="K11" s="365"/>
      <c r="L11" s="365"/>
      <c r="M11" s="365"/>
      <c r="N11" s="366"/>
      <c r="O11" s="367">
        <v>34006.1</v>
      </c>
      <c r="P11" s="368">
        <v>9950.7000000000007</v>
      </c>
      <c r="Q11" s="368">
        <v>4207.7</v>
      </c>
      <c r="R11" s="368">
        <v>6948.6</v>
      </c>
      <c r="S11" s="368">
        <v>40174.800000000003</v>
      </c>
      <c r="T11" s="368"/>
      <c r="U11" s="368">
        <f>SUM(O11:T11)</f>
        <v>95287.9</v>
      </c>
    </row>
    <row r="12" spans="1:21" ht="27.95" customHeight="1" x14ac:dyDescent="0.3">
      <c r="A12" s="642" t="s">
        <v>280</v>
      </c>
      <c r="B12" s="361">
        <v>0.22500000000000001</v>
      </c>
      <c r="C12" s="361">
        <v>416.37700000000001</v>
      </c>
      <c r="D12" s="361"/>
      <c r="E12" s="361"/>
      <c r="F12" s="361"/>
      <c r="G12" s="361">
        <f t="shared" si="0"/>
        <v>416.60200000000003</v>
      </c>
      <c r="H12" s="361"/>
      <c r="I12" s="361"/>
      <c r="J12" s="361"/>
      <c r="K12" s="361"/>
      <c r="L12" s="361"/>
      <c r="M12" s="361"/>
      <c r="N12" s="362"/>
      <c r="O12" s="363"/>
      <c r="P12" s="364"/>
      <c r="Q12" s="364"/>
      <c r="R12" s="364"/>
      <c r="S12" s="364"/>
      <c r="T12" s="364"/>
      <c r="U12" s="364">
        <f t="shared" si="1"/>
        <v>0</v>
      </c>
    </row>
    <row r="13" spans="1:21" ht="27.95" customHeight="1" x14ac:dyDescent="0.3">
      <c r="A13" s="643"/>
      <c r="B13" s="365">
        <v>155.52000000000001</v>
      </c>
      <c r="C13" s="365">
        <v>1309.3800000000001</v>
      </c>
      <c r="D13" s="365"/>
      <c r="E13" s="365">
        <v>72.3</v>
      </c>
      <c r="F13" s="365"/>
      <c r="G13" s="365">
        <f t="shared" si="0"/>
        <v>1537.2</v>
      </c>
      <c r="H13" s="365"/>
      <c r="I13" s="365"/>
      <c r="J13" s="365"/>
      <c r="K13" s="365"/>
      <c r="L13" s="365"/>
      <c r="M13" s="365"/>
      <c r="N13" s="366"/>
      <c r="O13" s="367">
        <v>26247.8</v>
      </c>
      <c r="P13" s="368">
        <v>5844.6</v>
      </c>
      <c r="Q13" s="368">
        <v>6721.7</v>
      </c>
      <c r="R13" s="368">
        <v>4073.1</v>
      </c>
      <c r="S13" s="368">
        <v>33941</v>
      </c>
      <c r="T13" s="368"/>
      <c r="U13" s="368">
        <f>SUM(O13:T13)</f>
        <v>76828.2</v>
      </c>
    </row>
    <row r="14" spans="1:21" ht="27.95" customHeight="1" x14ac:dyDescent="0.3">
      <c r="A14" s="642" t="s">
        <v>281</v>
      </c>
      <c r="B14" s="361"/>
      <c r="C14" s="361">
        <v>407.63400000000001</v>
      </c>
      <c r="D14" s="361"/>
      <c r="E14" s="361"/>
      <c r="F14" s="361"/>
      <c r="G14" s="361">
        <f t="shared" si="0"/>
        <v>407.63400000000001</v>
      </c>
      <c r="H14" s="361"/>
      <c r="I14" s="361"/>
      <c r="J14" s="361"/>
      <c r="K14" s="361"/>
      <c r="L14" s="361"/>
      <c r="M14" s="361"/>
      <c r="N14" s="362"/>
      <c r="O14" s="363"/>
      <c r="P14" s="364"/>
      <c r="Q14" s="364"/>
      <c r="R14" s="364"/>
      <c r="S14" s="364"/>
      <c r="T14" s="364"/>
      <c r="U14" s="364">
        <f t="shared" si="1"/>
        <v>0</v>
      </c>
    </row>
    <row r="15" spans="1:21" ht="27.95" customHeight="1" x14ac:dyDescent="0.3">
      <c r="A15" s="643"/>
      <c r="B15" s="365">
        <v>154.84</v>
      </c>
      <c r="C15" s="365">
        <v>1225.5</v>
      </c>
      <c r="D15" s="365"/>
      <c r="E15" s="365">
        <v>63.87</v>
      </c>
      <c r="F15" s="365"/>
      <c r="G15" s="365">
        <f t="shared" si="0"/>
        <v>1444.2099999999998</v>
      </c>
      <c r="H15" s="365"/>
      <c r="I15" s="365"/>
      <c r="J15" s="365"/>
      <c r="K15" s="365"/>
      <c r="L15" s="365"/>
      <c r="M15" s="365"/>
      <c r="N15" s="366"/>
      <c r="O15" s="367">
        <v>24962.3</v>
      </c>
      <c r="P15" s="368">
        <v>5426.5</v>
      </c>
      <c r="Q15" s="368">
        <v>6537</v>
      </c>
      <c r="R15" s="368">
        <v>3543.1</v>
      </c>
      <c r="S15" s="368">
        <v>34032.199999999997</v>
      </c>
      <c r="T15" s="368"/>
      <c r="U15" s="368">
        <f>SUM(O15:T15)</f>
        <v>74501.100000000006</v>
      </c>
    </row>
    <row r="16" spans="1:21" ht="27.95" customHeight="1" x14ac:dyDescent="0.3">
      <c r="A16" s="642">
        <v>4</v>
      </c>
      <c r="B16" s="361"/>
      <c r="C16" s="361">
        <v>409.06900000000002</v>
      </c>
      <c r="D16" s="361"/>
      <c r="E16" s="361"/>
      <c r="F16" s="361"/>
      <c r="G16" s="361">
        <f t="shared" si="0"/>
        <v>409.06900000000002</v>
      </c>
      <c r="H16" s="361"/>
      <c r="I16" s="361"/>
      <c r="J16" s="361"/>
      <c r="K16" s="361"/>
      <c r="L16" s="361"/>
      <c r="M16" s="361"/>
      <c r="N16" s="362"/>
      <c r="O16" s="363"/>
      <c r="P16" s="364"/>
      <c r="Q16" s="364"/>
      <c r="R16" s="364"/>
      <c r="S16" s="364"/>
      <c r="T16" s="364"/>
      <c r="U16" s="364">
        <f t="shared" si="1"/>
        <v>0</v>
      </c>
    </row>
    <row r="17" spans="1:21" ht="27.95" customHeight="1" x14ac:dyDescent="0.3">
      <c r="A17" s="643"/>
      <c r="B17" s="365">
        <v>154.84</v>
      </c>
      <c r="C17" s="365">
        <v>1238.46</v>
      </c>
      <c r="D17" s="365"/>
      <c r="E17" s="365">
        <v>63.87</v>
      </c>
      <c r="F17" s="365"/>
      <c r="G17" s="365">
        <f t="shared" si="0"/>
        <v>1457.1699999999998</v>
      </c>
      <c r="H17" s="365"/>
      <c r="I17" s="365"/>
      <c r="J17" s="365"/>
      <c r="K17" s="365"/>
      <c r="L17" s="365"/>
      <c r="M17" s="365"/>
      <c r="N17" s="366"/>
      <c r="O17" s="367">
        <v>25029.8</v>
      </c>
      <c r="P17" s="368">
        <v>5426.5</v>
      </c>
      <c r="Q17" s="368">
        <v>6553.9</v>
      </c>
      <c r="R17" s="368">
        <v>3703.7</v>
      </c>
      <c r="S17" s="368">
        <v>34081.699999999997</v>
      </c>
      <c r="T17" s="368"/>
      <c r="U17" s="368">
        <f>SUM(O17:T17)</f>
        <v>74795.599999999991</v>
      </c>
    </row>
    <row r="18" spans="1:21" ht="27.95" customHeight="1" x14ac:dyDescent="0.3">
      <c r="A18" s="642">
        <v>5</v>
      </c>
      <c r="B18" s="361"/>
      <c r="C18" s="361">
        <v>460.017</v>
      </c>
      <c r="D18" s="361"/>
      <c r="E18" s="361"/>
      <c r="F18" s="361"/>
      <c r="G18" s="361">
        <f t="shared" si="0"/>
        <v>460.017</v>
      </c>
      <c r="H18" s="361"/>
      <c r="I18" s="361"/>
      <c r="J18" s="361"/>
      <c r="K18" s="361"/>
      <c r="L18" s="361"/>
      <c r="M18" s="361"/>
      <c r="N18" s="362"/>
      <c r="O18" s="363"/>
      <c r="P18" s="364"/>
      <c r="Q18" s="364"/>
      <c r="R18" s="364"/>
      <c r="S18" s="364"/>
      <c r="T18" s="364"/>
      <c r="U18" s="364">
        <f t="shared" si="1"/>
        <v>0</v>
      </c>
    </row>
    <row r="19" spans="1:21" ht="27.95" customHeight="1" x14ac:dyDescent="0.3">
      <c r="A19" s="643"/>
      <c r="B19" s="365">
        <v>163.72</v>
      </c>
      <c r="C19" s="365">
        <v>1734.91</v>
      </c>
      <c r="D19" s="365"/>
      <c r="E19" s="365">
        <v>94.8</v>
      </c>
      <c r="F19" s="365"/>
      <c r="G19" s="365">
        <f t="shared" si="0"/>
        <v>1993.43</v>
      </c>
      <c r="H19" s="365"/>
      <c r="I19" s="365"/>
      <c r="J19" s="365"/>
      <c r="K19" s="365"/>
      <c r="L19" s="365"/>
      <c r="M19" s="365"/>
      <c r="N19" s="366"/>
      <c r="O19" s="367">
        <v>26243.3</v>
      </c>
      <c r="P19" s="368">
        <v>6640.6</v>
      </c>
      <c r="Q19" s="368">
        <v>6374.3</v>
      </c>
      <c r="R19" s="368">
        <v>7260.5</v>
      </c>
      <c r="S19" s="368">
        <v>32524.3</v>
      </c>
      <c r="T19" s="368"/>
      <c r="U19" s="368">
        <f>SUM(O19:T19)</f>
        <v>79043</v>
      </c>
    </row>
    <row r="20" spans="1:21" ht="27.95" customHeight="1" x14ac:dyDescent="0.3">
      <c r="A20" s="642" t="s">
        <v>282</v>
      </c>
      <c r="B20" s="361"/>
      <c r="C20" s="361">
        <v>76.893000000000001</v>
      </c>
      <c r="D20" s="361"/>
      <c r="E20" s="361"/>
      <c r="F20" s="361"/>
      <c r="G20" s="361">
        <f t="shared" si="0"/>
        <v>76.893000000000001</v>
      </c>
      <c r="H20" s="361"/>
      <c r="I20" s="361"/>
      <c r="J20" s="361"/>
      <c r="K20" s="361"/>
      <c r="L20" s="361"/>
      <c r="M20" s="361"/>
      <c r="N20" s="362"/>
      <c r="O20" s="363"/>
      <c r="P20" s="364"/>
      <c r="Q20" s="364"/>
      <c r="R20" s="364"/>
      <c r="S20" s="364"/>
      <c r="T20" s="364"/>
      <c r="U20" s="364">
        <f t="shared" si="1"/>
        <v>0</v>
      </c>
    </row>
    <row r="21" spans="1:21" ht="27.95" customHeight="1" x14ac:dyDescent="0.3">
      <c r="A21" s="643"/>
      <c r="B21" s="365">
        <v>1.1599999999999999</v>
      </c>
      <c r="C21" s="365">
        <v>471.28</v>
      </c>
      <c r="D21" s="365"/>
      <c r="E21" s="365">
        <v>41.25</v>
      </c>
      <c r="F21" s="365"/>
      <c r="G21" s="365">
        <f t="shared" si="0"/>
        <v>513.69000000000005</v>
      </c>
      <c r="H21" s="365"/>
      <c r="I21" s="365"/>
      <c r="J21" s="365"/>
      <c r="K21" s="365"/>
      <c r="L21" s="365"/>
      <c r="M21" s="365"/>
      <c r="N21" s="366"/>
      <c r="O21" s="367">
        <v>4914.8999999999996</v>
      </c>
      <c r="P21" s="368">
        <v>3118.2</v>
      </c>
      <c r="Q21" s="368">
        <v>39.799999999999997</v>
      </c>
      <c r="R21" s="368">
        <v>62.3</v>
      </c>
      <c r="S21" s="368">
        <v>292.10000000000002</v>
      </c>
      <c r="T21" s="368"/>
      <c r="U21" s="368">
        <f>SUM(O21:T21)</f>
        <v>8427.2999999999993</v>
      </c>
    </row>
    <row r="22" spans="1:21" ht="27.95" customHeight="1" x14ac:dyDescent="0.3">
      <c r="A22" s="644" t="s">
        <v>283</v>
      </c>
      <c r="B22" s="361">
        <f t="shared" ref="B22" si="2">SUM(B6+B8+B10+B12+B14+B16+B18+B20)</f>
        <v>1051.251</v>
      </c>
      <c r="C22" s="361">
        <f>SUM(C6+C8+C10+C12+C14+C16+C18+C20)</f>
        <v>2732.482</v>
      </c>
      <c r="D22" s="361">
        <f t="shared" ref="D22:N22" si="3">SUM(D6+D8+D10+D12+D14+D16+D18+D20)</f>
        <v>0</v>
      </c>
      <c r="E22" s="361">
        <f t="shared" si="3"/>
        <v>0</v>
      </c>
      <c r="F22" s="361"/>
      <c r="G22" s="361">
        <f t="shared" si="3"/>
        <v>3783.7329999999997</v>
      </c>
      <c r="H22" s="361">
        <f t="shared" si="3"/>
        <v>0</v>
      </c>
      <c r="I22" s="361">
        <f t="shared" si="3"/>
        <v>0</v>
      </c>
      <c r="J22" s="361">
        <f t="shared" si="3"/>
        <v>0</v>
      </c>
      <c r="K22" s="361">
        <f t="shared" si="3"/>
        <v>0</v>
      </c>
      <c r="L22" s="361">
        <f t="shared" si="3"/>
        <v>0</v>
      </c>
      <c r="M22" s="361">
        <f t="shared" si="3"/>
        <v>0</v>
      </c>
      <c r="N22" s="362">
        <f t="shared" si="3"/>
        <v>0</v>
      </c>
      <c r="O22" s="363">
        <f>SUM(O6+O8+O10+O12+O14+O16+O18+O20)</f>
        <v>828.93399999999997</v>
      </c>
      <c r="P22" s="364">
        <f>SUM(P6+P8+P10+P12+P14+P16+P18+P20)</f>
        <v>0</v>
      </c>
      <c r="Q22" s="364">
        <f t="shared" ref="Q22:T22" si="4">SUM(Q6+Q8+Q10+Q12+Q14+Q16+Q18+Q20)</f>
        <v>0</v>
      </c>
      <c r="R22" s="364">
        <f t="shared" si="4"/>
        <v>0</v>
      </c>
      <c r="S22" s="364">
        <f t="shared" si="4"/>
        <v>0</v>
      </c>
      <c r="T22" s="364">
        <f t="shared" si="4"/>
        <v>0</v>
      </c>
      <c r="U22" s="364">
        <f t="shared" ref="U22" si="5">SUM(U6+U8+U10+U12+U14+U16+U18+U20)</f>
        <v>0</v>
      </c>
    </row>
    <row r="23" spans="1:21" ht="27.95" customHeight="1" x14ac:dyDescent="0.3">
      <c r="A23" s="645"/>
      <c r="B23" s="365">
        <f>SUM(B7+B9+B11+B13+B15+B17+B19+B21)</f>
        <v>942.72</v>
      </c>
      <c r="C23" s="365">
        <f t="shared" ref="C23:N23" si="6">SUM(C7+C9+C11+C13+C15+C17+C19+C21)</f>
        <v>8470.98</v>
      </c>
      <c r="D23" s="365">
        <f t="shared" si="6"/>
        <v>979.53</v>
      </c>
      <c r="E23" s="365">
        <f t="shared" si="6"/>
        <v>491.15000000000003</v>
      </c>
      <c r="F23" s="365"/>
      <c r="G23" s="365">
        <f t="shared" si="6"/>
        <v>10884.380000000001</v>
      </c>
      <c r="H23" s="365">
        <f t="shared" si="6"/>
        <v>0</v>
      </c>
      <c r="I23" s="365">
        <f t="shared" si="6"/>
        <v>0</v>
      </c>
      <c r="J23" s="365">
        <f t="shared" si="6"/>
        <v>0</v>
      </c>
      <c r="K23" s="365">
        <f t="shared" si="6"/>
        <v>0</v>
      </c>
      <c r="L23" s="365">
        <f t="shared" si="6"/>
        <v>0</v>
      </c>
      <c r="M23" s="365">
        <f t="shared" si="6"/>
        <v>0</v>
      </c>
      <c r="N23" s="366">
        <f t="shared" si="6"/>
        <v>0</v>
      </c>
      <c r="O23" s="367">
        <f>SUM(O7+O9+O11+O13+O15+O17+O19+O21)</f>
        <v>159271.5</v>
      </c>
      <c r="P23" s="368">
        <f>SUM(P7+P9+P11+P13+P15+P17+P19+P21)</f>
        <v>44725.499999999993</v>
      </c>
      <c r="Q23" s="368">
        <f t="shared" ref="Q23:T23" si="7">SUM(Q7+Q9+Q11+Q13+Q15+Q17+Q19+Q21)</f>
        <v>32166</v>
      </c>
      <c r="R23" s="368">
        <f t="shared" si="7"/>
        <v>50955.5</v>
      </c>
      <c r="S23" s="368">
        <f t="shared" si="7"/>
        <v>240407.9</v>
      </c>
      <c r="T23" s="368">
        <f t="shared" si="7"/>
        <v>0</v>
      </c>
      <c r="U23" s="368">
        <f t="shared" ref="U23" si="8">SUM(U7+U9+U11+U13+U15+U17+U19+U21)</f>
        <v>527526.40000000002</v>
      </c>
    </row>
  </sheetData>
  <mergeCells count="14">
    <mergeCell ref="A20:A21"/>
    <mergeCell ref="A22:A23"/>
    <mergeCell ref="A1:T1"/>
    <mergeCell ref="A2:P2"/>
    <mergeCell ref="A3:A4"/>
    <mergeCell ref="A5:T5"/>
    <mergeCell ref="A6:A7"/>
    <mergeCell ref="A8:A9"/>
    <mergeCell ref="A16:A17"/>
    <mergeCell ref="U3:U4"/>
    <mergeCell ref="A10:A11"/>
    <mergeCell ref="A12:A13"/>
    <mergeCell ref="A14:A15"/>
    <mergeCell ref="A18:A19"/>
  </mergeCells>
  <phoneticPr fontId="26" type="noConversion"/>
  <pageMargins left="0.7" right="0.7" top="0.75" bottom="0.75" header="0.3" footer="0.3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X57"/>
  <sheetViews>
    <sheetView topLeftCell="A37" workbookViewId="0">
      <selection activeCell="C55" sqref="C55:D55"/>
    </sheetView>
  </sheetViews>
  <sheetFormatPr defaultColWidth="9" defaultRowHeight="20.100000000000001" customHeight="1" x14ac:dyDescent="0.3"/>
  <cols>
    <col min="1" max="1" width="19.125" style="176" customWidth="1"/>
    <col min="2" max="2" width="19.375" style="176" customWidth="1"/>
    <col min="3" max="3" width="6.625" style="198" customWidth="1"/>
    <col min="4" max="12" width="12.625" style="176" customWidth="1"/>
    <col min="13" max="17" width="14.125" style="176" customWidth="1"/>
    <col min="18" max="24" width="9.625" style="176" customWidth="1"/>
    <col min="25" max="234" width="8.125" style="176" customWidth="1"/>
    <col min="235" max="16384" width="9" style="176"/>
  </cols>
  <sheetData>
    <row r="1" spans="1:14" s="30" customFormat="1" ht="30" customHeight="1" x14ac:dyDescent="0.3">
      <c r="A1" s="26" t="s">
        <v>73</v>
      </c>
      <c r="B1" s="26"/>
      <c r="C1" s="27"/>
      <c r="D1" s="27"/>
      <c r="E1" s="28"/>
      <c r="F1" s="29"/>
      <c r="G1" s="29"/>
      <c r="H1" s="29"/>
    </row>
    <row r="2" spans="1:14" s="35" customFormat="1" ht="20.100000000000001" customHeight="1" x14ac:dyDescent="0.3">
      <c r="A2" s="31" t="s">
        <v>252</v>
      </c>
      <c r="B2" s="31"/>
      <c r="C2" s="32"/>
      <c r="D2" s="32"/>
      <c r="E2" s="33"/>
      <c r="F2" s="34"/>
      <c r="G2" s="34"/>
      <c r="H2" s="34"/>
    </row>
    <row r="3" spans="1:14" s="30" customFormat="1" ht="20.100000000000001" customHeight="1" x14ac:dyDescent="0.3">
      <c r="A3" s="36" t="s">
        <v>105</v>
      </c>
      <c r="B3" s="36"/>
      <c r="D3" s="36"/>
      <c r="E3" s="37"/>
      <c r="F3" s="38"/>
      <c r="G3" s="38"/>
      <c r="H3" s="38"/>
      <c r="I3" s="39"/>
      <c r="J3" s="39"/>
      <c r="K3" s="292" t="s">
        <v>253</v>
      </c>
      <c r="M3" s="37"/>
    </row>
    <row r="4" spans="1:14" s="30" customFormat="1" ht="20.100000000000001" customHeight="1" x14ac:dyDescent="0.3">
      <c r="A4" s="40" t="s">
        <v>298</v>
      </c>
      <c r="B4" s="41"/>
      <c r="C4" s="41" t="s">
        <v>3</v>
      </c>
      <c r="D4" s="42"/>
      <c r="E4" s="42"/>
      <c r="F4" s="41"/>
      <c r="G4" s="41" t="s">
        <v>85</v>
      </c>
      <c r="H4" s="43"/>
      <c r="I4" s="43"/>
      <c r="J4" s="43"/>
      <c r="K4" s="44"/>
      <c r="M4" s="45"/>
    </row>
    <row r="5" spans="1:14" s="30" customFormat="1" ht="20.100000000000001" customHeight="1" x14ac:dyDescent="0.3">
      <c r="A5" s="46" t="s">
        <v>4</v>
      </c>
      <c r="B5" s="47"/>
      <c r="C5" s="48" t="s">
        <v>297</v>
      </c>
      <c r="D5" s="49"/>
      <c r="E5" s="49"/>
      <c r="F5" s="50"/>
      <c r="G5" s="51"/>
      <c r="H5" s="51"/>
      <c r="I5" s="51"/>
      <c r="J5" s="51"/>
      <c r="K5" s="52"/>
    </row>
    <row r="6" spans="1:14" s="30" customFormat="1" ht="20.100000000000001" customHeight="1" x14ac:dyDescent="0.3">
      <c r="A6" s="53"/>
      <c r="E6" s="54"/>
      <c r="F6" s="55"/>
      <c r="G6" s="56"/>
      <c r="H6" s="56"/>
    </row>
    <row r="7" spans="1:14" s="30" customFormat="1" ht="24.95" customHeight="1" x14ac:dyDescent="0.3">
      <c r="A7" s="657" t="s">
        <v>37</v>
      </c>
      <c r="B7" s="657" t="s">
        <v>71</v>
      </c>
      <c r="C7" s="659" t="s">
        <v>2</v>
      </c>
      <c r="D7" s="57" t="s">
        <v>30</v>
      </c>
      <c r="E7" s="58" t="s">
        <v>38</v>
      </c>
      <c r="F7" s="59"/>
      <c r="G7" s="60" t="s">
        <v>22</v>
      </c>
      <c r="H7" s="58"/>
      <c r="I7" s="60"/>
      <c r="J7" s="61"/>
      <c r="K7" s="657" t="s">
        <v>130</v>
      </c>
    </row>
    <row r="8" spans="1:14" s="37" customFormat="1" ht="39.950000000000003" customHeight="1" x14ac:dyDescent="0.3">
      <c r="A8" s="658"/>
      <c r="B8" s="658"/>
      <c r="C8" s="660"/>
      <c r="D8" s="62" t="s">
        <v>299</v>
      </c>
      <c r="E8" s="63" t="s">
        <v>117</v>
      </c>
      <c r="F8" s="64" t="s">
        <v>102</v>
      </c>
      <c r="G8" s="65" t="s">
        <v>157</v>
      </c>
      <c r="H8" s="65" t="s">
        <v>74</v>
      </c>
      <c r="I8" s="66" t="s">
        <v>165</v>
      </c>
      <c r="J8" s="65" t="s">
        <v>23</v>
      </c>
      <c r="K8" s="641"/>
      <c r="M8" s="45"/>
      <c r="N8" s="45"/>
    </row>
    <row r="9" spans="1:14" s="45" customFormat="1" ht="20.100000000000001" customHeight="1" x14ac:dyDescent="0.3">
      <c r="A9" s="67" t="s">
        <v>128</v>
      </c>
      <c r="B9" s="67"/>
      <c r="C9" s="68" t="s">
        <v>70</v>
      </c>
      <c r="D9" s="69" t="e">
        <f>D10+#REF!+D11</f>
        <v>#REF!</v>
      </c>
      <c r="E9" s="69"/>
      <c r="F9" s="70">
        <f>E9*6</f>
        <v>0</v>
      </c>
      <c r="G9" s="71" t="e">
        <f>G10+#REF!+G11</f>
        <v>#DIV/0!</v>
      </c>
      <c r="H9" s="72">
        <v>0.72899999999999998</v>
      </c>
      <c r="I9" s="73" t="e">
        <f>I10+#REF!+I11</f>
        <v>#DIV/0!</v>
      </c>
      <c r="J9" s="74" t="e">
        <f t="shared" ref="J9:J16" si="0">I9/30</f>
        <v>#DIV/0!</v>
      </c>
      <c r="K9" s="75"/>
      <c r="M9" s="30"/>
      <c r="N9" s="30"/>
    </row>
    <row r="10" spans="1:14" s="30" customFormat="1" ht="20.100000000000001" customHeight="1" x14ac:dyDescent="0.3">
      <c r="A10" s="76" t="s">
        <v>36</v>
      </c>
      <c r="B10" s="76" t="s">
        <v>142</v>
      </c>
      <c r="C10" s="77" t="s">
        <v>70</v>
      </c>
      <c r="D10" s="78"/>
      <c r="E10" s="78"/>
      <c r="F10" s="79">
        <f>E10*1</f>
        <v>0</v>
      </c>
      <c r="G10" s="80" t="e">
        <f t="shared" ref="G10:G16" si="1">D10/F10</f>
        <v>#DIV/0!</v>
      </c>
      <c r="H10" s="81">
        <f>H9</f>
        <v>0.72899999999999998</v>
      </c>
      <c r="I10" s="82" t="e">
        <f t="shared" ref="I10:I16" si="2">G10/H10</f>
        <v>#DIV/0!</v>
      </c>
      <c r="J10" s="83" t="e">
        <f t="shared" si="0"/>
        <v>#DIV/0!</v>
      </c>
      <c r="K10" s="84" t="s">
        <v>296</v>
      </c>
    </row>
    <row r="11" spans="1:14" s="30" customFormat="1" ht="20.100000000000001" customHeight="1" x14ac:dyDescent="0.3">
      <c r="A11" s="93" t="s">
        <v>27</v>
      </c>
      <c r="B11" s="93" t="s">
        <v>152</v>
      </c>
      <c r="C11" s="94" t="s">
        <v>70</v>
      </c>
      <c r="D11" s="95"/>
      <c r="E11" s="95"/>
      <c r="F11" s="88">
        <f>E11*2</f>
        <v>0</v>
      </c>
      <c r="G11" s="96" t="e">
        <f t="shared" si="1"/>
        <v>#DIV/0!</v>
      </c>
      <c r="H11" s="97">
        <f>H9</f>
        <v>0.72899999999999998</v>
      </c>
      <c r="I11" s="98" t="e">
        <f t="shared" si="2"/>
        <v>#DIV/0!</v>
      </c>
      <c r="J11" s="92" t="e">
        <f t="shared" si="0"/>
        <v>#DIV/0!</v>
      </c>
      <c r="K11" s="99"/>
    </row>
    <row r="12" spans="1:14" s="45" customFormat="1" ht="20.100000000000001" customHeight="1" x14ac:dyDescent="0.3">
      <c r="A12" s="67" t="s">
        <v>143</v>
      </c>
      <c r="B12" s="67"/>
      <c r="C12" s="68" t="s">
        <v>70</v>
      </c>
      <c r="D12" s="69">
        <f>D13+D14+D15+D16</f>
        <v>0</v>
      </c>
      <c r="E12" s="69"/>
      <c r="F12" s="70">
        <f>E12*4</f>
        <v>0</v>
      </c>
      <c r="G12" s="100" t="e">
        <f>G14</f>
        <v>#DIV/0!</v>
      </c>
      <c r="H12" s="72">
        <f>H9</f>
        <v>0.72899999999999998</v>
      </c>
      <c r="I12" s="101" t="e">
        <f t="shared" si="2"/>
        <v>#DIV/0!</v>
      </c>
      <c r="J12" s="74" t="e">
        <f t="shared" si="0"/>
        <v>#DIV/0!</v>
      </c>
      <c r="K12" s="75" t="s">
        <v>95</v>
      </c>
    </row>
    <row r="13" spans="1:14" s="30" customFormat="1" ht="20.100000000000001" customHeight="1" x14ac:dyDescent="0.3">
      <c r="A13" s="85" t="s">
        <v>116</v>
      </c>
      <c r="B13" s="85" t="s">
        <v>29</v>
      </c>
      <c r="C13" s="86" t="s">
        <v>70</v>
      </c>
      <c r="D13" s="87"/>
      <c r="E13" s="87"/>
      <c r="F13" s="79">
        <f>E13*1</f>
        <v>0</v>
      </c>
      <c r="G13" s="96" t="e">
        <f>D13/F13</f>
        <v>#DIV/0!</v>
      </c>
      <c r="H13" s="90">
        <f>H9</f>
        <v>0.72899999999999998</v>
      </c>
      <c r="I13" s="98" t="e">
        <f t="shared" si="2"/>
        <v>#DIV/0!</v>
      </c>
      <c r="J13" s="92" t="e">
        <f t="shared" si="0"/>
        <v>#DIV/0!</v>
      </c>
      <c r="K13" s="102"/>
    </row>
    <row r="14" spans="1:14" s="30" customFormat="1" ht="20.100000000000001" customHeight="1" x14ac:dyDescent="0.3">
      <c r="A14" s="85" t="s">
        <v>111</v>
      </c>
      <c r="B14" s="85" t="s">
        <v>29</v>
      </c>
      <c r="C14" s="86" t="s">
        <v>70</v>
      </c>
      <c r="D14" s="87"/>
      <c r="E14" s="87"/>
      <c r="F14" s="88">
        <f>E14*1</f>
        <v>0</v>
      </c>
      <c r="G14" s="96" t="e">
        <f t="shared" si="1"/>
        <v>#DIV/0!</v>
      </c>
      <c r="H14" s="90">
        <f>H9</f>
        <v>0.72899999999999998</v>
      </c>
      <c r="I14" s="98" t="e">
        <f t="shared" si="2"/>
        <v>#DIV/0!</v>
      </c>
      <c r="J14" s="92" t="e">
        <f t="shared" si="0"/>
        <v>#DIV/0!</v>
      </c>
      <c r="K14" s="103"/>
    </row>
    <row r="15" spans="1:14" s="30" customFormat="1" ht="20.100000000000001" customHeight="1" x14ac:dyDescent="0.3">
      <c r="A15" s="85" t="s">
        <v>108</v>
      </c>
      <c r="B15" s="85" t="s">
        <v>29</v>
      </c>
      <c r="C15" s="86" t="s">
        <v>70</v>
      </c>
      <c r="D15" s="87"/>
      <c r="E15" s="87"/>
      <c r="F15" s="88">
        <f>E15*1</f>
        <v>0</v>
      </c>
      <c r="G15" s="89" t="e">
        <f>D15/F15</f>
        <v>#DIV/0!</v>
      </c>
      <c r="H15" s="90">
        <f>H9</f>
        <v>0.72899999999999998</v>
      </c>
      <c r="I15" s="91" t="e">
        <f t="shared" si="2"/>
        <v>#DIV/0!</v>
      </c>
      <c r="J15" s="92" t="e">
        <f>I15/30</f>
        <v>#DIV/0!</v>
      </c>
      <c r="K15" s="104"/>
    </row>
    <row r="16" spans="1:14" s="30" customFormat="1" ht="20.100000000000001" customHeight="1" x14ac:dyDescent="0.3">
      <c r="A16" s="93" t="s">
        <v>119</v>
      </c>
      <c r="B16" s="85" t="s">
        <v>29</v>
      </c>
      <c r="C16" s="94" t="s">
        <v>70</v>
      </c>
      <c r="D16" s="95"/>
      <c r="E16" s="95"/>
      <c r="F16" s="88">
        <f>E16*1</f>
        <v>0</v>
      </c>
      <c r="G16" s="105" t="e">
        <f t="shared" si="1"/>
        <v>#DIV/0!</v>
      </c>
      <c r="H16" s="97">
        <f>H9</f>
        <v>0.72899999999999998</v>
      </c>
      <c r="I16" s="106" t="e">
        <f t="shared" si="2"/>
        <v>#DIV/0!</v>
      </c>
      <c r="J16" s="107" t="e">
        <f t="shared" si="0"/>
        <v>#DIV/0!</v>
      </c>
      <c r="K16" s="108"/>
    </row>
    <row r="17" spans="1:24" s="45" customFormat="1" ht="20.100000000000001" customHeight="1" x14ac:dyDescent="0.3">
      <c r="A17" s="109" t="s">
        <v>147</v>
      </c>
      <c r="B17" s="67"/>
      <c r="C17" s="68"/>
      <c r="D17" s="69" t="e">
        <f>D12+D9</f>
        <v>#REF!</v>
      </c>
      <c r="E17" s="69"/>
      <c r="F17" s="70">
        <f>F12+F9</f>
        <v>0</v>
      </c>
      <c r="G17" s="100" t="e">
        <f>G12+G9</f>
        <v>#DIV/0!</v>
      </c>
      <c r="H17" s="72">
        <f>H9</f>
        <v>0.72899999999999998</v>
      </c>
      <c r="I17" s="101" t="e">
        <f>I12+I9</f>
        <v>#DIV/0!</v>
      </c>
      <c r="J17" s="110" t="e">
        <f>J9+J12</f>
        <v>#DIV/0!</v>
      </c>
      <c r="K17" s="75"/>
    </row>
    <row r="18" spans="1:24" s="112" customFormat="1" ht="30" customHeight="1" x14ac:dyDescent="0.3">
      <c r="A18" s="111" t="s">
        <v>69</v>
      </c>
      <c r="C18" s="113"/>
      <c r="E18" s="114"/>
      <c r="F18" s="113"/>
      <c r="G18" s="113"/>
      <c r="H18" s="113"/>
      <c r="I18" s="115"/>
      <c r="J18" s="116"/>
      <c r="K18" s="117"/>
    </row>
    <row r="19" spans="1:24" s="30" customFormat="1" ht="20.100000000000001" customHeight="1" x14ac:dyDescent="0.3">
      <c r="A19" s="661" t="s">
        <v>45</v>
      </c>
      <c r="B19" s="118" t="s">
        <v>46</v>
      </c>
      <c r="C19" s="119" t="s">
        <v>70</v>
      </c>
      <c r="D19" s="120"/>
      <c r="E19" s="120"/>
      <c r="F19" s="121">
        <f>(60/1.5)*8*12*1</f>
        <v>3840</v>
      </c>
      <c r="G19" s="71">
        <f>D19/F19</f>
        <v>0</v>
      </c>
      <c r="H19" s="122">
        <v>0.72899999999999998</v>
      </c>
      <c r="I19" s="73">
        <f>G19/H19</f>
        <v>0</v>
      </c>
      <c r="J19" s="110">
        <f>I19/30</f>
        <v>0</v>
      </c>
      <c r="K19" s="123"/>
    </row>
    <row r="20" spans="1:24" s="30" customFormat="1" ht="20.100000000000001" customHeight="1" x14ac:dyDescent="0.3">
      <c r="A20" s="641"/>
      <c r="B20" s="118" t="s">
        <v>49</v>
      </c>
      <c r="C20" s="119" t="s">
        <v>70</v>
      </c>
      <c r="D20" s="120"/>
      <c r="E20" s="120"/>
      <c r="F20" s="121">
        <f>F19*2</f>
        <v>7680</v>
      </c>
      <c r="G20" s="71">
        <f>D20/F20</f>
        <v>0</v>
      </c>
      <c r="H20" s="122">
        <v>0.72899999999999998</v>
      </c>
      <c r="I20" s="73">
        <f>G20/H20</f>
        <v>0</v>
      </c>
      <c r="J20" s="110">
        <f>I20/30</f>
        <v>0</v>
      </c>
      <c r="K20" s="123"/>
    </row>
    <row r="21" spans="1:24" s="30" customFormat="1" ht="20.100000000000001" customHeight="1" x14ac:dyDescent="0.3">
      <c r="C21" s="39"/>
      <c r="E21" s="124"/>
      <c r="F21" s="39"/>
      <c r="G21" s="39"/>
      <c r="H21" s="39"/>
      <c r="I21" s="125"/>
      <c r="J21" s="126"/>
      <c r="K21" s="127"/>
    </row>
    <row r="22" spans="1:24" customFormat="1" ht="24.95" customHeight="1" x14ac:dyDescent="0.3">
      <c r="A22" s="128" t="s">
        <v>84</v>
      </c>
    </row>
    <row r="23" spans="1:24" s="134" customFormat="1" ht="24.95" customHeight="1" x14ac:dyDescent="0.3">
      <c r="A23" s="650" t="s">
        <v>52</v>
      </c>
      <c r="B23" s="651" t="s">
        <v>126</v>
      </c>
      <c r="C23" s="652"/>
      <c r="D23" s="129" t="s">
        <v>150</v>
      </c>
      <c r="E23" s="130" t="s">
        <v>153</v>
      </c>
      <c r="F23" s="130" t="s">
        <v>145</v>
      </c>
      <c r="G23" s="130" t="s">
        <v>146</v>
      </c>
      <c r="H23" s="130" t="s">
        <v>148</v>
      </c>
      <c r="I23" s="653" t="s">
        <v>160</v>
      </c>
      <c r="J23" s="131"/>
      <c r="K23" s="132"/>
      <c r="L23" s="132"/>
      <c r="M23" s="133"/>
      <c r="N23" s="133"/>
      <c r="O23" s="133"/>
      <c r="P23" s="133"/>
      <c r="Q23" s="133"/>
      <c r="R23" s="133"/>
      <c r="S23" s="133"/>
    </row>
    <row r="24" spans="1:24" s="134" customFormat="1" ht="24.95" customHeight="1" x14ac:dyDescent="0.3">
      <c r="A24" s="650"/>
      <c r="B24" s="655" t="s">
        <v>115</v>
      </c>
      <c r="C24" s="656"/>
      <c r="D24" s="135" t="s">
        <v>110</v>
      </c>
      <c r="E24" s="136" t="s">
        <v>44</v>
      </c>
      <c r="F24" s="136" t="s">
        <v>64</v>
      </c>
      <c r="G24" s="136" t="s">
        <v>63</v>
      </c>
      <c r="H24" s="136" t="s">
        <v>47</v>
      </c>
      <c r="I24" s="654"/>
      <c r="J24" s="132"/>
      <c r="K24" s="132"/>
      <c r="L24" s="132"/>
      <c r="O24" s="137"/>
    </row>
    <row r="25" spans="1:24" s="134" customFormat="1" ht="24.95" customHeight="1" x14ac:dyDescent="0.3">
      <c r="A25" s="650"/>
      <c r="B25" s="655" t="s">
        <v>162</v>
      </c>
      <c r="C25" s="656"/>
      <c r="D25" s="138" t="s">
        <v>224</v>
      </c>
      <c r="E25" s="136"/>
      <c r="F25" s="139" t="s">
        <v>135</v>
      </c>
      <c r="G25" s="135" t="s">
        <v>112</v>
      </c>
      <c r="H25" s="136" t="s">
        <v>61</v>
      </c>
      <c r="I25" s="654"/>
      <c r="J25" s="662" t="s">
        <v>109</v>
      </c>
      <c r="K25" s="663"/>
      <c r="L25" s="140" t="s">
        <v>144</v>
      </c>
    </row>
    <row r="26" spans="1:24" s="134" customFormat="1" ht="20.100000000000001" customHeight="1" x14ac:dyDescent="0.3">
      <c r="A26" s="136" t="s">
        <v>41</v>
      </c>
      <c r="B26" s="664"/>
      <c r="C26" s="656"/>
      <c r="D26" s="138">
        <v>1</v>
      </c>
      <c r="E26" s="136">
        <v>0.9</v>
      </c>
      <c r="F26" s="139">
        <f>ROUND(1/L26,2)</f>
        <v>0.77</v>
      </c>
      <c r="G26" s="136">
        <v>0.75</v>
      </c>
      <c r="H26" s="136">
        <v>23</v>
      </c>
      <c r="I26" s="141">
        <f>ROUND(B26*8,0)</f>
        <v>0</v>
      </c>
      <c r="J26" s="142" t="s">
        <v>58</v>
      </c>
      <c r="K26" s="142" t="s">
        <v>107</v>
      </c>
      <c r="L26" s="143">
        <v>1.3</v>
      </c>
      <c r="U26" s="144"/>
      <c r="V26" s="144"/>
      <c r="W26" s="144"/>
      <c r="X26" s="144"/>
    </row>
    <row r="27" spans="1:24" s="134" customFormat="1" ht="20.100000000000001" customHeight="1" x14ac:dyDescent="0.3">
      <c r="A27" s="136" t="s">
        <v>143</v>
      </c>
      <c r="B27" s="664"/>
      <c r="C27" s="656"/>
      <c r="D27" s="138">
        <v>1</v>
      </c>
      <c r="E27" s="136">
        <v>0.55000000000000004</v>
      </c>
      <c r="F27" s="139">
        <f>ROUND(1/L27,2)</f>
        <v>0.71</v>
      </c>
      <c r="G27" s="136">
        <v>0.45</v>
      </c>
      <c r="H27" s="136">
        <v>23</v>
      </c>
      <c r="I27" s="141">
        <f>ROUND(B27*8,0)</f>
        <v>0</v>
      </c>
      <c r="J27" s="142" t="s">
        <v>139</v>
      </c>
      <c r="K27" s="142" t="s">
        <v>106</v>
      </c>
      <c r="L27" s="143">
        <v>1.4</v>
      </c>
      <c r="U27" s="144"/>
      <c r="V27" s="144"/>
      <c r="W27" s="144"/>
      <c r="X27" s="144"/>
    </row>
    <row r="28" spans="1:24" s="134" customFormat="1" ht="24.95" customHeight="1" x14ac:dyDescent="0.3">
      <c r="A28" s="145"/>
      <c r="B28" s="145"/>
      <c r="C28" s="145"/>
      <c r="G28" s="145"/>
      <c r="H28" s="145"/>
      <c r="I28" s="145"/>
      <c r="J28" s="146"/>
      <c r="K28" s="146"/>
      <c r="L28" s="146"/>
      <c r="U28" s="144"/>
      <c r="V28" s="144"/>
      <c r="W28" s="144"/>
      <c r="X28" s="144"/>
    </row>
    <row r="29" spans="1:24" customFormat="1" ht="24.95" customHeight="1" x14ac:dyDescent="0.3">
      <c r="A29" s="128" t="s">
        <v>159</v>
      </c>
      <c r="C29" s="147"/>
      <c r="D29" s="111" t="s">
        <v>300</v>
      </c>
    </row>
    <row r="30" spans="1:24" s="134" customFormat="1" ht="24.95" customHeight="1" x14ac:dyDescent="0.3">
      <c r="A30" s="136" t="s">
        <v>155</v>
      </c>
      <c r="B30" s="136" t="s">
        <v>71</v>
      </c>
      <c r="C30" s="136" t="s">
        <v>2</v>
      </c>
      <c r="D30" s="136" t="s">
        <v>30</v>
      </c>
      <c r="E30" s="136" t="s">
        <v>62</v>
      </c>
      <c r="F30" s="136" t="s">
        <v>57</v>
      </c>
      <c r="G30" s="135" t="s">
        <v>76</v>
      </c>
      <c r="H30" s="136" t="s">
        <v>113</v>
      </c>
      <c r="I30" s="148" t="s">
        <v>74</v>
      </c>
      <c r="J30" s="136" t="s">
        <v>114</v>
      </c>
      <c r="K30" s="149" t="s">
        <v>118</v>
      </c>
      <c r="L30" s="136" t="s">
        <v>130</v>
      </c>
      <c r="M30" s="132"/>
      <c r="N30" s="133"/>
      <c r="O30" s="133"/>
      <c r="P30" s="133"/>
      <c r="Q30" s="133"/>
      <c r="R30" s="133"/>
      <c r="S30" s="133"/>
      <c r="T30" s="133"/>
      <c r="U30" s="133"/>
    </row>
    <row r="31" spans="1:24" s="134" customFormat="1" ht="20.100000000000001" customHeight="1" x14ac:dyDescent="0.3">
      <c r="A31" s="150" t="s">
        <v>41</v>
      </c>
      <c r="B31" s="151" t="s">
        <v>78</v>
      </c>
      <c r="C31" s="77" t="s">
        <v>70</v>
      </c>
      <c r="D31" s="152"/>
      <c r="E31" s="153">
        <f>12*7*8</f>
        <v>672</v>
      </c>
      <c r="F31" s="150"/>
      <c r="G31" s="154">
        <f>E31*F31</f>
        <v>0</v>
      </c>
      <c r="H31" s="155" t="e">
        <f>D31/G31</f>
        <v>#DIV/0!</v>
      </c>
      <c r="I31" s="81">
        <v>0.72899999999999998</v>
      </c>
      <c r="J31" s="155" t="e">
        <f>H31/I31</f>
        <v>#DIV/0!</v>
      </c>
      <c r="K31" s="156" t="e">
        <f>J31/30</f>
        <v>#DIV/0!</v>
      </c>
      <c r="L31" s="83"/>
      <c r="M31" s="132"/>
      <c r="O31" s="137"/>
      <c r="P31" s="137"/>
      <c r="Q31" s="137"/>
    </row>
    <row r="32" spans="1:24" s="134" customFormat="1" ht="20.100000000000001" customHeight="1" x14ac:dyDescent="0.3">
      <c r="A32" s="157" t="s">
        <v>143</v>
      </c>
      <c r="B32" s="158" t="s">
        <v>78</v>
      </c>
      <c r="C32" s="94" t="s">
        <v>70</v>
      </c>
      <c r="D32" s="159"/>
      <c r="E32" s="160">
        <f>12*7*8</f>
        <v>672</v>
      </c>
      <c r="F32" s="157"/>
      <c r="G32" s="161">
        <f>E32*F32</f>
        <v>0</v>
      </c>
      <c r="H32" s="162"/>
      <c r="I32" s="97">
        <v>0.72899999999999998</v>
      </c>
      <c r="J32" s="162">
        <f>H32/I32</f>
        <v>0</v>
      </c>
      <c r="K32" s="163">
        <f>J32/30</f>
        <v>0</v>
      </c>
      <c r="L32" s="107"/>
    </row>
    <row r="33" spans="1:21" s="134" customFormat="1" ht="20.100000000000001" customHeight="1" x14ac:dyDescent="0.3">
      <c r="A33" s="136" t="s">
        <v>147</v>
      </c>
      <c r="B33" s="164"/>
      <c r="C33" s="119" t="s">
        <v>70</v>
      </c>
      <c r="D33" s="165">
        <f>D31+D32</f>
        <v>0</v>
      </c>
      <c r="E33" s="166"/>
      <c r="F33" s="139"/>
      <c r="G33" s="167"/>
      <c r="H33" s="136"/>
      <c r="I33" s="136"/>
      <c r="J33" s="136"/>
      <c r="K33" s="168" t="e">
        <f>SUM(K31:K32)</f>
        <v>#DIV/0!</v>
      </c>
      <c r="L33" s="169"/>
    </row>
    <row r="35" spans="1:21" customFormat="1" ht="24.95" customHeight="1" x14ac:dyDescent="0.3">
      <c r="A35" s="128" t="s">
        <v>158</v>
      </c>
      <c r="C35" s="147"/>
      <c r="D35" s="111" t="s">
        <v>300</v>
      </c>
    </row>
    <row r="36" spans="1:21" s="134" customFormat="1" ht="24.95" customHeight="1" x14ac:dyDescent="0.3">
      <c r="A36" s="136" t="s">
        <v>155</v>
      </c>
      <c r="B36" s="136" t="s">
        <v>71</v>
      </c>
      <c r="C36" s="136" t="s">
        <v>2</v>
      </c>
      <c r="D36" s="136" t="s">
        <v>30</v>
      </c>
      <c r="E36" s="136" t="s">
        <v>62</v>
      </c>
      <c r="F36" s="136" t="s">
        <v>57</v>
      </c>
      <c r="G36" s="135" t="s">
        <v>76</v>
      </c>
      <c r="H36" s="136" t="s">
        <v>113</v>
      </c>
      <c r="I36" s="148" t="s">
        <v>74</v>
      </c>
      <c r="J36" s="136" t="s">
        <v>114</v>
      </c>
      <c r="K36" s="149" t="s">
        <v>118</v>
      </c>
      <c r="L36" s="136" t="s">
        <v>130</v>
      </c>
      <c r="M36" s="132"/>
      <c r="N36" s="133"/>
      <c r="O36" s="133"/>
      <c r="P36" s="133"/>
      <c r="Q36" s="133"/>
      <c r="R36" s="133"/>
      <c r="S36" s="133"/>
      <c r="T36" s="133"/>
      <c r="U36" s="133"/>
    </row>
    <row r="37" spans="1:21" s="134" customFormat="1" ht="20.100000000000001" customHeight="1" x14ac:dyDescent="0.3">
      <c r="A37" s="150" t="s">
        <v>141</v>
      </c>
      <c r="B37" s="151"/>
      <c r="C37" s="77" t="s">
        <v>70</v>
      </c>
      <c r="D37" s="152"/>
      <c r="E37" s="153">
        <v>600</v>
      </c>
      <c r="F37" s="150"/>
      <c r="G37" s="154">
        <f>E37*F37</f>
        <v>0</v>
      </c>
      <c r="H37" s="155" t="e">
        <f>D37/G37</f>
        <v>#DIV/0!</v>
      </c>
      <c r="I37" s="81">
        <v>0.72899999999999998</v>
      </c>
      <c r="J37" s="155" t="e">
        <f>H37/I37</f>
        <v>#DIV/0!</v>
      </c>
      <c r="K37" s="156" t="e">
        <f>J37/30</f>
        <v>#DIV/0!</v>
      </c>
      <c r="L37" s="83"/>
      <c r="M37" s="132"/>
      <c r="O37" s="137"/>
      <c r="P37" s="137"/>
      <c r="Q37" s="137"/>
    </row>
    <row r="38" spans="1:21" s="134" customFormat="1" ht="20.100000000000001" customHeight="1" x14ac:dyDescent="0.3">
      <c r="A38" s="157"/>
      <c r="B38" s="158"/>
      <c r="C38" s="94"/>
      <c r="D38" s="159"/>
      <c r="E38" s="160"/>
      <c r="F38" s="157"/>
      <c r="G38" s="161"/>
      <c r="H38" s="162"/>
      <c r="I38" s="97"/>
      <c r="J38" s="162"/>
      <c r="K38" s="163"/>
      <c r="L38" s="107"/>
    </row>
    <row r="39" spans="1:21" s="134" customFormat="1" ht="20.100000000000001" customHeight="1" x14ac:dyDescent="0.3">
      <c r="A39" s="136" t="s">
        <v>147</v>
      </c>
      <c r="B39" s="164"/>
      <c r="C39" s="119" t="s">
        <v>70</v>
      </c>
      <c r="D39" s="165">
        <f>D37+D38</f>
        <v>0</v>
      </c>
      <c r="E39" s="166"/>
      <c r="F39" s="139"/>
      <c r="G39" s="167"/>
      <c r="H39" s="136"/>
      <c r="I39" s="136"/>
      <c r="J39" s="136"/>
      <c r="K39" s="168" t="e">
        <f>SUM(K37:K38)</f>
        <v>#DIV/0!</v>
      </c>
      <c r="L39" s="169"/>
    </row>
    <row r="40" spans="1:21" s="134" customFormat="1" ht="20.100000000000001" customHeight="1" x14ac:dyDescent="0.3">
      <c r="A40" s="170"/>
      <c r="B40" s="170"/>
      <c r="C40" s="39"/>
      <c r="D40" s="171"/>
      <c r="E40" s="172"/>
      <c r="F40" s="173"/>
      <c r="G40" s="174"/>
      <c r="H40" s="170"/>
      <c r="I40" s="170"/>
      <c r="J40" s="170"/>
      <c r="K40" s="170"/>
      <c r="L40" s="175"/>
    </row>
    <row r="41" spans="1:21" ht="20.100000000000001" customHeight="1" x14ac:dyDescent="0.3">
      <c r="A41" s="128" t="s">
        <v>168</v>
      </c>
      <c r="B41"/>
      <c r="C41"/>
      <c r="D41"/>
      <c r="E41"/>
      <c r="F41"/>
      <c r="G41" s="128" t="s">
        <v>5</v>
      </c>
      <c r="H41"/>
      <c r="I41"/>
      <c r="J41"/>
      <c r="K41"/>
      <c r="L41"/>
    </row>
    <row r="42" spans="1:21" ht="20.100000000000001" customHeight="1" x14ac:dyDescent="0.3">
      <c r="A42" s="65" t="s">
        <v>151</v>
      </c>
      <c r="B42" s="65" t="s">
        <v>59</v>
      </c>
      <c r="C42" s="665" t="s">
        <v>120</v>
      </c>
      <c r="D42" s="666"/>
      <c r="E42" s="68" t="s">
        <v>130</v>
      </c>
      <c r="G42" s="667" t="s">
        <v>151</v>
      </c>
      <c r="H42" s="668"/>
      <c r="I42" s="65" t="s">
        <v>59</v>
      </c>
      <c r="J42" s="665" t="s">
        <v>120</v>
      </c>
      <c r="K42" s="666"/>
      <c r="L42" s="68" t="s">
        <v>130</v>
      </c>
    </row>
    <row r="43" spans="1:21" ht="20.100000000000001" customHeight="1" x14ac:dyDescent="0.3">
      <c r="A43" s="177" t="s">
        <v>82</v>
      </c>
      <c r="B43" s="178"/>
      <c r="C43" s="671"/>
      <c r="D43" s="672"/>
      <c r="E43" s="77"/>
      <c r="G43" s="673" t="s">
        <v>82</v>
      </c>
      <c r="H43" s="674"/>
      <c r="I43" s="178"/>
      <c r="J43" s="671"/>
      <c r="K43" s="672"/>
      <c r="L43" s="77"/>
    </row>
    <row r="44" spans="1:21" ht="20.100000000000001" customHeight="1" x14ac:dyDescent="0.3">
      <c r="A44" s="179" t="s">
        <v>56</v>
      </c>
      <c r="B44" s="180">
        <v>1.53</v>
      </c>
      <c r="C44" s="675"/>
      <c r="D44" s="676"/>
      <c r="E44" s="86" t="s">
        <v>94</v>
      </c>
      <c r="G44" s="181" t="s">
        <v>56</v>
      </c>
      <c r="H44" s="182"/>
      <c r="I44" s="180">
        <v>13</v>
      </c>
      <c r="J44" s="675" t="s">
        <v>98</v>
      </c>
      <c r="K44" s="676"/>
      <c r="L44" s="86" t="s">
        <v>94</v>
      </c>
    </row>
    <row r="45" spans="1:21" ht="20.100000000000001" customHeight="1" x14ac:dyDescent="0.3">
      <c r="A45" s="179" t="s">
        <v>92</v>
      </c>
      <c r="B45" s="183">
        <v>6</v>
      </c>
      <c r="C45" s="677"/>
      <c r="D45" s="678"/>
      <c r="E45" s="86"/>
      <c r="G45" s="181" t="s">
        <v>92</v>
      </c>
      <c r="H45" s="182"/>
      <c r="I45" s="183" t="s">
        <v>91</v>
      </c>
      <c r="J45" s="677" t="s">
        <v>156</v>
      </c>
      <c r="K45" s="678"/>
      <c r="L45" s="86"/>
    </row>
    <row r="46" spans="1:21" ht="20.100000000000001" customHeight="1" x14ac:dyDescent="0.3">
      <c r="A46" s="184" t="s">
        <v>77</v>
      </c>
      <c r="B46" s="185" t="s">
        <v>55</v>
      </c>
      <c r="C46" s="679"/>
      <c r="D46" s="680"/>
      <c r="E46" s="94"/>
      <c r="G46" s="181" t="s">
        <v>77</v>
      </c>
      <c r="H46" s="182"/>
      <c r="I46" s="185" t="s">
        <v>55</v>
      </c>
      <c r="J46" s="679"/>
      <c r="K46" s="680"/>
      <c r="L46" s="94"/>
    </row>
    <row r="47" spans="1:21" ht="20.100000000000001" customHeight="1" x14ac:dyDescent="0.3">
      <c r="A47" s="75" t="s">
        <v>97</v>
      </c>
      <c r="B47" s="119"/>
      <c r="C47" s="667"/>
      <c r="D47" s="668"/>
      <c r="E47" s="119"/>
      <c r="G47" s="681" t="s">
        <v>97</v>
      </c>
      <c r="H47" s="682"/>
      <c r="I47" s="119"/>
      <c r="J47" s="667"/>
      <c r="K47" s="668"/>
      <c r="L47" s="119"/>
    </row>
    <row r="48" spans="1:21" ht="20.100000000000001" customHeight="1" x14ac:dyDescent="0.3">
      <c r="A48" s="186" t="s">
        <v>163</v>
      </c>
      <c r="B48" s="187">
        <f>((2.5/0.8)*22)/60/1</f>
        <v>1.1458333333333333</v>
      </c>
      <c r="C48" s="669" t="s">
        <v>54</v>
      </c>
      <c r="D48" s="670"/>
      <c r="E48" s="188" t="s">
        <v>100</v>
      </c>
      <c r="G48" s="189" t="s">
        <v>164</v>
      </c>
      <c r="H48" s="189"/>
      <c r="I48" s="187">
        <f>((13/0.8)*22)/60/2</f>
        <v>2.9791666666666665</v>
      </c>
      <c r="J48" s="669" t="s">
        <v>53</v>
      </c>
      <c r="K48" s="670"/>
      <c r="L48" s="188" t="s">
        <v>93</v>
      </c>
    </row>
    <row r="49" spans="1:12" ht="20.100000000000001" customHeight="1" x14ac:dyDescent="0.3">
      <c r="A49" s="179" t="s">
        <v>50</v>
      </c>
      <c r="B49" s="190">
        <v>0.2</v>
      </c>
      <c r="C49" s="675" t="s">
        <v>96</v>
      </c>
      <c r="D49" s="676"/>
      <c r="E49" s="86"/>
      <c r="G49" s="181" t="s">
        <v>50</v>
      </c>
      <c r="H49" s="182"/>
      <c r="I49" s="190">
        <v>1</v>
      </c>
      <c r="J49" s="675" t="s">
        <v>96</v>
      </c>
      <c r="K49" s="676"/>
      <c r="L49" s="86"/>
    </row>
    <row r="50" spans="1:12" ht="20.100000000000001" customHeight="1" x14ac:dyDescent="0.3">
      <c r="A50" s="179" t="s">
        <v>43</v>
      </c>
      <c r="B50" s="190">
        <v>0.5</v>
      </c>
      <c r="C50" s="675"/>
      <c r="D50" s="676"/>
      <c r="E50" s="86"/>
      <c r="G50" s="181" t="s">
        <v>43</v>
      </c>
      <c r="H50" s="182"/>
      <c r="I50" s="190">
        <v>1</v>
      </c>
      <c r="J50" s="675"/>
      <c r="K50" s="676"/>
      <c r="L50" s="86"/>
    </row>
    <row r="51" spans="1:12" ht="20.100000000000001" customHeight="1" x14ac:dyDescent="0.3">
      <c r="A51" s="179" t="s">
        <v>40</v>
      </c>
      <c r="B51" s="190">
        <v>0.2</v>
      </c>
      <c r="C51" s="677" t="s">
        <v>80</v>
      </c>
      <c r="D51" s="678"/>
      <c r="E51" s="86" t="s">
        <v>90</v>
      </c>
      <c r="G51" s="181" t="s">
        <v>40</v>
      </c>
      <c r="H51" s="182"/>
      <c r="I51" s="190">
        <v>1</v>
      </c>
      <c r="J51" s="677" t="s">
        <v>80</v>
      </c>
      <c r="K51" s="678"/>
      <c r="L51" s="86" t="s">
        <v>90</v>
      </c>
    </row>
    <row r="52" spans="1:12" ht="20.100000000000001" customHeight="1" x14ac:dyDescent="0.3">
      <c r="A52" s="184" t="s">
        <v>99</v>
      </c>
      <c r="B52" s="191">
        <v>0.5</v>
      </c>
      <c r="C52" s="687"/>
      <c r="D52" s="688"/>
      <c r="E52" s="94"/>
      <c r="G52" s="192" t="s">
        <v>99</v>
      </c>
      <c r="H52" s="193"/>
      <c r="I52" s="191">
        <v>0.5</v>
      </c>
      <c r="J52" s="687"/>
      <c r="K52" s="688"/>
      <c r="L52" s="94"/>
    </row>
    <row r="53" spans="1:12" ht="20.100000000000001" customHeight="1" x14ac:dyDescent="0.3">
      <c r="A53" s="119" t="s">
        <v>147</v>
      </c>
      <c r="B53" s="194">
        <f>SUM(B48:B52)</f>
        <v>2.5458333333333334</v>
      </c>
      <c r="C53" s="689">
        <v>1.53</v>
      </c>
      <c r="D53" s="690"/>
      <c r="E53" s="119"/>
      <c r="G53" s="691" t="s">
        <v>147</v>
      </c>
      <c r="H53" s="692"/>
      <c r="I53" s="194">
        <f>SUM(I48:I52)</f>
        <v>6.4791666666666661</v>
      </c>
      <c r="J53" s="689">
        <v>13</v>
      </c>
      <c r="K53" s="690"/>
      <c r="L53" s="119"/>
    </row>
    <row r="54" spans="1:12" ht="20.100000000000001" customHeight="1" x14ac:dyDescent="0.3">
      <c r="A54" s="68" t="s">
        <v>51</v>
      </c>
      <c r="B54" s="195">
        <f>60/B53</f>
        <v>23.567921440261866</v>
      </c>
      <c r="C54" s="693">
        <f>B54*C53</f>
        <v>36.058919803600659</v>
      </c>
      <c r="D54" s="694"/>
      <c r="E54" s="196" t="s">
        <v>138</v>
      </c>
      <c r="G54" s="685" t="s">
        <v>51</v>
      </c>
      <c r="H54" s="686"/>
      <c r="I54" s="195">
        <f>60/I53</f>
        <v>9.2604501607717058</v>
      </c>
      <c r="J54" s="693">
        <f>I54*J53</f>
        <v>120.38585209003217</v>
      </c>
      <c r="K54" s="694"/>
      <c r="L54" s="196" t="s">
        <v>138</v>
      </c>
    </row>
    <row r="55" spans="1:12" ht="20.100000000000001" customHeight="1" x14ac:dyDescent="0.3">
      <c r="A55" s="119" t="s">
        <v>39</v>
      </c>
      <c r="B55" s="119" t="s">
        <v>140</v>
      </c>
      <c r="C55" s="683">
        <f>C54*8</f>
        <v>288.47135842880527</v>
      </c>
      <c r="D55" s="684"/>
      <c r="E55" s="197"/>
      <c r="G55" s="685" t="s">
        <v>39</v>
      </c>
      <c r="H55" s="686"/>
      <c r="I55" s="119" t="s">
        <v>140</v>
      </c>
      <c r="J55" s="683">
        <f>J54*8</f>
        <v>963.08681672025739</v>
      </c>
      <c r="K55" s="684"/>
      <c r="L55" s="197"/>
    </row>
    <row r="56" spans="1:12" ht="20.100000000000001" customHeight="1" x14ac:dyDescent="0.3">
      <c r="G56" s="176" t="s">
        <v>68</v>
      </c>
    </row>
    <row r="57" spans="1:12" ht="20.100000000000001" customHeight="1" x14ac:dyDescent="0.3">
      <c r="F57"/>
      <c r="L57"/>
    </row>
  </sheetData>
  <mergeCells count="47">
    <mergeCell ref="C55:D55"/>
    <mergeCell ref="G55:H55"/>
    <mergeCell ref="J55:K55"/>
    <mergeCell ref="C52:D52"/>
    <mergeCell ref="J52:K52"/>
    <mergeCell ref="C53:D53"/>
    <mergeCell ref="G53:H53"/>
    <mergeCell ref="J53:K53"/>
    <mergeCell ref="C54:D54"/>
    <mergeCell ref="G54:H54"/>
    <mergeCell ref="J54:K54"/>
    <mergeCell ref="C49:D49"/>
    <mergeCell ref="J49:K49"/>
    <mergeCell ref="C50:D50"/>
    <mergeCell ref="J50:K50"/>
    <mergeCell ref="C51:D51"/>
    <mergeCell ref="J51:K51"/>
    <mergeCell ref="C48:D48"/>
    <mergeCell ref="J48:K48"/>
    <mergeCell ref="C43:D43"/>
    <mergeCell ref="G43:H43"/>
    <mergeCell ref="J43:K43"/>
    <mergeCell ref="C44:D44"/>
    <mergeCell ref="J44:K44"/>
    <mergeCell ref="C45:D45"/>
    <mergeCell ref="J45:K45"/>
    <mergeCell ref="C46:D46"/>
    <mergeCell ref="J46:K46"/>
    <mergeCell ref="C47:D47"/>
    <mergeCell ref="G47:H47"/>
    <mergeCell ref="J47:K47"/>
    <mergeCell ref="J25:K25"/>
    <mergeCell ref="B26:C26"/>
    <mergeCell ref="B27:C27"/>
    <mergeCell ref="C42:D42"/>
    <mergeCell ref="G42:H42"/>
    <mergeCell ref="J42:K42"/>
    <mergeCell ref="A7:A8"/>
    <mergeCell ref="B7:B8"/>
    <mergeCell ref="C7:C8"/>
    <mergeCell ref="K7:K8"/>
    <mergeCell ref="A19:A20"/>
    <mergeCell ref="A23:A25"/>
    <mergeCell ref="B23:C23"/>
    <mergeCell ref="I23:I25"/>
    <mergeCell ref="B24:C24"/>
    <mergeCell ref="B25:C25"/>
  </mergeCells>
  <phoneticPr fontId="26" type="noConversion"/>
  <hyperlinks>
    <hyperlink ref="H23" r:id="rId1" xr:uid="{00000000-0004-0000-0200-000000000000}"/>
    <hyperlink ref="G23" r:id="rId2" xr:uid="{00000000-0004-0000-0200-000001000000}"/>
    <hyperlink ref="F23" r:id="rId3" xr:uid="{00000000-0004-0000-0200-000002000000}"/>
    <hyperlink ref="E23" r:id="rId4" xr:uid="{00000000-0004-0000-0200-000003000000}"/>
  </hyperlinks>
  <pageMargins left="0.39347222447395325" right="0.19666667282581329" top="0.39347222447395325" bottom="0.39347222447395325" header="0.19666667282581329" footer="0"/>
  <pageSetup paperSize="9" scale="80" fitToHeight="0" orientation="landscape" r:id="rId5"/>
  <headerFooter>
    <oddHeader>&amp;R&amp;"맑은 고딕,Regular"공사기간 산출근거 (&amp;P/&amp;N) - &amp;A</oddHeader>
  </headerFooter>
  <rowBreaks count="2" manualBreakCount="2">
    <brk id="28" max="1048575" man="1"/>
    <brk id="57" max="104857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T34"/>
  <sheetViews>
    <sheetView topLeftCell="A4" workbookViewId="0">
      <selection activeCell="F17" sqref="F17"/>
    </sheetView>
  </sheetViews>
  <sheetFormatPr defaultColWidth="7" defaultRowHeight="24.95" customHeight="1" x14ac:dyDescent="0.3"/>
  <cols>
    <col min="1" max="1" width="11.875" style="250" customWidth="1"/>
    <col min="2" max="2" width="20.625" style="250" customWidth="1"/>
    <col min="3" max="3" width="6.625" style="250" customWidth="1"/>
    <col min="4" max="9" width="12.625" style="250" customWidth="1"/>
    <col min="10" max="10" width="15.625" style="250" customWidth="1"/>
    <col min="11" max="11" width="22.375" style="250" customWidth="1"/>
    <col min="12" max="13" width="7" style="250"/>
    <col min="14" max="14" width="7" style="251"/>
    <col min="15" max="15" width="32" style="251" customWidth="1"/>
    <col min="16" max="18" width="10.625" style="251" customWidth="1"/>
    <col min="19" max="20" width="7" style="251"/>
    <col min="21" max="16384" width="7" style="250"/>
  </cols>
  <sheetData>
    <row r="1" spans="1:20" ht="30" customHeight="1" x14ac:dyDescent="0.3">
      <c r="A1" s="295" t="s">
        <v>218</v>
      </c>
    </row>
    <row r="2" spans="1:20" ht="20.100000000000001" customHeight="1" x14ac:dyDescent="0.3">
      <c r="A2" s="294" t="s">
        <v>254</v>
      </c>
    </row>
    <row r="3" spans="1:20" s="291" customFormat="1" ht="20.100000000000001" customHeight="1" thickBot="1" x14ac:dyDescent="0.35">
      <c r="A3" s="293" t="s">
        <v>217</v>
      </c>
      <c r="K3" s="292" t="s">
        <v>253</v>
      </c>
      <c r="N3" s="296"/>
      <c r="O3" s="296"/>
      <c r="P3" s="296"/>
      <c r="Q3" s="296"/>
      <c r="R3" s="296"/>
      <c r="S3" s="296"/>
      <c r="T3" s="296"/>
    </row>
    <row r="4" spans="1:20" s="284" customFormat="1" ht="20.100000000000001" customHeight="1" x14ac:dyDescent="0.3">
      <c r="A4" s="290" t="s">
        <v>216</v>
      </c>
      <c r="B4" s="289"/>
      <c r="C4" s="289"/>
      <c r="D4" s="289"/>
      <c r="E4" s="289" t="s">
        <v>215</v>
      </c>
      <c r="F4" s="289"/>
      <c r="G4" s="289"/>
      <c r="H4" s="289"/>
      <c r="I4" s="289" t="s">
        <v>214</v>
      </c>
      <c r="J4" s="289"/>
      <c r="K4" s="288"/>
      <c r="N4" s="297"/>
      <c r="O4" s="297"/>
      <c r="P4" s="297"/>
      <c r="Q4" s="297"/>
      <c r="R4" s="297"/>
      <c r="S4" s="297"/>
      <c r="T4" s="297"/>
    </row>
    <row r="5" spans="1:20" s="284" customFormat="1" ht="20.100000000000001" customHeight="1" thickBot="1" x14ac:dyDescent="0.35">
      <c r="A5" s="287"/>
      <c r="B5" s="286"/>
      <c r="C5" s="286"/>
      <c r="D5" s="286"/>
      <c r="E5" s="286"/>
      <c r="F5" s="286"/>
      <c r="G5" s="286"/>
      <c r="H5" s="286"/>
      <c r="I5" s="286"/>
      <c r="J5" s="286"/>
      <c r="K5" s="285"/>
      <c r="N5" s="297"/>
      <c r="O5" s="297"/>
      <c r="P5" s="297"/>
      <c r="Q5" s="297"/>
      <c r="R5" s="297"/>
      <c r="S5" s="297"/>
      <c r="T5" s="297"/>
    </row>
    <row r="6" spans="1:20" ht="20.100000000000001" customHeight="1" thickBot="1" x14ac:dyDescent="0.35">
      <c r="A6" s="283"/>
      <c r="B6" s="251"/>
      <c r="C6" s="251"/>
      <c r="D6" s="251"/>
      <c r="E6" s="251"/>
      <c r="F6" s="251"/>
      <c r="G6" s="251"/>
      <c r="H6" s="251"/>
      <c r="I6" s="251"/>
      <c r="J6" s="251"/>
      <c r="K6" s="251"/>
    </row>
    <row r="7" spans="1:20" ht="20.100000000000001" customHeight="1" x14ac:dyDescent="0.3">
      <c r="A7" s="704" t="s">
        <v>213</v>
      </c>
      <c r="B7" s="699" t="s">
        <v>212</v>
      </c>
      <c r="C7" s="695" t="s">
        <v>179</v>
      </c>
      <c r="D7" s="695" t="s">
        <v>211</v>
      </c>
      <c r="E7" s="697" t="s">
        <v>210</v>
      </c>
      <c r="F7" s="698" t="s">
        <v>209</v>
      </c>
      <c r="G7" s="699"/>
      <c r="H7" s="695" t="s">
        <v>174</v>
      </c>
      <c r="I7" s="695" t="s">
        <v>173</v>
      </c>
      <c r="J7" s="702" t="s">
        <v>208</v>
      </c>
      <c r="K7" s="700" t="s">
        <v>207</v>
      </c>
    </row>
    <row r="8" spans="1:20" ht="20.100000000000001" customHeight="1" x14ac:dyDescent="0.3">
      <c r="A8" s="705"/>
      <c r="B8" s="707"/>
      <c r="C8" s="696"/>
      <c r="D8" s="696"/>
      <c r="E8" s="696"/>
      <c r="F8" s="253" t="s">
        <v>176</v>
      </c>
      <c r="G8" s="253" t="s">
        <v>175</v>
      </c>
      <c r="H8" s="696"/>
      <c r="I8" s="696"/>
      <c r="J8" s="703"/>
      <c r="K8" s="701"/>
    </row>
    <row r="9" spans="1:20" ht="20.100000000000001" customHeight="1" x14ac:dyDescent="0.3">
      <c r="A9" s="705"/>
      <c r="B9" s="271" t="s">
        <v>206</v>
      </c>
      <c r="C9" s="253" t="s">
        <v>203</v>
      </c>
      <c r="D9" s="281">
        <v>1.5</v>
      </c>
      <c r="E9" s="281">
        <v>2</v>
      </c>
      <c r="F9" s="281">
        <v>2.7</v>
      </c>
      <c r="G9" s="281">
        <v>3.4</v>
      </c>
      <c r="H9" s="281">
        <v>5.7</v>
      </c>
      <c r="I9" s="281">
        <v>8.6999999999999993</v>
      </c>
      <c r="J9" s="279"/>
      <c r="K9" s="278"/>
    </row>
    <row r="10" spans="1:20" ht="20.100000000000001" customHeight="1" x14ac:dyDescent="0.3">
      <c r="A10" s="705"/>
      <c r="B10" s="271" t="s">
        <v>205</v>
      </c>
      <c r="C10" s="253" t="s">
        <v>203</v>
      </c>
      <c r="D10" s="281">
        <v>0.7</v>
      </c>
      <c r="E10" s="281">
        <v>0.7</v>
      </c>
      <c r="F10" s="281">
        <v>1</v>
      </c>
      <c r="G10" s="281">
        <v>1.6</v>
      </c>
      <c r="H10" s="281">
        <v>2</v>
      </c>
      <c r="I10" s="281">
        <v>2.8</v>
      </c>
      <c r="J10" s="279"/>
      <c r="K10" s="278"/>
    </row>
    <row r="11" spans="1:20" ht="20.100000000000001" customHeight="1" x14ac:dyDescent="0.3">
      <c r="A11" s="705"/>
      <c r="B11" s="271" t="s">
        <v>204</v>
      </c>
      <c r="C11" s="253" t="s">
        <v>203</v>
      </c>
      <c r="D11" s="281">
        <v>0.7</v>
      </c>
      <c r="E11" s="281">
        <v>0.8</v>
      </c>
      <c r="F11" s="281">
        <v>1.2</v>
      </c>
      <c r="G11" s="281">
        <v>1.9</v>
      </c>
      <c r="H11" s="281">
        <v>2.4</v>
      </c>
      <c r="I11" s="281">
        <v>3</v>
      </c>
      <c r="J11" s="279"/>
      <c r="K11" s="278"/>
    </row>
    <row r="12" spans="1:20" ht="20.100000000000001" customHeight="1" x14ac:dyDescent="0.3">
      <c r="A12" s="705"/>
      <c r="B12" s="282" t="s">
        <v>202</v>
      </c>
      <c r="C12" s="253" t="s">
        <v>201</v>
      </c>
      <c r="D12" s="280">
        <v>0.125</v>
      </c>
      <c r="E12" s="280">
        <v>0.25</v>
      </c>
      <c r="F12" s="280">
        <v>1</v>
      </c>
      <c r="G12" s="280">
        <v>3</v>
      </c>
      <c r="H12" s="280">
        <v>7.5</v>
      </c>
      <c r="I12" s="280">
        <v>20</v>
      </c>
      <c r="J12" s="279"/>
      <c r="K12" s="278"/>
    </row>
    <row r="13" spans="1:20" ht="20.100000000000001" customHeight="1" x14ac:dyDescent="0.3">
      <c r="A13" s="705"/>
      <c r="B13" s="282" t="s">
        <v>200</v>
      </c>
      <c r="C13" s="253" t="s">
        <v>199</v>
      </c>
      <c r="D13" s="281" t="s">
        <v>198</v>
      </c>
      <c r="E13" s="281" t="s">
        <v>198</v>
      </c>
      <c r="F13" s="281" t="s">
        <v>198</v>
      </c>
      <c r="G13" s="281" t="s">
        <v>197</v>
      </c>
      <c r="H13" s="281" t="s">
        <v>197</v>
      </c>
      <c r="I13" s="281" t="s">
        <v>196</v>
      </c>
      <c r="J13" s="279"/>
      <c r="K13" s="278"/>
    </row>
    <row r="14" spans="1:20" ht="20.100000000000001" customHeight="1" x14ac:dyDescent="0.3">
      <c r="A14" s="705"/>
      <c r="B14" s="271" t="s">
        <v>195</v>
      </c>
      <c r="C14" s="253" t="s">
        <v>194</v>
      </c>
      <c r="D14" s="280">
        <f t="shared" ref="D14:I14" si="0">D9*D10*D11</f>
        <v>0.73499999999999988</v>
      </c>
      <c r="E14" s="280">
        <f t="shared" si="0"/>
        <v>1.1199999999999999</v>
      </c>
      <c r="F14" s="280">
        <f t="shared" si="0"/>
        <v>3.24</v>
      </c>
      <c r="G14" s="280">
        <f t="shared" si="0"/>
        <v>10.336</v>
      </c>
      <c r="H14" s="280">
        <f t="shared" si="0"/>
        <v>27.36</v>
      </c>
      <c r="I14" s="280">
        <f t="shared" si="0"/>
        <v>73.079999999999984</v>
      </c>
      <c r="J14" s="279"/>
      <c r="K14" s="278"/>
      <c r="O14" s="298" t="s">
        <v>219</v>
      </c>
      <c r="P14" s="299">
        <v>147.5</v>
      </c>
      <c r="Q14" s="300">
        <f>D19</f>
        <v>47.039999999999992</v>
      </c>
      <c r="R14" s="301">
        <f>P14/Q14</f>
        <v>3.135629251700681</v>
      </c>
    </row>
    <row r="15" spans="1:20" ht="20.100000000000001" customHeight="1" x14ac:dyDescent="0.3">
      <c r="A15" s="705"/>
      <c r="B15" s="271" t="s">
        <v>193</v>
      </c>
      <c r="C15" s="253" t="s">
        <v>189</v>
      </c>
      <c r="D15" s="302">
        <f t="shared" ref="D15:I18" si="1">($B$26/(D$9*100))*60*8*$L15</f>
        <v>64</v>
      </c>
      <c r="E15" s="302">
        <f t="shared" si="1"/>
        <v>48</v>
      </c>
      <c r="F15" s="302">
        <f t="shared" si="1"/>
        <v>35.555555555555557</v>
      </c>
      <c r="G15" s="302">
        <f t="shared" si="1"/>
        <v>28.235294117647058</v>
      </c>
      <c r="H15" s="302">
        <f t="shared" si="1"/>
        <v>16.842105263157894</v>
      </c>
      <c r="I15" s="302">
        <f t="shared" si="1"/>
        <v>11.03448275862069</v>
      </c>
      <c r="J15" s="279"/>
      <c r="K15" s="278" t="s">
        <v>188</v>
      </c>
      <c r="L15" s="277">
        <v>1</v>
      </c>
      <c r="O15" s="298" t="s">
        <v>220</v>
      </c>
      <c r="P15" s="299">
        <v>885</v>
      </c>
      <c r="Q15" s="300">
        <f>E19</f>
        <v>53.759999999999991</v>
      </c>
      <c r="R15" s="301">
        <f t="shared" ref="R15:R16" si="2">P15/Q15</f>
        <v>16.462053571428573</v>
      </c>
    </row>
    <row r="16" spans="1:20" ht="20.100000000000001" customHeight="1" x14ac:dyDescent="0.3">
      <c r="A16" s="705"/>
      <c r="B16" s="271" t="s">
        <v>192</v>
      </c>
      <c r="C16" s="253" t="s">
        <v>189</v>
      </c>
      <c r="D16" s="252">
        <f t="shared" si="1"/>
        <v>128</v>
      </c>
      <c r="E16" s="252">
        <f t="shared" si="1"/>
        <v>96</v>
      </c>
      <c r="F16" s="252">
        <f t="shared" si="1"/>
        <v>71.111111111111114</v>
      </c>
      <c r="G16" s="252">
        <f t="shared" si="1"/>
        <v>56.470588235294116</v>
      </c>
      <c r="H16" s="252">
        <f t="shared" si="1"/>
        <v>33.684210526315788</v>
      </c>
      <c r="I16" s="252">
        <f t="shared" si="1"/>
        <v>22.068965517241381</v>
      </c>
      <c r="J16" s="279"/>
      <c r="K16" s="278" t="s">
        <v>188</v>
      </c>
      <c r="L16" s="277">
        <v>2</v>
      </c>
      <c r="O16" s="298" t="s">
        <v>221</v>
      </c>
      <c r="P16" s="299">
        <v>442.5</v>
      </c>
      <c r="Q16" s="300">
        <f>F19</f>
        <v>115.20000000000002</v>
      </c>
      <c r="R16" s="301">
        <f t="shared" si="2"/>
        <v>3.8411458333333326</v>
      </c>
    </row>
    <row r="17" spans="1:20" ht="20.100000000000001" customHeight="1" x14ac:dyDescent="0.3">
      <c r="A17" s="705"/>
      <c r="B17" s="271" t="s">
        <v>191</v>
      </c>
      <c r="C17" s="253" t="s">
        <v>189</v>
      </c>
      <c r="D17" s="252">
        <f t="shared" si="1"/>
        <v>192</v>
      </c>
      <c r="E17" s="252">
        <f t="shared" si="1"/>
        <v>144</v>
      </c>
      <c r="F17" s="252">
        <f t="shared" si="1"/>
        <v>106.66666666666667</v>
      </c>
      <c r="G17" s="252">
        <f t="shared" si="1"/>
        <v>84.705882352941174</v>
      </c>
      <c r="H17" s="252">
        <f t="shared" si="1"/>
        <v>50.526315789473685</v>
      </c>
      <c r="I17" s="252">
        <f t="shared" si="1"/>
        <v>33.103448275862071</v>
      </c>
      <c r="J17" s="279"/>
      <c r="K17" s="278" t="s">
        <v>188</v>
      </c>
      <c r="L17" s="277">
        <v>3</v>
      </c>
      <c r="P17" s="301">
        <f>SUM(P14:P16)</f>
        <v>1475</v>
      </c>
    </row>
    <row r="18" spans="1:20" ht="20.100000000000001" customHeight="1" x14ac:dyDescent="0.3">
      <c r="A18" s="705"/>
      <c r="B18" s="271" t="s">
        <v>190</v>
      </c>
      <c r="C18" s="253" t="s">
        <v>189</v>
      </c>
      <c r="D18" s="252">
        <f t="shared" si="1"/>
        <v>256</v>
      </c>
      <c r="E18" s="252">
        <f t="shared" si="1"/>
        <v>192</v>
      </c>
      <c r="F18" s="252">
        <f t="shared" si="1"/>
        <v>142.22222222222223</v>
      </c>
      <c r="G18" s="252">
        <f t="shared" si="1"/>
        <v>112.94117647058823</v>
      </c>
      <c r="H18" s="252">
        <f t="shared" si="1"/>
        <v>67.368421052631575</v>
      </c>
      <c r="I18" s="252">
        <f t="shared" si="1"/>
        <v>44.137931034482762</v>
      </c>
      <c r="J18" s="279"/>
      <c r="K18" s="278" t="s">
        <v>188</v>
      </c>
      <c r="L18" s="277">
        <v>4</v>
      </c>
    </row>
    <row r="19" spans="1:20" ht="20.100000000000001" customHeight="1" x14ac:dyDescent="0.3">
      <c r="A19" s="705"/>
      <c r="B19" s="276" t="s">
        <v>187</v>
      </c>
      <c r="C19" s="275" t="s">
        <v>185</v>
      </c>
      <c r="D19" s="274">
        <f t="shared" ref="D19:I19" si="3">D15*D14</f>
        <v>47.039999999999992</v>
      </c>
      <c r="E19" s="274">
        <f t="shared" si="3"/>
        <v>53.759999999999991</v>
      </c>
      <c r="F19" s="274">
        <f t="shared" si="3"/>
        <v>115.20000000000002</v>
      </c>
      <c r="G19" s="274">
        <f t="shared" si="3"/>
        <v>291.83999999999997</v>
      </c>
      <c r="H19" s="274">
        <f t="shared" si="3"/>
        <v>460.79999999999995</v>
      </c>
      <c r="I19" s="274">
        <f t="shared" si="3"/>
        <v>806.39999999999986</v>
      </c>
      <c r="J19" s="273"/>
      <c r="K19" s="272"/>
    </row>
    <row r="20" spans="1:20" ht="20.100000000000001" customHeight="1" x14ac:dyDescent="0.3">
      <c r="A20" s="705"/>
      <c r="B20" s="271" t="s">
        <v>186</v>
      </c>
      <c r="C20" s="253" t="s">
        <v>185</v>
      </c>
      <c r="D20" s="270">
        <v>5081.1099999999997</v>
      </c>
      <c r="E20" s="270">
        <v>38111.379999999997</v>
      </c>
      <c r="F20" s="270">
        <v>33659.49</v>
      </c>
      <c r="G20" s="270">
        <v>3786.99</v>
      </c>
      <c r="H20" s="270"/>
      <c r="I20" s="270"/>
      <c r="J20" s="269">
        <f>SUM(D20:I20)</f>
        <v>80638.97</v>
      </c>
      <c r="K20" s="268"/>
    </row>
    <row r="21" spans="1:20" ht="20.100000000000001" customHeight="1" thickBot="1" x14ac:dyDescent="0.35">
      <c r="A21" s="706"/>
      <c r="B21" s="267" t="s">
        <v>184</v>
      </c>
      <c r="C21" s="266" t="s">
        <v>183</v>
      </c>
      <c r="D21" s="265">
        <f t="shared" ref="D21:I21" si="4">ROUNDUP(D20/D19,0)</f>
        <v>109</v>
      </c>
      <c r="E21" s="265">
        <f t="shared" si="4"/>
        <v>709</v>
      </c>
      <c r="F21" s="265">
        <f t="shared" si="4"/>
        <v>293</v>
      </c>
      <c r="G21" s="265">
        <f t="shared" si="4"/>
        <v>13</v>
      </c>
      <c r="H21" s="265">
        <f t="shared" si="4"/>
        <v>0</v>
      </c>
      <c r="I21" s="265">
        <f t="shared" si="4"/>
        <v>0</v>
      </c>
      <c r="J21" s="264"/>
      <c r="K21" s="263"/>
    </row>
    <row r="22" spans="1:20" ht="20.100000000000001" customHeight="1" x14ac:dyDescent="0.3">
      <c r="A22" s="251"/>
      <c r="B22" s="251"/>
      <c r="C22" s="251"/>
      <c r="D22" s="251"/>
      <c r="E22" s="251"/>
      <c r="F22" s="251"/>
      <c r="G22" s="251"/>
      <c r="H22" s="251"/>
      <c r="I22" s="251"/>
      <c r="J22" s="251"/>
      <c r="K22" s="255"/>
    </row>
    <row r="23" spans="1:20" s="260" customFormat="1" ht="20.100000000000001" customHeight="1" x14ac:dyDescent="0.3">
      <c r="A23" s="262" t="s">
        <v>182</v>
      </c>
      <c r="B23" s="262"/>
      <c r="C23" s="262"/>
      <c r="D23" s="262" t="s">
        <v>181</v>
      </c>
      <c r="E23" s="262"/>
      <c r="F23" s="262"/>
      <c r="G23" s="262"/>
      <c r="H23" s="262"/>
      <c r="I23" s="262"/>
      <c r="J23" s="262"/>
      <c r="K23" s="261"/>
      <c r="N23" s="262"/>
      <c r="O23" s="262"/>
      <c r="P23" s="262"/>
      <c r="Q23" s="262"/>
      <c r="R23" s="262"/>
      <c r="S23" s="262"/>
      <c r="T23" s="262"/>
    </row>
    <row r="24" spans="1:20" s="259" customFormat="1" ht="20.100000000000001" customHeight="1" x14ac:dyDescent="0.3">
      <c r="A24" s="696" t="s">
        <v>180</v>
      </c>
      <c r="B24" s="696"/>
      <c r="C24" s="253" t="s">
        <v>179</v>
      </c>
      <c r="D24" s="253" t="s">
        <v>178</v>
      </c>
      <c r="E24" s="253" t="s">
        <v>177</v>
      </c>
      <c r="F24" s="253" t="s">
        <v>176</v>
      </c>
      <c r="G24" s="253" t="s">
        <v>175</v>
      </c>
      <c r="H24" s="253" t="s">
        <v>174</v>
      </c>
      <c r="I24" s="253" t="s">
        <v>173</v>
      </c>
      <c r="J24" s="255"/>
      <c r="K24" s="255"/>
      <c r="N24" s="255"/>
      <c r="O24" s="255"/>
      <c r="P24" s="255"/>
      <c r="Q24" s="255"/>
      <c r="R24" s="255"/>
      <c r="S24" s="255"/>
      <c r="T24" s="255"/>
    </row>
    <row r="25" spans="1:20" ht="20.100000000000001" customHeight="1" x14ac:dyDescent="0.3">
      <c r="A25" s="253" t="s">
        <v>172</v>
      </c>
      <c r="B25" s="254">
        <v>27</v>
      </c>
      <c r="C25" s="253"/>
      <c r="D25" s="252">
        <f t="shared" ref="D25:I25" si="5">($B$25/(D$9*100))*60*8*$L$15</f>
        <v>86.399999999999991</v>
      </c>
      <c r="E25" s="252">
        <f t="shared" si="5"/>
        <v>64.800000000000011</v>
      </c>
      <c r="F25" s="252">
        <f t="shared" si="5"/>
        <v>48</v>
      </c>
      <c r="G25" s="252">
        <f t="shared" si="5"/>
        <v>38.117647058823529</v>
      </c>
      <c r="H25" s="252">
        <f t="shared" si="5"/>
        <v>22.736842105263158</v>
      </c>
      <c r="I25" s="252">
        <f t="shared" si="5"/>
        <v>14.896551724137932</v>
      </c>
      <c r="J25" s="251"/>
      <c r="K25" s="255"/>
    </row>
    <row r="26" spans="1:20" ht="20.100000000000001" customHeight="1" x14ac:dyDescent="0.3">
      <c r="A26" s="257" t="s">
        <v>171</v>
      </c>
      <c r="B26" s="258">
        <v>20</v>
      </c>
      <c r="C26" s="257"/>
      <c r="D26" s="256">
        <f t="shared" ref="D26:I26" si="6">($B$26/(D$9*100))*60*8*$L15</f>
        <v>64</v>
      </c>
      <c r="E26" s="256">
        <f t="shared" si="6"/>
        <v>48</v>
      </c>
      <c r="F26" s="256">
        <f t="shared" si="6"/>
        <v>35.555555555555557</v>
      </c>
      <c r="G26" s="256">
        <f t="shared" si="6"/>
        <v>28.235294117647058</v>
      </c>
      <c r="H26" s="256">
        <f t="shared" si="6"/>
        <v>16.842105263157894</v>
      </c>
      <c r="I26" s="256">
        <f t="shared" si="6"/>
        <v>11.03448275862069</v>
      </c>
      <c r="J26" s="251"/>
      <c r="K26" s="255"/>
    </row>
    <row r="27" spans="1:20" ht="20.100000000000001" customHeight="1" x14ac:dyDescent="0.3">
      <c r="A27" s="253" t="s">
        <v>170</v>
      </c>
      <c r="B27" s="254">
        <v>16</v>
      </c>
      <c r="C27" s="253"/>
      <c r="D27" s="252">
        <f t="shared" ref="D27:I27" si="7">($B$27/(D$9*100))*60*8*$L$15</f>
        <v>51.2</v>
      </c>
      <c r="E27" s="252">
        <f t="shared" si="7"/>
        <v>38.4</v>
      </c>
      <c r="F27" s="252">
        <f t="shared" si="7"/>
        <v>28.444444444444446</v>
      </c>
      <c r="G27" s="252">
        <f t="shared" si="7"/>
        <v>22.588235294117645</v>
      </c>
      <c r="H27" s="252">
        <f t="shared" si="7"/>
        <v>13.473684210526317</v>
      </c>
      <c r="I27" s="252">
        <f t="shared" si="7"/>
        <v>8.8275862068965534</v>
      </c>
      <c r="J27" s="251"/>
      <c r="K27" s="255"/>
    </row>
    <row r="28" spans="1:20" ht="20.100000000000001" customHeight="1" x14ac:dyDescent="0.3">
      <c r="A28" s="253" t="s">
        <v>169</v>
      </c>
      <c r="B28" s="254">
        <v>12</v>
      </c>
      <c r="C28" s="253"/>
      <c r="D28" s="252">
        <f t="shared" ref="D28:I28" si="8">($B$28/(D$9*100))*60*8*$L$15</f>
        <v>38.4</v>
      </c>
      <c r="E28" s="252">
        <f t="shared" si="8"/>
        <v>28.799999999999997</v>
      </c>
      <c r="F28" s="252">
        <f t="shared" si="8"/>
        <v>21.333333333333336</v>
      </c>
      <c r="G28" s="252">
        <f t="shared" si="8"/>
        <v>16.941176470588236</v>
      </c>
      <c r="H28" s="252">
        <f t="shared" si="8"/>
        <v>10.105263157894736</v>
      </c>
      <c r="I28" s="252">
        <f t="shared" si="8"/>
        <v>6.6206896551724146</v>
      </c>
      <c r="J28" s="251"/>
      <c r="K28" s="251"/>
    </row>
    <row r="29" spans="1:20" ht="20.100000000000001" customHeight="1" x14ac:dyDescent="0.3"/>
    <row r="30" spans="1:20" ht="20.100000000000001" customHeight="1" x14ac:dyDescent="0.3"/>
    <row r="31" spans="1:20" ht="20.100000000000001" customHeight="1" x14ac:dyDescent="0.3"/>
    <row r="32" spans="1:20" ht="20.100000000000001" customHeight="1" x14ac:dyDescent="0.3"/>
    <row r="33" ht="20.100000000000001" customHeight="1" x14ac:dyDescent="0.3"/>
    <row r="34" ht="20.100000000000001" customHeight="1" x14ac:dyDescent="0.3"/>
  </sheetData>
  <mergeCells count="11">
    <mergeCell ref="D7:D8"/>
    <mergeCell ref="E7:E8"/>
    <mergeCell ref="F7:G7"/>
    <mergeCell ref="A24:B24"/>
    <mergeCell ref="K7:K8"/>
    <mergeCell ref="H7:H8"/>
    <mergeCell ref="I7:I8"/>
    <mergeCell ref="J7:J8"/>
    <mergeCell ref="A7:A21"/>
    <mergeCell ref="B7:B8"/>
    <mergeCell ref="C7:C8"/>
  </mergeCells>
  <phoneticPr fontId="26" type="noConversion"/>
  <pageMargins left="0.39370078740157483" right="0.19685039370078741" top="0.39370078740157483" bottom="0.39370078740157483" header="0.19685039370078741" footer="0"/>
  <pageSetup paperSize="9" scale="70" fitToHeight="0" orientation="landscape" r:id="rId1"/>
  <headerFooter>
    <oddHeader>&amp;R공사기간 산출근거 (&amp;P/&amp;N) - &amp;A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L19"/>
  <sheetViews>
    <sheetView workbookViewId="0">
      <selection activeCell="A8" sqref="A8"/>
    </sheetView>
  </sheetViews>
  <sheetFormatPr defaultColWidth="9" defaultRowHeight="24.95" customHeight="1" x14ac:dyDescent="0.3"/>
  <cols>
    <col min="1" max="1" width="10.625" style="332" customWidth="1"/>
    <col min="2" max="2" width="12.625" style="320" customWidth="1"/>
    <col min="3" max="3" width="10.625" style="320" customWidth="1"/>
    <col min="4" max="6" width="12.625" style="320" customWidth="1"/>
    <col min="7" max="7" width="10.625" style="320" customWidth="1"/>
    <col min="8" max="8" width="12.625" style="320" customWidth="1"/>
    <col min="9" max="10" width="15.625" style="320" customWidth="1"/>
    <col min="11" max="12" width="10.625" style="320" customWidth="1"/>
    <col min="13" max="13" width="12.625" style="320" customWidth="1"/>
    <col min="14" max="16384" width="9" style="320"/>
  </cols>
  <sheetData>
    <row r="1" spans="1:12" ht="30" customHeight="1" x14ac:dyDescent="0.3">
      <c r="A1" s="319" t="s">
        <v>231</v>
      </c>
      <c r="J1" s="708">
        <v>45839</v>
      </c>
      <c r="K1" s="708"/>
      <c r="L1" s="708"/>
    </row>
    <row r="2" spans="1:12" ht="20.100000000000001" customHeight="1" x14ac:dyDescent="0.3">
      <c r="A2" s="294" t="s">
        <v>236</v>
      </c>
    </row>
    <row r="3" spans="1:12" ht="20.100000000000001" customHeight="1" x14ac:dyDescent="0.3">
      <c r="A3" s="294"/>
    </row>
    <row r="4" spans="1:12" ht="20.100000000000001" customHeight="1" thickBot="1" x14ac:dyDescent="0.35">
      <c r="A4" s="294"/>
    </row>
    <row r="5" spans="1:12" ht="24.95" customHeight="1" thickBot="1" x14ac:dyDescent="0.35">
      <c r="A5" s="321" t="s">
        <v>232</v>
      </c>
      <c r="D5" s="322"/>
    </row>
    <row r="6" spans="1:12" ht="24.95" customHeight="1" x14ac:dyDescent="0.3">
      <c r="A6" s="323" t="s">
        <v>233</v>
      </c>
      <c r="B6" s="324"/>
      <c r="C6" s="324"/>
      <c r="D6" s="324"/>
      <c r="E6" s="324"/>
      <c r="F6" s="324"/>
      <c r="G6" s="324" t="s">
        <v>234</v>
      </c>
      <c r="H6" s="324"/>
      <c r="I6" s="324"/>
      <c r="J6" s="324"/>
      <c r="K6" s="324"/>
      <c r="L6" s="325"/>
    </row>
    <row r="7" spans="1:12" ht="24.95" customHeight="1" x14ac:dyDescent="0.3">
      <c r="A7" s="477" t="s">
        <v>364</v>
      </c>
      <c r="G7" s="320" t="s">
        <v>235</v>
      </c>
      <c r="L7" s="327"/>
    </row>
    <row r="8" spans="1:12" ht="24.95" customHeight="1" x14ac:dyDescent="0.3">
      <c r="A8" s="326"/>
      <c r="L8" s="327"/>
    </row>
    <row r="9" spans="1:12" ht="24.95" customHeight="1" x14ac:dyDescent="0.3">
      <c r="A9" s="326"/>
      <c r="L9" s="327"/>
    </row>
    <row r="10" spans="1:12" ht="24.95" customHeight="1" x14ac:dyDescent="0.3">
      <c r="A10" s="326"/>
      <c r="L10" s="327"/>
    </row>
    <row r="11" spans="1:12" ht="24.95" customHeight="1" x14ac:dyDescent="0.3">
      <c r="A11" s="326"/>
      <c r="L11" s="327"/>
    </row>
    <row r="12" spans="1:12" ht="24.95" customHeight="1" x14ac:dyDescent="0.3">
      <c r="A12" s="326"/>
      <c r="L12" s="327"/>
    </row>
    <row r="13" spans="1:12" ht="24.95" customHeight="1" x14ac:dyDescent="0.3">
      <c r="A13" s="326"/>
      <c r="L13" s="327"/>
    </row>
    <row r="14" spans="1:12" ht="24.95" customHeight="1" x14ac:dyDescent="0.3">
      <c r="A14" s="326"/>
      <c r="L14" s="327"/>
    </row>
    <row r="15" spans="1:12" ht="24.95" customHeight="1" x14ac:dyDescent="0.3">
      <c r="A15" s="326"/>
      <c r="L15" s="327"/>
    </row>
    <row r="16" spans="1:12" ht="24.95" customHeight="1" x14ac:dyDescent="0.3">
      <c r="A16" s="326"/>
      <c r="L16" s="327"/>
    </row>
    <row r="17" spans="1:12" ht="24.95" customHeight="1" x14ac:dyDescent="0.3">
      <c r="A17" s="328"/>
      <c r="L17" s="327"/>
    </row>
    <row r="18" spans="1:12" ht="24.95" customHeight="1" x14ac:dyDescent="0.3">
      <c r="A18" s="328"/>
      <c r="L18" s="327"/>
    </row>
    <row r="19" spans="1:12" ht="24.95" customHeight="1" thickBot="1" x14ac:dyDescent="0.35">
      <c r="A19" s="329"/>
      <c r="B19" s="330"/>
      <c r="C19" s="330"/>
      <c r="D19" s="330"/>
      <c r="E19" s="330"/>
      <c r="F19" s="330"/>
      <c r="G19" s="330"/>
      <c r="H19" s="330"/>
      <c r="I19" s="330"/>
      <c r="J19" s="330"/>
      <c r="K19" s="330"/>
      <c r="L19" s="331"/>
    </row>
  </sheetData>
  <mergeCells count="1">
    <mergeCell ref="J1:L1"/>
  </mergeCells>
  <phoneticPr fontId="26" type="noConversion"/>
  <printOptions horizontalCentered="1"/>
  <pageMargins left="0.70866141732283472" right="0.70866141732283472" top="0.55118110236220474" bottom="0.35433070866141736" header="0.31496062992125984" footer="0.31496062992125984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45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9</vt:i4>
      </vt:variant>
    </vt:vector>
  </HeadingPairs>
  <TitlesOfParts>
    <vt:vector size="16" baseType="lpstr">
      <vt:lpstr>산정기준(적정)</vt:lpstr>
      <vt:lpstr>산정기준 (18개월)</vt:lpstr>
      <vt:lpstr>공사예정공정표</vt:lpstr>
      <vt:lpstr>층별총집계표</vt:lpstr>
      <vt:lpstr>토공기간 검토</vt:lpstr>
      <vt:lpstr>발파암(표준발파)</vt:lpstr>
      <vt:lpstr>철골공사, 데크플레이트</vt:lpstr>
      <vt:lpstr>'발파암(표준발파)'!Print_Area</vt:lpstr>
      <vt:lpstr>'산정기준 (18개월)'!Print_Area</vt:lpstr>
      <vt:lpstr>'산정기준(적정)'!Print_Area</vt:lpstr>
      <vt:lpstr>층별총집계표!Print_Area</vt:lpstr>
      <vt:lpstr>'토공기간 검토'!Print_Area</vt:lpstr>
      <vt:lpstr>공사예정공정표!Print_Titles</vt:lpstr>
      <vt:lpstr>'산정기준 (18개월)'!Print_Titles</vt:lpstr>
      <vt:lpstr>'산정기준(적정)'!Print_Titles</vt:lpstr>
      <vt:lpstr>층별총집계표!Print_Titles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SmartEPC_Edit</dc:creator>
  <cp:lastModifiedBy>민준</cp:lastModifiedBy>
  <cp:revision>4</cp:revision>
  <cp:lastPrinted>2025-11-21T01:20:16Z</cp:lastPrinted>
  <dcterms:created xsi:type="dcterms:W3CDTF">2023-01-26T01:44:26Z</dcterms:created>
  <dcterms:modified xsi:type="dcterms:W3CDTF">2025-11-21T01:26:35Z</dcterms:modified>
  <cp:version>1100.0100.01</cp:version>
</cp:coreProperties>
</file>